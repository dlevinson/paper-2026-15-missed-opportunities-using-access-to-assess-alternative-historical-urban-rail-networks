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1llz\Documents\University\Year 5\Sem 2\Thesis\Lightrail\"/>
    </mc:Choice>
  </mc:AlternateContent>
  <xr:revisionPtr revIDLastSave="0" documentId="13_ncr:1_{53F02419-54E4-451B-8E4E-16FBB5DC7EC4}" xr6:coauthVersionLast="47" xr6:coauthVersionMax="47" xr10:uidLastSave="{00000000-0000-0000-0000-000000000000}"/>
  <bookViews>
    <workbookView xWindow="-28920" yWindow="-2175" windowWidth="29040" windowHeight="15720" xr2:uid="{80ABFC1C-9B49-4FE3-A764-ED2DB5BFB338}"/>
  </bookViews>
  <sheets>
    <sheet name="1974 LVA" sheetId="1" r:id="rId1"/>
  </sheets>
  <definedNames>
    <definedName name="_xleta.EX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" i="1" l="1"/>
  <c r="W15" i="1"/>
  <c r="V15" i="1"/>
  <c r="V14" i="1"/>
  <c r="W14" i="1"/>
  <c r="Y5" i="1"/>
  <c r="X16" i="1" s="1"/>
  <c r="Y4" i="1"/>
  <c r="W16" i="1" s="1"/>
  <c r="Y3" i="1"/>
  <c r="V16" i="1" s="1"/>
  <c r="Y2" i="1"/>
  <c r="U15" i="1" s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" i="1"/>
  <c r="M2563" i="1"/>
  <c r="L2563" i="1"/>
  <c r="L256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I2563" i="1"/>
  <c r="M2" i="1"/>
  <c r="L2" i="1"/>
  <c r="S11" i="1" a="1"/>
  <c r="S11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" i="1"/>
  <c r="T16" i="1" l="1"/>
  <c r="U12" i="1"/>
  <c r="V12" i="1"/>
  <c r="T12" i="1"/>
  <c r="W12" i="1"/>
  <c r="V13" i="1"/>
  <c r="U13" i="1"/>
  <c r="W13" i="1"/>
  <c r="T13" i="1"/>
  <c r="T11" i="1"/>
  <c r="V11" i="1"/>
  <c r="W11" i="1"/>
  <c r="U11" i="1"/>
  <c r="X15" i="1"/>
  <c r="T15" i="1" s="1"/>
  <c r="X14" i="1"/>
  <c r="U14" i="1"/>
  <c r="X12" i="1" l="1"/>
  <c r="T14" i="1"/>
  <c r="T18" i="1" s="1" a="1"/>
  <c r="T18" i="1" s="1"/>
  <c r="X13" i="1"/>
  <c r="X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<sst xmlns="http://schemas.openxmlformats.org/spreadsheetml/2006/main" count="2595" uniqueCount="2587">
  <si>
    <t>num_opportunities</t>
  </si>
  <si>
    <t>30 Mins</t>
  </si>
  <si>
    <t>45 Mins</t>
  </si>
  <si>
    <t>60 Mins</t>
  </si>
  <si>
    <t>TZ16_CODE</t>
  </si>
  <si>
    <t>TZ16_NAME</t>
  </si>
  <si>
    <t>Tz16_Area</t>
  </si>
  <si>
    <t>Woollahra</t>
  </si>
  <si>
    <t>Waverley</t>
  </si>
  <si>
    <t>Randwick</t>
  </si>
  <si>
    <t>Rest of Sydney</t>
  </si>
  <si>
    <t>Barangaroo_Headland Park</t>
  </si>
  <si>
    <t>Uplift $M</t>
  </si>
  <si>
    <t>Barangaroo_Northern Cove</t>
  </si>
  <si>
    <t>Barangaroo_Southern Cove</t>
  </si>
  <si>
    <t>Barangaroo_Jenkins Lane</t>
  </si>
  <si>
    <t>Barangaroo_Ferry Terminal</t>
  </si>
  <si>
    <t>Sydney CBD_Moores Wharf</t>
  </si>
  <si>
    <t>Sydney CBD_Hickson Road_Western End</t>
  </si>
  <si>
    <t>Sydney CBD_The Rocks_Argyle Place</t>
  </si>
  <si>
    <t>Walsh Bay</t>
  </si>
  <si>
    <t>Sydney CBD_Hickson Road_Eastern End</t>
  </si>
  <si>
    <t>Sydney CBD_Dawes Point Park</t>
  </si>
  <si>
    <t>Sydney CBD_The Rocks_Trinity Ave</t>
  </si>
  <si>
    <t>Sydney CBD_Gloucester Walk</t>
  </si>
  <si>
    <t>Sydney CBD_The Rocks_Argyle Centre</t>
  </si>
  <si>
    <t>Sydney CBD_Hickson Rd Reserve</t>
  </si>
  <si>
    <t>Sydney CBD_Sydney Cove Overseas Passenger Terminal</t>
  </si>
  <si>
    <t>Sydney Opera House</t>
  </si>
  <si>
    <t>Sydney CBD_Kent St_Northern Section</t>
  </si>
  <si>
    <t>Sydney CBD_Sydney Observatory</t>
  </si>
  <si>
    <t>Sydney CBD_The Rocks_King George V Recreation Centre</t>
  </si>
  <si>
    <t>Sydney CBD_The Rocks_Sydney Harbour Foreshore Authority</t>
  </si>
  <si>
    <t>Sydney CBD_Museum of Contemporary Art</t>
  </si>
  <si>
    <t>Sydney CBD_Circular Quay East_The Toaster</t>
  </si>
  <si>
    <t>Sydney CBD_The Rocks_Shangri La Hotel</t>
  </si>
  <si>
    <t>Sydney CBD_The Rocks_Four Seasons Hotel</t>
  </si>
  <si>
    <t>Sydney CBD_Circular Quay Station-Wharves</t>
  </si>
  <si>
    <t>Sydney CBD_The Rocks_Science House</t>
  </si>
  <si>
    <t>Sydney CBD_The Rocks_Cove Apartments</t>
  </si>
  <si>
    <t>Sydney CBD_Grosvenor Place</t>
  </si>
  <si>
    <t>Sydney CBD_Circular Quay_Herald Square</t>
  </si>
  <si>
    <t>Sydney CBD_Circular Quay_Gateway Quayside</t>
  </si>
  <si>
    <t>Sydney CBD_Circular Quay_Customs House</t>
  </si>
  <si>
    <t>Sydney CBD_Circular Quay_AMP Centre</t>
  </si>
  <si>
    <t>Sydney CBD_Sir Stamford and InterContinental Hotels</t>
  </si>
  <si>
    <t>Royal Botanic Gardens</t>
  </si>
  <si>
    <t>Sydney CBD_Maritime Trade Towers</t>
  </si>
  <si>
    <t>Sydney CBD_35 Clarence St</t>
  </si>
  <si>
    <t>Sydney CBD_1 York St</t>
  </si>
  <si>
    <t>Sydney CBD_AAP Centre</t>
  </si>
  <si>
    <t>Sydney CBD_10 Bond St and 20 Bond St</t>
  </si>
  <si>
    <t>Sydney CBD_Royal Exchange Building</t>
  </si>
  <si>
    <t>Sydney CBD_Lands Dept Building_Bridge St</t>
  </si>
  <si>
    <t>Sydney CBD_Department of Education Building</t>
  </si>
  <si>
    <t>Sydney CBD_Governor Macquarie Tower_Governor Phillip Tower</t>
  </si>
  <si>
    <t>Sydney CBD_ABN Amro Tower_Aurora Place</t>
  </si>
  <si>
    <t>Sydney CBD_The York Apartment Hotel</t>
  </si>
  <si>
    <t>Sydney CBD_Metcentre</t>
  </si>
  <si>
    <t>Sydney CBD_Australia Square</t>
  </si>
  <si>
    <t>Sydney CBD_Radisson Plaza Hotel</t>
  </si>
  <si>
    <t>Sydney CBD_25 Bligh St</t>
  </si>
  <si>
    <t>Sydney CBD_Wentworth Hotel</t>
  </si>
  <si>
    <t>Sydney CBD_Chifley Square_Chifley Tower</t>
  </si>
  <si>
    <t>Sydney CBD_King St Wharf_Northern End</t>
  </si>
  <si>
    <t>Sydney CBD_Westpac Place</t>
  </si>
  <si>
    <t>Sydney CBD_83 Clarence St</t>
  </si>
  <si>
    <t>Sydney CBD_Wynyard Station_York St</t>
  </si>
  <si>
    <t>Sydney CBD_Wynyard Station_George St</t>
  </si>
  <si>
    <t>Sydney CBD_Hunter Connection</t>
  </si>
  <si>
    <t>Sydney CBD_QBE Building</t>
  </si>
  <si>
    <t>Sydney CBD_Savings Bank Building</t>
  </si>
  <si>
    <t>Sydney CBD_Colonial Centre_Goodsell Building</t>
  </si>
  <si>
    <t>Sydney CBD_Martin Place Station_Hunter St and Macquarie St</t>
  </si>
  <si>
    <t>Sydney CBD_Parliament House_Sydney Hospital</t>
  </si>
  <si>
    <t>Mrs Macquaries Chair</t>
  </si>
  <si>
    <t>Sydney CBD_King St Wharf_Southern End</t>
  </si>
  <si>
    <t>Sydney CBD_Slip St</t>
  </si>
  <si>
    <t>Sydney CBD_Lumley House</t>
  </si>
  <si>
    <t>Sydney CBD_Red Cross House</t>
  </si>
  <si>
    <t>Sydney CBD_AWA Building</t>
  </si>
  <si>
    <t>Barrack St and York St</t>
  </si>
  <si>
    <t>Centenary Square</t>
  </si>
  <si>
    <t>Centenary Square and George</t>
  </si>
  <si>
    <t>Sydney CBD_No.1 Martin Place</t>
  </si>
  <si>
    <t>MLC Centre Sydney</t>
  </si>
  <si>
    <t>Martin Place and Elizabeth St</t>
  </si>
  <si>
    <t>Martin Place and Phillip St</t>
  </si>
  <si>
    <t>Martin Place Station</t>
  </si>
  <si>
    <t>Star City_Pyrmont Bay Ferry Wharf</t>
  </si>
  <si>
    <t>Sydney Aquarium</t>
  </si>
  <si>
    <t>Allianz Centre</t>
  </si>
  <si>
    <t>King St and Clarence St</t>
  </si>
  <si>
    <t>Westpac Building</t>
  </si>
  <si>
    <t>King St and George St</t>
  </si>
  <si>
    <t>Sydney CBD_Strand Arcade</t>
  </si>
  <si>
    <t>Sydney CBD_Centrepoint</t>
  </si>
  <si>
    <t>David Jones_Elizabeth Street</t>
  </si>
  <si>
    <t>Law Courts Building Sydney</t>
  </si>
  <si>
    <t>Darling Harbour_Novotel, Grand Mercure, Ibis</t>
  </si>
  <si>
    <t>Harbourside_Darling Harbour</t>
  </si>
  <si>
    <t>Cockle Bay Wharf</t>
  </si>
  <si>
    <t>Cockle Bay Wharf_East</t>
  </si>
  <si>
    <t>Market St and Kent St</t>
  </si>
  <si>
    <t>Market St and Clarence St</t>
  </si>
  <si>
    <t>Market St and York St</t>
  </si>
  <si>
    <t>Queen Victoria Building</t>
  </si>
  <si>
    <t>Sydney CBD_Galeries Victoria</t>
  </si>
  <si>
    <t>Piccadilly Arcade</t>
  </si>
  <si>
    <t>Sheraton On The Park</t>
  </si>
  <si>
    <t>St. Mary's Cathedral</t>
  </si>
  <si>
    <t>Art Gallery Of NSW</t>
  </si>
  <si>
    <t>Darling Harbour_Crown Plaza Hotel</t>
  </si>
  <si>
    <t>Druitt St and Kent St</t>
  </si>
  <si>
    <t>Sydney CBD_Sydney Town Hall</t>
  </si>
  <si>
    <t>Town Hall Station</t>
  </si>
  <si>
    <t>Sydney CBD_Defence Plaza</t>
  </si>
  <si>
    <t>Park St and Elizabeth St</t>
  </si>
  <si>
    <t>St James Station</t>
  </si>
  <si>
    <t>Exhibition Centre_Darling Harbour</t>
  </si>
  <si>
    <t>Millennium Towers</t>
  </si>
  <si>
    <t>Bathurst St and Kent St</t>
  </si>
  <si>
    <t>Greater Union Cinema Centre</t>
  </si>
  <si>
    <t>Bathurst St and Pitt St</t>
  </si>
  <si>
    <t>Wilmot St and Pitt St</t>
  </si>
  <si>
    <t>Court Of Petty Sessions</t>
  </si>
  <si>
    <t>Bathurst St and Castlereagh St</t>
  </si>
  <si>
    <t>Bathurst St and Elizabeth St</t>
  </si>
  <si>
    <t>Liverpool St and Sussex</t>
  </si>
  <si>
    <t>Liverpool St and George</t>
  </si>
  <si>
    <t>World Square Sydney</t>
  </si>
  <si>
    <t>Masonic Centre</t>
  </si>
  <si>
    <t>Sydney CBD_Downing Centre</t>
  </si>
  <si>
    <t>Liverpool St and Nithsdale St</t>
  </si>
  <si>
    <t>Liverpool St and Commonweath St</t>
  </si>
  <si>
    <t>Liverpool St and Wentworth St</t>
  </si>
  <si>
    <t>Entertainment Centre</t>
  </si>
  <si>
    <t>Holiday Inn_Chinatown</t>
  </si>
  <si>
    <t>Sussex Centre_Chinatown</t>
  </si>
  <si>
    <t>Little Hay St and Sussex St_Chinatown</t>
  </si>
  <si>
    <t>Goulburn St and George St</t>
  </si>
  <si>
    <t>Scruffy Murphys</t>
  </si>
  <si>
    <t>Regis Tower</t>
  </si>
  <si>
    <t>Goulburn St and Wentworth St</t>
  </si>
  <si>
    <t>Capitol Square</t>
  </si>
  <si>
    <t>Sydney CBD_Belmore Park</t>
  </si>
  <si>
    <t>Paddys Market</t>
  </si>
  <si>
    <t>UTS_Ultimo_East</t>
  </si>
  <si>
    <t>Hay St and George St</t>
  </si>
  <si>
    <t>Central Square MLR Stop</t>
  </si>
  <si>
    <t>Parker St and Hay St</t>
  </si>
  <si>
    <t>Sydney CBD_Sydney Central Building</t>
  </si>
  <si>
    <t>Ultimo St and Hay St</t>
  </si>
  <si>
    <t>Ultimo St and George St</t>
  </si>
  <si>
    <t>Sydney CBD_McKell Building</t>
  </si>
  <si>
    <t>Sydney TAFE</t>
  </si>
  <si>
    <t>Rawson St and Pitt St</t>
  </si>
  <si>
    <t>Central Station</t>
  </si>
  <si>
    <t>Goat Island</t>
  </si>
  <si>
    <t>Fort Denison</t>
  </si>
  <si>
    <t>Sydney CBD_Jenkins St</t>
  </si>
  <si>
    <t>Pyrmont_Darling Island</t>
  </si>
  <si>
    <t>John St Square MLR</t>
  </si>
  <si>
    <t>Fish Markets MLR</t>
  </si>
  <si>
    <t>Hardwood St</t>
  </si>
  <si>
    <t>Experiment St</t>
  </si>
  <si>
    <t>Wentworth Park MLR</t>
  </si>
  <si>
    <t>Powerhouse Museum Ultimo</t>
  </si>
  <si>
    <t>Broadway Shopping Centre_Glebe_Mountain St and Small St</t>
  </si>
  <si>
    <t>UTS_Ultimo_West</t>
  </si>
  <si>
    <t>ABC Ultimo Centre</t>
  </si>
  <si>
    <t>Sydney CBD_Perpetual Trustee Building</t>
  </si>
  <si>
    <t>Sydney CBD_Myer Building</t>
  </si>
  <si>
    <t>Garden Island</t>
  </si>
  <si>
    <t>The Finger Wharf Apartments</t>
  </si>
  <si>
    <t>Woolloomooloo_Dowling St and Nesbitt St</t>
  </si>
  <si>
    <t>St Vincents Catholic College</t>
  </si>
  <si>
    <t>Elizabeth Bay House</t>
  </si>
  <si>
    <t>Cook and Phillip Park</t>
  </si>
  <si>
    <t>East Sydney High School</t>
  </si>
  <si>
    <t>Kings Cross Station</t>
  </si>
  <si>
    <t>Kingsgate Shopping Centre</t>
  </si>
  <si>
    <t>El Alamein Fountain</t>
  </si>
  <si>
    <t>St Luke's Hospital</t>
  </si>
  <si>
    <t>Sydney CBD_Sky Garden</t>
  </si>
  <si>
    <t>National Art School</t>
  </si>
  <si>
    <t>Australian Museum Darlinghurst</t>
  </si>
  <si>
    <t>Darlinghurst_College La and Francis St</t>
  </si>
  <si>
    <t>SCEGGS_Darlinghurst</t>
  </si>
  <si>
    <t>Darlinghurst Rd and William St</t>
  </si>
  <si>
    <t>Belvedere Bridge Darlinghurst</t>
  </si>
  <si>
    <t>Marriott Hotel</t>
  </si>
  <si>
    <t>St Vincent's Caritas Centre</t>
  </si>
  <si>
    <t>St Vincent's Hospital</t>
  </si>
  <si>
    <t>Darlinghurst_Little Oxford St and Crown St</t>
  </si>
  <si>
    <t>Paddington_Flinders St and Taylor St</t>
  </si>
  <si>
    <t>Darling Island_Pyremont Park</t>
  </si>
  <si>
    <t>City Star Casino</t>
  </si>
  <si>
    <t>Oxford Square</t>
  </si>
  <si>
    <t>Goulburn St and Brisbane St</t>
  </si>
  <si>
    <t>Sydney Police Centre</t>
  </si>
  <si>
    <t>Darlinghurst_Lower Darling St</t>
  </si>
  <si>
    <t>Campbell St and Mary St</t>
  </si>
  <si>
    <t>Campbell St and Riley St</t>
  </si>
  <si>
    <t>Centennial Plaza</t>
  </si>
  <si>
    <t>Albion St and Riley St</t>
  </si>
  <si>
    <t>Albion St and Flinders St</t>
  </si>
  <si>
    <t>United Dental Hospital Of Sydney</t>
  </si>
  <si>
    <t>News Ltd</t>
  </si>
  <si>
    <t>Bourke St and Arthur St</t>
  </si>
  <si>
    <t>Prince Alfred Park</t>
  </si>
  <si>
    <t>Strawberry Hills_Elizabeth St and Belvoir St</t>
  </si>
  <si>
    <t>Bourke St and Mort St</t>
  </si>
  <si>
    <t>Lee St_Sydney</t>
  </si>
  <si>
    <t>CUB Site Chippendale_North</t>
  </si>
  <si>
    <t>Chippendale</t>
  </si>
  <si>
    <t>Central Station_South</t>
  </si>
  <si>
    <t>CUB Site Chippendale_South</t>
  </si>
  <si>
    <t>Darlington_Everleigh St and Hudson St</t>
  </si>
  <si>
    <t>Redfern_Wells St and Renwick St</t>
  </si>
  <si>
    <t>Redfern Mail Exchange Redfern</t>
  </si>
  <si>
    <t>Redfern</t>
  </si>
  <si>
    <t>Surry Hills Shopping Village</t>
  </si>
  <si>
    <t>Redfern Station</t>
  </si>
  <si>
    <t>Everleigh</t>
  </si>
  <si>
    <t>Redfern_Wyndham St and Boundary St</t>
  </si>
  <si>
    <t>Rachel Forster Hospital</t>
  </si>
  <si>
    <t>Redfern Oval</t>
  </si>
  <si>
    <t>Redfern_Baptist St and Zamia St</t>
  </si>
  <si>
    <t>Redfern_Charles Moore Ave</t>
  </si>
  <si>
    <t>Australian Technology Park</t>
  </si>
  <si>
    <t>Explorer St and Aurora Place</t>
  </si>
  <si>
    <t>Australian Technology Park North</t>
  </si>
  <si>
    <t>Macdonaldtown Station</t>
  </si>
  <si>
    <t>Blackwattle Bay Park_Glebe</t>
  </si>
  <si>
    <t>Harold Park_Jubilee Park_Glebe</t>
  </si>
  <si>
    <t>Wentworth Park</t>
  </si>
  <si>
    <t>Glebe_Wigram Rd and Glebe Point Rd</t>
  </si>
  <si>
    <t>Forest Lodge Public School</t>
  </si>
  <si>
    <t>Forest Lodge_Arundel St and Short St</t>
  </si>
  <si>
    <t>Glebe_Mitchell St and Westmoreland St</t>
  </si>
  <si>
    <t>Broadway Shopping Centre_Glebe_Glebe St and Cowper St</t>
  </si>
  <si>
    <t>University of Sydney_Main Camperdown Campus</t>
  </si>
  <si>
    <t>Camperdown Park</t>
  </si>
  <si>
    <t>Royal Prince Alfred Hospital</t>
  </si>
  <si>
    <t>Darlington</t>
  </si>
  <si>
    <t>Darlington_Edward St and Vine St</t>
  </si>
  <si>
    <t>Camperdown_Australia St and Hopgate St</t>
  </si>
  <si>
    <t>Royal Prince Alfred Medical Centre</t>
  </si>
  <si>
    <t>Darlington_Golden Grove St and Abercrombie St</t>
  </si>
  <si>
    <t>Australia Council For The Arts Darlington</t>
  </si>
  <si>
    <t>Newtown St Stephens Cemetery</t>
  </si>
  <si>
    <t>Macdonaldtown Station_North</t>
  </si>
  <si>
    <t>Newtown Station_North</t>
  </si>
  <si>
    <t>Newtown_Rawson St and Reiby St</t>
  </si>
  <si>
    <t>Newtown Station_South</t>
  </si>
  <si>
    <t>Newtown_Kent St and College St</t>
  </si>
  <si>
    <t>St Peters Station_North</t>
  </si>
  <si>
    <t>Rydges Camperdown</t>
  </si>
  <si>
    <t>Erskineville South</t>
  </si>
  <si>
    <t>Macdonaldtown Station_South</t>
  </si>
  <si>
    <t>Erskineville Station_West</t>
  </si>
  <si>
    <t>Erskineville Station_East</t>
  </si>
  <si>
    <t>Alexandria</t>
  </si>
  <si>
    <t>Cleveland Street High School</t>
  </si>
  <si>
    <t>Erskineville_Rochford St and Macdonald St</t>
  </si>
  <si>
    <t>Erskineville</t>
  </si>
  <si>
    <t>Alexandria_Lawrence St and Maddox St</t>
  </si>
  <si>
    <t>Alexandria_Mandible St and Wyndham St</t>
  </si>
  <si>
    <t>Sydney Park Business Centre</t>
  </si>
  <si>
    <t>Beaconsfield Industrial Area_Green Square Station</t>
  </si>
  <si>
    <t>CSR Concrete Plant</t>
  </si>
  <si>
    <t>Alexandria Industrial Area</t>
  </si>
  <si>
    <t>Alexandria_Eastern Suburbs Mail Centre</t>
  </si>
  <si>
    <t>Waterloo_John St and Botany Rd</t>
  </si>
  <si>
    <t>Waterloo</t>
  </si>
  <si>
    <t>Waterloo Park</t>
  </si>
  <si>
    <t>Waterloo_Young St and Danks St</t>
  </si>
  <si>
    <t>Waterloo_Crown Square Shopping Plaza</t>
  </si>
  <si>
    <t>Waterloo_Elizabeth St and Allen St</t>
  </si>
  <si>
    <t>Waterloo_Elizabeth St and Powell St</t>
  </si>
  <si>
    <t>Hpm Industries</t>
  </si>
  <si>
    <t>Green Square_Merton St and Tilford St</t>
  </si>
  <si>
    <t>Grandstand Pl</t>
  </si>
  <si>
    <t>Green Square_Town Centre</t>
  </si>
  <si>
    <t>Hutchison Wk</t>
  </si>
  <si>
    <t>Zetland_Epsom Rd and Joynton Ave</t>
  </si>
  <si>
    <t>Link Rd</t>
  </si>
  <si>
    <t>Beaconsfield Industrial Area</t>
  </si>
  <si>
    <t>Southside Business Centre</t>
  </si>
  <si>
    <t>Rosebery_Stedman St and Spring St</t>
  </si>
  <si>
    <t>Rosebury_Dalmeny Ave and Kimberley Grove</t>
  </si>
  <si>
    <t>Rosebery_Hayes Rd and Dunning Ave</t>
  </si>
  <si>
    <t>Rosebery_Bannerman Cr and Asquith Ave</t>
  </si>
  <si>
    <t>Rosebery_Gardiners Rd Public School</t>
  </si>
  <si>
    <t>Rosebery Cathedral</t>
  </si>
  <si>
    <t>Green Square_North</t>
  </si>
  <si>
    <t>Green Square_South</t>
  </si>
  <si>
    <t>Enmore_Perry St and Cowper St</t>
  </si>
  <si>
    <t>Wilkins Primary School</t>
  </si>
  <si>
    <t>Marrickville Park</t>
  </si>
  <si>
    <t>Marrickville Metro</t>
  </si>
  <si>
    <t>Marrickville High School</t>
  </si>
  <si>
    <t>Sydney Steel</t>
  </si>
  <si>
    <t>St Marouns College</t>
  </si>
  <si>
    <t>Marrickville St Brigid Catholic Church</t>
  </si>
  <si>
    <t>Dulwich Hill_Ewart St and Osgood Ave</t>
  </si>
  <si>
    <t>Sydenham Station_West</t>
  </si>
  <si>
    <t>Marrickville Station_South</t>
  </si>
  <si>
    <t>Marrickvile Golf Club</t>
  </si>
  <si>
    <t>Marrickville_Hampden Av and Day St</t>
  </si>
  <si>
    <t>Tempe Station_West</t>
  </si>
  <si>
    <t>Marrickville Station_North</t>
  </si>
  <si>
    <t>Marrickville_McNeilly Park</t>
  </si>
  <si>
    <t>Stanmore_Northumberland Av and Great Western Hwy</t>
  </si>
  <si>
    <t>Petersham Station_North</t>
  </si>
  <si>
    <t>Lewisham Station_North</t>
  </si>
  <si>
    <t>Stanmore Station_North</t>
  </si>
  <si>
    <t>Stanmore Station_South</t>
  </si>
  <si>
    <t>Petersham Station_South</t>
  </si>
  <si>
    <t>Newtown_Belmore St and London St</t>
  </si>
  <si>
    <t>Petersham_Wardell Rd and Morgan St</t>
  </si>
  <si>
    <t>Enmore_Wemyss St and Harrington St</t>
  </si>
  <si>
    <t>Newtown_Sydney Institute Design Centre</t>
  </si>
  <si>
    <t>St Peters Station_South</t>
  </si>
  <si>
    <t>St Peters_Greenway and Banks Estate</t>
  </si>
  <si>
    <t>Burrows Industrial Estate</t>
  </si>
  <si>
    <t>Sydenham Station_East</t>
  </si>
  <si>
    <t>Cooks River Rail Freight Terminal</t>
  </si>
  <si>
    <t>Tempe Station_East</t>
  </si>
  <si>
    <t>Salvation Army Tempe</t>
  </si>
  <si>
    <t>Orica Australia</t>
  </si>
  <si>
    <t>Discovery Cove Industrial Park</t>
  </si>
  <si>
    <t>Caltex Sydney Terminal</t>
  </si>
  <si>
    <t>Sir Joseph Banks Corporate Park</t>
  </si>
  <si>
    <t>Botany William St</t>
  </si>
  <si>
    <t>Port Air Industrial Estate</t>
  </si>
  <si>
    <t>Botany Industrial Area</t>
  </si>
  <si>
    <t>Mascot_Ricketty St</t>
  </si>
  <si>
    <t>Mascot_Qantas HO</t>
  </si>
  <si>
    <t>Mascot Station</t>
  </si>
  <si>
    <t>Rosebery_Gardeners Rd and Sutherland St</t>
  </si>
  <si>
    <t>Eastlakes Shopping Centre</t>
  </si>
  <si>
    <t>Mascot_Public School</t>
  </si>
  <si>
    <t>Eastlakes Public School</t>
  </si>
  <si>
    <t>J J Cahill Memorial High School</t>
  </si>
  <si>
    <t>The Lakes Golf Course</t>
  </si>
  <si>
    <t>Mascot_Carinya Ave</t>
  </si>
  <si>
    <t>Marist College High School</t>
  </si>
  <si>
    <t>Bonnie Doon Golf Club</t>
  </si>
  <si>
    <t>Pagewood_Wentworth Av and Page St</t>
  </si>
  <si>
    <t>Eastgardens Shopping Centre</t>
  </si>
  <si>
    <t>South Point Shopping Centre</t>
  </si>
  <si>
    <t>Matraville Public School</t>
  </si>
  <si>
    <t>Pagewood Green</t>
  </si>
  <si>
    <t>Port Botany Business Park_West</t>
  </si>
  <si>
    <t>Military Rd</t>
  </si>
  <si>
    <t>Port Botany_Southern Container Terminal</t>
  </si>
  <si>
    <t>Sydney Domestic Airport</t>
  </si>
  <si>
    <t>Sydney International Airport</t>
  </si>
  <si>
    <t>Sydney Airport_Runway</t>
  </si>
  <si>
    <t>Yeshiva Girls High</t>
  </si>
  <si>
    <t>Bondi</t>
  </si>
  <si>
    <t>Bondi_Watson St and Grove St</t>
  </si>
  <si>
    <t>Tamarama Beach</t>
  </si>
  <si>
    <t>Bronte Beach</t>
  </si>
  <si>
    <t>Bronte</t>
  </si>
  <si>
    <t>North Bondi</t>
  </si>
  <si>
    <t>Bondi Golf Club</t>
  </si>
  <si>
    <t>North Bondi_Brighton Bvd and Wairoa Av</t>
  </si>
  <si>
    <t>Bondi Beach_Wellington St and O'Brien St</t>
  </si>
  <si>
    <t>Bondi Beach_Roscoe St and O'Brien St</t>
  </si>
  <si>
    <t>Bondi Beach</t>
  </si>
  <si>
    <t>Bondi Beach_Lamrock Ave and Consett Ave</t>
  </si>
  <si>
    <t>Bondi Junction Station</t>
  </si>
  <si>
    <t>Bondi Junction CBD</t>
  </si>
  <si>
    <t>Bondi_Paul St and Kenilworth St</t>
  </si>
  <si>
    <t>Bondi Junction_Ruthven St and Gowrie St</t>
  </si>
  <si>
    <t>Waverley Park</t>
  </si>
  <si>
    <t>War Memorial Hospital</t>
  </si>
  <si>
    <t>Queens Park</t>
  </si>
  <si>
    <t>Bondi Junction_Waverley Library</t>
  </si>
  <si>
    <t>Centennial Park</t>
  </si>
  <si>
    <t>Darling Point Ferry Wharf</t>
  </si>
  <si>
    <t>Darling Point</t>
  </si>
  <si>
    <t>Shillings Beach Point Piper</t>
  </si>
  <si>
    <t>The Scots College</t>
  </si>
  <si>
    <t>Ascham Girls School_West</t>
  </si>
  <si>
    <t>Double Bay Ferry Wharf</t>
  </si>
  <si>
    <t>Double Bay Plaza</t>
  </si>
  <si>
    <t>Ascham Girls School_East</t>
  </si>
  <si>
    <t>Bellevue Hill</t>
  </si>
  <si>
    <t>Edgecliff Station</t>
  </si>
  <si>
    <t>Bellevue Hill_Drumalbyn Rd and Beresford Rd</t>
  </si>
  <si>
    <t>Edgecliff_Manning Rd and Court Rd</t>
  </si>
  <si>
    <t>Bellevue Hill_Carlotta Rd</t>
  </si>
  <si>
    <t>Bellevue Hill South</t>
  </si>
  <si>
    <t>Bellevue Hill_Suttie Rd and Ranfurley Rd</t>
  </si>
  <si>
    <t>Bellevue Park</t>
  </si>
  <si>
    <t>Diamond Bay</t>
  </si>
  <si>
    <t>Dover Heights_Portland St and Lancaster Rd</t>
  </si>
  <si>
    <t>Dover Heights High School</t>
  </si>
  <si>
    <t>Dover Heights</t>
  </si>
  <si>
    <t>White City</t>
  </si>
  <si>
    <t>The Scottish Hospital</t>
  </si>
  <si>
    <t>Paddington</t>
  </si>
  <si>
    <t>Five Ways Paddington</t>
  </si>
  <si>
    <t>Paddington_Elizabeth St and Hargrave St</t>
  </si>
  <si>
    <t>Paddington_University of NSW</t>
  </si>
  <si>
    <t>Victoria Barracks</t>
  </si>
  <si>
    <t>Paddington_Elizabeth St and Paddington St</t>
  </si>
  <si>
    <t>Regent St and Stewart St</t>
  </si>
  <si>
    <t>Paddington Markets</t>
  </si>
  <si>
    <t>Cooks Rd and Mitchell St</t>
  </si>
  <si>
    <t>Sydney Cricket Ground</t>
  </si>
  <si>
    <t>Moore Park Golf Course</t>
  </si>
  <si>
    <t>Moore Park Supacenta</t>
  </si>
  <si>
    <t>Watsons Bay Ferry Wharf</t>
  </si>
  <si>
    <t>Parsley Bay</t>
  </si>
  <si>
    <t>Nielsen Park</t>
  </si>
  <si>
    <t>Rose Bay Towns Rd</t>
  </si>
  <si>
    <t>Rose Bay Ferry Wharf</t>
  </si>
  <si>
    <t>Vaucluse_Lighthouse Reserve Dunbar_Head</t>
  </si>
  <si>
    <t>Wolper Jewish Hospital</t>
  </si>
  <si>
    <t>Woollahra Galleries</t>
  </si>
  <si>
    <t>Cooper Park</t>
  </si>
  <si>
    <t>Clovelly_Knox St and Greville St</t>
  </si>
  <si>
    <t>Clovelly_Clifton Rd and Burnie St</t>
  </si>
  <si>
    <t>Coogee</t>
  </si>
  <si>
    <t>Coogee Palace Shopping Centre</t>
  </si>
  <si>
    <t>Coogee Beach</t>
  </si>
  <si>
    <t>Coogee_Mount St and Dudley St</t>
  </si>
  <si>
    <t>Coogee_Wylies Baths</t>
  </si>
  <si>
    <t>South Coogee</t>
  </si>
  <si>
    <t>South Coogee Primary School</t>
  </si>
  <si>
    <t>Kingsford_Town Centre</t>
  </si>
  <si>
    <t>Kensington_Tresidder Ave</t>
  </si>
  <si>
    <t>Kokoda Memorial Park</t>
  </si>
  <si>
    <t>Kensington_Todman Av and Baker St</t>
  </si>
  <si>
    <t>Kensington Public School</t>
  </si>
  <si>
    <t>Kensington</t>
  </si>
  <si>
    <t>University of NSW</t>
  </si>
  <si>
    <t>Australian Golf Course</t>
  </si>
  <si>
    <t>Kensington Park</t>
  </si>
  <si>
    <t>Kingsford_Castellorizian Club</t>
  </si>
  <si>
    <t>Kingsford_Kennedy St and Middle St</t>
  </si>
  <si>
    <t>Kingsford_Botany St and Sturt St</t>
  </si>
  <si>
    <t>Kingsford</t>
  </si>
  <si>
    <t>Kingsford_Borrowdale Rd</t>
  </si>
  <si>
    <t>Matraville_Eastern Rd and Beauchamp Rd</t>
  </si>
  <si>
    <t>Matraville</t>
  </si>
  <si>
    <t>Anzac Rifle Range</t>
  </si>
  <si>
    <t>Matraville_Menin Av and Flinders St</t>
  </si>
  <si>
    <t>Port Botany Business Park_East</t>
  </si>
  <si>
    <t>Matraville High School</t>
  </si>
  <si>
    <t>Long Bay</t>
  </si>
  <si>
    <t>Randwick Golf Club</t>
  </si>
  <si>
    <t>La Perouse Museum</t>
  </si>
  <si>
    <t>Prince Henry Hospital</t>
  </si>
  <si>
    <t>Congwong Beach</t>
  </si>
  <si>
    <t>NSW Golf Club_St Michaels Golf Club</t>
  </si>
  <si>
    <t>Maroubra Junction Public School</t>
  </si>
  <si>
    <t>Stocklands Mall Maroubra</t>
  </si>
  <si>
    <t>Maroubra High School</t>
  </si>
  <si>
    <t>Maroubra_Storey St and Amour Ave</t>
  </si>
  <si>
    <t>South Sydney High School</t>
  </si>
  <si>
    <t>Maroubra_Torrington Rd and Duncan St</t>
  </si>
  <si>
    <t>Maroubra_Robey St and Wise St</t>
  </si>
  <si>
    <t>Maroubra Mons Ave</t>
  </si>
  <si>
    <t>Maroubra Beach</t>
  </si>
  <si>
    <t>Heffron Park</t>
  </si>
  <si>
    <t>Coral Sea Park</t>
  </si>
  <si>
    <t>South Maroubra Village Shopping Centre</t>
  </si>
  <si>
    <t>Randwick_Monmouth St and Stephen St</t>
  </si>
  <si>
    <t>Randwick_Park Av and Gilderthorpe Av</t>
  </si>
  <si>
    <t>Roma Private Hospital</t>
  </si>
  <si>
    <t>Clovelly_Bishops Ave and Douglas St</t>
  </si>
  <si>
    <t>Randwick North High School</t>
  </si>
  <si>
    <t>Randwick Racecourse</t>
  </si>
  <si>
    <t>Randwick Plaza</t>
  </si>
  <si>
    <t>Coogee St</t>
  </si>
  <si>
    <t>Prince of Wales Hospital</t>
  </si>
  <si>
    <t>St Pauls</t>
  </si>
  <si>
    <t>Coogee_Canberra St and Creer St</t>
  </si>
  <si>
    <t>Navy Oval</t>
  </si>
  <si>
    <t>Randwick Boys High School_Randwick Girls High School</t>
  </si>
  <si>
    <t>Breakfast Point</t>
  </si>
  <si>
    <t>Concord_Rothwell Park</t>
  </si>
  <si>
    <t>Burwood_Milton St</t>
  </si>
  <si>
    <t>Rhodes_North Eastern Side</t>
  </si>
  <si>
    <t>Rhodes Station_West</t>
  </si>
  <si>
    <t>Mortlake</t>
  </si>
  <si>
    <t>Cabarita Point Ferry Wharf</t>
  </si>
  <si>
    <t>Concord_Anderson Rd and Brays Rd</t>
  </si>
  <si>
    <t>Concord</t>
  </si>
  <si>
    <t>Bayview Park Ferry Wharf</t>
  </si>
  <si>
    <t>Concord_Cross St and Wellbank St</t>
  </si>
  <si>
    <t>Westside Private Hospital</t>
  </si>
  <si>
    <t>Queen Elizabeth Park</t>
  </si>
  <si>
    <t>Rhodes_Walker St and Darling Ave</t>
  </si>
  <si>
    <t>Rhodes Station_East</t>
  </si>
  <si>
    <t>Rhodes_South Western Side</t>
  </si>
  <si>
    <t>Concord West</t>
  </si>
  <si>
    <t>Liberty Grove</t>
  </si>
  <si>
    <t>Concord Repatriation General Hospital</t>
  </si>
  <si>
    <t>Concord_WestQuandong St and Myall St</t>
  </si>
  <si>
    <t>Concord West Station_West</t>
  </si>
  <si>
    <t>Concord West Station_East</t>
  </si>
  <si>
    <t>North Strathfield Station_West</t>
  </si>
  <si>
    <t>North Strathfield_Princess Ave</t>
  </si>
  <si>
    <t>Drummoyne Wharf</t>
  </si>
  <si>
    <t>Drummoyne</t>
  </si>
  <si>
    <t>Birkenhead Wharf and Shopping Centre</t>
  </si>
  <si>
    <t>Russell Lea</t>
  </si>
  <si>
    <t>Drummoyne Boys High School</t>
  </si>
  <si>
    <t>Rodd Point</t>
  </si>
  <si>
    <t>Abbotsford Ferry Wharf</t>
  </si>
  <si>
    <t>Chiswick Wharf</t>
  </si>
  <si>
    <t>Abbotsford Public School</t>
  </si>
  <si>
    <t>Wareemba</t>
  </si>
  <si>
    <t>Canada Bay</t>
  </si>
  <si>
    <t>Five Dock_Gt North Rd and Second Ave</t>
  </si>
  <si>
    <t>Five Dock</t>
  </si>
  <si>
    <t>Five Dock Public School</t>
  </si>
  <si>
    <t>North Strathfield_Pomeroy St and George St</t>
  </si>
  <si>
    <t>Bakehouse Quarter</t>
  </si>
  <si>
    <t>North Strathfield_Beronga St and Tenterfield St</t>
  </si>
  <si>
    <t>North Strathfield Station_East</t>
  </si>
  <si>
    <t>Drummoyne_Gladesville Bridge</t>
  </si>
  <si>
    <t>Five Dock _Great N Rd and Queens Rd</t>
  </si>
  <si>
    <t>White Bay</t>
  </si>
  <si>
    <t>Cockatoo Island</t>
  </si>
  <si>
    <t>Birchgrove Louisa Rd Wharf</t>
  </si>
  <si>
    <t>Balmain West Elliott St Wharf</t>
  </si>
  <si>
    <t>Balmain_Thames St and Trouton St</t>
  </si>
  <si>
    <t>Balmain_Montague St and Darling St</t>
  </si>
  <si>
    <t>Balmain Ferry Wharf Darling Street</t>
  </si>
  <si>
    <t>Gladstone Park</t>
  </si>
  <si>
    <t>Balmain_Roseberry St</t>
  </si>
  <si>
    <t>Balmain_Punch Pk</t>
  </si>
  <si>
    <t>Rozelle Bay MLR</t>
  </si>
  <si>
    <t>Lilyfield MLR</t>
  </si>
  <si>
    <t>Leichhardt Darley Rd</t>
  </si>
  <si>
    <t>Leichhardt_Catherine St and Hill St</t>
  </si>
  <si>
    <t>Leichhardt_Foster St and Walter St</t>
  </si>
  <si>
    <t>Leichhardt_Town Hall</t>
  </si>
  <si>
    <t>Annandale_Johnston St and Booth St</t>
  </si>
  <si>
    <t>Leichhardt_Norton Plaza_Italian Forum</t>
  </si>
  <si>
    <t>Annandale</t>
  </si>
  <si>
    <t>Leichhardt_Market Place</t>
  </si>
  <si>
    <t>Balmain High School</t>
  </si>
  <si>
    <t>Rozelle_Cambridge St and Moodie St</t>
  </si>
  <si>
    <t>Rozelle Public School</t>
  </si>
  <si>
    <t>Balmain_Smith St and Marsfield St</t>
  </si>
  <si>
    <t>Balmain_Coal Berth</t>
  </si>
  <si>
    <t>Callan Park_Rozelle</t>
  </si>
  <si>
    <t>Glebe Island</t>
  </si>
  <si>
    <t>Rozelle_Easton Pk</t>
  </si>
  <si>
    <t>Rozelle Yard</t>
  </si>
  <si>
    <t>Lilyfield_Balmain Rd and Grove St</t>
  </si>
  <si>
    <t>Leichhardt Oval</t>
  </si>
  <si>
    <t>Lilyfield_War Memorial Pk</t>
  </si>
  <si>
    <t>White Bay Power Station</t>
  </si>
  <si>
    <t>Rozelle_Sydney Boathouse</t>
  </si>
  <si>
    <t>Burwood_Gladstone St</t>
  </si>
  <si>
    <t>Burwood Station_North</t>
  </si>
  <si>
    <t>Burwood Station_South</t>
  </si>
  <si>
    <t>Canterbury Station_North</t>
  </si>
  <si>
    <t>Ashfield RSL Club</t>
  </si>
  <si>
    <t>Hurlstone Park Station</t>
  </si>
  <si>
    <t>Ashfield_Frederick St and Henry St</t>
  </si>
  <si>
    <t>Ashfield_Chandos St and Loftus St</t>
  </si>
  <si>
    <t>Ashfield Station_North</t>
  </si>
  <si>
    <t>Ashfield Park</t>
  </si>
  <si>
    <t>Ashfield Station_South</t>
  </si>
  <si>
    <t>Ashfield</t>
  </si>
  <si>
    <t>Masonic Hospital</t>
  </si>
  <si>
    <t>Canterbury Boys High School</t>
  </si>
  <si>
    <t>Burwood Park</t>
  </si>
  <si>
    <t>Burwood Girls High School</t>
  </si>
  <si>
    <t>Croydon_Byron St and Bay St</t>
  </si>
  <si>
    <t>Burwood_Elsie St</t>
  </si>
  <si>
    <t>Burwood_Lucas Rd and Queen St</t>
  </si>
  <si>
    <t>Burwood Plaza</t>
  </si>
  <si>
    <t>Croydon Public School</t>
  </si>
  <si>
    <t>Burwood_Burwood Rd and Clarence St</t>
  </si>
  <si>
    <t>Burwood East</t>
  </si>
  <si>
    <t>Croydon Station_North</t>
  </si>
  <si>
    <t>Burwood_Angelo St and Minna St</t>
  </si>
  <si>
    <t>Croydon Station_South</t>
  </si>
  <si>
    <t>Burwood_Weldon St and Ethel St</t>
  </si>
  <si>
    <t>Canterbury Station_South</t>
  </si>
  <si>
    <t>Chubb</t>
  </si>
  <si>
    <t>Canterbury Park Racecourse</t>
  </si>
  <si>
    <t>Hurlstone Memorial Reserve</t>
  </si>
  <si>
    <t>Hurlstone Park_Edgeware School</t>
  </si>
  <si>
    <t>Burwood Heights_Badminton Rd and Hume Hwy</t>
  </si>
  <si>
    <t>Henley Park</t>
  </si>
  <si>
    <t>Croydon_Wesley Private Hospital</t>
  </si>
  <si>
    <t>Croydon Park_Beaufort St and Kater Pl</t>
  </si>
  <si>
    <t>Croydon Park_Portland St and Georges River Rd</t>
  </si>
  <si>
    <t>Croydon Park</t>
  </si>
  <si>
    <t>Lewisham Station_South</t>
  </si>
  <si>
    <t>Dulwich Hill_Johnson Park</t>
  </si>
  <si>
    <t>Dulwich Hill Pigott St</t>
  </si>
  <si>
    <t>Dulwich High School</t>
  </si>
  <si>
    <t>Dulwich Hill_Dixon Av and Elizabeth Av</t>
  </si>
  <si>
    <t>Dulwich Hill Station_North</t>
  </si>
  <si>
    <t>Dulwich Hill_Terrace Rd and Consett St</t>
  </si>
  <si>
    <t>Dulwich Hill Station_South</t>
  </si>
  <si>
    <t>Dobroyd Pt Primary School</t>
  </si>
  <si>
    <t>Haberfield</t>
  </si>
  <si>
    <t>Haberfield_Marion St and Ramsay Rd</t>
  </si>
  <si>
    <t>Summer Hill Station_North</t>
  </si>
  <si>
    <t>Summer Hill Station_South</t>
  </si>
  <si>
    <t>Allied Mills</t>
  </si>
  <si>
    <t>Summer Hill_Henson St and Junction Rd</t>
  </si>
  <si>
    <t>Homebush Park Business Centre</t>
  </si>
  <si>
    <t>Campus Business Park</t>
  </si>
  <si>
    <t>Courallie Ave and Telopea Ave</t>
  </si>
  <si>
    <t>Flemington Markets_Flemington Station</t>
  </si>
  <si>
    <t>Db Business Park</t>
  </si>
  <si>
    <t>Homebush Station_North</t>
  </si>
  <si>
    <t>Homebush West Public School</t>
  </si>
  <si>
    <t>Homebush Boys High School</t>
  </si>
  <si>
    <t>Homebush Station_South</t>
  </si>
  <si>
    <t>Homebush_Parramatta Rd and Crane St</t>
  </si>
  <si>
    <t>Powells Creek</t>
  </si>
  <si>
    <t>Strathfield Station_North</t>
  </si>
  <si>
    <t>St John Of God Hospital Burwood</t>
  </si>
  <si>
    <t>Strathfield Station_South</t>
  </si>
  <si>
    <t>St Patricks College</t>
  </si>
  <si>
    <t>Strathfield Girls High School</t>
  </si>
  <si>
    <t>Strathfield_Saint Peter and Paul Cathedral</t>
  </si>
  <si>
    <t>Santa Sabina College</t>
  </si>
  <si>
    <t>Strathfield_Australia Post Letter Centre</t>
  </si>
  <si>
    <t>Chalmers Rd School</t>
  </si>
  <si>
    <t>Strathfield South High School</t>
  </si>
  <si>
    <t>Strathfield_Kingsland Rd and Llandilo Av</t>
  </si>
  <si>
    <t>Burwood_Emu St and Angel Rd</t>
  </si>
  <si>
    <t>Strathfield_Wallis Rd and Augusta St</t>
  </si>
  <si>
    <t>Strathfield South Primary School</t>
  </si>
  <si>
    <t>Strathfield_SouthDean St and Water St</t>
  </si>
  <si>
    <t>Enfield Marsharlling Yards_East Side</t>
  </si>
  <si>
    <t>Wentworthville_Veron St</t>
  </si>
  <si>
    <t>Girraween Public School</t>
  </si>
  <si>
    <t>Girraween Industrial Area</t>
  </si>
  <si>
    <t>Girraween High School</t>
  </si>
  <si>
    <t>Pendle Hill Station_South</t>
  </si>
  <si>
    <t>Pendle Hill_West</t>
  </si>
  <si>
    <t>Wentworthville_Layton St and Dunmore St</t>
  </si>
  <si>
    <t>Wentworthville Station_South</t>
  </si>
  <si>
    <t>Westmead Station_South</t>
  </si>
  <si>
    <t>Pendle Hill_East</t>
  </si>
  <si>
    <t>Westmead_M.J. Bennett Reserve</t>
  </si>
  <si>
    <t>Westmead</t>
  </si>
  <si>
    <t>Westmead_Hawkesbury Rd and Amos St</t>
  </si>
  <si>
    <t>Wentworthville_Smith st and Garfield st</t>
  </si>
  <si>
    <t>Mays Hill Cemetery</t>
  </si>
  <si>
    <t>The Kings School</t>
  </si>
  <si>
    <t>North Parramatta</t>
  </si>
  <si>
    <t>North Parramatta_Belmore Park</t>
  </si>
  <si>
    <t>North Parramatta_Bellevue St and Burnside St</t>
  </si>
  <si>
    <t>Parramatta Correctional Centre</t>
  </si>
  <si>
    <t>North Parramatta_O'Connell St and Albert St</t>
  </si>
  <si>
    <t>North Parramatta_Buller St and Isabella St</t>
  </si>
  <si>
    <t>North Parramatta_Albert St and Sorrell St</t>
  </si>
  <si>
    <t>Parramatta_Webb St and Isabella St</t>
  </si>
  <si>
    <t>Parramatta_St Patricks Primary School</t>
  </si>
  <si>
    <t>Parramatta_Grose St and Sorrell St</t>
  </si>
  <si>
    <t>Parramatta_Parramatta Stadium</t>
  </si>
  <si>
    <t>Marsden Rehabilitation Centre</t>
  </si>
  <si>
    <t>Macarthur Girls High School</t>
  </si>
  <si>
    <t>Parramatta_Broughton St</t>
  </si>
  <si>
    <t>Parramatta_Morton St and Pemberton Ln</t>
  </si>
  <si>
    <t>Parramatta_Horwood Pl and Macquarie St</t>
  </si>
  <si>
    <t>Darling Mills State Forest North Rocks</t>
  </si>
  <si>
    <t>Westfield North Rocks</t>
  </si>
  <si>
    <t>Pure Milk</t>
  </si>
  <si>
    <t>North Rocks</t>
  </si>
  <si>
    <t>North Rocks_Speers Road Reserve</t>
  </si>
  <si>
    <t>Westmead_WSU Westmead Campus</t>
  </si>
  <si>
    <t>Westmead_Darcy Rd and Bridge Rd</t>
  </si>
  <si>
    <t>Northmead</t>
  </si>
  <si>
    <t>Baulkham Hills_The Willows Retirement Village</t>
  </si>
  <si>
    <t>Northmead Plaza</t>
  </si>
  <si>
    <t>Moxham Park</t>
  </si>
  <si>
    <t>Northmead_Arthur Phillip Park</t>
  </si>
  <si>
    <t>James Ruse Business Park</t>
  </si>
  <si>
    <t>Coca-Cola</t>
  </si>
  <si>
    <t>Westmead Hospital</t>
  </si>
  <si>
    <t>Westmead Private Hospital</t>
  </si>
  <si>
    <t>Westmead_Railway St and Water St</t>
  </si>
  <si>
    <t>Westmead Station_North</t>
  </si>
  <si>
    <t>Parramatta CBD_Phillip St and Marsden St</t>
  </si>
  <si>
    <t>Garfield Barwick Law Courts Building</t>
  </si>
  <si>
    <t>Parramatta Regional Park</t>
  </si>
  <si>
    <t>Parramatta CBD_Crowne Plaza</t>
  </si>
  <si>
    <t>St. John's Cathedral</t>
  </si>
  <si>
    <t>Parramatta_Octagon Building</t>
  </si>
  <si>
    <t>Parramatta Station_North</t>
  </si>
  <si>
    <t>Parramatta High School</t>
  </si>
  <si>
    <t>Parramatta Public School</t>
  </si>
  <si>
    <t>Westfield Parramatta CBD</t>
  </si>
  <si>
    <t>Parramatta Station_South</t>
  </si>
  <si>
    <t>Queens Wharf Park</t>
  </si>
  <si>
    <t>Elizabeth Farmhouse Rosehill</t>
  </si>
  <si>
    <t>Harris Park_Albion St and Una St</t>
  </si>
  <si>
    <t>Parramatta_Bobart St and Glebe St</t>
  </si>
  <si>
    <t>Parramatta_Inkerman St and Dixon St</t>
  </si>
  <si>
    <t>Parramatta_High St and Raymond St</t>
  </si>
  <si>
    <t>Mays Hill</t>
  </si>
  <si>
    <t>Harris Park</t>
  </si>
  <si>
    <t>Rosehill Station</t>
  </si>
  <si>
    <t>Harris Park Station</t>
  </si>
  <si>
    <t>Rosehill</t>
  </si>
  <si>
    <t>Rosehill_Industrial Area</t>
  </si>
  <si>
    <t>Holroyd_Marsden St and Meehan St</t>
  </si>
  <si>
    <t>Parramatta Ferry Wharf</t>
  </si>
  <si>
    <t>Parramatta - Arthur Phillip High School</t>
  </si>
  <si>
    <t>Johnstons Bridge Winston Hills</t>
  </si>
  <si>
    <t>Toongabbie Station_East</t>
  </si>
  <si>
    <t>Baxter Healthcare</t>
  </si>
  <si>
    <t>Binalong Park</t>
  </si>
  <si>
    <t>Constitution Hill</t>
  </si>
  <si>
    <t>Pendle Hill High School</t>
  </si>
  <si>
    <t>Parabianga Reserve</t>
  </si>
  <si>
    <t>Pendle Hill Station_North</t>
  </si>
  <si>
    <t>Wentworthville</t>
  </si>
  <si>
    <t>Wentworthville Station_North</t>
  </si>
  <si>
    <t>Parramatta CBD_Angus Ln and Union St</t>
  </si>
  <si>
    <t>Baulkham Hills_Asquith Av and Melbourne Rd</t>
  </si>
  <si>
    <t>Winston Heights Primary School</t>
  </si>
  <si>
    <t>Winston Hills_Timbergetters Reserve</t>
  </si>
  <si>
    <t>Winston Hills_Reilleys Rd and Barnetts Rd</t>
  </si>
  <si>
    <t>Camellia_Station East</t>
  </si>
  <si>
    <t>Rosehill_Industrial Area_East</t>
  </si>
  <si>
    <t>Rowland Hassall School</t>
  </si>
  <si>
    <t>Parramatta_Marsden St and Great Western Highway</t>
  </si>
  <si>
    <t>Carlingford_Boundary Rd</t>
  </si>
  <si>
    <t>Parramatta_Marsden St and Early St</t>
  </si>
  <si>
    <t>Parramatta_Jubilee Park</t>
  </si>
  <si>
    <t>Beecroft_Murray Farm Rd and Carawatha St</t>
  </si>
  <si>
    <t>Murray Farm Primary School</t>
  </si>
  <si>
    <t>Carlingford High School</t>
  </si>
  <si>
    <t>Carlingford</t>
  </si>
  <si>
    <t>Carlingford_Harold West Reserve</t>
  </si>
  <si>
    <t>Carlingford Court</t>
  </si>
  <si>
    <t>Carlingford Station</t>
  </si>
  <si>
    <t>Cumberland High School</t>
  </si>
  <si>
    <t>Carlingford_Marshall Rd and Kenny Pl</t>
  </si>
  <si>
    <t>Dundas Valley_Orchard St and Dunlop St</t>
  </si>
  <si>
    <t>Telopea_Calangara Park</t>
  </si>
  <si>
    <t>Dundas Station East</t>
  </si>
  <si>
    <t>Dundas Station West</t>
  </si>
  <si>
    <t>Lottie Stewart Hospital</t>
  </si>
  <si>
    <t>St Patricks Marist College</t>
  </si>
  <si>
    <t>Ermington_Cowells Lane Reserve</t>
  </si>
  <si>
    <t>Dundas</t>
  </si>
  <si>
    <t>Western Sydney Parramatta Campus</t>
  </si>
  <si>
    <t>Ermington</t>
  </si>
  <si>
    <t>Dundas_Macquarie Boys High School</t>
  </si>
  <si>
    <t>Rydalmere Industrial Estate South</t>
  </si>
  <si>
    <t>Reckitt Benckiser</t>
  </si>
  <si>
    <t>Rydalmere John St Ferry Wharf</t>
  </si>
  <si>
    <t>George Kendall Riverside Reserve</t>
  </si>
  <si>
    <t>Ermington_River Rd and Lindsay Ave</t>
  </si>
  <si>
    <t>Rydalmere Industrial Estate East</t>
  </si>
  <si>
    <t>Rydalmere Station East</t>
  </si>
  <si>
    <t>Oatlands</t>
  </si>
  <si>
    <t>Dundas Valley</t>
  </si>
  <si>
    <t>Telopea</t>
  </si>
  <si>
    <t>Allowah Childrens Hospital</t>
  </si>
  <si>
    <t>Telopea Station</t>
  </si>
  <si>
    <t>Burnside Shopping Centre</t>
  </si>
  <si>
    <t>Dundas_Quarry Rd and Fullford St</t>
  </si>
  <si>
    <t>Oatlands Golf Course_Dundas Station</t>
  </si>
  <si>
    <t>Telopea East</t>
  </si>
  <si>
    <t>James Ruse Agricultural High School</t>
  </si>
  <si>
    <t>Villawood Detention Centre</t>
  </si>
  <si>
    <t>Chester Hill_Elliston St and Hector St</t>
  </si>
  <si>
    <t>Leightonfield Station_North</t>
  </si>
  <si>
    <t>Chester Hill Station_North</t>
  </si>
  <si>
    <t>Sefton Station_North</t>
  </si>
  <si>
    <t>Villawood Industrial Area_Southern End_Leighton Station</t>
  </si>
  <si>
    <t>Chester Hill Station_South</t>
  </si>
  <si>
    <t>Sefton Station_South</t>
  </si>
  <si>
    <t>Rosehill_Sydney Speedway</t>
  </si>
  <si>
    <t>Yennora Station_South</t>
  </si>
  <si>
    <t>Fairfield East Industrial Area</t>
  </si>
  <si>
    <t>Fairfield East</t>
  </si>
  <si>
    <t>Villawood Station</t>
  </si>
  <si>
    <t>Villawood North Pub School</t>
  </si>
  <si>
    <t>Villawood_Bunnings</t>
  </si>
  <si>
    <t>Carramar Station</t>
  </si>
  <si>
    <t>Carramar Pub School</t>
  </si>
  <si>
    <t>Rosehill_Grey St</t>
  </si>
  <si>
    <t>Granville_Albert St</t>
  </si>
  <si>
    <t>Granville Station_North</t>
  </si>
  <si>
    <t>Granville_Walter St and Daniel St</t>
  </si>
  <si>
    <t>Clyde Station_North</t>
  </si>
  <si>
    <t>Granville_William St and Carhullen St</t>
  </si>
  <si>
    <t>Granville Station_South</t>
  </si>
  <si>
    <t>TAFE Sw Granville College</t>
  </si>
  <si>
    <t>Granville</t>
  </si>
  <si>
    <t>Clyde Station_South</t>
  </si>
  <si>
    <t>Merrylands Station_East</t>
  </si>
  <si>
    <t>Merrylands_Bertha St and Ethel St</t>
  </si>
  <si>
    <t>Granville_The Trongate and Membrey St</t>
  </si>
  <si>
    <t>Merrylands_Excelsior St and Lisgar St</t>
  </si>
  <si>
    <t>Pemulwuy North</t>
  </si>
  <si>
    <t>Greystanes High School</t>
  </si>
  <si>
    <t>Beresford Road Primary</t>
  </si>
  <si>
    <t>Greystanes_Wattle St and Gregory St</t>
  </si>
  <si>
    <t>Pemulwuy Industrial Area</t>
  </si>
  <si>
    <t>Pemulwuy</t>
  </si>
  <si>
    <t>Ringrose Public School</t>
  </si>
  <si>
    <t>Kippax Street Greystanes</t>
  </si>
  <si>
    <t>Greystanes Shopping Centre</t>
  </si>
  <si>
    <t>Greystanes</t>
  </si>
  <si>
    <t>Greystanes_Dahlia St and Macquarie Rd</t>
  </si>
  <si>
    <t>Holroyd High School</t>
  </si>
  <si>
    <t>Gipps Rd Sporting Complex</t>
  </si>
  <si>
    <t>Granville_Clyde St and Mona St</t>
  </si>
  <si>
    <t>Guildford_Harold St and Oxford St</t>
  </si>
  <si>
    <t>Bright Park</t>
  </si>
  <si>
    <t>Dellwood Shopping Centre</t>
  </si>
  <si>
    <t>Guildford Station_East</t>
  </si>
  <si>
    <t>Guildford_Guildford Rd and West St</t>
  </si>
  <si>
    <t>Blaxcell St Public School</t>
  </si>
  <si>
    <t>Granville South High School</t>
  </si>
  <si>
    <t>South Granville Industrial Area</t>
  </si>
  <si>
    <t>Coolabah Shopping Centre</t>
  </si>
  <si>
    <t>Merrylands West</t>
  </si>
  <si>
    <t>Merrylands High School</t>
  </si>
  <si>
    <t>Guildford West</t>
  </si>
  <si>
    <t>Holroyd Private Hospital</t>
  </si>
  <si>
    <t>Guildford_Elizabeth St Park</t>
  </si>
  <si>
    <t>Linnwood House</t>
  </si>
  <si>
    <t>Guildford Station_West</t>
  </si>
  <si>
    <t>Ted Burge Sports Ground</t>
  </si>
  <si>
    <t>Hilltop Rd Primary School</t>
  </si>
  <si>
    <t>South Wentworthville</t>
  </si>
  <si>
    <t>Merrylands_Victoria St and Rickard St</t>
  </si>
  <si>
    <t>Holroyd Sportsground</t>
  </si>
  <si>
    <t>Merrylands_Burnnett St and Blackwood Rd</t>
  </si>
  <si>
    <t>Merrylands_Warwick Rd and Leeds St</t>
  </si>
  <si>
    <t>Merrylands Station_West</t>
  </si>
  <si>
    <t>Merrylands Public School</t>
  </si>
  <si>
    <t>Merrylands_King Pk</t>
  </si>
  <si>
    <t>Merrylands_Denmark St and St Ann St</t>
  </si>
  <si>
    <t>Merrylands _Stockland Shopping Centre</t>
  </si>
  <si>
    <t>Smithfield Industrial Area_Western End</t>
  </si>
  <si>
    <t>Smithfield Industrial Area_North Eastern End</t>
  </si>
  <si>
    <t>Smithfield Industrial Area_South End</t>
  </si>
  <si>
    <t>Smithfield Industrial Area_South Eastern End</t>
  </si>
  <si>
    <t>Yennora Distribution Centre_Yennora Station_North</t>
  </si>
  <si>
    <t>Auburn_Parramatta Rd and Rawson St</t>
  </si>
  <si>
    <t>Auburn_Domayne</t>
  </si>
  <si>
    <t>Clyde Marshalling Areas</t>
  </si>
  <si>
    <t>Auburn Girls High School</t>
  </si>
  <si>
    <t>Auburn_McDonalds</t>
  </si>
  <si>
    <t>Auburn_Bardo Park</t>
  </si>
  <si>
    <t>Auburn Station_North</t>
  </si>
  <si>
    <t>Auburn_Mona Pk</t>
  </si>
  <si>
    <t>St Josephs Hospital</t>
  </si>
  <si>
    <t>Auburn Station_South</t>
  </si>
  <si>
    <t>Auburn Botanic Gardens</t>
  </si>
  <si>
    <t>Auburn Hospital District Hospital</t>
  </si>
  <si>
    <t>Auburn_Tennis and Recreational Club</t>
  </si>
  <si>
    <t>Auburn_Wellington Rd and Park Rd</t>
  </si>
  <si>
    <t>Auburn_Rosnay Golf Club</t>
  </si>
  <si>
    <t>Regents Park_Peter Hislop Park</t>
  </si>
  <si>
    <t>Auburn_Centre_South</t>
  </si>
  <si>
    <t>Auburn_Ettalong St</t>
  </si>
  <si>
    <t>Sydney Olympic Park Ferry Wharf</t>
  </si>
  <si>
    <t>Mulawa and Silverwater Correctional Centre</t>
  </si>
  <si>
    <t>Newington Nature Reserve</t>
  </si>
  <si>
    <t>Silverwater_Newington Reserve</t>
  </si>
  <si>
    <t>Silverwater</t>
  </si>
  <si>
    <t>Silverwater_Silverwater_ Stubbs St and Beaconsfield St</t>
  </si>
  <si>
    <t>Silverwater_Silverwater Industrial</t>
  </si>
  <si>
    <t>Newington</t>
  </si>
  <si>
    <t>Olympic Park Station</t>
  </si>
  <si>
    <t>Newington_Newington Bvd and Wing Pde</t>
  </si>
  <si>
    <t>Homebush Bay Industrial Area</t>
  </si>
  <si>
    <t>Wentworth Point_Verona Drive</t>
  </si>
  <si>
    <t>Wentworth Point_Baywater Drive</t>
  </si>
  <si>
    <t>Wentworth Common</t>
  </si>
  <si>
    <t>Homebush Bay_Carter St</t>
  </si>
  <si>
    <t>Auburn_Tooheys</t>
  </si>
  <si>
    <t>Lidcombe_Frances St and Edith St</t>
  </si>
  <si>
    <t>Lidcombe_Platform and Belgium St</t>
  </si>
  <si>
    <t>Lidcombe Station</t>
  </si>
  <si>
    <t>Lidcombe_Birnie Ave_South</t>
  </si>
  <si>
    <t>Lidcombe_Phillips Pk</t>
  </si>
  <si>
    <t>Lidcombe_Woodburn Rd and Wilfred St</t>
  </si>
  <si>
    <t>Berala_Dudley Reserve</t>
  </si>
  <si>
    <t>Lidcombe_Joseph St and James St</t>
  </si>
  <si>
    <t>Lidcombe</t>
  </si>
  <si>
    <t>Berala Station</t>
  </si>
  <si>
    <t>Berala</t>
  </si>
  <si>
    <t>Regents Park Estate_Industrial Park</t>
  </si>
  <si>
    <t>Minda Juvenile Justice Centre Lidcombe</t>
  </si>
  <si>
    <t>Regents Park Station</t>
  </si>
  <si>
    <t>Sefton_Jensen Park</t>
  </si>
  <si>
    <t>Lidcombe_Nyrang St</t>
  </si>
  <si>
    <t>Rookwood</t>
  </si>
  <si>
    <t>North Epping_Norfolk Rd and Malton Rd</t>
  </si>
  <si>
    <t>North Epping</t>
  </si>
  <si>
    <t>Epping_Canberra St and Kandy Av</t>
  </si>
  <si>
    <t>Epping_Kent St and Ray Rd</t>
  </si>
  <si>
    <t>Poplars Private Hospital</t>
  </si>
  <si>
    <t>Epping West Primary School</t>
  </si>
  <si>
    <t>Epping Station_East</t>
  </si>
  <si>
    <t>Epping Station_West</t>
  </si>
  <si>
    <t>Epping_Essex St and Brigg Rd</t>
  </si>
  <si>
    <t>Epping_Kent St and Bridge St</t>
  </si>
  <si>
    <t>Epping_Ryde St and Willoughby St</t>
  </si>
  <si>
    <t>Pennant Hills High School</t>
  </si>
  <si>
    <t>Pennant Hills Station_West</t>
  </si>
  <si>
    <t>West Pennant Hills_New Line Rd and Victoria Rd</t>
  </si>
  <si>
    <t>Mount St Benedicts Girls High School</t>
  </si>
  <si>
    <t>Pennant Hills Station_East</t>
  </si>
  <si>
    <t>Beecroft Station_East</t>
  </si>
  <si>
    <t>Beecroft</t>
  </si>
  <si>
    <t>Beecroft Station_West</t>
  </si>
  <si>
    <t>Cheltenham Station</t>
  </si>
  <si>
    <t>Cheltenham Girls High School</t>
  </si>
  <si>
    <t>Eastwood Heights Public School</t>
  </si>
  <si>
    <t>Eastwood_Eastwood Av and Rothwell St</t>
  </si>
  <si>
    <t>Dundas Valley_Valley Rd and Skenes Av</t>
  </si>
  <si>
    <t>Eastwood</t>
  </si>
  <si>
    <t>Eastwood_Granny Smith Memorial Park</t>
  </si>
  <si>
    <t>Eastwood_Oakes Av and O'Keefe Cr</t>
  </si>
  <si>
    <t>Eastwood Station</t>
  </si>
  <si>
    <t>St Edmunds Private Hospital</t>
  </si>
  <si>
    <t>Brush Farm House Eastwood</t>
  </si>
  <si>
    <t>Denistone East</t>
  </si>
  <si>
    <t>Ryde Hospital_Denistone Station_East</t>
  </si>
  <si>
    <t>Denistone</t>
  </si>
  <si>
    <t>Denistone Station_West</t>
  </si>
  <si>
    <t>Gladesville_Kennedy St</t>
  </si>
  <si>
    <t>Gladesville_Nelson St</t>
  </si>
  <si>
    <t>Enterprise Park</t>
  </si>
  <si>
    <t>Ryde Swimming Centre</t>
  </si>
  <si>
    <t>Gladesville</t>
  </si>
  <si>
    <t>Gladesville_Morrison Rd and Ross St</t>
  </si>
  <si>
    <t>Huntleys Point Ferry Wharf</t>
  </si>
  <si>
    <t>Gladesville Hospital</t>
  </si>
  <si>
    <t>Hunters Hill_Park Rd and High St</t>
  </si>
  <si>
    <t>Hunters Hill</t>
  </si>
  <si>
    <t>Hunters Hill Hospital Private Hospital</t>
  </si>
  <si>
    <t>Hunters Hill Ferry Wharf</t>
  </si>
  <si>
    <t>Woolwich Ferry Wharf</t>
  </si>
  <si>
    <t>Trafalgar Square</t>
  </si>
  <si>
    <t>Epping Boys High School</t>
  </si>
  <si>
    <t>Macquarie Park_Khartoum Rd and Fontenoy Rd</t>
  </si>
  <si>
    <t>Macquarie Uni Station</t>
  </si>
  <si>
    <t>Macquarie Corporate Park</t>
  </si>
  <si>
    <t>CSIRO Marsfield</t>
  </si>
  <si>
    <t>Macquarie Centre</t>
  </si>
  <si>
    <t>Marsfield</t>
  </si>
  <si>
    <t>Morling College</t>
  </si>
  <si>
    <t>Lane Cove NP</t>
  </si>
  <si>
    <t>Macquarie Park_Lachlan Av and Peach Tree Rd</t>
  </si>
  <si>
    <t>North Ryde_Centrecourt Business Park</t>
  </si>
  <si>
    <t>Talavera Business Park</t>
  </si>
  <si>
    <t>Eastwood_Abuklea Rd and Kingsford Av</t>
  </si>
  <si>
    <t>Macquarie Park Station</t>
  </si>
  <si>
    <t>Eden Park Shopping Centre</t>
  </si>
  <si>
    <t>Kent Rd Primary School</t>
  </si>
  <si>
    <t>Waterloo Business Park</t>
  </si>
  <si>
    <t>North Ryde Station</t>
  </si>
  <si>
    <t>Macquarie Park_Wicks Rd and Epping Rd</t>
  </si>
  <si>
    <t>Macquarie Uni Station_South</t>
  </si>
  <si>
    <t>North Ryde_Blenheim Park</t>
  </si>
  <si>
    <t>North Ryde_Milroy St and Trevitt Rd</t>
  </si>
  <si>
    <t>North Ryde_Ada St and Mavis St</t>
  </si>
  <si>
    <t>North Ryde</t>
  </si>
  <si>
    <t>Chatswood West</t>
  </si>
  <si>
    <t>Macquarie Hospital</t>
  </si>
  <si>
    <t>North Ryde_Pittwater Rd and Coxs Rd</t>
  </si>
  <si>
    <t>Field Of Mars_Wallumatta NR</t>
  </si>
  <si>
    <t>North Ryde Station_South</t>
  </si>
  <si>
    <t>Putney Ferry Wharf</t>
  </si>
  <si>
    <t>Midway Shopping Centre</t>
  </si>
  <si>
    <t>Ryde_Smalls Rd and Quarry Rd</t>
  </si>
  <si>
    <t>West Ryde Civic Centre</t>
  </si>
  <si>
    <t>Ryde_Boyce St and Elizabeth St</t>
  </si>
  <si>
    <t>Ryde TAFE</t>
  </si>
  <si>
    <t>Ryde Secondary College</t>
  </si>
  <si>
    <t>Ryde_Bowden St and Sewell St</t>
  </si>
  <si>
    <t>Top Ryde Shopping Centre</t>
  </si>
  <si>
    <t>Field Of Mars Wildlife Refuge Ryde</t>
  </si>
  <si>
    <t>Ryde_Bowden St and Squire St</t>
  </si>
  <si>
    <t>Ryde Bus Depot</t>
  </si>
  <si>
    <t>Coorabel Hospital</t>
  </si>
  <si>
    <t>Ryde Council Depot</t>
  </si>
  <si>
    <t>St Charles Primary School</t>
  </si>
  <si>
    <t>Putney</t>
  </si>
  <si>
    <t>Ryde_Porter St</t>
  </si>
  <si>
    <t>Marsden High School</t>
  </si>
  <si>
    <t>West Ryde Station_West</t>
  </si>
  <si>
    <t>West Ryde Station_East</t>
  </si>
  <si>
    <t>West Ryde</t>
  </si>
  <si>
    <t>West Ryde_Station St and Dunmore Rd</t>
  </si>
  <si>
    <t>West Ryde Industrial Area</t>
  </si>
  <si>
    <t>Melrose Park</t>
  </si>
  <si>
    <t>Meadowbank Station_East</t>
  </si>
  <si>
    <t>Meadowbank Station_West</t>
  </si>
  <si>
    <t>Meadowbank Ferry Wharf</t>
  </si>
  <si>
    <t>Hornsby Heights_Somerville Rd and Waninga Rd</t>
  </si>
  <si>
    <t>Mount Kuring-gai Station</t>
  </si>
  <si>
    <t>Mount Colah</t>
  </si>
  <si>
    <t>Galston Gorge Hornsby Heights</t>
  </si>
  <si>
    <t>Colonnade Shopping Centre</t>
  </si>
  <si>
    <t>Mount Colah Station</t>
  </si>
  <si>
    <t>Hornsby Heights</t>
  </si>
  <si>
    <t>Asquith_West</t>
  </si>
  <si>
    <t>Asquith Golf Club</t>
  </si>
  <si>
    <t>Asquith_East</t>
  </si>
  <si>
    <t>Dangar Island</t>
  </si>
  <si>
    <t>Hawkesbury River Station</t>
  </si>
  <si>
    <t>Cowan Station</t>
  </si>
  <si>
    <t>Berowra Heights_Wideview Public School</t>
  </si>
  <si>
    <t>Berowra Market Place</t>
  </si>
  <si>
    <t>Berowra Station</t>
  </si>
  <si>
    <t>Berowra_Windybanks Interchange</t>
  </si>
  <si>
    <t>Hornsby_Ascot Ave</t>
  </si>
  <si>
    <t>Waitara_Barker College</t>
  </si>
  <si>
    <t>Hornsby_Amor St and Kerrie Pl</t>
  </si>
  <si>
    <t>Mt Wilga Private Hospital</t>
  </si>
  <si>
    <t>Asquith Industrial Area</t>
  </si>
  <si>
    <t>Hornsby_Arthur St and Denison St</t>
  </si>
  <si>
    <t>Hornsby Station</t>
  </si>
  <si>
    <t>Hornsby Ku-ring-gai Hospital</t>
  </si>
  <si>
    <t>Westfield Hornsby_Hornsby Station_East</t>
  </si>
  <si>
    <t>Waitara Shopping Centre</t>
  </si>
  <si>
    <t>Hornsby</t>
  </si>
  <si>
    <t>Waitara_Leonard St and Hornsby St</t>
  </si>
  <si>
    <t>Waitara Station_North</t>
  </si>
  <si>
    <t>Florence Cotton Park</t>
  </si>
  <si>
    <t>Waitara Public School</t>
  </si>
  <si>
    <t>Waitara Station_South</t>
  </si>
  <si>
    <t>Waitara_Mark Taylor Oval</t>
  </si>
  <si>
    <t>Westleigh_Rural Fire Service Training Centre</t>
  </si>
  <si>
    <t>Larool Shopping Centre</t>
  </si>
  <si>
    <t>Westleigh</t>
  </si>
  <si>
    <t>Normanhurst Park</t>
  </si>
  <si>
    <t>Hornsby Industrial Area</t>
  </si>
  <si>
    <t>Normanhurst Boys High School</t>
  </si>
  <si>
    <t>Thornleigh Station_West</t>
  </si>
  <si>
    <t>Normanhurst Station</t>
  </si>
  <si>
    <t>Thornleigh Station_East</t>
  </si>
  <si>
    <t>Gordon East Primary School</t>
  </si>
  <si>
    <t>Gordon Shopping Centre</t>
  </si>
  <si>
    <t>East Killara Shopping Centre</t>
  </si>
  <si>
    <t>Gordon Station_East</t>
  </si>
  <si>
    <t>Gordon Station_West</t>
  </si>
  <si>
    <t>Killara Station_East</t>
  </si>
  <si>
    <t>Killara Station_West</t>
  </si>
  <si>
    <t>Killara</t>
  </si>
  <si>
    <t>Killara Golf Club</t>
  </si>
  <si>
    <t>East Lindfield</t>
  </si>
  <si>
    <t>Lindfield Station_East</t>
  </si>
  <si>
    <t>Roseville Chase</t>
  </si>
  <si>
    <t>Lindfield Station_West</t>
  </si>
  <si>
    <t>Roseville Station_East</t>
  </si>
  <si>
    <t>CSIRO</t>
  </si>
  <si>
    <t>Roseville Station_West</t>
  </si>
  <si>
    <t>UTS Ku-ring-gai Campus</t>
  </si>
  <si>
    <t>Pymble Primary School</t>
  </si>
  <si>
    <t>Pymble Station_East</t>
  </si>
  <si>
    <t>Gordon_Darnley Oval</t>
  </si>
  <si>
    <t>Pymble</t>
  </si>
  <si>
    <t>Pymble Station_West</t>
  </si>
  <si>
    <t>West Pymble Shopping Centre</t>
  </si>
  <si>
    <t>De Burghs Bridge Macquarie Park</t>
  </si>
  <si>
    <t>St Ives Chase Colonial</t>
  </si>
  <si>
    <t>St. Ives Shopping Plaza</t>
  </si>
  <si>
    <t>Pymble Golf Clubhouse</t>
  </si>
  <si>
    <t>St Ives Village</t>
  </si>
  <si>
    <t>Corpus Christi Cathedral_Catholic St Ives</t>
  </si>
  <si>
    <t>St Ives</t>
  </si>
  <si>
    <t>St Ives High School</t>
  </si>
  <si>
    <t>St Ives_Eastern Arterial Rd and Barra-brui Cresent</t>
  </si>
  <si>
    <t>Lady Davidson Hospital</t>
  </si>
  <si>
    <t>Turramurra_South</t>
  </si>
  <si>
    <t>Turramurra_Adams Av and Murdoch St</t>
  </si>
  <si>
    <t>Turramurra Station_East</t>
  </si>
  <si>
    <t>Turramurra Station_West</t>
  </si>
  <si>
    <t>Turramurra Primary School</t>
  </si>
  <si>
    <t>Turramurra High School</t>
  </si>
  <si>
    <t>Wahroonga_Eastern Rd and Boundary Rd</t>
  </si>
  <si>
    <t>North Wahroonga</t>
  </si>
  <si>
    <t>Turramurra_North</t>
  </si>
  <si>
    <t>Wahroonga Station</t>
  </si>
  <si>
    <t>Abbotsleigh Senior Campus</t>
  </si>
  <si>
    <t>Warrawee Station</t>
  </si>
  <si>
    <t>Wahroonga_Roland Av and Mildred St</t>
  </si>
  <si>
    <t>Fox Valley Village</t>
  </si>
  <si>
    <t>Roseville_Penhurst St and William St East</t>
  </si>
  <si>
    <t>Chatswood_Gibbs St and Smith St</t>
  </si>
  <si>
    <t>Roseville</t>
  </si>
  <si>
    <t>Chatswood Chase Shopping Centre</t>
  </si>
  <si>
    <t>Chatswood</t>
  </si>
  <si>
    <t>Westfield Chatswood_Chatswood Station_East</t>
  </si>
  <si>
    <t>Chatswood Station_West</t>
  </si>
  <si>
    <t>Legacy House Hospital</t>
  </si>
  <si>
    <t>Artarmon Station_East</t>
  </si>
  <si>
    <t>Artarmon_Reservoirs</t>
  </si>
  <si>
    <t>Artarmon Station_West</t>
  </si>
  <si>
    <t>Westfield Chatswood_Anderson St</t>
  </si>
  <si>
    <t>Chatswood West_Zenith Centre</t>
  </si>
  <si>
    <t>Chatswood West_Greville St Park</t>
  </si>
  <si>
    <t>Chatswood Tennis Club</t>
  </si>
  <si>
    <t>Chatswood High School</t>
  </si>
  <si>
    <t>Clifford Love Footbridge Lane Cove</t>
  </si>
  <si>
    <t>Chatswood Golf Club</t>
  </si>
  <si>
    <t>Lane Cove North</t>
  </si>
  <si>
    <t>Lane Cove_Helen St and Norton La</t>
  </si>
  <si>
    <t>Lane Cove_Centennial Ave and Karilla Ave</t>
  </si>
  <si>
    <t>Lane Cove North_Kullah Parade</t>
  </si>
  <si>
    <t>Lane Cove Industrial Estate</t>
  </si>
  <si>
    <t>Lane Cove West</t>
  </si>
  <si>
    <t>Lane Cove_Rosenthal Av and Birdwood Av</t>
  </si>
  <si>
    <t>Lane Cove</t>
  </si>
  <si>
    <t>Carisbrook House Lane Cove</t>
  </si>
  <si>
    <t>Lane Cove_Longueville Rd and Dorritt St</t>
  </si>
  <si>
    <t>Lane Cove Country Club</t>
  </si>
  <si>
    <t>Riverview</t>
  </si>
  <si>
    <t>Greenwich Hospital</t>
  </si>
  <si>
    <t>St Leonards_Park Rd and River Rd</t>
  </si>
  <si>
    <t>Northwood Ferry Wharf</t>
  </si>
  <si>
    <t>Longueville Private Hospital</t>
  </si>
  <si>
    <t>Greenwich Point Ferry Wharf</t>
  </si>
  <si>
    <t>St Leonards Station West</t>
  </si>
  <si>
    <t>North Shore Veterinary Hospital</t>
  </si>
  <si>
    <t>Artarmon</t>
  </si>
  <si>
    <t>Naremburn Pk</t>
  </si>
  <si>
    <t>Naremburn</t>
  </si>
  <si>
    <t>Artarmon Industrial Area_Western End</t>
  </si>
  <si>
    <t>St Leonards Station</t>
  </si>
  <si>
    <t>Royal North Shore Hospital</t>
  </si>
  <si>
    <t>St Leonards</t>
  </si>
  <si>
    <t>St Leonards_Australian Medical Association (NSW)</t>
  </si>
  <si>
    <t>Wollstonecraft_Smoothey Park</t>
  </si>
  <si>
    <t>Castle Cove</t>
  </si>
  <si>
    <t>North Willoughby</t>
  </si>
  <si>
    <t>The Sugarloaf Middle Cove</t>
  </si>
  <si>
    <t>Willoughby Girls High School</t>
  </si>
  <si>
    <t>Willoughby East</t>
  </si>
  <si>
    <t>The Quadrangle Shopping Centre</t>
  </si>
  <si>
    <t>Willoughby_Edward St and Artarmon Rd</t>
  </si>
  <si>
    <t>Willoughby</t>
  </si>
  <si>
    <t>Northbridge Plaza</t>
  </si>
  <si>
    <t>War Memorial Northbridge</t>
  </si>
  <si>
    <t>Northbridge</t>
  </si>
  <si>
    <t>Cammeray_West St and Amherst St</t>
  </si>
  <si>
    <t>Cremorne_Lodge Rd and Ellalong Rd</t>
  </si>
  <si>
    <t>Cammeray</t>
  </si>
  <si>
    <t>Primrose Park</t>
  </si>
  <si>
    <t>Cremorne Garden Plaza</t>
  </si>
  <si>
    <t>Neutral Bay Village Shopping Centre</t>
  </si>
  <si>
    <t>Cremorne_Prior Ave Reserve</t>
  </si>
  <si>
    <t>Cremorne Ferry Wharf</t>
  </si>
  <si>
    <t>North Sydney_Lamont St</t>
  </si>
  <si>
    <t>Crows Nest Plaza</t>
  </si>
  <si>
    <t>Wollstonecraft_Rose and Macleod Plaza Crows Nest</t>
  </si>
  <si>
    <t>Crows Nest</t>
  </si>
  <si>
    <t>Cammeray_Miller St and Ernest St</t>
  </si>
  <si>
    <t>North Sydney Girls High School_North</t>
  </si>
  <si>
    <t>Mater Misericordiae Hospital</t>
  </si>
  <si>
    <t>Wollstonecraft Station</t>
  </si>
  <si>
    <t>Wollstonecraft Station South</t>
  </si>
  <si>
    <t>Waverton</t>
  </si>
  <si>
    <t>Waverton Station</t>
  </si>
  <si>
    <t>Chinamans Beach</t>
  </si>
  <si>
    <t>Balmoral</t>
  </si>
  <si>
    <t>Mosman_Rosebery St and Ourimbah Rd</t>
  </si>
  <si>
    <t>Mosman_Heydon St and Ourimbah Rd</t>
  </si>
  <si>
    <t>Bridgepoint Shopping Centre</t>
  </si>
  <si>
    <t>Mosman Pk</t>
  </si>
  <si>
    <t>Mosman_Raglan St and Esther Rd</t>
  </si>
  <si>
    <t>Mosman_Bardwell Rd and Belmont Rd</t>
  </si>
  <si>
    <t>Mosman High School</t>
  </si>
  <si>
    <t>Mosman_Raglan St and Muston St</t>
  </si>
  <si>
    <t>HMAS Penguin</t>
  </si>
  <si>
    <t>Mosman Ferry Wharf</t>
  </si>
  <si>
    <t>Mosman Private Hospital</t>
  </si>
  <si>
    <t>Mosman South Ferry Wharf</t>
  </si>
  <si>
    <t>Clifton Gardnes</t>
  </si>
  <si>
    <t>Taronga Zoo and Wharf</t>
  </si>
  <si>
    <t>Big Bear Shopping Centre</t>
  </si>
  <si>
    <t>Neutral Bay_Bent St and Yeo St</t>
  </si>
  <si>
    <t>Neutral Bay</t>
  </si>
  <si>
    <t>North Sydney_East</t>
  </si>
  <si>
    <t>Kurrabah Ferry Wharf</t>
  </si>
  <si>
    <t>Milsons Point Station_East</t>
  </si>
  <si>
    <t>Kirribilli Wharf</t>
  </si>
  <si>
    <t>North Sydney_Wenona School</t>
  </si>
  <si>
    <t>North Sydney_Hampden St</t>
  </si>
  <si>
    <t>North Sydney Girls High School_South</t>
  </si>
  <si>
    <t>North Sydney Oval</t>
  </si>
  <si>
    <t>North Sydney_Monte Sant Angelo</t>
  </si>
  <si>
    <t>Don Bank Museum North Sydney</t>
  </si>
  <si>
    <t>North Sydney CBD_Northern End</t>
  </si>
  <si>
    <t>Victoria Cross North Sydney</t>
  </si>
  <si>
    <t>North Sydney CBD_Southern End</t>
  </si>
  <si>
    <t>North Sydney_West</t>
  </si>
  <si>
    <t>North Sydney Station</t>
  </si>
  <si>
    <t>Mcmahons Point</t>
  </si>
  <si>
    <t>McMahons Point Wharf</t>
  </si>
  <si>
    <t>Milsons Point Station_West and Ferry Wharf</t>
  </si>
  <si>
    <t>North Sydney_Doohat Ave</t>
  </si>
  <si>
    <t>North Sydney_Denison St</t>
  </si>
  <si>
    <t>North Sydney_Mount St and William St_South</t>
  </si>
  <si>
    <t>Palm Beach Headland</t>
  </si>
  <si>
    <t>Careel Shopping Village</t>
  </si>
  <si>
    <t>Barrenjoey High School</t>
  </si>
  <si>
    <t>Clareville Beach</t>
  </si>
  <si>
    <t>Avalon Beach</t>
  </si>
  <si>
    <t>Ku-ring-gai Chase NP_West Head</t>
  </si>
  <si>
    <t>Scotland Island</t>
  </si>
  <si>
    <t>Church Point</t>
  </si>
  <si>
    <t>Bayview Shopping Centre</t>
  </si>
  <si>
    <t>Ingleside_Lane Cove Rd and Walter Rd</t>
  </si>
  <si>
    <t>Ingleside Scout Camp</t>
  </si>
  <si>
    <t>Westpac Training College Ingleside</t>
  </si>
  <si>
    <t>Ingleside Park</t>
  </si>
  <si>
    <t>Woorarra Lookout Reserve</t>
  </si>
  <si>
    <t>Bilgola</t>
  </si>
  <si>
    <t>Bilgola Beach</t>
  </si>
  <si>
    <t>Salt Pan Cove</t>
  </si>
  <si>
    <t>Newport</t>
  </si>
  <si>
    <t>Bungan Head</t>
  </si>
  <si>
    <t>Bungan Beach</t>
  </si>
  <si>
    <t>Warriewood_Bertana Cres and Ellimatta Rd</t>
  </si>
  <si>
    <t>Pittwater High School</t>
  </si>
  <si>
    <t>Mona Vale</t>
  </si>
  <si>
    <t>Village Shopping Centre</t>
  </si>
  <si>
    <t>Peninsula Plaza</t>
  </si>
  <si>
    <t>Basin Beach</t>
  </si>
  <si>
    <t>Northshore Business Park</t>
  </si>
  <si>
    <t>Warriewood</t>
  </si>
  <si>
    <t>Mona Vale District Hospital</t>
  </si>
  <si>
    <t>Warriewood Square Shopping Centre</t>
  </si>
  <si>
    <t>Turimetta Beach</t>
  </si>
  <si>
    <t>North Narrabeen</t>
  </si>
  <si>
    <t>Alleyne Avenue Lookout North Narrabeen</t>
  </si>
  <si>
    <t>Cromer_Karoola St and Alfred St</t>
  </si>
  <si>
    <t>Beacon Hill</t>
  </si>
  <si>
    <t>Governor Phillip Lookout</t>
  </si>
  <si>
    <t>Naraweena Public School</t>
  </si>
  <si>
    <t>Beacon Hill_Government Rd and Warringah Rd</t>
  </si>
  <si>
    <t>Beacon Hill Rd</t>
  </si>
  <si>
    <t>Dee Why Plaza</t>
  </si>
  <si>
    <t>NSW Academy Of Sport Narrabeen</t>
  </si>
  <si>
    <t>Manly Cabs Depot</t>
  </si>
  <si>
    <t>Cromer_Carawa Rd and Alfred St</t>
  </si>
  <si>
    <t>Dee Why Primary School</t>
  </si>
  <si>
    <t>Dee Why Beach</t>
  </si>
  <si>
    <t>Dee Why_Fisher Rd and Pittwater Rd</t>
  </si>
  <si>
    <t>Dee Why</t>
  </si>
  <si>
    <t>Delmar Private Hospital Dee Why</t>
  </si>
  <si>
    <t>Dee Why Headland</t>
  </si>
  <si>
    <t>Northern Beaches Secondary College</t>
  </si>
  <si>
    <t>North Curl Curl Beach</t>
  </si>
  <si>
    <t>Forestville</t>
  </si>
  <si>
    <t>Roseville Bridge Roseville Chase</t>
  </si>
  <si>
    <t>Forestville Shopping Centre</t>
  </si>
  <si>
    <t>Killarney Heights High School</t>
  </si>
  <si>
    <t>Frenchs Forest_Jindabyne Reserve</t>
  </si>
  <si>
    <t>Frenchs Forest_Wakehurst Parkway West</t>
  </si>
  <si>
    <t>Austlink Corporate Park_Belrose</t>
  </si>
  <si>
    <t>Belrose</t>
  </si>
  <si>
    <t>Belrose Village Shopping Centre</t>
  </si>
  <si>
    <t>Optus Earth Station Oxford Falls</t>
  </si>
  <si>
    <t>Frenchs Forest_Kens Road Reserve</t>
  </si>
  <si>
    <t>Davidson</t>
  </si>
  <si>
    <t>Frenchs Forest_Forest Way and Adams St</t>
  </si>
  <si>
    <t>Frenchs Forest</t>
  </si>
  <si>
    <t>Glenrose Shopping Centre</t>
  </si>
  <si>
    <t>Forestway Shopping Centre</t>
  </si>
  <si>
    <t>Forestridge Business Park</t>
  </si>
  <si>
    <t>The Forest High School</t>
  </si>
  <si>
    <t>Frenchs Forest_Wakehurst Parkway East</t>
  </si>
  <si>
    <t>Frenchs Forest_Fitzpatrick Ave and Panorama Cres</t>
  </si>
  <si>
    <t>Brookvale Oval</t>
  </si>
  <si>
    <t>Brookvale Industrial Area</t>
  </si>
  <si>
    <t>Warringah Mall</t>
  </si>
  <si>
    <t>Freshwater High School</t>
  </si>
  <si>
    <t>Curl Curl</t>
  </si>
  <si>
    <t>North Manly</t>
  </si>
  <si>
    <t>Freshwater</t>
  </si>
  <si>
    <t>Queenscliff</t>
  </si>
  <si>
    <t>North Manly_Thomas St and Corrie Rd</t>
  </si>
  <si>
    <t>Frenchs Forest_McCleod House</t>
  </si>
  <si>
    <t>Allambie Heights</t>
  </si>
  <si>
    <t>Allambie Rd</t>
  </si>
  <si>
    <t>Manly Vale</t>
  </si>
  <si>
    <t>Mackellar Girls High School</t>
  </si>
  <si>
    <t>North Balgowlah</t>
  </si>
  <si>
    <t>Narrabeen Beach</t>
  </si>
  <si>
    <t>Wheeler Heights Primary School</t>
  </si>
  <si>
    <t>Collaroy Lookout</t>
  </si>
  <si>
    <t>South Narrabeen Surf Lifesaving Club</t>
  </si>
  <si>
    <t>Collaroy Plateau Public School</t>
  </si>
  <si>
    <t>Collaroy</t>
  </si>
  <si>
    <t>Long Reef Beach</t>
  </si>
  <si>
    <t>Ku-ring-gai Chase NP</t>
  </si>
  <si>
    <t>Terry Hills</t>
  </si>
  <si>
    <t>Seaforth_Wakehurst Parkway and Armstrong St</t>
  </si>
  <si>
    <t>Manly West Park</t>
  </si>
  <si>
    <t>Balgowlah</t>
  </si>
  <si>
    <t>Totem Shopping Centre</t>
  </si>
  <si>
    <t>Balgowlah Boys High School</t>
  </si>
  <si>
    <t>Seaforth</t>
  </si>
  <si>
    <t>Clontarf Beach</t>
  </si>
  <si>
    <t>Washaway Beach Balgowlah Heights</t>
  </si>
  <si>
    <t>Manly Oval</t>
  </si>
  <si>
    <t>Manly_Cabbage Tree Bay</t>
  </si>
  <si>
    <t>Manly Grove Buisness Park</t>
  </si>
  <si>
    <t>Manly Golf Club</t>
  </si>
  <si>
    <t>Manly_Kangaroo St and Raglan St</t>
  </si>
  <si>
    <t>Fairlight</t>
  </si>
  <si>
    <t>Manly</t>
  </si>
  <si>
    <t>The Corso</t>
  </si>
  <si>
    <t>Manly Waters Private Hospital</t>
  </si>
  <si>
    <t>Manly District Hospital</t>
  </si>
  <si>
    <t>Manly Grove Business Park North</t>
  </si>
  <si>
    <t>Bankstown RSL Club</t>
  </si>
  <si>
    <t>Bankstown_St Euphemia College</t>
  </si>
  <si>
    <t>Bankstown North Primary School</t>
  </si>
  <si>
    <t>La Salle Catholic College</t>
  </si>
  <si>
    <t>Bankstown_Sir Joseph Banks St and Milton St</t>
  </si>
  <si>
    <t>Bankstown West Primary School</t>
  </si>
  <si>
    <t>Bankstown_Gordon St and Cairds Ave</t>
  </si>
  <si>
    <t>Bankstown Square</t>
  </si>
  <si>
    <t>Mount Lewis</t>
  </si>
  <si>
    <t>Bankstown Station_South</t>
  </si>
  <si>
    <t>Bankstown_Oxford Av and Brandon Av</t>
  </si>
  <si>
    <t>Bankstown</t>
  </si>
  <si>
    <t>Bankstown_Dorothy Park</t>
  </si>
  <si>
    <t>Bankstown Girls High School</t>
  </si>
  <si>
    <t>Bankstown_Oxford Av and Koonya Av</t>
  </si>
  <si>
    <t>Bankstown_Lidcombe Hospital</t>
  </si>
  <si>
    <t>Bankstown_Home Central</t>
  </si>
  <si>
    <t>Padstow Industrial Area_Northern End</t>
  </si>
  <si>
    <t>Bankstown_Mitcham Rd and Little Rd</t>
  </si>
  <si>
    <t>Villawood</t>
  </si>
  <si>
    <t>Bass Hill_Chester Hill Rd and Cann St</t>
  </si>
  <si>
    <t>Mirambeena Regional Park</t>
  </si>
  <si>
    <t>Bass Hill Plaza</t>
  </si>
  <si>
    <t>Setfon Golf Course</t>
  </si>
  <si>
    <t>Whitemore Reserve</t>
  </si>
  <si>
    <t>Crest Sporting Complex</t>
  </si>
  <si>
    <t>Georges Hall</t>
  </si>
  <si>
    <t>Fairfax Printers</t>
  </si>
  <si>
    <t>Potts Hill</t>
  </si>
  <si>
    <t>Chullora Industrial Area_Southern End</t>
  </si>
  <si>
    <t>Yagoona Business Park</t>
  </si>
  <si>
    <t>Condell Park_South St and Norman St</t>
  </si>
  <si>
    <t>Fairfax Comm Newspapers</t>
  </si>
  <si>
    <t>Condell Park_Jocarm Av and Dalton Av</t>
  </si>
  <si>
    <t>Bankstown Airport</t>
  </si>
  <si>
    <t>Condell Park</t>
  </si>
  <si>
    <t>Condell Primary School</t>
  </si>
  <si>
    <t>Condell Park_Woorang St and Milperra Rd</t>
  </si>
  <si>
    <t>Bankstown Paceway</t>
  </si>
  <si>
    <t>Milperra Industrial Area_Western End</t>
  </si>
  <si>
    <t>Milperra Industrial Area_Eastern End</t>
  </si>
  <si>
    <t>Woolworths Greenacre</t>
  </si>
  <si>
    <t>Bankstown Private Hospital</t>
  </si>
  <si>
    <t>Greenacre_Waterloo Rd and Rawson Rd</t>
  </si>
  <si>
    <t>Greenacre</t>
  </si>
  <si>
    <t>Greenacre Civic Centre</t>
  </si>
  <si>
    <t>Greenacre_Ethel Pyers Res</t>
  </si>
  <si>
    <t>Greenacre Primary School</t>
  </si>
  <si>
    <t>Mount Lewis Public School</t>
  </si>
  <si>
    <t>Padstow_Playford Park</t>
  </si>
  <si>
    <t>Padstow Industrial Area_Southern End</t>
  </si>
  <si>
    <t>Padstow Station_North</t>
  </si>
  <si>
    <t>Padstow_Spring St and Baldwin St</t>
  </si>
  <si>
    <t>Padstow Station_South</t>
  </si>
  <si>
    <t>Padstow Hts Primary School</t>
  </si>
  <si>
    <t>Padstow_Adelaide Rd and Alma Rd</t>
  </si>
  <si>
    <t>Padstow Heights</t>
  </si>
  <si>
    <t>Milperra</t>
  </si>
  <si>
    <t>Mount St Joseph High School</t>
  </si>
  <si>
    <t>Killara Res_Panania</t>
  </si>
  <si>
    <t>Blue Gum Farm Milperra</t>
  </si>
  <si>
    <t>Panania Station_North</t>
  </si>
  <si>
    <t>Revesby_Tower St Public School</t>
  </si>
  <si>
    <t>Panania Station_South</t>
  </si>
  <si>
    <t>East Hills Station</t>
  </si>
  <si>
    <t>Panania_West</t>
  </si>
  <si>
    <t>Picnic Point</t>
  </si>
  <si>
    <t>Picnic Point High School</t>
  </si>
  <si>
    <t>Picnic Point_Georges River National Park</t>
  </si>
  <si>
    <t>Sir Joseph Banks High School</t>
  </si>
  <si>
    <t>Greenway Shopping Village</t>
  </si>
  <si>
    <t>Revesby_Wilberforce Rd and English St</t>
  </si>
  <si>
    <t>Revesby Station_North</t>
  </si>
  <si>
    <t>Revesby Station_South</t>
  </si>
  <si>
    <t>Padstow_Montgomery Av and Jamieson St</t>
  </si>
  <si>
    <t>Panania_East</t>
  </si>
  <si>
    <t>Revesby Heights</t>
  </si>
  <si>
    <t>Birrong Station</t>
  </si>
  <si>
    <t>Yagoona_O'Neil Park</t>
  </si>
  <si>
    <t>Yagoona West</t>
  </si>
  <si>
    <t>Yagoona</t>
  </si>
  <si>
    <t>Yagoona_Graf Park</t>
  </si>
  <si>
    <t>Yagoona Station_East</t>
  </si>
  <si>
    <t>Yagoona_Edgar St and Elizabeth Cr</t>
  </si>
  <si>
    <t>Yagoona Station_West</t>
  </si>
  <si>
    <t>Yagoona_Saltash St and Glassop St</t>
  </si>
  <si>
    <t>Belfield_Water St and Punchbowl Rd</t>
  </si>
  <si>
    <t>Belfield Plaza</t>
  </si>
  <si>
    <t>Belmore Boys High School</t>
  </si>
  <si>
    <t>Belmore Station_North</t>
  </si>
  <si>
    <t>Belmore Station_South</t>
  </si>
  <si>
    <t>Belmore Sportsground</t>
  </si>
  <si>
    <t>Belmore South Primary School</t>
  </si>
  <si>
    <t>Belmore_All Saints Greek Orthodox Church</t>
  </si>
  <si>
    <t>Campsie_Anzac Square</t>
  </si>
  <si>
    <t>Campsie_Seventh Av and Fifth Av</t>
  </si>
  <si>
    <t>Campsie_Brighton Av and Moore St</t>
  </si>
  <si>
    <t>Campsie_Beamish St and Ninth Av</t>
  </si>
  <si>
    <t>Harcourt Primary School</t>
  </si>
  <si>
    <t>Canterbury_Wonga St and Wairoa St</t>
  </si>
  <si>
    <t>Canterbury Memorial Hospital</t>
  </si>
  <si>
    <t>Campsie</t>
  </si>
  <si>
    <t>Canterbury</t>
  </si>
  <si>
    <t>Campsie Industrial Area</t>
  </si>
  <si>
    <t>Clemton Park_Yatama Park</t>
  </si>
  <si>
    <t>Earlwood_ Ann St and Karrol Av</t>
  </si>
  <si>
    <t>Earlwood_Turrella Reserve</t>
  </si>
  <si>
    <t>Earlwood_Wardell Rd and Permanent Av</t>
  </si>
  <si>
    <t>Earlwood_Woolcott St and Fuller Av</t>
  </si>
  <si>
    <t>Waterworth Park</t>
  </si>
  <si>
    <t>Earlwood</t>
  </si>
  <si>
    <t>Earlwood_Homer St and Malley Av</t>
  </si>
  <si>
    <t>Kingsgrove_Homer St and Bexley Rd</t>
  </si>
  <si>
    <t>Kingsgrove Industrial Area</t>
  </si>
  <si>
    <t>Kingsgrove Station_North</t>
  </si>
  <si>
    <t>Campsie_Elizabeth Ln and Perry Ln</t>
  </si>
  <si>
    <t>Cantebury_Fore St and High St</t>
  </si>
  <si>
    <t>Lakemba_Yerrick Rd and Yangoora Rd</t>
  </si>
  <si>
    <t>Lakemba_Colin St and Punchbowl Rd</t>
  </si>
  <si>
    <t>Lakemba_Jubilee Res</t>
  </si>
  <si>
    <t>Wiley Park Station_North</t>
  </si>
  <si>
    <t>Lakemba Station_South</t>
  </si>
  <si>
    <t>Lakemba</t>
  </si>
  <si>
    <t>Lakemba_Sproule St and Myee St</t>
  </si>
  <si>
    <t>Wiley Park Station_South</t>
  </si>
  <si>
    <t>Wiley Park_Hillard St and Lakemba St</t>
  </si>
  <si>
    <t>Wiley Park</t>
  </si>
  <si>
    <t>Punchbowl Boys High School</t>
  </si>
  <si>
    <t>Punchbowl_Scott St and South Tce</t>
  </si>
  <si>
    <t>Punchbowl Station</t>
  </si>
  <si>
    <t>Punchbowl_James St and Lancaster Av</t>
  </si>
  <si>
    <t>Punchbowl Primary School</t>
  </si>
  <si>
    <t>George Cayley Reserve</t>
  </si>
  <si>
    <t>Punchbowl Industrial Complex</t>
  </si>
  <si>
    <t>Whitmarsh Park</t>
  </si>
  <si>
    <t>Industrial Area</t>
  </si>
  <si>
    <t>Wiley Park_Hillcrest St and Beuauchamp St</t>
  </si>
  <si>
    <t>St Charbels College</t>
  </si>
  <si>
    <t>Roselands_Council Works Depot and Training Centre</t>
  </si>
  <si>
    <t>Roselands_Ludgate St and Albion St</t>
  </si>
  <si>
    <t>Roselands</t>
  </si>
  <si>
    <t>Canterbury Golf Course</t>
  </si>
  <si>
    <t>Roselands_Karne St and Shorter Av</t>
  </si>
  <si>
    <t>Punchbowl_Warren Parade</t>
  </si>
  <si>
    <t>Hurstville_Emily St and Barnards Av</t>
  </si>
  <si>
    <t>Beverly Hills Primary School</t>
  </si>
  <si>
    <t>Hurstville</t>
  </si>
  <si>
    <t>Hurstville Community Hospital</t>
  </si>
  <si>
    <t>Hurstville_Forest Rd and Gloucester Rd</t>
  </si>
  <si>
    <t>Allawah Station_North</t>
  </si>
  <si>
    <t>Westfield_Hurstville</t>
  </si>
  <si>
    <t>Hurstville Public School</t>
  </si>
  <si>
    <t>Hurstville_Cross St and The Avenue</t>
  </si>
  <si>
    <t>Penshurst_Penshurst St and Nicholson St</t>
  </si>
  <si>
    <t>Penshurst_Penshurst St and Clarence St</t>
  </si>
  <si>
    <t>Penshurst West Public School</t>
  </si>
  <si>
    <t>Penshurst Station_North</t>
  </si>
  <si>
    <t>Mortdale</t>
  </si>
  <si>
    <t>Mortdale Station_West</t>
  </si>
  <si>
    <t>Hurstville Golf Course</t>
  </si>
  <si>
    <t>Oatley Station_West</t>
  </si>
  <si>
    <t>Oatley Park</t>
  </si>
  <si>
    <t>Beverly Hills Station_North</t>
  </si>
  <si>
    <t>Narwee Station</t>
  </si>
  <si>
    <t>Beverly Hills Station_South</t>
  </si>
  <si>
    <t>Beverley Hills Girls High School</t>
  </si>
  <si>
    <t>Narwee High School</t>
  </si>
  <si>
    <t>Penshurst Station_South</t>
  </si>
  <si>
    <t>Hurstville Grove North</t>
  </si>
  <si>
    <t>Mortdale Station_East</t>
  </si>
  <si>
    <t>Hurstville Grove</t>
  </si>
  <si>
    <t>Oatley Station_East</t>
  </si>
  <si>
    <t>Oatley_Rosa St and Herbert St</t>
  </si>
  <si>
    <t>Oatley_Simpson Res</t>
  </si>
  <si>
    <t>Peakhurst</t>
  </si>
  <si>
    <t>Peakhurst_Belmore Rd and Richards Av</t>
  </si>
  <si>
    <t>Peakhurst West Primary School</t>
  </si>
  <si>
    <t>Hurstville Council Depot</t>
  </si>
  <si>
    <t>Peakhurst Village Shopping Centre</t>
  </si>
  <si>
    <t>Peakhurst Heights</t>
  </si>
  <si>
    <t>Lugarno</t>
  </si>
  <si>
    <t>Lugarno Primary School</t>
  </si>
  <si>
    <t>Riverwood_Salt Pan Ck Res</t>
  </si>
  <si>
    <t>Riverwood_Lance Hutchinson Oval</t>
  </si>
  <si>
    <t>Riverwood Station</t>
  </si>
  <si>
    <t>Riverwood Station East</t>
  </si>
  <si>
    <t>Hurstville_Hillcrest Ave and Mabel St</t>
  </si>
  <si>
    <t>Hurstville_Empress Res</t>
  </si>
  <si>
    <t>South Hurstville_Woniora Rd and Connells Point Rd</t>
  </si>
  <si>
    <t>South Hurstville</t>
  </si>
  <si>
    <t>Blakehurst High School</t>
  </si>
  <si>
    <t>Legacy House Blakehurst</t>
  </si>
  <si>
    <t>Carss Park Lookout</t>
  </si>
  <si>
    <t>Connells Point</t>
  </si>
  <si>
    <t>Bald Face Point Lookout Blakehurst</t>
  </si>
  <si>
    <t>Wolli Creek_Guess Ave and Arncliffe St</t>
  </si>
  <si>
    <t>Wolli Creek Station North</t>
  </si>
  <si>
    <t>Turrella Station</t>
  </si>
  <si>
    <t>Wolli Creek Station</t>
  </si>
  <si>
    <t>Turrella_Coolibah Res</t>
  </si>
  <si>
    <t>Wolli Creek_Cahill Park</t>
  </si>
  <si>
    <t>Arncliffe_Wollongong Rd and Kelsey St</t>
  </si>
  <si>
    <t>Arncliffe_Arncliffe Park</t>
  </si>
  <si>
    <t>Arncliffe Station</t>
  </si>
  <si>
    <t>Kogarah Golf Club</t>
  </si>
  <si>
    <t>Bardwell Valley Golf Club</t>
  </si>
  <si>
    <t>Bardwell Valley</t>
  </si>
  <si>
    <t>Arncliffe_Farrar St</t>
  </si>
  <si>
    <t>Banksia Station_West</t>
  </si>
  <si>
    <t>Barton Park Driving Range</t>
  </si>
  <si>
    <t>Bardwell Valley Golf Club_South</t>
  </si>
  <si>
    <t>Dolls Hospital Bexley</t>
  </si>
  <si>
    <t>J. Downeys Cottage Bexley</t>
  </si>
  <si>
    <t>Bexley</t>
  </si>
  <si>
    <t>Kingsgrove Park</t>
  </si>
  <si>
    <t>Bexley_Glenfarne St and Shirley St</t>
  </si>
  <si>
    <t>Bexley Marist Brothers High School</t>
  </si>
  <si>
    <t>Kogarah Station_West</t>
  </si>
  <si>
    <t>Bexley_Verdun St and Washington St</t>
  </si>
  <si>
    <t>Carlton Station_North</t>
  </si>
  <si>
    <t>Bardwell Park Station</t>
  </si>
  <si>
    <t>Bexley North Station</t>
  </si>
  <si>
    <t>Kingsgrove_Caroline St and Edward St</t>
  </si>
  <si>
    <t>Kingsgrove Station_South</t>
  </si>
  <si>
    <t>Bexley North</t>
  </si>
  <si>
    <t>Kingsgrove_Morgan St and Ashby St</t>
  </si>
  <si>
    <t>Kogarah Station_East</t>
  </si>
  <si>
    <t>Kogarah</t>
  </si>
  <si>
    <t>St George District Hospital</t>
  </si>
  <si>
    <t>Moorefield Girls High School</t>
  </si>
  <si>
    <t>Calvary Hospital</t>
  </si>
  <si>
    <t>Darrell Lea</t>
  </si>
  <si>
    <t>Allawah Station_South</t>
  </si>
  <si>
    <t>Carlton Station_South</t>
  </si>
  <si>
    <t>St George Christian School</t>
  </si>
  <si>
    <t>Carlton</t>
  </si>
  <si>
    <t>Beverley Park</t>
  </si>
  <si>
    <t>Beverley Park Golf Club</t>
  </si>
  <si>
    <t>Kogarah Bay</t>
  </si>
  <si>
    <t>Kyeemagh</t>
  </si>
  <si>
    <t>Brighton-Le-Sands_Moate Av and Rowley St</t>
  </si>
  <si>
    <t>Brighton-Le-Sands_Tony Baker Res</t>
  </si>
  <si>
    <t>Brighton-Le-Sands</t>
  </si>
  <si>
    <t>Lady Robinsons Beach</t>
  </si>
  <si>
    <t>Lady Robinsons Beach South</t>
  </si>
  <si>
    <t>Gardiner Park Rockdale</t>
  </si>
  <si>
    <t>Lydham Hall Rockdale</t>
  </si>
  <si>
    <t>Banksia Station_East</t>
  </si>
  <si>
    <t>Rockdale</t>
  </si>
  <si>
    <t>Rockdale West</t>
  </si>
  <si>
    <t>Rockdale Station</t>
  </si>
  <si>
    <t>Wilsons Farmhouse Rockdale</t>
  </si>
  <si>
    <t>Rockdale Tennis Club</t>
  </si>
  <si>
    <t>Rockdale South Side Plaza</t>
  </si>
  <si>
    <t>Ramsgate Plaza</t>
  </si>
  <si>
    <t>Ramsgate Plaza South</t>
  </si>
  <si>
    <t>Fisheries Department Sans Souci</t>
  </si>
  <si>
    <t>Sandringham</t>
  </si>
  <si>
    <t>Sans Souci</t>
  </si>
  <si>
    <t>Woronora Heights Shopping Centre</t>
  </si>
  <si>
    <t>Engadine_Kingswood Rd and Geneva Pl</t>
  </si>
  <si>
    <t>Loftus Station_West</t>
  </si>
  <si>
    <t>Engadine</t>
  </si>
  <si>
    <t>Engadine West Public School</t>
  </si>
  <si>
    <t>Engadine_Wollybutt Rd and Achilles Rd</t>
  </si>
  <si>
    <t>Yarrawarrah Shopping Centre</t>
  </si>
  <si>
    <t>Engadine Station</t>
  </si>
  <si>
    <t>Higgerson Ave and Beethoven St</t>
  </si>
  <si>
    <t>Heathcote Station_West</t>
  </si>
  <si>
    <t>Heathcote Station_East</t>
  </si>
  <si>
    <t>Waterfall Station</t>
  </si>
  <si>
    <t>Alfords Point North</t>
  </si>
  <si>
    <t>Alfords Point</t>
  </si>
  <si>
    <t>Illawong Village Shopping Centre</t>
  </si>
  <si>
    <t>Menai High School</t>
  </si>
  <si>
    <t>Holsworthy West</t>
  </si>
  <si>
    <t>Holsworthy</t>
  </si>
  <si>
    <t>Menai Metro Shopping Centre</t>
  </si>
  <si>
    <t>Menai</t>
  </si>
  <si>
    <t>Bangor Shopping Centre</t>
  </si>
  <si>
    <t>Aquinas College</t>
  </si>
  <si>
    <t>Bangor</t>
  </si>
  <si>
    <t>Lucas Heights North</t>
  </si>
  <si>
    <t>Barden Ridge</t>
  </si>
  <si>
    <t>Lucas Heights Research Laboratories</t>
  </si>
  <si>
    <t>Caravan Head</t>
  </si>
  <si>
    <t>Como Station</t>
  </si>
  <si>
    <t>Oyster Bay</t>
  </si>
  <si>
    <t>Bonnet Bay Shopping Centre</t>
  </si>
  <si>
    <t>Kareela Shopping Centre</t>
  </si>
  <si>
    <t>Jannali Station_East</t>
  </si>
  <si>
    <t>Jannali Station_West</t>
  </si>
  <si>
    <t>Kareela Golf Course</t>
  </si>
  <si>
    <t>Royal National Park Tram Station</t>
  </si>
  <si>
    <t>Royal National Park</t>
  </si>
  <si>
    <t>Sutherland Council Depot</t>
  </si>
  <si>
    <t>Sutherland</t>
  </si>
  <si>
    <t>Sutherland Station_West</t>
  </si>
  <si>
    <t>Kirrawee Industrial Area</t>
  </si>
  <si>
    <t>Sutherland Station_East</t>
  </si>
  <si>
    <t>Sutherland_Minerva School</t>
  </si>
  <si>
    <t>Kirrawee Station</t>
  </si>
  <si>
    <t>Loftus Station_East</t>
  </si>
  <si>
    <t>Kirrawee High School</t>
  </si>
  <si>
    <t>Kirrawee_Kirrawee Oval</t>
  </si>
  <si>
    <t>Sydney Desalination Plant</t>
  </si>
  <si>
    <t>Caringbah South_Daphne St and Percival Road</t>
  </si>
  <si>
    <t>Willarong Point</t>
  </si>
  <si>
    <t>Carringbah_Miley Road and Blamey Ave</t>
  </si>
  <si>
    <t>Laguna Street Public School</t>
  </si>
  <si>
    <t>Supa Centa</t>
  </si>
  <si>
    <t>Taren Point_Southern End</t>
  </si>
  <si>
    <t>Sutherland Hospital</t>
  </si>
  <si>
    <t>Caringbah_Yathong Rd and Carabella Rd</t>
  </si>
  <si>
    <t>Caringbah Station</t>
  </si>
  <si>
    <t>Caringbah Shopping Centre</t>
  </si>
  <si>
    <t>Caringbah_Yathong Rd and Caringbah Rd</t>
  </si>
  <si>
    <t>Caringbah_Willarong Rd and Lindsay St</t>
  </si>
  <si>
    <t>Caringbah_Gannons Rd and Rawson Pde</t>
  </si>
  <si>
    <t>Lilli Pilli</t>
  </si>
  <si>
    <t>Dolans Bay</t>
  </si>
  <si>
    <t>Cronulla Stp</t>
  </si>
  <si>
    <t>Woolooware High School</t>
  </si>
  <si>
    <t>Cronulla High School</t>
  </si>
  <si>
    <t>Woolooware Station_North</t>
  </si>
  <si>
    <t>Cronulla_Elouera Rd and Kingsway</t>
  </si>
  <si>
    <t>Woolooware Station_South</t>
  </si>
  <si>
    <t>Cronulla Station and Ferry Wharf</t>
  </si>
  <si>
    <t>Cronulla</t>
  </si>
  <si>
    <t>Burraneer Point</t>
  </si>
  <si>
    <t>Hungry Point</t>
  </si>
  <si>
    <t>Maianbar</t>
  </si>
  <si>
    <t>Bundeena</t>
  </si>
  <si>
    <t>Gymea Station_North</t>
  </si>
  <si>
    <t>Gymea Station_South</t>
  </si>
  <si>
    <t>Gymea Bay</t>
  </si>
  <si>
    <t>Gymea Bay_Coonong Rd and Arcadia Av</t>
  </si>
  <si>
    <t>Grays Point</t>
  </si>
  <si>
    <t>Port Hacking High School</t>
  </si>
  <si>
    <t>Sylvania High School</t>
  </si>
  <si>
    <t>Miranda_Renown Av and Parraweena Rd</t>
  </si>
  <si>
    <t>Westfield_Miranda Station_North</t>
  </si>
  <si>
    <t>Miranda North Primary School</t>
  </si>
  <si>
    <t>Miranda_Wandella Rd and President Av</t>
  </si>
  <si>
    <t>Miranda Station_South</t>
  </si>
  <si>
    <t>Yowie Bay</t>
  </si>
  <si>
    <t>Sylvania Primary School</t>
  </si>
  <si>
    <t>Southgate Shopping Centre</t>
  </si>
  <si>
    <t>Sylvania</t>
  </si>
  <si>
    <t>Sylvania_Sylvania Rd and Crystal St</t>
  </si>
  <si>
    <t>Taren Point</t>
  </si>
  <si>
    <t>Richmond Shopping Centre</t>
  </si>
  <si>
    <t>Taren Point_Northern End</t>
  </si>
  <si>
    <t>Bargo North</t>
  </si>
  <si>
    <t>Bargo Station</t>
  </si>
  <si>
    <t>Menangle Road Douglas Park</t>
  </si>
  <si>
    <t>Wilton Public School</t>
  </si>
  <si>
    <t>Camden Park</t>
  </si>
  <si>
    <t>Menangle Station</t>
  </si>
  <si>
    <t>Razorback</t>
  </si>
  <si>
    <t>Douglas Park Station</t>
  </si>
  <si>
    <t>Maldon Station</t>
  </si>
  <si>
    <t>Appin</t>
  </si>
  <si>
    <t>Wilton</t>
  </si>
  <si>
    <t>Appin_Colliery</t>
  </si>
  <si>
    <t>Wilton_South</t>
  </si>
  <si>
    <t>Picton Station</t>
  </si>
  <si>
    <t>Lakesland</t>
  </si>
  <si>
    <t>Thirlmere Station</t>
  </si>
  <si>
    <t>Tahmoor Park</t>
  </si>
  <si>
    <t>Tahmoor Station</t>
  </si>
  <si>
    <t>Couridjah</t>
  </si>
  <si>
    <t>Buxton</t>
  </si>
  <si>
    <t>Orangeville</t>
  </si>
  <si>
    <t>The Oaks</t>
  </si>
  <si>
    <t>University Of Sydney Camden Farms</t>
  </si>
  <si>
    <t>Oakdale_Barkers Lodge Rd and Longfield Lane</t>
  </si>
  <si>
    <t>Carrington Centennial Hospital</t>
  </si>
  <si>
    <t>Camden</t>
  </si>
  <si>
    <t>Camden District Hospital</t>
  </si>
  <si>
    <t>Camden South Pub School</t>
  </si>
  <si>
    <t>Camden High School</t>
  </si>
  <si>
    <t>Camden South</t>
  </si>
  <si>
    <t>Camden South_Cubbitch Barta Reserve</t>
  </si>
  <si>
    <t>Harrington_ParkGlenrowan Dr and The Boulevard</t>
  </si>
  <si>
    <t>Harrington Grove Country Club</t>
  </si>
  <si>
    <t>Harrington Park</t>
  </si>
  <si>
    <t>Aircraft Museum Harrington Park</t>
  </si>
  <si>
    <t>Narellan Park_Kirkham St and Fox St</t>
  </si>
  <si>
    <t>Narellan Town Centre</t>
  </si>
  <si>
    <t>Narellan</t>
  </si>
  <si>
    <t>Narellan_Elizabeth Scott Reserve</t>
  </si>
  <si>
    <t>Elderslie High School</t>
  </si>
  <si>
    <t>Smeaton Grange Industrial Area</t>
  </si>
  <si>
    <t>Currans Hill_Elizabeth Throsby Reserve</t>
  </si>
  <si>
    <t>Currans Hill Primary School</t>
  </si>
  <si>
    <t>Narellan Vale</t>
  </si>
  <si>
    <t>Mount Annan High School</t>
  </si>
  <si>
    <t>Elizabeth Macarthur High School</t>
  </si>
  <si>
    <t>Mount Annan - Yandel'ora Lake</t>
  </si>
  <si>
    <t>Camden Estate Winery_Spring Farm</t>
  </si>
  <si>
    <t>Spring Farm - Holland Drive &amp; Lowan St</t>
  </si>
  <si>
    <t>Spring Farm - Spring Reserve</t>
  </si>
  <si>
    <t>Mount Annan</t>
  </si>
  <si>
    <t>Mount Annan Botanic Garden</t>
  </si>
  <si>
    <t>Bradbury Shopping Centre</t>
  </si>
  <si>
    <t>Airds_Riley Park</t>
  </si>
  <si>
    <t>Bradbury_Baden Powell Res</t>
  </si>
  <si>
    <t>Airds Village Shopping Centre</t>
  </si>
  <si>
    <t>Bradbury</t>
  </si>
  <si>
    <t>Woodland Rd Primary</t>
  </si>
  <si>
    <t>St Helens Park</t>
  </si>
  <si>
    <t>St Helens Park Primary School</t>
  </si>
  <si>
    <t>Wedderburn</t>
  </si>
  <si>
    <t>Blair Athol_Bethlehem Monastery</t>
  </si>
  <si>
    <t>Campbelltown Showgrownd</t>
  </si>
  <si>
    <t>Woodbine</t>
  </si>
  <si>
    <t>Leumeah Station_West</t>
  </si>
  <si>
    <t>Campbelltown Station_North</t>
  </si>
  <si>
    <t>Blair Athol</t>
  </si>
  <si>
    <t>Campbelltown Town Centre_Campbelltown Station</t>
  </si>
  <si>
    <t>Centenary Park</t>
  </si>
  <si>
    <t>Macarthur Station_North</t>
  </si>
  <si>
    <t>Campbelltown_Waminda Av and Broughton St</t>
  </si>
  <si>
    <t>Hoddle Ave Shopping Centre</t>
  </si>
  <si>
    <t>Macarthur Station_South</t>
  </si>
  <si>
    <t>Campbelltown Hospital</t>
  </si>
  <si>
    <t>Campbelltown_Barber Reserve</t>
  </si>
  <si>
    <t>Varroville</t>
  </si>
  <si>
    <t>Raby_Robert Townson High School</t>
  </si>
  <si>
    <t>Kearns</t>
  </si>
  <si>
    <t>Raby Shopping Centre</t>
  </si>
  <si>
    <t>Eagle Vale Market Place</t>
  </si>
  <si>
    <t>Eschol Park House</t>
  </si>
  <si>
    <t>Eagle Vale High School</t>
  </si>
  <si>
    <t>Claymore Shopping Centre</t>
  </si>
  <si>
    <t>St Gregorys College</t>
  </si>
  <si>
    <t>Denham Court</t>
  </si>
  <si>
    <t>Ingleburn Village</t>
  </si>
  <si>
    <t>Edmondson Park Anglican College</t>
  </si>
  <si>
    <t>Ingleburn_Macdonald Rd and Nelson Rd</t>
  </si>
  <si>
    <t>Ingleburn_Macdonald Rd and Leichhardt Rd</t>
  </si>
  <si>
    <t>Denham Court_Denham Court Rd and Springmead Drive</t>
  </si>
  <si>
    <t>Macquarie Fields Station_West</t>
  </si>
  <si>
    <t>Scenic Hills Riding Ranch</t>
  </si>
  <si>
    <t>Ingleburn Industrial Estate_North Western End</t>
  </si>
  <si>
    <t>Ingleburn Industrial Estate_North Eastern End_Ingleburn Station</t>
  </si>
  <si>
    <t>Ingleburn High School</t>
  </si>
  <si>
    <t>Ingleburn Shopping Centre</t>
  </si>
  <si>
    <t>Ingleburn Industrial Estate_South Eastern End</t>
  </si>
  <si>
    <t>Ingleburn</t>
  </si>
  <si>
    <t>Ingleburn_Chester Rd and Lyndia St</t>
  </si>
  <si>
    <t>Lagonda Shopping Village</t>
  </si>
  <si>
    <t>Leumeah High School</t>
  </si>
  <si>
    <t>Minto Heights</t>
  </si>
  <si>
    <t>Leumeah</t>
  </si>
  <si>
    <t>Leumeah_Angle Res</t>
  </si>
  <si>
    <t>Ruse</t>
  </si>
  <si>
    <t>Ruse Village Shopping Centre</t>
  </si>
  <si>
    <t>Glenfield Station_North</t>
  </si>
  <si>
    <t>Glenwood Primary School</t>
  </si>
  <si>
    <t>Glenfield Station_South</t>
  </si>
  <si>
    <t>Glenfield_Childs Reserve</t>
  </si>
  <si>
    <t>Macquarie Fields Station_East</t>
  </si>
  <si>
    <t>Curran High School</t>
  </si>
  <si>
    <t>Macquarie Fields High School</t>
  </si>
  <si>
    <t>Long Point</t>
  </si>
  <si>
    <t>St Andrews</t>
  </si>
  <si>
    <t>East Minto Shopping Centre</t>
  </si>
  <si>
    <t>Minto Industrial Area_Northern End_Minto Station</t>
  </si>
  <si>
    <t>Minto Station_East</t>
  </si>
  <si>
    <t>St. Andrews Shopping Centre</t>
  </si>
  <si>
    <t>Minto Shopping Centre</t>
  </si>
  <si>
    <t>Minto Industrial Area_Western End</t>
  </si>
  <si>
    <t>Minto</t>
  </si>
  <si>
    <t>Minto Industrial Area_Eastern End</t>
  </si>
  <si>
    <t>Campbelltown Golf Club</t>
  </si>
  <si>
    <t>Ambarvale Shopping Centre</t>
  </si>
  <si>
    <t>Menangle Park</t>
  </si>
  <si>
    <t>Glen Alpine</t>
  </si>
  <si>
    <t>Thomas Acres Primary School</t>
  </si>
  <si>
    <t>Ambarvale High School</t>
  </si>
  <si>
    <t>John Therry High School</t>
  </si>
  <si>
    <t>Menangle Park Paceway</t>
  </si>
  <si>
    <t>Rosemeadow</t>
  </si>
  <si>
    <t>Rosemeadow_Hume and Hovell Monument Gilead</t>
  </si>
  <si>
    <t>Bonnyrigg Plaza</t>
  </si>
  <si>
    <t>Bonnyrigg Heights</t>
  </si>
  <si>
    <t>Bonnyrigg Heights_Aplin Rd and Simpson Rd</t>
  </si>
  <si>
    <t>Bonnyrigg Shopping Centre</t>
  </si>
  <si>
    <t>Bonnyrigg_Thesiger Park</t>
  </si>
  <si>
    <t>Bonnyrigg_Holdin St and Brown Rd</t>
  </si>
  <si>
    <t>Pimelea Picnic Area</t>
  </si>
  <si>
    <t>Bossley Park</t>
  </si>
  <si>
    <t>Prairievale Primary School</t>
  </si>
  <si>
    <t>Marconi Club</t>
  </si>
  <si>
    <t>Bossley Park High School</t>
  </si>
  <si>
    <t>Abbotsbury Shopping Centre</t>
  </si>
  <si>
    <t>Cabramatta_Cabra-Vale Pk</t>
  </si>
  <si>
    <t>Cabramatta_Hughes St Pk</t>
  </si>
  <si>
    <t>Cabramatta Station_East</t>
  </si>
  <si>
    <t>Cabramatta West Primary School</t>
  </si>
  <si>
    <t>Cabramatta Station_West</t>
  </si>
  <si>
    <t>Cabramatta_Vale St and Longfield St</t>
  </si>
  <si>
    <t>Irelands Bridge Cabramatta</t>
  </si>
  <si>
    <t>Lansvale</t>
  </si>
  <si>
    <t>Cabramatta High School</t>
  </si>
  <si>
    <t>Cabramatta_Free Serbian Orthodox Church</t>
  </si>
  <si>
    <t>Lansvale Industrial Area</t>
  </si>
  <si>
    <t>Lucky Plaza Cabramatta West</t>
  </si>
  <si>
    <t>Cabramatta West</t>
  </si>
  <si>
    <t>Mount Pritchard_Meadows Rd and Young St</t>
  </si>
  <si>
    <t>Mount Pritchard</t>
  </si>
  <si>
    <t>Mt Pritchard_Meadows Rd and Hamel Rd</t>
  </si>
  <si>
    <t>Mount Pritchard_Townview Rd and Hitter Av</t>
  </si>
  <si>
    <t>Canley Heights_Harden St and Edward Pl</t>
  </si>
  <si>
    <t>Canley Vale_Thien An Temple</t>
  </si>
  <si>
    <t>Canley Heights_Peel St and Canley Vale Rd</t>
  </si>
  <si>
    <t>Canley Heights Primary School</t>
  </si>
  <si>
    <t>Canley Heights_Adolphus St and Canley Vale Rd</t>
  </si>
  <si>
    <t>Canley Vale Station_West</t>
  </si>
  <si>
    <t>Canley Vale Station_East</t>
  </si>
  <si>
    <t>Lansvale Primary School</t>
  </si>
  <si>
    <t>Edensor Park Plaza</t>
  </si>
  <si>
    <t>Edensor Park_Coonawarra St and Penfold Place</t>
  </si>
  <si>
    <t>Edensor Park</t>
  </si>
  <si>
    <t>Edensor Park Public School</t>
  </si>
  <si>
    <t>Fairfield_Horsley Dr and Brenan St</t>
  </si>
  <si>
    <t>Fairfield High School</t>
  </si>
  <si>
    <t>Fairfield_Lions International Park</t>
  </si>
  <si>
    <t>Fairfield Station_West</t>
  </si>
  <si>
    <t>Fairfield</t>
  </si>
  <si>
    <t>Fairfield_Fairvale Public School</t>
  </si>
  <si>
    <t>Fairfield Station_East</t>
  </si>
  <si>
    <t>Fairfield_Francis St and Coleraine</t>
  </si>
  <si>
    <t>Westfields High School</t>
  </si>
  <si>
    <t>Fairfield Heights</t>
  </si>
  <si>
    <t>Fairfield West</t>
  </si>
  <si>
    <t>Fairfield West_The Boulevarde and Stella St</t>
  </si>
  <si>
    <t>Fairfield_West King Rd and Thorney Rd</t>
  </si>
  <si>
    <t>Fairvale High School</t>
  </si>
  <si>
    <t>Fairfield Hospital _ Stockland Shopping Centre</t>
  </si>
  <si>
    <t>Fairfield Showground</t>
  </si>
  <si>
    <t>Greenfield Shopping Centre</t>
  </si>
  <si>
    <t>Greenfield Park_Powhatan Reserve</t>
  </si>
  <si>
    <t>Horsley Park_Austral Bricks</t>
  </si>
  <si>
    <t>Horsley Park Primary School</t>
  </si>
  <si>
    <t>Kemps Ck_Emmaus Catholic College</t>
  </si>
  <si>
    <t>Western Sydney Regional Park</t>
  </si>
  <si>
    <t>Nativity House Christmas Museum Horsley Park</t>
  </si>
  <si>
    <t>Kemps Creek Shopping Centre</t>
  </si>
  <si>
    <t>Mount Vernon</t>
  </si>
  <si>
    <t>Cecil Park</t>
  </si>
  <si>
    <t>Kemps Creek_Mamre Rd_West</t>
  </si>
  <si>
    <t>Smithfield</t>
  </si>
  <si>
    <t>Justin Centre</t>
  </si>
  <si>
    <t>Wetherill Park TAFE _ Wetherill Park Shopping Centre</t>
  </si>
  <si>
    <t>Wetherill Park</t>
  </si>
  <si>
    <t>Smithfield West Primary School</t>
  </si>
  <si>
    <t>Smithfield_Smithfield Rd and The Horsley Dr</t>
  </si>
  <si>
    <t>Wetherill Park_William Stimson Public School</t>
  </si>
  <si>
    <t>Smithfield_The Boulevarde and Alexander St</t>
  </si>
  <si>
    <t>Wakeley</t>
  </si>
  <si>
    <t>King Park Primary School</t>
  </si>
  <si>
    <t>St. Johns Park Shopping Centre</t>
  </si>
  <si>
    <t>St Johns Park</t>
  </si>
  <si>
    <t>Wetherill Park Industrial Area_Central</t>
  </si>
  <si>
    <t>Wetherill Park Industrial Area_Western</t>
  </si>
  <si>
    <t>Wetherill Park Industrial Area_Eastern</t>
  </si>
  <si>
    <t>Kemps Creek_Western Rd and Braikfield Av</t>
  </si>
  <si>
    <t>Middleton Grange_Catalina Park</t>
  </si>
  <si>
    <t>Middleton Grange</t>
  </si>
  <si>
    <t>Middleton Grange_Garrett St and Sixteenth Av</t>
  </si>
  <si>
    <t>Badgerys Creek_North</t>
  </si>
  <si>
    <t>Kemps Creek_Brandown Quarries</t>
  </si>
  <si>
    <t>Heckenberg</t>
  </si>
  <si>
    <t>Busby</t>
  </si>
  <si>
    <t>Ashcroft High School</t>
  </si>
  <si>
    <t>Valley Community Music Centre Sadleir</t>
  </si>
  <si>
    <t>Miller Shopping Centre</t>
  </si>
  <si>
    <t>Kemps Creek</t>
  </si>
  <si>
    <t>Badgerys Creek_Martin Rd and Cuthel St</t>
  </si>
  <si>
    <t>Badgerys Creek_East</t>
  </si>
  <si>
    <t>Sydney International Shooting Centre</t>
  </si>
  <si>
    <t>Kemps Creek_Western Rd and Tavistock Rd</t>
  </si>
  <si>
    <t>Badgerys Creek_Inghams Multiplication Farm</t>
  </si>
  <si>
    <t>Russian Sports Association</t>
  </si>
  <si>
    <t>Kemps Creek_Czechoslovakian Country Club</t>
  </si>
  <si>
    <t>Kemps Creek Nature Reserve</t>
  </si>
  <si>
    <t>Austral_Craik Ave and Seventeenth Ave</t>
  </si>
  <si>
    <t>Bringelly_Mersey Rd and Severn Rd</t>
  </si>
  <si>
    <t>Thompson Creek and South Creek</t>
  </si>
  <si>
    <t>Rossmore Grange</t>
  </si>
  <si>
    <t>NSW Animal Welfare League Rossmore</t>
  </si>
  <si>
    <t>West Hoxton Shopping Centre</t>
  </si>
  <si>
    <t>RAAF</t>
  </si>
  <si>
    <t>Bringelly_Kelvin Park Dr and The Retreat</t>
  </si>
  <si>
    <t>Austral</t>
  </si>
  <si>
    <t>Bents Basin Greendale</t>
  </si>
  <si>
    <t>Bringelly_Findley Rd and Francis St</t>
  </si>
  <si>
    <t>Austral_Kelly St and Tenth Ave</t>
  </si>
  <si>
    <t>Bringelly Public School</t>
  </si>
  <si>
    <t>Bringelly_Kelvin Park Dr and Medich Pl</t>
  </si>
  <si>
    <t>Austral Bowling Club</t>
  </si>
  <si>
    <t>Rossmore</t>
  </si>
  <si>
    <t>Rossmore Trial Track</t>
  </si>
  <si>
    <t>Austral_Boyd St and Little St</t>
  </si>
  <si>
    <t>Austral_Scalabrini Village</t>
  </si>
  <si>
    <t>Luddenham _South</t>
  </si>
  <si>
    <t>Badgerys Creek_South</t>
  </si>
  <si>
    <t>Bringelly_Robinson Rd and Jersey Rd</t>
  </si>
  <si>
    <t>Bringelly Village Shopping Centre</t>
  </si>
  <si>
    <t>Bringelly_Ironbark</t>
  </si>
  <si>
    <t>Rossmore Primary School</t>
  </si>
  <si>
    <t>Rossmore_Graham Rd and Bringelly Rd</t>
  </si>
  <si>
    <t>Leppington_Bringelly Rd and Eastwood Rd</t>
  </si>
  <si>
    <t>Leppington_Forest Lawn Gardens</t>
  </si>
  <si>
    <t>Bringelly_Carrington Rd and Jersey Rd</t>
  </si>
  <si>
    <t>Leppington Public School</t>
  </si>
  <si>
    <t>Bringelly_Birling</t>
  </si>
  <si>
    <t>Leppington_St Marys Catholic Church</t>
  </si>
  <si>
    <t>Cobbity_Coates Park Farm</t>
  </si>
  <si>
    <t>Catherine Field_Barry Ave and Robens Cr</t>
  </si>
  <si>
    <t>Leppington_Anthony Rd and Gregory Rd</t>
  </si>
  <si>
    <t>Rossmore_Joseph Rd and Eastwood Rd</t>
  </si>
  <si>
    <t>Leppington_Dog Training Centre</t>
  </si>
  <si>
    <t>Leppington_Byron Rd and Heath Rd</t>
  </si>
  <si>
    <t>Bringelly_Access Track</t>
  </si>
  <si>
    <t>Bringelly_Henry George Park</t>
  </si>
  <si>
    <t>Oran Park_Greenway</t>
  </si>
  <si>
    <t>Leppington_Camden Valley Way and Park Rd</t>
  </si>
  <si>
    <t>Bringelly_Recycling Centre</t>
  </si>
  <si>
    <t>Oran Park_Pondicherry</t>
  </si>
  <si>
    <t>Catherine Field_Wholesale Nursery</t>
  </si>
  <si>
    <t>Leppington_Somoan Methodist Church</t>
  </si>
  <si>
    <t>Leppington_George Rd and Riley Rd</t>
  </si>
  <si>
    <t>Leppington_Camden Valley Way and St Andrews Rd</t>
  </si>
  <si>
    <t>Cobbitty</t>
  </si>
  <si>
    <t>Cobbitty_Denbigh</t>
  </si>
  <si>
    <t>Oran Park_Proposed School</t>
  </si>
  <si>
    <t>Oran Park</t>
  </si>
  <si>
    <t>Catherine Field Reserve</t>
  </si>
  <si>
    <t>Cobbitty Wines</t>
  </si>
  <si>
    <t>Cobbitty_Macarthur Anglican School</t>
  </si>
  <si>
    <t>Oran Park_South Cct and Tander St</t>
  </si>
  <si>
    <t>Oran Park_Peter Brock Drive and Oran Park Drive</t>
  </si>
  <si>
    <t>Catherine Field_Springfield Rd and Charlesworth Cl</t>
  </si>
  <si>
    <t>Camden Lakeside Golf Course</t>
  </si>
  <si>
    <t>Camden Airport</t>
  </si>
  <si>
    <t>Oran Park_Fussy Grape Winery</t>
  </si>
  <si>
    <t>Oran Park_South Creek</t>
  </si>
  <si>
    <t>Gregory Hills_Thomas Donovan Park</t>
  </si>
  <si>
    <t>Camden Valley Golf Resort</t>
  </si>
  <si>
    <t>Gregory Hills_Central Hills Dr and Lasso Rd</t>
  </si>
  <si>
    <t>Gregory Hills_Healy Ave and Donavan Blvd</t>
  </si>
  <si>
    <t>Cecil Hills Shopping Centre</t>
  </si>
  <si>
    <t>Cecil Hills High School</t>
  </si>
  <si>
    <t>Green Valley_Paramor Reserve</t>
  </si>
  <si>
    <t>Green Valley Primary School</t>
  </si>
  <si>
    <t>Elizabeth Hills</t>
  </si>
  <si>
    <t>Green Valley</t>
  </si>
  <si>
    <t>The Valley Plaza</t>
  </si>
  <si>
    <t>Hinchinbrook Primary School</t>
  </si>
  <si>
    <t>Hinchinbrook</t>
  </si>
  <si>
    <t>Hoxton Park High School</t>
  </si>
  <si>
    <t>Hinchinbrook_Whitford Rd and Centaurus Dr</t>
  </si>
  <si>
    <t>Hoxton Park_Glen Innes Rd and Hoxton Park Rd</t>
  </si>
  <si>
    <t>West Hoxton_Grimson Park</t>
  </si>
  <si>
    <t>West Hoxton</t>
  </si>
  <si>
    <t>Hoxton Park_Brownes Farm Reserve</t>
  </si>
  <si>
    <t>Hoxton Park</t>
  </si>
  <si>
    <t>Greenway Park Primary School</t>
  </si>
  <si>
    <t>Horningsea Park</t>
  </si>
  <si>
    <t>West Hoxton_Dowling St and Gould St</t>
  </si>
  <si>
    <t>Horningsea Park_John Edmondson High School</t>
  </si>
  <si>
    <t>Horningsea Park_Grand Bazaar Trash and Treasure Hoxton Park Hornings</t>
  </si>
  <si>
    <t>Casula Shopping Centre</t>
  </si>
  <si>
    <t>Casula Station</t>
  </si>
  <si>
    <t>Casula Mall Shopping Centre</t>
  </si>
  <si>
    <t>Casula</t>
  </si>
  <si>
    <t>All Saints High School</t>
  </si>
  <si>
    <t>Crossroads Homemaker Centre</t>
  </si>
  <si>
    <t>Lakeside Shopping Centre</t>
  </si>
  <si>
    <t>Chipping Norton Shopping Centre</t>
  </si>
  <si>
    <t>Chipping Norton Industrial Estate</t>
  </si>
  <si>
    <t>Chipping Norton Lake</t>
  </si>
  <si>
    <t>Moorebank High School</t>
  </si>
  <si>
    <t>Moorebank_Cooper Av and King La</t>
  </si>
  <si>
    <t>Moorebank Industrial Area</t>
  </si>
  <si>
    <t>Moorebank Shopping Plaza</t>
  </si>
  <si>
    <t>Remote Control Car Racing Moorebank</t>
  </si>
  <si>
    <t>Moorebank_Christiansen Bvd and Maddecks Av</t>
  </si>
  <si>
    <t>Moorebank Industrial</t>
  </si>
  <si>
    <t>New Brighton Golf Club Hse</t>
  </si>
  <si>
    <t>Wattle Grove</t>
  </si>
  <si>
    <t>Hammondville</t>
  </si>
  <si>
    <t>Defence Land Moorebank</t>
  </si>
  <si>
    <t>Village Plaza Shopping Centre</t>
  </si>
  <si>
    <t>Voyager Point</t>
  </si>
  <si>
    <t>Holsworthy Station</t>
  </si>
  <si>
    <t>Holsworthy_Australis Park</t>
  </si>
  <si>
    <t>Pleasure Point</t>
  </si>
  <si>
    <t>Liverpool Girls High School</t>
  </si>
  <si>
    <t>Warwick Farm Station_Browne Parade and Lachlan St</t>
  </si>
  <si>
    <t>Homemakers Centre Warwick Farm</t>
  </si>
  <si>
    <t>Megacenta Liverpool</t>
  </si>
  <si>
    <t>Warwick Farm</t>
  </si>
  <si>
    <t>Marsden Rd Primary School</t>
  </si>
  <si>
    <t>Warwick Farm Station_West</t>
  </si>
  <si>
    <t>Liverpool Pioneers Memorial Pk</t>
  </si>
  <si>
    <t>Liverpool CBD</t>
  </si>
  <si>
    <t>Warwick Farm Industrial Area_Warwick Farm Station</t>
  </si>
  <si>
    <t>Liverpool Hospital</t>
  </si>
  <si>
    <t>Liverpool_Flowerdale Rd and Memorial Av</t>
  </si>
  <si>
    <t>Liverpool Station</t>
  </si>
  <si>
    <t>Whitlam Centre Liverpool</t>
  </si>
  <si>
    <t>Liverpool_Nagle St and Hay St</t>
  </si>
  <si>
    <t>Liverpool</t>
  </si>
  <si>
    <t>Liverpool Bicentennial Museum</t>
  </si>
  <si>
    <t>Liverpool Station_East</t>
  </si>
  <si>
    <t>Liverpool_South Western Local Health District</t>
  </si>
  <si>
    <t>Cartwright</t>
  </si>
  <si>
    <t>Flowerdale Shopping Centre</t>
  </si>
  <si>
    <t>Cartwright_Church of Christ</t>
  </si>
  <si>
    <t>Lurnea</t>
  </si>
  <si>
    <t>Prestons Industrial Area_Western End</t>
  </si>
  <si>
    <t>Prestons Industrial Area_Eastern End</t>
  </si>
  <si>
    <t>Lurnea High School</t>
  </si>
  <si>
    <t>Prestons</t>
  </si>
  <si>
    <t>Prestons_Dalmeny Public School</t>
  </si>
  <si>
    <t>William Carey Christian School</t>
  </si>
  <si>
    <t>Prestons_Beech Rd and Barcelona Dr</t>
  </si>
  <si>
    <t>Prestons_Sid Neville Reserve</t>
  </si>
  <si>
    <t>Prestons_Dalmeny Reserve</t>
  </si>
  <si>
    <t>Edmonson Park_Jardine Drive and Buchan Ave</t>
  </si>
  <si>
    <t>Tree Valley Golf Course</t>
  </si>
  <si>
    <t>Edmonson Park</t>
  </si>
  <si>
    <t>Liverpool_Northumberland St and Moore St</t>
  </si>
  <si>
    <t>Liverpool_Collimore Park</t>
  </si>
  <si>
    <t>Liverpool_Lighthorse Park</t>
  </si>
  <si>
    <t>Liverpool_Pearce Park</t>
  </si>
  <si>
    <t>Liverpool_Charles St and Atkinson St</t>
  </si>
  <si>
    <t>Edmondson Park_Dalmatia Ave and Croatia Ave</t>
  </si>
  <si>
    <t>Parklea Markets</t>
  </si>
  <si>
    <t>Glenwood_Glenwood Park Dr and Malvern Rd</t>
  </si>
  <si>
    <t>Glenwood</t>
  </si>
  <si>
    <t>Glenwood_Northwest Bvd and Greenhill Dr</t>
  </si>
  <si>
    <t>Kellyville Ridge_Glenheath Park</t>
  </si>
  <si>
    <t>Castlebrook Lawn Cemetery and Crematorium</t>
  </si>
  <si>
    <t>The Ponds</t>
  </si>
  <si>
    <t>Kellyville Ridge_Fyfe Rd and Braemont Av</t>
  </si>
  <si>
    <t>Kellyville Ridge Public School</t>
  </si>
  <si>
    <t>Newbury</t>
  </si>
  <si>
    <t>The Ponds_Paddock St and Avon St</t>
  </si>
  <si>
    <t>Kellyville Ridge_Cardinale St and Bruton Ave</t>
  </si>
  <si>
    <t>Stanhope_Gardens Rothbury Tce and Newbury Av</t>
  </si>
  <si>
    <t>Newbury_Fairholme Reserve</t>
  </si>
  <si>
    <t>Stanhope Gardens</t>
  </si>
  <si>
    <t>Parklea Maximum Security Prison</t>
  </si>
  <si>
    <t>Parklea_Davison Reserve</t>
  </si>
  <si>
    <t>The Ponds High School</t>
  </si>
  <si>
    <t>The Ponds_Waterfall Park</t>
  </si>
  <si>
    <t>Hambledon Primary School</t>
  </si>
  <si>
    <t>Quakers Hill</t>
  </si>
  <si>
    <t>Quakers Hill Park</t>
  </si>
  <si>
    <t>Barnier Primary School</t>
  </si>
  <si>
    <t>Paterson Res</t>
  </si>
  <si>
    <t>University of Western Sydney</t>
  </si>
  <si>
    <t>Quakers Hill Station</t>
  </si>
  <si>
    <t>Quakers Hill Plaza</t>
  </si>
  <si>
    <t>Quakers Hill_Greenhalgh Reserve</t>
  </si>
  <si>
    <t>Acacia Gardens_Corbin Reserve</t>
  </si>
  <si>
    <t>Acacia Gardens_Waite Reserve</t>
  </si>
  <si>
    <t>Riverstone_Richmond Road North</t>
  </si>
  <si>
    <t>Vineyard Public School</t>
  </si>
  <si>
    <t>Riverstone Sewage Treatment Plant</t>
  </si>
  <si>
    <t>Riverstone_Victoria St and Hamilton St</t>
  </si>
  <si>
    <t>Riverstone_Wianamatta Creek</t>
  </si>
  <si>
    <t>Riverstone_North of Station</t>
  </si>
  <si>
    <t>Riverstone_Garfield Rd and Clarke St</t>
  </si>
  <si>
    <t>Proposed Rouse Hill Regional Park</t>
  </si>
  <si>
    <t>Riverstone Station_East</t>
  </si>
  <si>
    <t>Riverstone High School</t>
  </si>
  <si>
    <t>Riverstone_Cleveland Road and Farm Road</t>
  </si>
  <si>
    <t>Rouse Hill Regional Park</t>
  </si>
  <si>
    <t>Riverstone Public School</t>
  </si>
  <si>
    <t>Riverstone Cemetery</t>
  </si>
  <si>
    <t>Riverstone_McCulloch St and Cranbourne St</t>
  </si>
  <si>
    <t>Marsden Park_Wianamatta Creek</t>
  </si>
  <si>
    <t>Rouse Hill_Tallawong Rd and Macquarie Rd</t>
  </si>
  <si>
    <t>Vinegar Hill</t>
  </si>
  <si>
    <t>Marsden Park_Clydesdale Dairy</t>
  </si>
  <si>
    <t>Riverstone</t>
  </si>
  <si>
    <t>Schofields_Boundary Rd and Gordon Rd</t>
  </si>
  <si>
    <t>Schofields Park</t>
  </si>
  <si>
    <t>Marsden Park Public School</t>
  </si>
  <si>
    <t>Schofields_Vine St East and Carnarvon Rd</t>
  </si>
  <si>
    <t>Marsden Park</t>
  </si>
  <si>
    <t>Schofields_St Josephs</t>
  </si>
  <si>
    <t>Schofields_Pelican Rd and Burdekin Rd</t>
  </si>
  <si>
    <t>Schofields_St Josephs catholic Primary School</t>
  </si>
  <si>
    <t>Schofields_Fire Station</t>
  </si>
  <si>
    <t>Glengarrie Trial Track</t>
  </si>
  <si>
    <t>Blacktown Equestrian Centre</t>
  </si>
  <si>
    <t>Schofields_New Station</t>
  </si>
  <si>
    <t>Grange Avenue Reserve</t>
  </si>
  <si>
    <t>Shanes Park_Shane Park Rd and Whites Rd</t>
  </si>
  <si>
    <t>Shanes Park_AirServices Australia</t>
  </si>
  <si>
    <t>Shanes Park</t>
  </si>
  <si>
    <t>Marsden Park_Al-Masjid Bait-Ul Huda Mosque</t>
  </si>
  <si>
    <t>Former Schofields Aerodrome</t>
  </si>
  <si>
    <t>Stonecutters Ridge Golf Course</t>
  </si>
  <si>
    <t>Rouse Hill_Tallawong Rd and Guntawong Rd</t>
  </si>
  <si>
    <t>Rouse Hill_Gordon Rd and Oak St</t>
  </si>
  <si>
    <t>Rouse Hill_Bella Parade and Barbola St</t>
  </si>
  <si>
    <t>Schofields_First Ponds Creek</t>
  </si>
  <si>
    <t>Bidwill High School</t>
  </si>
  <si>
    <t>Blackett</t>
  </si>
  <si>
    <t>Blackett Heights Reserve</t>
  </si>
  <si>
    <t>Emerton Village Shopping Centre</t>
  </si>
  <si>
    <t>Mount Druitt High School</t>
  </si>
  <si>
    <t>Hebersham Primary School</t>
  </si>
  <si>
    <t>Dean Park Shopping Centre</t>
  </si>
  <si>
    <t>Glendenning Public School</t>
  </si>
  <si>
    <t>Glendenning</t>
  </si>
  <si>
    <t>Blacktown City Canine Centre</t>
  </si>
  <si>
    <t>Glendenning Industrial Area_Glendenning Rd and Kilto Cr</t>
  </si>
  <si>
    <t>Hassall Grove Plaza</t>
  </si>
  <si>
    <t>Oakhurst_Hanna Reserve</t>
  </si>
  <si>
    <t>Oakhurst</t>
  </si>
  <si>
    <t>Oakhurst_Sir Douglas Mawson Reserve</t>
  </si>
  <si>
    <t>Plumpton Market Place</t>
  </si>
  <si>
    <t>Alroy House Plumpton</t>
  </si>
  <si>
    <t>Plumpton Park</t>
  </si>
  <si>
    <t>Willmot</t>
  </si>
  <si>
    <t>Ropes Crossing</t>
  </si>
  <si>
    <t>Shalvey High School</t>
  </si>
  <si>
    <t>St Marys_Susannah Dr and Pulley Dr</t>
  </si>
  <si>
    <t>Lethbridge Park</t>
  </si>
  <si>
    <t>Tregear</t>
  </si>
  <si>
    <t>Whalan Primary School</t>
  </si>
  <si>
    <t>Whalan High School</t>
  </si>
  <si>
    <t>Mount Druitt_North</t>
  </si>
  <si>
    <t>Mount Druitt_South</t>
  </si>
  <si>
    <t>Cumberland Industries</t>
  </si>
  <si>
    <t>Westfield_Mt Druitt Station_North</t>
  </si>
  <si>
    <t>Mount Druitt Hospital _ TAFE</t>
  </si>
  <si>
    <t>Mount Druitt_Mount Druitt Rd and Durham St</t>
  </si>
  <si>
    <t>Mount Druitt Station_South</t>
  </si>
  <si>
    <t>Arndell Park</t>
  </si>
  <si>
    <t>Huntingwood Industrial Area</t>
  </si>
  <si>
    <t>Hanson Wallgrove Quarry</t>
  </si>
  <si>
    <t>Eastern Creek Raceway</t>
  </si>
  <si>
    <t>Prospect Reservoir</t>
  </si>
  <si>
    <t>Rooty Hill_Hamrun Circuit and Willis St</t>
  </si>
  <si>
    <t>Rooty Hill</t>
  </si>
  <si>
    <t>Glendenning Industrial Area_Southern End</t>
  </si>
  <si>
    <t>Rooty Hill Station_North</t>
  </si>
  <si>
    <t>Rooty Hill Station_South</t>
  </si>
  <si>
    <t>Minchinbury Community Hospital</t>
  </si>
  <si>
    <t>St Agnes Girls High School</t>
  </si>
  <si>
    <t>Blacktown Olympic Park</t>
  </si>
  <si>
    <t>Minchinbury_Hometown</t>
  </si>
  <si>
    <t>Minchinbury Shopping Centre</t>
  </si>
  <si>
    <t>Minchinbury Sports Ground</t>
  </si>
  <si>
    <t>Animal Quarantine Station Minchinbury</t>
  </si>
  <si>
    <t>Eastern Creek_Pikes Lane</t>
  </si>
  <si>
    <t>Kings Park_Faulkland Cr and Madagascar Dr</t>
  </si>
  <si>
    <t>Blacktown Industrial Area_Northern End</t>
  </si>
  <si>
    <t>Blacktown_Garden St and Turner St</t>
  </si>
  <si>
    <t>Blacktown Industrial Area_Southern End</t>
  </si>
  <si>
    <t>Blacktown_Harold St and Sackville St</t>
  </si>
  <si>
    <t>Blacktown Station_North</t>
  </si>
  <si>
    <t>Blacktown_Boyd St and Clifton St</t>
  </si>
  <si>
    <t>Westpoint Centre_Blacktown Station_South</t>
  </si>
  <si>
    <t>Patrician Brothers College</t>
  </si>
  <si>
    <t>Blacktown District Hospital</t>
  </si>
  <si>
    <t>Blacktown Mega Centre</t>
  </si>
  <si>
    <t>Blacktown_Prince St and Second Ave</t>
  </si>
  <si>
    <t>Blacktown City Council</t>
  </si>
  <si>
    <t>Quakers Hill Shopping Complex</t>
  </si>
  <si>
    <t>Tallagandra Dr and Narcissus Ave</t>
  </si>
  <si>
    <t>Marayong Station_West</t>
  </si>
  <si>
    <t>John Paul Ii Senior High School</t>
  </si>
  <si>
    <t>Blacktown_Love St and Becharry Rd</t>
  </si>
  <si>
    <t>Blacktown Showground</t>
  </si>
  <si>
    <t>Blacktown_St Patricks Primary School</t>
  </si>
  <si>
    <t>Blacktown_Brewongle Reserve</t>
  </si>
  <si>
    <t>Blacktown_Athlone St and Monash Rd</t>
  </si>
  <si>
    <t>Blacktown_Walters Rd and Newton Rd</t>
  </si>
  <si>
    <t>Blacktown_Bellevue Park</t>
  </si>
  <si>
    <t>Evans High School</t>
  </si>
  <si>
    <t>Mitchell High School</t>
  </si>
  <si>
    <t>Blacktown South Primary School</t>
  </si>
  <si>
    <t>Blacktown_Highview St and Apex St</t>
  </si>
  <si>
    <t>Blacktown_Pendant Av and Lancelot St</t>
  </si>
  <si>
    <t>Nagle Girls High School</t>
  </si>
  <si>
    <t>Doonside High School</t>
  </si>
  <si>
    <t>Lake Woodcroft</t>
  </si>
  <si>
    <t>Doonside Station_North</t>
  </si>
  <si>
    <t>Woodcroft</t>
  </si>
  <si>
    <t>Doonside Station_South</t>
  </si>
  <si>
    <t>Doonside</t>
  </si>
  <si>
    <t>Blacktown_Bungarribee Homestead Park</t>
  </si>
  <si>
    <t>Kings Langley Shopping Centre</t>
  </si>
  <si>
    <t>Kings Langley</t>
  </si>
  <si>
    <t>Solander Centre</t>
  </si>
  <si>
    <t>Lalor Park_Wheeler St and Northcott Rd</t>
  </si>
  <si>
    <t>Lalor Park</t>
  </si>
  <si>
    <t>Seven Hills High School</t>
  </si>
  <si>
    <t>Seven Hills_Melody Gardens</t>
  </si>
  <si>
    <t>Seven Hills_Barbara Bvd and Dulcie St</t>
  </si>
  <si>
    <t>Seven Hills_Pioneer Park</t>
  </si>
  <si>
    <t>Seven Hills Industrial Area</t>
  </si>
  <si>
    <t>Seven Hills Station_North</t>
  </si>
  <si>
    <t>Seven Hills Industrial Area_Eastern End</t>
  </si>
  <si>
    <t>Bert Oldfield Primary School</t>
  </si>
  <si>
    <t>Seven Hills</t>
  </si>
  <si>
    <t>Seven Hills_Duncan Park</t>
  </si>
  <si>
    <t>Toongabbie Station_West</t>
  </si>
  <si>
    <t>Seven Hills_Columbia Rd and Vesuvius St</t>
  </si>
  <si>
    <t>Toongabbie_Kura Park</t>
  </si>
  <si>
    <t>Prospect</t>
  </si>
  <si>
    <t>Metella Rd Primary School</t>
  </si>
  <si>
    <t>Home Base Prospect</t>
  </si>
  <si>
    <t>Prospect Nature Reserve</t>
  </si>
  <si>
    <t>Colo Heights</t>
  </si>
  <si>
    <t>Cumberland Reach</t>
  </si>
  <si>
    <t>East Kurrajong</t>
  </si>
  <si>
    <t>Kurrajong</t>
  </si>
  <si>
    <t>Ebenezer</t>
  </si>
  <si>
    <t>Bells Line of Road Bilpin_North</t>
  </si>
  <si>
    <t>Glossodia</t>
  </si>
  <si>
    <t>Bells Line of Road Bilpin_South</t>
  </si>
  <si>
    <t>Wilberforce_Wilberforce Rd and King Rd</t>
  </si>
  <si>
    <t>Hawkesbury High School</t>
  </si>
  <si>
    <t>Kurrajong Public School</t>
  </si>
  <si>
    <t>Kuyper Christian School</t>
  </si>
  <si>
    <t>Maroota</t>
  </si>
  <si>
    <t>Cattai Homestead_historic</t>
  </si>
  <si>
    <t>Glenorie Shopping Centre</t>
  </si>
  <si>
    <t>Jackeroo Ranch Kenthurst</t>
  </si>
  <si>
    <t>Kenthurst Shopping Centre</t>
  </si>
  <si>
    <t>Middle Dural</t>
  </si>
  <si>
    <t>Annangrove</t>
  </si>
  <si>
    <t>Kenthurst</t>
  </si>
  <si>
    <t>Kenthurst Galleries</t>
  </si>
  <si>
    <t>Old Northern Gallery Dural</t>
  </si>
  <si>
    <t>Dural Mall Shopping Centre</t>
  </si>
  <si>
    <t>Dural_Hemers Rd and Quarry Rd</t>
  </si>
  <si>
    <t>Dural</t>
  </si>
  <si>
    <t>Marramarra NP</t>
  </si>
  <si>
    <t>Vision Valley Conference Centre</t>
  </si>
  <si>
    <t>Galston Village Shopping Centre</t>
  </si>
  <si>
    <t>Pitt Town Village Shopping Centre</t>
  </si>
  <si>
    <t>Riverside Ski Park Cattai</t>
  </si>
  <si>
    <t>Pitt Town Lagoon</t>
  </si>
  <si>
    <t>Maraylya</t>
  </si>
  <si>
    <t>Mcgrath's Hill Shopping Centre</t>
  </si>
  <si>
    <t>Oakville Primary School</t>
  </si>
  <si>
    <t>Mulgrave Station</t>
  </si>
  <si>
    <t>Vineyard_Wallace Rd and Level Crossing Rd</t>
  </si>
  <si>
    <t>Vineyard_A-Vina Caravan Park</t>
  </si>
  <si>
    <t>Box Hill_Terry Rd_West</t>
  </si>
  <si>
    <t>Box Hill_Red Gables Road</t>
  </si>
  <si>
    <t>Box Hill_Nelson Rural Fire Service</t>
  </si>
  <si>
    <t>Box Hill_Torrenson Place</t>
  </si>
  <si>
    <t>Nelson</t>
  </si>
  <si>
    <t>Box Hill_Kingston Park Equestrian Centre</t>
  </si>
  <si>
    <t>Box Hill_Killarney Practice Fairway</t>
  </si>
  <si>
    <t>Box Hill_Town Rd and Mason Rd</t>
  </si>
  <si>
    <t>Box Hill_Anthony Skarrat Reserve</t>
  </si>
  <si>
    <t>Rouse Hill Stp Sydney Water</t>
  </si>
  <si>
    <t>Nursery Industry Association Of Nsw Rouse Hill</t>
  </si>
  <si>
    <t>Kellyville</t>
  </si>
  <si>
    <t>Kellyville_Wellgate Av and Hermitage Cr</t>
  </si>
  <si>
    <t>Rouse Hill High School</t>
  </si>
  <si>
    <t>Kellyville_Dudley Reserve</t>
  </si>
  <si>
    <t>Rouse Hill_Bara Way and Nuwi St</t>
  </si>
  <si>
    <t>Kellyville_Foxall Rd and Kendall Pl</t>
  </si>
  <si>
    <t>Beaumont Hills Primary School</t>
  </si>
  <si>
    <t>Beaumont Hills_Turkeys Nest Park</t>
  </si>
  <si>
    <t>Beaumont Hills</t>
  </si>
  <si>
    <t>Kellyville_Smalls Creek_North</t>
  </si>
  <si>
    <t>Rouse Hill Town Centre</t>
  </si>
  <si>
    <t>Bella Vista_Highrange Terrace and Springdale Rise</t>
  </si>
  <si>
    <t>Baulkham Hills_Strangers Creek Park</t>
  </si>
  <si>
    <t>Bella Vista_Woolworths Group</t>
  </si>
  <si>
    <t>Bella Vista_Reston Grange and Barina Downs Rd</t>
  </si>
  <si>
    <t>Kellyville_Hills Adventist College</t>
  </si>
  <si>
    <t>Castle Hill_Cheltenham Cl and Winchcombe Pl</t>
  </si>
  <si>
    <t>The Hills Private Hospital</t>
  </si>
  <si>
    <t>Baulkham Hills North Primary School</t>
  </si>
  <si>
    <t>Baulkham Hills_Hill St and Kristine Ave</t>
  </si>
  <si>
    <t>Baulkham Hills_Coronation Rd and Keene St</t>
  </si>
  <si>
    <t>Seven Hills_Thomas Extrem Reserve</t>
  </si>
  <si>
    <t>Stockland Mall Baulkham Hills</t>
  </si>
  <si>
    <t>Baulkham Hills_Cook St and Park Renown Rd</t>
  </si>
  <si>
    <t>Winston Hills Shopping Centre</t>
  </si>
  <si>
    <t>Baulkham Hills</t>
  </si>
  <si>
    <t>Baulkham Hills_Seven Hills Rd and Cropley Dr</t>
  </si>
  <si>
    <t>Castle Hill_Dewhurst Ave and Ulundri Dr</t>
  </si>
  <si>
    <t>Castle Hill Country Club</t>
  </si>
  <si>
    <t>Bella Vista</t>
  </si>
  <si>
    <t>Norwest Lake</t>
  </si>
  <si>
    <t>Baulkham Hills_Norwest Bvd and Columbia Av</t>
  </si>
  <si>
    <t>Bella Vista_Commercial Area</t>
  </si>
  <si>
    <t>Norwest Business Park_Western End</t>
  </si>
  <si>
    <t>Baulkham Hills_Crestwood Dr and Albion Pl</t>
  </si>
  <si>
    <t>Crestwood High School</t>
  </si>
  <si>
    <t>Bella Vista_Bella Vista Dr and Saxonvale Rd</t>
  </si>
  <si>
    <t>Bella Vista Industrial Area</t>
  </si>
  <si>
    <t>Bella Vista_Bingara Cr and Providence Dr</t>
  </si>
  <si>
    <t>Crestwood Shopping Centre</t>
  </si>
  <si>
    <t>Baulkham Hills_Palace Rd and Buckingham Rd</t>
  </si>
  <si>
    <t>Baulkham Hills_Seven Hills Rd and Merinda Rd</t>
  </si>
  <si>
    <t>Castle Hill Library</t>
  </si>
  <si>
    <t>Castle Hill_Hume Ave and Cecil Ave</t>
  </si>
  <si>
    <t>Knightsbridge</t>
  </si>
  <si>
    <t>Castle Hill_Yaringa Road and Applecross Av</t>
  </si>
  <si>
    <t>Castle Hill High School</t>
  </si>
  <si>
    <t>Castle Hill_Old Castle Hill Rd and Tuckwell Rd</t>
  </si>
  <si>
    <t>Castle Hill Industrial Estate</t>
  </si>
  <si>
    <t>Castle Towers</t>
  </si>
  <si>
    <t>Castle Hill_Hudson Av and Salisbury Rd</t>
  </si>
  <si>
    <t>Castle Hill_Middleton Av and Dawes Av</t>
  </si>
  <si>
    <t>Castle Mall</t>
  </si>
  <si>
    <t>Castle Hill_Crane Rd and Cecil Av</t>
  </si>
  <si>
    <t>Castle Hill_Greenup Park</t>
  </si>
  <si>
    <t>Excelsior Primary School</t>
  </si>
  <si>
    <t>Castle Hill_Gary St and Narelle Av</t>
  </si>
  <si>
    <t>Castle Hill_Darcey Rd and Castlewood Dr</t>
  </si>
  <si>
    <t>Castle Hill</t>
  </si>
  <si>
    <t>Castle Hill Showground</t>
  </si>
  <si>
    <t>Castle Hill Public School</t>
  </si>
  <si>
    <t>Appletree Shopping Centre</t>
  </si>
  <si>
    <t>Castle Hill_Marymount Mercy Centre</t>
  </si>
  <si>
    <t>Cherrybrook Village Shopping Centre</t>
  </si>
  <si>
    <t>Castle Hill_Westminister Dr and Windsor Ct</t>
  </si>
  <si>
    <t>Cherrybrook</t>
  </si>
  <si>
    <t>Cherrybrook Primary School</t>
  </si>
  <si>
    <t>The Castle Hill Villages</t>
  </si>
  <si>
    <t>Cherrybrook_Boundary Rd and Cedarwood Dr</t>
  </si>
  <si>
    <t>Tangara School</t>
  </si>
  <si>
    <t>Castle Hill_Sherwin Ave and Whitling Ave</t>
  </si>
  <si>
    <t>West Pennant Hills_Highs Rd and Yarpole Ave</t>
  </si>
  <si>
    <t>Glenhaven_Glenhaven Rd and Mills Rd</t>
  </si>
  <si>
    <t>Glenhaven Court Shopping Centre</t>
  </si>
  <si>
    <t>Glenhaven</t>
  </si>
  <si>
    <t>Kellyville_Riley T-Way</t>
  </si>
  <si>
    <t>Kellyville_Old Windsor Rd and Memorial Ave_North</t>
  </si>
  <si>
    <t>Bernie Mullane Sports Complex</t>
  </si>
  <si>
    <t>Sherwood Ridge Primary</t>
  </si>
  <si>
    <t>Mclaughlin Bridge Kellyville</t>
  </si>
  <si>
    <t>Kellyville Primary School</t>
  </si>
  <si>
    <t>Elizabeth Macarthur Park</t>
  </si>
  <si>
    <t>Kellyville High School</t>
  </si>
  <si>
    <t>The Village Centre</t>
  </si>
  <si>
    <t>Kellyville_Arnold Ave and Minorca Ave</t>
  </si>
  <si>
    <t>Castle Hill_Kings Rd and Queens Ct</t>
  </si>
  <si>
    <t>St Angelas Primary School</t>
  </si>
  <si>
    <t>Kellyville Christmas Tree Farm</t>
  </si>
  <si>
    <t>Kellyville Memorial Park</t>
  </si>
  <si>
    <t>Cherrybook_Robert Road Park East</t>
  </si>
  <si>
    <t>Cherrybook_Robert Road Park West</t>
  </si>
  <si>
    <t>West Pennant Hills</t>
  </si>
  <si>
    <t>Mount Wilberforce Lookout West Pennant Hills</t>
  </si>
  <si>
    <t>Coonara Shopping Centre</t>
  </si>
  <si>
    <t>West Pennant Hills_Highs Rd and Southwood Pl</t>
  </si>
  <si>
    <t>West Pennant Hills_Oakes Rd and Wildara Av</t>
  </si>
  <si>
    <t>Kellyville_Gracewood Retirement Village</t>
  </si>
  <si>
    <t>Kellyville_Burns T-Way</t>
  </si>
  <si>
    <t>Cherrybook_Treetops Rd and Forest Cl</t>
  </si>
  <si>
    <t>Kellyville_Sandstock Way and New Holland Drive</t>
  </si>
  <si>
    <t>Cherrybook_Janice Pl and Dantic Pl</t>
  </si>
  <si>
    <t>Kellyville_Fairway Drive and Laura St</t>
  </si>
  <si>
    <t>Bell Station</t>
  </si>
  <si>
    <t>Mount Victoria Station</t>
  </si>
  <si>
    <t>Blackheath Station</t>
  </si>
  <si>
    <t>Megalong Valley</t>
  </si>
  <si>
    <t>Warrimoo Station</t>
  </si>
  <si>
    <t>Mount Riverview Shopping Centre</t>
  </si>
  <si>
    <t>Blaxland Station_North</t>
  </si>
  <si>
    <t>East Blaxland Shopping Centre</t>
  </si>
  <si>
    <t>Blaxland Station_South</t>
  </si>
  <si>
    <t>Knapsack Park_RAAF HQ</t>
  </si>
  <si>
    <t>Glenbrook Station</t>
  </si>
  <si>
    <t>Lapstone Station_West</t>
  </si>
  <si>
    <t>Mt Charles</t>
  </si>
  <si>
    <t>Medlow Bath Station</t>
  </si>
  <si>
    <t>Katoomba Cemetery</t>
  </si>
  <si>
    <t>Leura Station_North</t>
  </si>
  <si>
    <t>Katoomba High School</t>
  </si>
  <si>
    <t>Katoomba Station_North</t>
  </si>
  <si>
    <t>Katoomba Station_South</t>
  </si>
  <si>
    <t>Leura Station_South</t>
  </si>
  <si>
    <t>Hazelbrook Station</t>
  </si>
  <si>
    <t>Linden Station</t>
  </si>
  <si>
    <t>Lawson Station</t>
  </si>
  <si>
    <t>Bullaburra Station</t>
  </si>
  <si>
    <t>Woodford Station</t>
  </si>
  <si>
    <t>Winmalee Shopping Centre</t>
  </si>
  <si>
    <t>Springwood Hospital</t>
  </si>
  <si>
    <t>Springwood High School</t>
  </si>
  <si>
    <t>Yellow Rock Lookout</t>
  </si>
  <si>
    <t>Springwood Country Club</t>
  </si>
  <si>
    <t>Springwood Station_North</t>
  </si>
  <si>
    <t>Faulconbridge Station</t>
  </si>
  <si>
    <t>Valley Heights Station_North</t>
  </si>
  <si>
    <t>Springwood Station_South</t>
  </si>
  <si>
    <t>Valley Heights Station_South</t>
  </si>
  <si>
    <t>Wenworth Falls Country Club</t>
  </si>
  <si>
    <t>Wentworth Falls_Falls Rd and Great Western Hwy</t>
  </si>
  <si>
    <t>Wentworth Falls Station</t>
  </si>
  <si>
    <t>Colo High School</t>
  </si>
  <si>
    <t>Richmond</t>
  </si>
  <si>
    <t>Richmond North Public School</t>
  </si>
  <si>
    <t>Richmond Station</t>
  </si>
  <si>
    <t>Richmond RAAF Base</t>
  </si>
  <si>
    <t>Hobartville</t>
  </si>
  <si>
    <t>Clarendon Station</t>
  </si>
  <si>
    <t>Windsor Town Centre</t>
  </si>
  <si>
    <t>Windsor Station</t>
  </si>
  <si>
    <t>South Windsor Industrial Area</t>
  </si>
  <si>
    <t>Chisholm Catholic Primary School</t>
  </si>
  <si>
    <t>South Windsor</t>
  </si>
  <si>
    <t>Bligh Park Shopping Centre</t>
  </si>
  <si>
    <t>Bligh Park</t>
  </si>
  <si>
    <t>Windsor Downs</t>
  </si>
  <si>
    <t>River Park Christian Youth Camp</t>
  </si>
  <si>
    <t>Londonderry_Milford Rd and Carrington Rd</t>
  </si>
  <si>
    <t>Richmond Greyhound Racing Club</t>
  </si>
  <si>
    <t>Londonderry_Bennett Rd and Carrington Rd</t>
  </si>
  <si>
    <t>John Morony Corrections Centre</t>
  </si>
  <si>
    <t>Cambridge Gardens</t>
  </si>
  <si>
    <t>Werrington Downs</t>
  </si>
  <si>
    <t>Werrington County</t>
  </si>
  <si>
    <t>Cambridge Park</t>
  </si>
  <si>
    <t>Cambridge Park High School</t>
  </si>
  <si>
    <t>Werrington County Shopping Village</t>
  </si>
  <si>
    <t>Cambridge Park_Devon Park</t>
  </si>
  <si>
    <t>Penrith Lakes</t>
  </si>
  <si>
    <t>Castlereagh Public School</t>
  </si>
  <si>
    <t>Cranebrook_Andromeda Dr and Vincent Rd</t>
  </si>
  <si>
    <t>Llandilo Public School</t>
  </si>
  <si>
    <t>Henry Fulton Primary School</t>
  </si>
  <si>
    <t>Sydney International Regatta Centre</t>
  </si>
  <si>
    <t>Cranebrook_Owens Park</t>
  </si>
  <si>
    <t>Cranebrook</t>
  </si>
  <si>
    <t>Mt Pleasant Shopping Centre</t>
  </si>
  <si>
    <t>McGarritys Hill</t>
  </si>
  <si>
    <t>Cranebrook_Pensax Rd and Sherringham Rd</t>
  </si>
  <si>
    <t>Llandilo</t>
  </si>
  <si>
    <t>Jordan Springs</t>
  </si>
  <si>
    <t>Emu Heights</t>
  </si>
  <si>
    <t>Emu Plains Station_North</t>
  </si>
  <si>
    <t>Emu Plains Station_South</t>
  </si>
  <si>
    <t>Emu Plains</t>
  </si>
  <si>
    <t>Lennox Shopping Centre</t>
  </si>
  <si>
    <t>Lapstone Station_East</t>
  </si>
  <si>
    <t>Regentville</t>
  </si>
  <si>
    <t>Regentville Public School</t>
  </si>
  <si>
    <t>Glenmore Park</t>
  </si>
  <si>
    <t>Glenmore Park_Lady Jamison Dr and Stein Pl</t>
  </si>
  <si>
    <t>Glenmore Park_Penrith Golf and Recreation Club</t>
  </si>
  <si>
    <t>Glenmore Park High School</t>
  </si>
  <si>
    <t>Glenmore Park_Forest Ridge Park</t>
  </si>
  <si>
    <t>Glenmore Park_Blue Hills Wetland</t>
  </si>
  <si>
    <t>Jamisontown Industrial Area</t>
  </si>
  <si>
    <t>South Penrith</t>
  </si>
  <si>
    <t>South Penrith_Fragar Rd and Smith St</t>
  </si>
  <si>
    <t>Jamisontown</t>
  </si>
  <si>
    <t>Southlands Shopping Centre</t>
  </si>
  <si>
    <t>Jamison High School</t>
  </si>
  <si>
    <t>Werrington Station_North</t>
  </si>
  <si>
    <t>Kingswood Station_North</t>
  </si>
  <si>
    <t>Werrington Public School</t>
  </si>
  <si>
    <t>Kingswood Station_South</t>
  </si>
  <si>
    <t>Kingswood</t>
  </si>
  <si>
    <t>Werrington Station_South_Uni of Western Sydney</t>
  </si>
  <si>
    <t>Kingswood High School</t>
  </si>
  <si>
    <t>Tafe Nsw Western Sydney</t>
  </si>
  <si>
    <t>Claremont Meadows_Myrtle St Fields</t>
  </si>
  <si>
    <t>Claremont Meadows Shopping Centre</t>
  </si>
  <si>
    <t>Glenmore Park_Surveyors Creek</t>
  </si>
  <si>
    <t>Kingswood_Statfford St and Somerset St</t>
  </si>
  <si>
    <t>Orchard Hills</t>
  </si>
  <si>
    <t>Orchard Hills_Homestead Rd</t>
  </si>
  <si>
    <t>Orchard Hills Golf Club</t>
  </si>
  <si>
    <t>Mulgoa</t>
  </si>
  <si>
    <t>Kingswood Golf Club</t>
  </si>
  <si>
    <t>Penrith Landfill Depot</t>
  </si>
  <si>
    <t>Rileys Mountain Lookout</t>
  </si>
  <si>
    <t>Luddenham_Model Park SSME</t>
  </si>
  <si>
    <t>Twin Creeks Golf Course</t>
  </si>
  <si>
    <t>Wallacia</t>
  </si>
  <si>
    <t>Luddenham Hall</t>
  </si>
  <si>
    <t>Luddenham</t>
  </si>
  <si>
    <t>Orchard Hills_South Creek</t>
  </si>
  <si>
    <t>Luddenham Road</t>
  </si>
  <si>
    <t>Penrith_Crane Enfield Metals</t>
  </si>
  <si>
    <t>Penrith Industrial Area_North West</t>
  </si>
  <si>
    <t>Penrith</t>
  </si>
  <si>
    <t>Penrith Station Car Park</t>
  </si>
  <si>
    <t>Governor Phillip Special Hospital</t>
  </si>
  <si>
    <t>Penrith CBD_Penrith Station_South</t>
  </si>
  <si>
    <t>Penrith Panthers</t>
  </si>
  <si>
    <t>Penrith_Nepean Square</t>
  </si>
  <si>
    <t>Penrith_Spence Park</t>
  </si>
  <si>
    <t>Kemps Creeks_Elizabeth Dr North</t>
  </si>
  <si>
    <t>Warragamba Plaza</t>
  </si>
  <si>
    <t>Silverdale</t>
  </si>
  <si>
    <t>Penrith High School</t>
  </si>
  <si>
    <t>Penrith_TAFE NSW</t>
  </si>
  <si>
    <t>Erskine Park Shopping Centre</t>
  </si>
  <si>
    <t>James Erskine High School</t>
  </si>
  <si>
    <t>Mount Vernon_Erskine Park Landfill and Recycling</t>
  </si>
  <si>
    <t>St Clair_Mark Leece Sport Complex</t>
  </si>
  <si>
    <t>St Clair_Mamre rd and Banks Dr</t>
  </si>
  <si>
    <t>St Clair_Clairgate Public School</t>
  </si>
  <si>
    <t>St Clair Shopping Centre</t>
  </si>
  <si>
    <t>St Clair_Mamre Rd and Mcintyre Av</t>
  </si>
  <si>
    <t>St Clair_Blackwell Av and Coowarra Dr</t>
  </si>
  <si>
    <t>St Marys Station_South_East</t>
  </si>
  <si>
    <t>St Marys Fire Station</t>
  </si>
  <si>
    <t>3m Distribution Centre</t>
  </si>
  <si>
    <t>St Marys Industrial Area_Northern End</t>
  </si>
  <si>
    <t>Dunheved High School</t>
  </si>
  <si>
    <t>St Marys Station_North</t>
  </si>
  <si>
    <t>Integral Energy Mt Druitt</t>
  </si>
  <si>
    <t>St Marys Station_South_West</t>
  </si>
  <si>
    <t>St Marys_Australia St and Brisbane St</t>
  </si>
  <si>
    <t>Oxley Park</t>
  </si>
  <si>
    <t>St Marys</t>
  </si>
  <si>
    <t>St Marys South Primary School</t>
  </si>
  <si>
    <t>Colyton</t>
  </si>
  <si>
    <t>Colyton Shopping Centre</t>
  </si>
  <si>
    <t>Colyton_Bennet Rd Public School</t>
  </si>
  <si>
    <t>Base 30 Mins</t>
  </si>
  <si>
    <t>Base 45 Mins</t>
  </si>
  <si>
    <t>Base 60 Mins</t>
  </si>
  <si>
    <t xml:space="preserve">30 Min Lin </t>
  </si>
  <si>
    <t>45 Min Lin</t>
  </si>
  <si>
    <t>60 Min Lin</t>
  </si>
  <si>
    <t>30 Min Log</t>
  </si>
  <si>
    <t>45 Min Log</t>
  </si>
  <si>
    <t>60 Min Log</t>
  </si>
  <si>
    <t>Coefficients</t>
  </si>
  <si>
    <t>Linear</t>
  </si>
  <si>
    <t>Log</t>
  </si>
  <si>
    <t>30 Min</t>
  </si>
  <si>
    <t>45 Min</t>
  </si>
  <si>
    <t>60 Min</t>
  </si>
  <si>
    <t>LVA</t>
  </si>
  <si>
    <t>Land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</si>
</sst>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_-&quot;$&quot;* #,##0.000_-;\-&quot;$&quot;* #,##0.000_-;_-&quot;$&quot;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16" fillId="0" borderId="0" xfId="0" applyFont="1"/>
    <xf numFmtId="44" fontId="0" fillId="0" borderId="0" xfId="1" applyFont="1"/>
    <xf numFmtId="44" fontId="16" fillId="0" borderId="0" xfId="0" applyNumberFormat="1" applyFont="1"/>
    <xf numFmtId="0" fontId="0" fillId="33" borderId="0" xfId="0" applyFill="1"/>
    <xf numFmtId="164" fontId="0" fillId="0" borderId="0" xfId="1" applyNumberFormat="1" applyFont="1"/>
    <xf numFmtId="165" fontId="0" fillId="0" borderId="0" xfId="1" applyNumberFormat="1" applyFon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ED7-B5A1-41F1-9DBF-9D20DC70A321}">
  <dimension ref="A1:Y2563"/>
  <sheetViews>
    <sheetView tabSelected="1" workbookViewId="0">
      <selection activeCell="W25" sqref="W25"/>
    </sheetView>
  </sheetViews>
  <sheetFormatPr defaultRowHeight="15" x14ac:dyDescent="0.25"/>
  <cols>
    <col min="12" max="12" width="10.140625" bestFit="1" customWidth="1"/>
    <col min="13" max="14" width="9.7109375" bestFit="1" customWidth="1"/>
    <col min="15" max="17" width="10.140625" bestFit="1" customWidth="1"/>
    <col min="19" max="19" width="10.140625" bestFit="1" customWidth="1"/>
    <col min="20" max="20" width="10" customWidth="1"/>
    <col min="21" max="21" width="16.28515625" bestFit="1" customWidth="1"/>
    <col min="22" max="22" width="12.5703125" bestFit="1" customWidth="1"/>
    <col min="23" max="23" width="12" bestFit="1" customWidth="1"/>
    <col min="24" max="25" width="14.28515625" bestFit="1" customWidth="1"/>
  </cols>
  <sheetData>
    <row r="1" spans="1:25" x14ac:dyDescent="0.25">
      <c r="A1" t="s">
        <v>0</v>
      </c>
      <c r="B1" t="s">
        <v>2570</v>
      </c>
      <c r="C1" t="s">
        <v>1</v>
      </c>
      <c r="D1" t="s">
        <v>2571</v>
      </c>
      <c r="E1" t="s">
        <v>2</v>
      </c>
      <c r="F1" t="s">
        <v>2572</v>
      </c>
      <c r="G1" t="s">
        <v>3</v>
      </c>
      <c r="H1" t="s">
        <v>4</v>
      </c>
      <c r="J1" t="s">
        <v>5</v>
      </c>
      <c r="K1" t="s">
        <v>6</v>
      </c>
      <c r="L1" t="s">
        <v>2573</v>
      </c>
      <c r="M1" t="s">
        <v>2574</v>
      </c>
      <c r="N1" t="s">
        <v>2575</v>
      </c>
      <c r="O1" t="s">
        <v>2576</v>
      </c>
      <c r="P1" t="s">
        <v>2577</v>
      </c>
      <c r="Q1" t="s">
        <v>2578</v>
      </c>
      <c r="T1" s="2" t="s">
        <v>2579</v>
      </c>
      <c r="U1" t="s">
        <v>2580</v>
      </c>
      <c r="V1" t="s">
        <v>2581</v>
      </c>
      <c r="X1" s="2" t="s">
        <v>2586</v>
      </c>
    </row>
    <row r="2" spans="1:25" x14ac:dyDescent="0.25">
      <c r="A2">
        <v>1</v>
      </c>
      <c r="B2">
        <v>304694.05829999998</v>
      </c>
      <c r="C2">
        <v>0</v>
      </c>
      <c r="D2">
        <v>637053.04879999999</v>
      </c>
      <c r="E2">
        <v>0</v>
      </c>
      <c r="F2">
        <v>1099931.1640000001</v>
      </c>
      <c r="G2">
        <v>2977.7150000000001</v>
      </c>
      <c r="H2">
        <v>1</v>
      </c>
      <c r="I2" t="str">
        <f t="shared" ref="I2:I65" si="0">IF(A2=H2,"YES","NO")</f>
        <v>YES</v>
      </c>
      <c r="J2" t="s">
        <v>11</v>
      </c>
      <c r="K2">
        <v>64884.126262700003</v>
      </c>
      <c r="L2" s="1">
        <f>$U$2*$K2*C2</f>
        <v>0</v>
      </c>
      <c r="M2" s="1">
        <f>$U$3*$K2*E2</f>
        <v>0</v>
      </c>
      <c r="N2" s="1">
        <f>$U$4*$K2*G2</f>
        <v>985352.82377511228</v>
      </c>
      <c r="O2" s="1"/>
      <c r="T2" t="s">
        <v>2582</v>
      </c>
      <c r="U2">
        <v>3.2500000000000001E-2</v>
      </c>
      <c r="V2">
        <v>0.20519999999999999</v>
      </c>
      <c r="X2" t="s">
        <v>7</v>
      </c>
      <c r="Y2" s="3">
        <f>68059759192/1000000</f>
        <v>68059.759191999998</v>
      </c>
    </row>
    <row r="3" spans="1:25" x14ac:dyDescent="0.25">
      <c r="A3">
        <v>2</v>
      </c>
      <c r="B3">
        <v>390046.56020000001</v>
      </c>
      <c r="C3">
        <v>0</v>
      </c>
      <c r="D3">
        <v>754544.03890000004</v>
      </c>
      <c r="E3">
        <v>0</v>
      </c>
      <c r="F3">
        <v>1188749.6769999999</v>
      </c>
      <c r="G3">
        <v>232.32400000000001</v>
      </c>
      <c r="H3">
        <v>2</v>
      </c>
      <c r="I3" t="str">
        <f t="shared" si="0"/>
        <v>YES</v>
      </c>
      <c r="J3" t="s">
        <v>13</v>
      </c>
      <c r="K3">
        <v>74488.645912000007</v>
      </c>
      <c r="L3" s="1">
        <f t="shared" ref="L3:L66" si="1">$U$2*$K3*C3</f>
        <v>0</v>
      </c>
      <c r="M3" s="1">
        <f t="shared" ref="M3:M66" si="2">$U$3*$K3*E3</f>
        <v>0</v>
      </c>
      <c r="N3" s="1">
        <f t="shared" ref="N3:N66" si="3">$U$4*$K3*G3</f>
        <v>88258.050881583404</v>
      </c>
      <c r="O3" s="1"/>
      <c r="T3" t="s">
        <v>2583</v>
      </c>
      <c r="U3">
        <v>1.09E-2</v>
      </c>
      <c r="V3">
        <v>0.22289999999999999</v>
      </c>
      <c r="X3" t="s">
        <v>8</v>
      </c>
      <c r="Y3" s="3">
        <f>45903154880/1000000</f>
        <v>45903.154880000002</v>
      </c>
    </row>
    <row r="4" spans="1:25" x14ac:dyDescent="0.25">
      <c r="A4">
        <v>3</v>
      </c>
      <c r="B4">
        <v>505826.84419999999</v>
      </c>
      <c r="C4">
        <v>0</v>
      </c>
      <c r="D4">
        <v>912192.62890000001</v>
      </c>
      <c r="E4">
        <v>0</v>
      </c>
      <c r="F4">
        <v>1336597.4709999999</v>
      </c>
      <c r="G4">
        <v>935.10400000000004</v>
      </c>
      <c r="H4">
        <v>3</v>
      </c>
      <c r="I4" t="str">
        <f t="shared" si="0"/>
        <v>YES</v>
      </c>
      <c r="J4" t="s">
        <v>14</v>
      </c>
      <c r="K4">
        <v>30794.773993800001</v>
      </c>
      <c r="L4" s="1">
        <f t="shared" si="1"/>
        <v>0</v>
      </c>
      <c r="M4" s="1">
        <f t="shared" si="2"/>
        <v>0</v>
      </c>
      <c r="N4" s="1">
        <f t="shared" si="3"/>
        <v>146861.21333756164</v>
      </c>
      <c r="O4" s="1"/>
      <c r="T4" t="s">
        <v>2584</v>
      </c>
      <c r="U4">
        <v>5.1000000000000004E-3</v>
      </c>
      <c r="V4">
        <v>0.22009999999999999</v>
      </c>
      <c r="X4" t="s">
        <v>9</v>
      </c>
      <c r="Y4" s="3">
        <f>64692202070/1000000</f>
        <v>64692.202069999999</v>
      </c>
    </row>
    <row r="5" spans="1:25" x14ac:dyDescent="0.25">
      <c r="A5">
        <v>4</v>
      </c>
      <c r="B5">
        <v>553774.29469999997</v>
      </c>
      <c r="C5">
        <v>0</v>
      </c>
      <c r="D5">
        <v>1001489.622</v>
      </c>
      <c r="E5">
        <v>5856.1819999999998</v>
      </c>
      <c r="F5">
        <v>1434338.5179999999</v>
      </c>
      <c r="G5">
        <v>1198.567</v>
      </c>
      <c r="H5">
        <v>4</v>
      </c>
      <c r="I5" t="str">
        <f t="shared" si="0"/>
        <v>YES</v>
      </c>
      <c r="J5" t="s">
        <v>15</v>
      </c>
      <c r="K5">
        <v>13964.4501315</v>
      </c>
      <c r="L5" s="1">
        <f t="shared" si="1"/>
        <v>0</v>
      </c>
      <c r="M5" s="1">
        <f t="shared" si="2"/>
        <v>891384.14034986845</v>
      </c>
      <c r="N5" s="1">
        <f t="shared" si="3"/>
        <v>85360.378413883969</v>
      </c>
      <c r="O5" s="1"/>
      <c r="X5" t="s">
        <v>10</v>
      </c>
      <c r="Y5" s="3">
        <f>(367256732548+290897475387+132033232287+158931878525+563238198535+181889258035+221174369549)/1000000-SUM(Y2:Y4)</f>
        <v>1736766.0287239999</v>
      </c>
    </row>
    <row r="6" spans="1:25" x14ac:dyDescent="0.25">
      <c r="A6">
        <v>5</v>
      </c>
      <c r="B6">
        <v>546404.67570000002</v>
      </c>
      <c r="C6">
        <v>0</v>
      </c>
      <c r="D6">
        <v>987289.85869999998</v>
      </c>
      <c r="E6">
        <v>0</v>
      </c>
      <c r="F6">
        <v>1425828.1129999999</v>
      </c>
      <c r="G6">
        <v>1098.329</v>
      </c>
      <c r="H6">
        <v>5</v>
      </c>
      <c r="I6" t="str">
        <f t="shared" si="0"/>
        <v>YES</v>
      </c>
      <c r="J6" t="s">
        <v>16</v>
      </c>
      <c r="K6">
        <v>33804.0912321</v>
      </c>
      <c r="L6" s="1">
        <f t="shared" si="1"/>
        <v>0</v>
      </c>
      <c r="M6" s="1">
        <f t="shared" si="2"/>
        <v>0</v>
      </c>
      <c r="N6" s="1">
        <f t="shared" si="3"/>
        <v>189352.86996619191</v>
      </c>
      <c r="O6" s="1"/>
    </row>
    <row r="7" spans="1:25" x14ac:dyDescent="0.25">
      <c r="A7">
        <v>6</v>
      </c>
      <c r="B7">
        <v>342568.37469999999</v>
      </c>
      <c r="C7">
        <v>0</v>
      </c>
      <c r="D7">
        <v>676491.53819999995</v>
      </c>
      <c r="E7">
        <v>0</v>
      </c>
      <c r="F7">
        <v>1144015.318</v>
      </c>
      <c r="G7">
        <v>0</v>
      </c>
      <c r="H7">
        <v>6</v>
      </c>
      <c r="I7" t="str">
        <f t="shared" si="0"/>
        <v>YES</v>
      </c>
      <c r="J7" t="s">
        <v>17</v>
      </c>
      <c r="K7">
        <v>23405.448840100002</v>
      </c>
      <c r="L7" s="1">
        <f t="shared" si="1"/>
        <v>0</v>
      </c>
      <c r="M7" s="1">
        <f t="shared" si="2"/>
        <v>0</v>
      </c>
      <c r="N7" s="1">
        <f t="shared" si="3"/>
        <v>0</v>
      </c>
      <c r="O7" s="1"/>
    </row>
    <row r="8" spans="1:25" x14ac:dyDescent="0.25">
      <c r="A8">
        <v>7</v>
      </c>
      <c r="B8">
        <v>447450.14120000001</v>
      </c>
      <c r="C8">
        <v>0</v>
      </c>
      <c r="D8">
        <v>797901.67200000002</v>
      </c>
      <c r="E8">
        <v>0</v>
      </c>
      <c r="F8">
        <v>1224440.2320000001</v>
      </c>
      <c r="G8">
        <v>0</v>
      </c>
      <c r="H8">
        <v>7</v>
      </c>
      <c r="I8" t="str">
        <f t="shared" si="0"/>
        <v>YES</v>
      </c>
      <c r="J8" t="s">
        <v>18</v>
      </c>
      <c r="K8">
        <v>26724.962241199999</v>
      </c>
      <c r="L8" s="1">
        <f t="shared" si="1"/>
        <v>0</v>
      </c>
      <c r="M8" s="1">
        <f t="shared" si="2"/>
        <v>0</v>
      </c>
      <c r="N8" s="1">
        <f t="shared" si="3"/>
        <v>0</v>
      </c>
      <c r="O8" s="1"/>
    </row>
    <row r="9" spans="1:25" x14ac:dyDescent="0.25">
      <c r="A9">
        <v>8</v>
      </c>
      <c r="B9">
        <v>395243.76449999999</v>
      </c>
      <c r="C9">
        <v>0</v>
      </c>
      <c r="D9">
        <v>770947.84470000002</v>
      </c>
      <c r="E9">
        <v>0</v>
      </c>
      <c r="F9">
        <v>1203647.425</v>
      </c>
      <c r="G9">
        <v>232.32499999999999</v>
      </c>
      <c r="H9">
        <v>8</v>
      </c>
      <c r="I9" t="str">
        <f t="shared" si="0"/>
        <v>YES</v>
      </c>
      <c r="J9" t="s">
        <v>19</v>
      </c>
      <c r="K9">
        <v>25366.410253499998</v>
      </c>
      <c r="L9" s="1">
        <f t="shared" si="1"/>
        <v>0</v>
      </c>
      <c r="M9" s="1">
        <f t="shared" si="2"/>
        <v>0</v>
      </c>
      <c r="N9" s="1">
        <f t="shared" si="3"/>
        <v>30055.581436936376</v>
      </c>
      <c r="O9" s="1"/>
      <c r="T9" s="2" t="s">
        <v>2585</v>
      </c>
    </row>
    <row r="10" spans="1:25" x14ac:dyDescent="0.25">
      <c r="A10">
        <v>9</v>
      </c>
      <c r="B10">
        <v>297697.62839999999</v>
      </c>
      <c r="C10">
        <v>0</v>
      </c>
      <c r="D10">
        <v>609813.4915</v>
      </c>
      <c r="E10">
        <v>0</v>
      </c>
      <c r="F10">
        <v>1089044.08</v>
      </c>
      <c r="G10">
        <v>1230.463</v>
      </c>
      <c r="H10">
        <v>9</v>
      </c>
      <c r="I10" t="str">
        <f t="shared" si="0"/>
        <v>YES</v>
      </c>
      <c r="J10" t="s">
        <v>20</v>
      </c>
      <c r="K10">
        <v>66847.647392800005</v>
      </c>
      <c r="L10" s="1">
        <f t="shared" si="1"/>
        <v>0</v>
      </c>
      <c r="M10" s="1">
        <f t="shared" si="2"/>
        <v>0</v>
      </c>
      <c r="N10" s="1">
        <f t="shared" si="3"/>
        <v>419493.13944482303</v>
      </c>
      <c r="O10" s="1"/>
      <c r="U10" s="2" t="s">
        <v>7</v>
      </c>
      <c r="V10" s="2" t="s">
        <v>8</v>
      </c>
      <c r="W10" s="2" t="s">
        <v>9</v>
      </c>
      <c r="X10" s="2" t="s">
        <v>10</v>
      </c>
    </row>
    <row r="11" spans="1:25" x14ac:dyDescent="0.25">
      <c r="A11">
        <v>10</v>
      </c>
      <c r="B11">
        <v>379092.98019999999</v>
      </c>
      <c r="C11">
        <v>0</v>
      </c>
      <c r="D11">
        <v>718636.73510000005</v>
      </c>
      <c r="E11">
        <v>0</v>
      </c>
      <c r="F11">
        <v>1177436.6510000001</v>
      </c>
      <c r="G11">
        <v>232.32400000000001</v>
      </c>
      <c r="H11">
        <v>10</v>
      </c>
      <c r="I11" t="str">
        <f t="shared" si="0"/>
        <v>YES</v>
      </c>
      <c r="J11" t="s">
        <v>21</v>
      </c>
      <c r="K11">
        <v>32784.865805100002</v>
      </c>
      <c r="L11" s="1">
        <f t="shared" si="1"/>
        <v>0</v>
      </c>
      <c r="M11" s="1">
        <f t="shared" si="2"/>
        <v>0</v>
      </c>
      <c r="N11" s="1">
        <f t="shared" si="3"/>
        <v>38845.226932850681</v>
      </c>
      <c r="O11" s="1"/>
      <c r="S11" s="2" t="str" cm="1">
        <f t="array" ref="S11:S16">TRANSPOSE(L1:Q1)</f>
        <v xml:space="preserve">30 Min Lin </v>
      </c>
      <c r="T11" s="6">
        <f>SUM(L2:L2563)/1000000</f>
        <v>552.7470898163815</v>
      </c>
      <c r="U11" s="3">
        <f>SUM(L$374:L$390,L$395:L$399,L$409:L$418)/1000000</f>
        <v>0</v>
      </c>
      <c r="V11" s="3">
        <f>SUM(L$352:L$377,L$391:L$394)/1000000</f>
        <v>0</v>
      </c>
      <c r="W11" s="3">
        <f>SUM(L$419:L$479)/1000000</f>
        <v>516.20478934644484</v>
      </c>
      <c r="X11" s="3">
        <f>T11-W11-U11-V11</f>
        <v>36.542300469936663</v>
      </c>
      <c r="Y11" t="s">
        <v>12</v>
      </c>
    </row>
    <row r="12" spans="1:25" x14ac:dyDescent="0.25">
      <c r="A12">
        <v>11</v>
      </c>
      <c r="B12">
        <v>337462.87430000002</v>
      </c>
      <c r="C12">
        <v>0</v>
      </c>
      <c r="D12">
        <v>675140.07010000001</v>
      </c>
      <c r="E12">
        <v>0</v>
      </c>
      <c r="F12">
        <v>1103143.1740000001</v>
      </c>
      <c r="G12">
        <v>0</v>
      </c>
      <c r="H12">
        <v>11</v>
      </c>
      <c r="I12" t="str">
        <f t="shared" si="0"/>
        <v>YES</v>
      </c>
      <c r="J12" t="s">
        <v>22</v>
      </c>
      <c r="K12">
        <v>41747.854152899999</v>
      </c>
      <c r="L12" s="1">
        <f t="shared" si="1"/>
        <v>0</v>
      </c>
      <c r="M12" s="1">
        <f t="shared" si="2"/>
        <v>0</v>
      </c>
      <c r="N12" s="1">
        <f t="shared" si="3"/>
        <v>0</v>
      </c>
      <c r="O12" s="1"/>
      <c r="S12" s="2" t="str">
        <v>45 Min Lin</v>
      </c>
      <c r="T12" s="6">
        <f>SUM(M2:M2563)/1000000</f>
        <v>3204.1361999528003</v>
      </c>
      <c r="U12" s="3">
        <f>SUM(M$374:M$390,M$395:M$399,M$409:M$418)/1000000</f>
        <v>0</v>
      </c>
      <c r="V12" s="3">
        <f>SUM(M$352:M$377,M$391:M$394)/1000000</f>
        <v>0</v>
      </c>
      <c r="W12" s="3">
        <f>SUM(M$419:M$479)/1000000</f>
        <v>2984.3773195934955</v>
      </c>
      <c r="X12" s="3">
        <f t="shared" ref="X12:X13" si="4">T12-W12-U12-V12</f>
        <v>219.75888035930484</v>
      </c>
      <c r="Y12" s="3"/>
    </row>
    <row r="13" spans="1:25" x14ac:dyDescent="0.25">
      <c r="A13">
        <v>12</v>
      </c>
      <c r="B13">
        <v>357991.37280000001</v>
      </c>
      <c r="C13">
        <v>0</v>
      </c>
      <c r="D13">
        <v>692904.25670000003</v>
      </c>
      <c r="E13">
        <v>0</v>
      </c>
      <c r="F13">
        <v>1139271.5209999999</v>
      </c>
      <c r="G13">
        <v>0</v>
      </c>
      <c r="H13">
        <v>12</v>
      </c>
      <c r="I13" t="str">
        <f t="shared" si="0"/>
        <v>YES</v>
      </c>
      <c r="J13" t="s">
        <v>23</v>
      </c>
      <c r="K13">
        <v>30434.403301999999</v>
      </c>
      <c r="L13" s="1">
        <f t="shared" si="1"/>
        <v>0</v>
      </c>
      <c r="M13" s="1">
        <f t="shared" si="2"/>
        <v>0</v>
      </c>
      <c r="N13" s="1">
        <f t="shared" si="3"/>
        <v>0</v>
      </c>
      <c r="O13" s="1"/>
      <c r="S13" s="2" t="str">
        <v>60 Min Lin</v>
      </c>
      <c r="T13" s="6">
        <f>SUM(N2:N2563)/1000000</f>
        <v>4626.3193512227217</v>
      </c>
      <c r="U13" s="3">
        <f>SUM(N$374:N$390,N$395:N$399,N$409:N$418)/1000000</f>
        <v>15.398848104930453</v>
      </c>
      <c r="V13" s="3">
        <f>SUM(N$352:N$377,N$391:N$394)/1000000</f>
        <v>11.898156424156138</v>
      </c>
      <c r="W13" s="3">
        <f>SUM(N$419:N$479)/1000000</f>
        <v>4270.6014013670083</v>
      </c>
      <c r="X13" s="3">
        <f t="shared" si="4"/>
        <v>328.42094532662685</v>
      </c>
      <c r="Y13" s="4"/>
    </row>
    <row r="14" spans="1:25" x14ac:dyDescent="0.25">
      <c r="A14">
        <v>13</v>
      </c>
      <c r="B14">
        <v>436547.72960000002</v>
      </c>
      <c r="C14">
        <v>0</v>
      </c>
      <c r="D14">
        <v>839867.22930000001</v>
      </c>
      <c r="E14">
        <v>0</v>
      </c>
      <c r="F14">
        <v>1260453.6569999999</v>
      </c>
      <c r="G14">
        <v>1098.329</v>
      </c>
      <c r="H14">
        <v>13</v>
      </c>
      <c r="I14" t="str">
        <f t="shared" si="0"/>
        <v>YES</v>
      </c>
      <c r="J14" t="s">
        <v>24</v>
      </c>
      <c r="K14">
        <v>12779.907416800001</v>
      </c>
      <c r="L14" s="1">
        <f t="shared" si="1"/>
        <v>0</v>
      </c>
      <c r="M14" s="1">
        <f t="shared" si="2"/>
        <v>0</v>
      </c>
      <c r="N14" s="1">
        <f t="shared" si="3"/>
        <v>71586.368959251282</v>
      </c>
      <c r="O14" s="1"/>
      <c r="S14" s="2" t="str">
        <v>30 Min Log</v>
      </c>
      <c r="T14" s="6">
        <f>SUM(U14:X14)</f>
        <v>245.55769507169146</v>
      </c>
      <c r="U14" s="7">
        <f>$V2*$Y$2*(SUM(C$374:C$390,C$395:C$399,C$409:C$418))/(SUM(B$374:B$390,B$395:B$399,B$409:B$418))</f>
        <v>0</v>
      </c>
      <c r="V14" s="7">
        <f>$V2*$Y$3*(SUM(C$352:C$377,C$391:C$394))/(SUM(B$352:B$377,B$391:B$394))</f>
        <v>0</v>
      </c>
      <c r="W14" s="8">
        <f>V2*$Y$4*(SUM(C$419:C$479))/(SUM(B$419:B$479))</f>
        <v>222.62982388461128</v>
      </c>
      <c r="X14" s="3">
        <f>V2*$Y$5*(SUM(C$2:C$2563)-SUM(C$374:C$390,C$395:C$399,C$409:C$418)-SUM(C$352:C$377,C$391:C$394)-SUM(C$419:C$479))/(SUM(B$2:B$2563)-SUM(B$374:B$390,B$395:B$399,B$409:B$418)-SUM(B$352:B$377,B$391:B$394)-SUM(B$419:B$479))</f>
        <v>22.927871187080157</v>
      </c>
    </row>
    <row r="15" spans="1:25" x14ac:dyDescent="0.25">
      <c r="A15">
        <v>14</v>
      </c>
      <c r="B15">
        <v>477278.10139999999</v>
      </c>
      <c r="C15">
        <v>0</v>
      </c>
      <c r="D15">
        <v>886862.5466</v>
      </c>
      <c r="E15">
        <v>0</v>
      </c>
      <c r="F15">
        <v>1280429.3540000001</v>
      </c>
      <c r="G15">
        <v>1098.329</v>
      </c>
      <c r="H15">
        <v>14</v>
      </c>
      <c r="I15" t="str">
        <f t="shared" si="0"/>
        <v>YES</v>
      </c>
      <c r="J15" t="s">
        <v>25</v>
      </c>
      <c r="K15">
        <v>20559.554293100002</v>
      </c>
      <c r="L15" s="1">
        <f t="shared" si="1"/>
        <v>0</v>
      </c>
      <c r="M15" s="1">
        <f t="shared" si="2"/>
        <v>0</v>
      </c>
      <c r="N15" s="1">
        <f t="shared" si="3"/>
        <v>115163.8890066498</v>
      </c>
      <c r="O15" s="1"/>
      <c r="S15" s="2" t="str">
        <v>45 Min Log</v>
      </c>
      <c r="T15" s="6">
        <f>SUM(U15:X15)</f>
        <v>730.80112899261621</v>
      </c>
      <c r="U15" s="7">
        <f>$V3*$Y$2*(SUM(E$374:E$390,E$395:E$399,E$409:E$418))/(SUM(D$374:D$390,D$395:D$399,D$409:D$418))</f>
        <v>0</v>
      </c>
      <c r="V15" s="7">
        <f>$V3*$Y$3*(SUM(E$352:E$377,E$391:E$394))/(SUM(D$352:D$377,D$391:D$394))</f>
        <v>0</v>
      </c>
      <c r="W15" s="8">
        <f>V3*$Y$4*(SUM(E$419:E$479))/(SUM(D$419:D$479))</f>
        <v>563.20929792263451</v>
      </c>
      <c r="X15" s="3">
        <f>V3*$Y$5*(SUM(E$2:E$2563)-SUM(E$374:E$390,E$395:E$399,E$409:E$418)-SUM(E$352:E$377,E$391:E$394)-SUM(E$419:E$479))/(SUM(D$2:D$2563)-SUM(D$374:D$390,D$395:D$399,D$409:D$418)-SUM(D$352:D$377,D$391:D$394)-SUM(D$419:D$479))</f>
        <v>167.59183106998171</v>
      </c>
    </row>
    <row r="16" spans="1:25" x14ac:dyDescent="0.25">
      <c r="A16">
        <v>15</v>
      </c>
      <c r="B16">
        <v>380423.7929</v>
      </c>
      <c r="C16">
        <v>0</v>
      </c>
      <c r="D16">
        <v>729459.53590000002</v>
      </c>
      <c r="E16">
        <v>0</v>
      </c>
      <c r="F16">
        <v>1190614.932</v>
      </c>
      <c r="G16">
        <v>0</v>
      </c>
      <c r="H16">
        <v>15</v>
      </c>
      <c r="I16" t="str">
        <f t="shared" si="0"/>
        <v>YES</v>
      </c>
      <c r="J16" t="s">
        <v>26</v>
      </c>
      <c r="K16">
        <v>20572.768520099999</v>
      </c>
      <c r="L16" s="1">
        <f t="shared" si="1"/>
        <v>0</v>
      </c>
      <c r="M16" s="1">
        <f t="shared" si="2"/>
        <v>0</v>
      </c>
      <c r="N16" s="1">
        <f t="shared" si="3"/>
        <v>0</v>
      </c>
      <c r="O16" s="1"/>
      <c r="S16" s="2" t="str">
        <v>60 Min Log</v>
      </c>
      <c r="T16" s="6">
        <f>SUM(U16:X16)</f>
        <v>630.11944952248075</v>
      </c>
      <c r="U16" s="7">
        <f>$V4*$Y$2*(SUM(G$374:G$390,G$395:G$399,G$409:G$418))/(SUM(F$374:F$390,F$395:F$399,F$409:F$418))</f>
        <v>3.1022084545603907</v>
      </c>
      <c r="V16" s="7">
        <f>$V4*$Y$3*(SUM(G$352:G$377,G$391:G$394))/(SUM(F$352:F$377,F$391:F$394))</f>
        <v>0.88276704576571952</v>
      </c>
      <c r="W16" s="8">
        <f>V4*$Y$4*(SUM(G$419:G$479))/(SUM(F$419:F$479))</f>
        <v>478.63200132846129</v>
      </c>
      <c r="X16" s="3">
        <f>V4*$Y$5*(SUM(G$2:G$2563)-SUM(G$374:G$390,G$395:G$399,G$409:G$418)-SUM(G$352:G$377,G$391:G$394)-SUM(G$419:G$479))/(SUM(F$2:F$2563)-SUM(F$374:F$390,F$395:F$399,F$409:F$418)-SUM(F$352:F$377,F$391:F$394)-SUM(F$419:F$479))</f>
        <v>147.50247269369333</v>
      </c>
    </row>
    <row r="17" spans="1:25" x14ac:dyDescent="0.25">
      <c r="A17">
        <v>16</v>
      </c>
      <c r="B17">
        <v>500344.1017</v>
      </c>
      <c r="C17">
        <v>0</v>
      </c>
      <c r="D17">
        <v>888591.84479999996</v>
      </c>
      <c r="E17">
        <v>0</v>
      </c>
      <c r="F17">
        <v>1299324.5079999999</v>
      </c>
      <c r="G17">
        <v>1539.5160000000001</v>
      </c>
      <c r="H17">
        <v>16</v>
      </c>
      <c r="I17" t="str">
        <f t="shared" si="0"/>
        <v>YES</v>
      </c>
      <c r="J17" t="s">
        <v>27</v>
      </c>
      <c r="K17">
        <v>26328.303499099999</v>
      </c>
      <c r="L17" s="1">
        <f t="shared" si="1"/>
        <v>0</v>
      </c>
      <c r="M17" s="1">
        <f t="shared" si="2"/>
        <v>0</v>
      </c>
      <c r="N17" s="1">
        <f t="shared" si="3"/>
        <v>206717.50689757423</v>
      </c>
      <c r="O17" s="1"/>
    </row>
    <row r="18" spans="1:25" x14ac:dyDescent="0.25">
      <c r="A18">
        <v>17</v>
      </c>
      <c r="B18">
        <v>405817.66460000002</v>
      </c>
      <c r="C18">
        <v>0</v>
      </c>
      <c r="D18">
        <v>779015.06539999996</v>
      </c>
      <c r="E18">
        <v>0</v>
      </c>
      <c r="F18">
        <v>1207419.095</v>
      </c>
      <c r="G18">
        <v>441.18700000000001</v>
      </c>
      <c r="H18">
        <v>17</v>
      </c>
      <c r="I18" t="str">
        <f t="shared" si="0"/>
        <v>YES</v>
      </c>
      <c r="J18" t="s">
        <v>28</v>
      </c>
      <c r="K18">
        <v>40824.620434199998</v>
      </c>
      <c r="L18" s="1">
        <f t="shared" si="1"/>
        <v>0</v>
      </c>
      <c r="M18" s="1">
        <f t="shared" si="2"/>
        <v>0</v>
      </c>
      <c r="N18" s="1">
        <f t="shared" si="3"/>
        <v>91857.588259067328</v>
      </c>
      <c r="O18" s="1"/>
      <c r="T18" cm="1">
        <f t="array" ref="T18:Y18">TRANSPOSE(T11:T16)</f>
        <v>552.7470898163815</v>
      </c>
      <c r="U18">
        <v>3204.1361999528003</v>
      </c>
      <c r="V18">
        <v>4626.3193512227217</v>
      </c>
      <c r="W18">
        <v>245.55769507169146</v>
      </c>
      <c r="X18">
        <v>730.80112899261621</v>
      </c>
      <c r="Y18">
        <v>630.11944952248075</v>
      </c>
    </row>
    <row r="19" spans="1:25" x14ac:dyDescent="0.25">
      <c r="A19">
        <v>18</v>
      </c>
      <c r="B19">
        <v>445777.7329</v>
      </c>
      <c r="C19">
        <v>0</v>
      </c>
      <c r="D19">
        <v>828799.30909999995</v>
      </c>
      <c r="E19">
        <v>0</v>
      </c>
      <c r="F19">
        <v>1258727.352</v>
      </c>
      <c r="G19">
        <v>412.54899999999998</v>
      </c>
      <c r="H19">
        <v>18</v>
      </c>
      <c r="I19" t="str">
        <f t="shared" si="0"/>
        <v>YES</v>
      </c>
      <c r="J19" t="s">
        <v>29</v>
      </c>
      <c r="K19">
        <v>31599.516390299999</v>
      </c>
      <c r="L19" s="1">
        <f t="shared" si="1"/>
        <v>0</v>
      </c>
      <c r="M19" s="1">
        <f t="shared" si="2"/>
        <v>0</v>
      </c>
      <c r="N19" s="1">
        <f t="shared" si="3"/>
        <v>66485.37932523957</v>
      </c>
      <c r="O19" s="1"/>
    </row>
    <row r="20" spans="1:25" x14ac:dyDescent="0.25">
      <c r="A20">
        <v>19</v>
      </c>
      <c r="B20">
        <v>450878.02289999998</v>
      </c>
      <c r="C20">
        <v>0</v>
      </c>
      <c r="D20">
        <v>832070.60530000005</v>
      </c>
      <c r="E20">
        <v>0</v>
      </c>
      <c r="F20">
        <v>1261316.0549999999</v>
      </c>
      <c r="G20">
        <v>412.548</v>
      </c>
      <c r="H20">
        <v>19</v>
      </c>
      <c r="I20" t="str">
        <f t="shared" si="0"/>
        <v>YES</v>
      </c>
      <c r="J20" t="s">
        <v>30</v>
      </c>
      <c r="K20">
        <v>118316.46610799999</v>
      </c>
      <c r="L20" s="1">
        <f t="shared" si="1"/>
        <v>0</v>
      </c>
      <c r="M20" s="1">
        <f t="shared" si="2"/>
        <v>0</v>
      </c>
      <c r="N20" s="1">
        <f t="shared" si="3"/>
        <v>248937.22944560827</v>
      </c>
      <c r="O20" s="1"/>
    </row>
    <row r="21" spans="1:25" x14ac:dyDescent="0.25">
      <c r="A21">
        <v>20</v>
      </c>
      <c r="B21">
        <v>502288.82179999998</v>
      </c>
      <c r="C21">
        <v>0</v>
      </c>
      <c r="D21">
        <v>932607.06099999999</v>
      </c>
      <c r="E21">
        <v>5856.1823999999997</v>
      </c>
      <c r="F21">
        <v>1315359.115</v>
      </c>
      <c r="G21">
        <v>1271.54</v>
      </c>
      <c r="H21">
        <v>20</v>
      </c>
      <c r="I21" t="str">
        <f t="shared" si="0"/>
        <v>YES</v>
      </c>
      <c r="J21" t="s">
        <v>31</v>
      </c>
      <c r="K21">
        <v>27769.699122900001</v>
      </c>
      <c r="L21" s="1">
        <f t="shared" si="1"/>
        <v>0</v>
      </c>
      <c r="M21" s="1">
        <f t="shared" si="2"/>
        <v>1772606.2134993644</v>
      </c>
      <c r="N21" s="1">
        <f t="shared" si="3"/>
        <v>180082.44443593457</v>
      </c>
      <c r="O21" s="1"/>
    </row>
    <row r="22" spans="1:25" x14ac:dyDescent="0.25">
      <c r="A22">
        <v>21</v>
      </c>
      <c r="B22">
        <v>541738.39029999997</v>
      </c>
      <c r="C22">
        <v>0</v>
      </c>
      <c r="D22">
        <v>967780.33840000001</v>
      </c>
      <c r="E22">
        <v>0</v>
      </c>
      <c r="F22">
        <v>1346300.28</v>
      </c>
      <c r="G22">
        <v>1508.6669999999999</v>
      </c>
      <c r="H22">
        <v>21</v>
      </c>
      <c r="I22" t="str">
        <f t="shared" si="0"/>
        <v>YES</v>
      </c>
      <c r="J22" t="s">
        <v>32</v>
      </c>
      <c r="K22">
        <v>15983.0442434</v>
      </c>
      <c r="L22" s="1">
        <f t="shared" si="1"/>
        <v>0</v>
      </c>
      <c r="M22" s="1">
        <f t="shared" si="2"/>
        <v>0</v>
      </c>
      <c r="N22" s="1">
        <f t="shared" si="3"/>
        <v>122976.7661887435</v>
      </c>
      <c r="O22" s="1"/>
    </row>
    <row r="23" spans="1:25" x14ac:dyDescent="0.25">
      <c r="A23">
        <v>22</v>
      </c>
      <c r="B23">
        <v>562585.60560000001</v>
      </c>
      <c r="C23">
        <v>0</v>
      </c>
      <c r="D23">
        <v>1004964.159</v>
      </c>
      <c r="E23">
        <v>746.68799999999999</v>
      </c>
      <c r="F23">
        <v>1408220.392</v>
      </c>
      <c r="G23">
        <v>2291.7530000000002</v>
      </c>
      <c r="H23">
        <v>22</v>
      </c>
      <c r="I23" t="str">
        <f t="shared" si="0"/>
        <v>YES</v>
      </c>
      <c r="J23" t="s">
        <v>33</v>
      </c>
      <c r="K23">
        <v>20519.076613099998</v>
      </c>
      <c r="L23" s="1">
        <f t="shared" si="1"/>
        <v>0</v>
      </c>
      <c r="M23" s="1">
        <f t="shared" si="2"/>
        <v>167002.69623109829</v>
      </c>
      <c r="N23" s="1">
        <f t="shared" si="3"/>
        <v>239825.74246503902</v>
      </c>
      <c r="O23" s="1"/>
    </row>
    <row r="24" spans="1:25" x14ac:dyDescent="0.25">
      <c r="A24">
        <v>23</v>
      </c>
      <c r="B24">
        <v>564141.62809999997</v>
      </c>
      <c r="C24">
        <v>0</v>
      </c>
      <c r="D24">
        <v>999994.98849999998</v>
      </c>
      <c r="E24">
        <v>1850.5525</v>
      </c>
      <c r="F24">
        <v>1391814.067</v>
      </c>
      <c r="G24">
        <v>214.392</v>
      </c>
      <c r="H24">
        <v>23</v>
      </c>
      <c r="I24" t="str">
        <f t="shared" si="0"/>
        <v>YES</v>
      </c>
      <c r="J24" t="s">
        <v>34</v>
      </c>
      <c r="K24">
        <v>24003.084115000001</v>
      </c>
      <c r="L24" s="1">
        <f t="shared" si="1"/>
        <v>0</v>
      </c>
      <c r="M24" s="1">
        <f t="shared" si="2"/>
        <v>484166.74375228659</v>
      </c>
      <c r="N24" s="1">
        <f t="shared" si="3"/>
        <v>26244.952968873709</v>
      </c>
      <c r="O24" s="1"/>
    </row>
    <row r="25" spans="1:25" x14ac:dyDescent="0.25">
      <c r="A25">
        <v>24</v>
      </c>
      <c r="B25">
        <v>498597.93070000003</v>
      </c>
      <c r="C25">
        <v>0</v>
      </c>
      <c r="D25">
        <v>914110.74549999996</v>
      </c>
      <c r="E25">
        <v>0</v>
      </c>
      <c r="F25">
        <v>1321500.5060000001</v>
      </c>
      <c r="G25">
        <v>1098.329</v>
      </c>
      <c r="H25">
        <v>24</v>
      </c>
      <c r="I25" t="str">
        <f t="shared" si="0"/>
        <v>YES</v>
      </c>
      <c r="J25" t="s">
        <v>35</v>
      </c>
      <c r="K25">
        <v>12648.1351997</v>
      </c>
      <c r="L25" s="1">
        <f t="shared" si="1"/>
        <v>0</v>
      </c>
      <c r="M25" s="1">
        <f t="shared" si="2"/>
        <v>0</v>
      </c>
      <c r="N25" s="1">
        <f t="shared" si="3"/>
        <v>70848.249797331635</v>
      </c>
      <c r="O25" s="1"/>
    </row>
    <row r="26" spans="1:25" x14ac:dyDescent="0.25">
      <c r="A26">
        <v>25</v>
      </c>
      <c r="B26">
        <v>560605.33940000006</v>
      </c>
      <c r="C26">
        <v>0</v>
      </c>
      <c r="D26">
        <v>1019757.0060000001</v>
      </c>
      <c r="E26">
        <v>0</v>
      </c>
      <c r="F26">
        <v>1429100.459</v>
      </c>
      <c r="G26">
        <v>1911.4870000000001</v>
      </c>
      <c r="H26">
        <v>25</v>
      </c>
      <c r="I26" t="str">
        <f t="shared" si="0"/>
        <v>YES</v>
      </c>
      <c r="J26" t="s">
        <v>36</v>
      </c>
      <c r="K26">
        <v>9991.8496929299999</v>
      </c>
      <c r="L26" s="1">
        <f t="shared" si="1"/>
        <v>0</v>
      </c>
      <c r="M26" s="1">
        <f t="shared" si="2"/>
        <v>0</v>
      </c>
      <c r="N26" s="1">
        <f t="shared" si="3"/>
        <v>97406.383049347409</v>
      </c>
      <c r="O26" s="1"/>
    </row>
    <row r="27" spans="1:25" x14ac:dyDescent="0.25">
      <c r="A27">
        <v>26</v>
      </c>
      <c r="B27">
        <v>634663.14879999997</v>
      </c>
      <c r="C27">
        <v>0</v>
      </c>
      <c r="D27">
        <v>1095423.182</v>
      </c>
      <c r="E27">
        <v>0</v>
      </c>
      <c r="F27">
        <v>1509892.3740000001</v>
      </c>
      <c r="G27">
        <v>0</v>
      </c>
      <c r="H27">
        <v>26</v>
      </c>
      <c r="I27" t="str">
        <f t="shared" si="0"/>
        <v>YES</v>
      </c>
      <c r="J27" t="s">
        <v>37</v>
      </c>
      <c r="K27">
        <v>27298.336038500001</v>
      </c>
      <c r="L27" s="1">
        <f t="shared" si="1"/>
        <v>0</v>
      </c>
      <c r="M27" s="1">
        <f t="shared" si="2"/>
        <v>0</v>
      </c>
      <c r="N27" s="1">
        <f t="shared" si="3"/>
        <v>0</v>
      </c>
      <c r="O27" s="1"/>
    </row>
    <row r="28" spans="1:25" x14ac:dyDescent="0.25">
      <c r="A28">
        <v>27</v>
      </c>
      <c r="B28">
        <v>555934.62650000001</v>
      </c>
      <c r="C28">
        <v>0</v>
      </c>
      <c r="D28">
        <v>1002145.927</v>
      </c>
      <c r="E28">
        <v>0</v>
      </c>
      <c r="F28">
        <v>1439892.5109999999</v>
      </c>
      <c r="G28">
        <v>1608.9059999999999</v>
      </c>
      <c r="H28">
        <v>27</v>
      </c>
      <c r="I28" t="str">
        <f t="shared" si="0"/>
        <v>YES</v>
      </c>
      <c r="J28" t="s">
        <v>38</v>
      </c>
      <c r="K28">
        <v>7229.6376756899999</v>
      </c>
      <c r="L28" s="1">
        <f t="shared" si="1"/>
        <v>0</v>
      </c>
      <c r="M28" s="1">
        <f t="shared" si="2"/>
        <v>0</v>
      </c>
      <c r="N28" s="1">
        <f t="shared" si="3"/>
        <v>59322.217914642846</v>
      </c>
      <c r="O28" s="1"/>
    </row>
    <row r="29" spans="1:25" x14ac:dyDescent="0.25">
      <c r="A29">
        <v>28</v>
      </c>
      <c r="B29">
        <v>568716.83239999996</v>
      </c>
      <c r="C29">
        <v>0</v>
      </c>
      <c r="D29">
        <v>1028686.291</v>
      </c>
      <c r="E29">
        <v>746.68799999999999</v>
      </c>
      <c r="F29">
        <v>1452619.673</v>
      </c>
      <c r="G29">
        <v>2248.8519999999999</v>
      </c>
      <c r="H29">
        <v>28</v>
      </c>
      <c r="I29" t="str">
        <f t="shared" si="0"/>
        <v>YES</v>
      </c>
      <c r="J29" t="s">
        <v>39</v>
      </c>
      <c r="K29">
        <v>9381.6680921900006</v>
      </c>
      <c r="L29" s="1">
        <f t="shared" si="1"/>
        <v>0</v>
      </c>
      <c r="M29" s="1">
        <f t="shared" si="2"/>
        <v>76356.450930190709</v>
      </c>
      <c r="N29" s="1">
        <f t="shared" si="3"/>
        <v>107599.7135675341</v>
      </c>
      <c r="O29" s="1"/>
    </row>
    <row r="30" spans="1:25" x14ac:dyDescent="0.25">
      <c r="A30">
        <v>29</v>
      </c>
      <c r="B30">
        <v>603337.15549999999</v>
      </c>
      <c r="C30">
        <v>0</v>
      </c>
      <c r="D30">
        <v>1089846.081</v>
      </c>
      <c r="E30">
        <v>2334.3270000000002</v>
      </c>
      <c r="F30">
        <v>1497092.192</v>
      </c>
      <c r="G30">
        <v>3608.8519999999999</v>
      </c>
      <c r="H30">
        <v>29</v>
      </c>
      <c r="I30" t="str">
        <f t="shared" si="0"/>
        <v>YES</v>
      </c>
      <c r="J30" t="s">
        <v>40</v>
      </c>
      <c r="K30">
        <v>11975.350260699999</v>
      </c>
      <c r="L30" s="1">
        <f t="shared" si="1"/>
        <v>0</v>
      </c>
      <c r="M30" s="1">
        <f t="shared" si="2"/>
        <v>304702.77958329866</v>
      </c>
      <c r="N30" s="1">
        <f t="shared" si="3"/>
        <v>220408.06036904134</v>
      </c>
      <c r="O30" s="1"/>
    </row>
    <row r="31" spans="1:25" x14ac:dyDescent="0.25">
      <c r="A31">
        <v>30</v>
      </c>
      <c r="B31">
        <v>575646.05630000005</v>
      </c>
      <c r="C31">
        <v>0</v>
      </c>
      <c r="D31">
        <v>1050928.7930000001</v>
      </c>
      <c r="E31">
        <v>746.68799999999999</v>
      </c>
      <c r="F31">
        <v>1459115.736</v>
      </c>
      <c r="G31">
        <v>2291.7530000000002</v>
      </c>
      <c r="H31">
        <v>30</v>
      </c>
      <c r="I31" t="str">
        <f t="shared" si="0"/>
        <v>YES</v>
      </c>
      <c r="J31" t="s">
        <v>41</v>
      </c>
      <c r="K31">
        <v>32090.318567099999</v>
      </c>
      <c r="L31" s="1">
        <f t="shared" si="1"/>
        <v>0</v>
      </c>
      <c r="M31" s="1">
        <f t="shared" si="2"/>
        <v>261179.86811351535</v>
      </c>
      <c r="N31" s="1">
        <f t="shared" si="3"/>
        <v>375069.72762024641</v>
      </c>
      <c r="O31" s="1"/>
    </row>
    <row r="32" spans="1:25" x14ac:dyDescent="0.25">
      <c r="A32">
        <v>31</v>
      </c>
      <c r="B32">
        <v>586446.74959999998</v>
      </c>
      <c r="C32">
        <v>0</v>
      </c>
      <c r="D32">
        <v>1064238.3489999999</v>
      </c>
      <c r="E32">
        <v>746.68799999999999</v>
      </c>
      <c r="F32">
        <v>1451409.389</v>
      </c>
      <c r="G32">
        <v>1911.4870000000001</v>
      </c>
      <c r="H32">
        <v>31</v>
      </c>
      <c r="I32" t="str">
        <f t="shared" si="0"/>
        <v>YES</v>
      </c>
      <c r="J32" t="s">
        <v>42</v>
      </c>
      <c r="K32">
        <v>29015.888316299999</v>
      </c>
      <c r="L32" s="1">
        <f t="shared" si="1"/>
        <v>0</v>
      </c>
      <c r="M32" s="1">
        <f t="shared" si="2"/>
        <v>236157.39020482343</v>
      </c>
      <c r="N32" s="1">
        <f t="shared" si="3"/>
        <v>282863.81588130264</v>
      </c>
      <c r="O32" s="1"/>
    </row>
    <row r="33" spans="1:15" x14ac:dyDescent="0.25">
      <c r="A33">
        <v>32</v>
      </c>
      <c r="B33">
        <v>598863.00379999995</v>
      </c>
      <c r="C33">
        <v>0</v>
      </c>
      <c r="D33">
        <v>1070569.9509999999</v>
      </c>
      <c r="E33">
        <v>2977.7150000000001</v>
      </c>
      <c r="F33">
        <v>1475724.1059999999</v>
      </c>
      <c r="G33">
        <v>854.33900000000006</v>
      </c>
      <c r="H33">
        <v>32</v>
      </c>
      <c r="I33" t="str">
        <f t="shared" si="0"/>
        <v>YES</v>
      </c>
      <c r="J33" t="s">
        <v>43</v>
      </c>
      <c r="K33">
        <v>12695.541349900001</v>
      </c>
      <c r="L33" s="1">
        <f t="shared" si="1"/>
        <v>0</v>
      </c>
      <c r="M33" s="1">
        <f t="shared" si="2"/>
        <v>412060.37262682058</v>
      </c>
      <c r="N33" s="1">
        <f t="shared" si="3"/>
        <v>55316.110116794312</v>
      </c>
      <c r="O33" s="1"/>
    </row>
    <row r="34" spans="1:15" x14ac:dyDescent="0.25">
      <c r="A34">
        <v>33</v>
      </c>
      <c r="B34">
        <v>601496.34459999995</v>
      </c>
      <c r="C34">
        <v>0</v>
      </c>
      <c r="D34">
        <v>1058122.304</v>
      </c>
      <c r="E34">
        <v>0</v>
      </c>
      <c r="F34">
        <v>1434478.459</v>
      </c>
      <c r="G34">
        <v>0</v>
      </c>
      <c r="H34">
        <v>33</v>
      </c>
      <c r="I34" t="str">
        <f t="shared" si="0"/>
        <v>YES</v>
      </c>
      <c r="J34" t="s">
        <v>44</v>
      </c>
      <c r="K34">
        <v>13111.9909143</v>
      </c>
      <c r="L34" s="1">
        <f t="shared" si="1"/>
        <v>0</v>
      </c>
      <c r="M34" s="1">
        <f t="shared" si="2"/>
        <v>0</v>
      </c>
      <c r="N34" s="1">
        <f t="shared" si="3"/>
        <v>0</v>
      </c>
      <c r="O34" s="1"/>
    </row>
    <row r="35" spans="1:15" x14ac:dyDescent="0.25">
      <c r="A35">
        <v>34</v>
      </c>
      <c r="B35">
        <v>599859.0514</v>
      </c>
      <c r="C35">
        <v>0</v>
      </c>
      <c r="D35">
        <v>1055031.0719999999</v>
      </c>
      <c r="E35">
        <v>0</v>
      </c>
      <c r="F35">
        <v>1425782.25</v>
      </c>
      <c r="G35">
        <v>0</v>
      </c>
      <c r="H35">
        <v>34</v>
      </c>
      <c r="I35" t="str">
        <f t="shared" si="0"/>
        <v>YES</v>
      </c>
      <c r="J35" t="s">
        <v>45</v>
      </c>
      <c r="K35">
        <v>14064.622455999999</v>
      </c>
      <c r="L35" s="1">
        <f t="shared" si="1"/>
        <v>0</v>
      </c>
      <c r="M35" s="1">
        <f t="shared" si="2"/>
        <v>0</v>
      </c>
      <c r="N35" s="1">
        <f t="shared" si="3"/>
        <v>0</v>
      </c>
      <c r="O35" s="1"/>
    </row>
    <row r="36" spans="1:15" x14ac:dyDescent="0.25">
      <c r="A36">
        <v>35</v>
      </c>
      <c r="B36">
        <v>468243.08049999998</v>
      </c>
      <c r="C36">
        <v>0</v>
      </c>
      <c r="D36">
        <v>851644.01229999994</v>
      </c>
      <c r="E36">
        <v>0</v>
      </c>
      <c r="F36">
        <v>1265153.023</v>
      </c>
      <c r="G36">
        <v>1198.567</v>
      </c>
      <c r="H36">
        <v>35</v>
      </c>
      <c r="I36" t="str">
        <f t="shared" si="0"/>
        <v>YES</v>
      </c>
      <c r="J36" t="s">
        <v>46</v>
      </c>
      <c r="K36">
        <v>431650.55952499999</v>
      </c>
      <c r="L36" s="1">
        <f t="shared" si="1"/>
        <v>0</v>
      </c>
      <c r="M36" s="1">
        <f t="shared" si="2"/>
        <v>0</v>
      </c>
      <c r="N36" s="1">
        <f t="shared" si="3"/>
        <v>2638546.7925088233</v>
      </c>
      <c r="O36" s="1"/>
    </row>
    <row r="37" spans="1:15" x14ac:dyDescent="0.25">
      <c r="A37">
        <v>36</v>
      </c>
      <c r="B37">
        <v>601905.54110000003</v>
      </c>
      <c r="C37">
        <v>0</v>
      </c>
      <c r="D37">
        <v>1065052.3870000001</v>
      </c>
      <c r="E37">
        <v>0</v>
      </c>
      <c r="F37">
        <v>1484167.2609999999</v>
      </c>
      <c r="G37">
        <v>1271.54</v>
      </c>
      <c r="H37">
        <v>36</v>
      </c>
      <c r="I37" t="str">
        <f t="shared" si="0"/>
        <v>YES</v>
      </c>
      <c r="J37" t="s">
        <v>47</v>
      </c>
      <c r="K37">
        <v>19950.237970900002</v>
      </c>
      <c r="L37" s="1">
        <f t="shared" si="1"/>
        <v>0</v>
      </c>
      <c r="M37" s="1">
        <f t="shared" si="2"/>
        <v>0</v>
      </c>
      <c r="N37" s="1">
        <f t="shared" si="3"/>
        <v>129374.38050654276</v>
      </c>
      <c r="O37" s="1"/>
    </row>
    <row r="38" spans="1:15" x14ac:dyDescent="0.25">
      <c r="A38">
        <v>37</v>
      </c>
      <c r="B38">
        <v>632414.45990000002</v>
      </c>
      <c r="C38">
        <v>0</v>
      </c>
      <c r="D38">
        <v>1115824.4069999999</v>
      </c>
      <c r="E38">
        <v>0</v>
      </c>
      <c r="F38">
        <v>1533520.737</v>
      </c>
      <c r="G38">
        <v>1651.8050000000001</v>
      </c>
      <c r="H38">
        <v>37</v>
      </c>
      <c r="I38" t="str">
        <f t="shared" si="0"/>
        <v>YES</v>
      </c>
      <c r="J38" t="s">
        <v>48</v>
      </c>
      <c r="K38">
        <v>12826.7605449</v>
      </c>
      <c r="L38" s="1">
        <f t="shared" si="1"/>
        <v>0</v>
      </c>
      <c r="M38" s="1">
        <f t="shared" si="2"/>
        <v>0</v>
      </c>
      <c r="N38" s="1">
        <f t="shared" si="3"/>
        <v>108055.2667295296</v>
      </c>
      <c r="O38" s="1"/>
    </row>
    <row r="39" spans="1:15" x14ac:dyDescent="0.25">
      <c r="A39">
        <v>38</v>
      </c>
      <c r="B39">
        <v>631246.86849999998</v>
      </c>
      <c r="C39">
        <v>0</v>
      </c>
      <c r="D39">
        <v>1093682.8230000001</v>
      </c>
      <c r="E39">
        <v>1234.107</v>
      </c>
      <c r="F39">
        <v>1543904.906</v>
      </c>
      <c r="G39">
        <v>2094.7710000000002</v>
      </c>
      <c r="H39">
        <v>38</v>
      </c>
      <c r="I39" t="str">
        <f t="shared" si="0"/>
        <v>YES</v>
      </c>
      <c r="J39" t="s">
        <v>49</v>
      </c>
      <c r="K39">
        <v>7629.5623211299999</v>
      </c>
      <c r="L39" s="1">
        <f t="shared" si="1"/>
        <v>0</v>
      </c>
      <c r="M39" s="1">
        <f t="shared" si="2"/>
        <v>102631.0893151263</v>
      </c>
      <c r="N39" s="1">
        <f t="shared" si="3"/>
        <v>81509.148054278659</v>
      </c>
      <c r="O39" s="1"/>
    </row>
    <row r="40" spans="1:15" x14ac:dyDescent="0.25">
      <c r="A40">
        <v>39</v>
      </c>
      <c r="B40">
        <v>634500.60600000003</v>
      </c>
      <c r="C40">
        <v>0</v>
      </c>
      <c r="D40">
        <v>1110085.9909999999</v>
      </c>
      <c r="E40">
        <v>1587.64</v>
      </c>
      <c r="F40">
        <v>1546883.1910000001</v>
      </c>
      <c r="G40">
        <v>3045.3009999999999</v>
      </c>
      <c r="H40">
        <v>39</v>
      </c>
      <c r="I40" t="str">
        <f t="shared" si="0"/>
        <v>YES</v>
      </c>
      <c r="J40" t="s">
        <v>50</v>
      </c>
      <c r="K40">
        <v>19490.928752100001</v>
      </c>
      <c r="L40" s="1">
        <f t="shared" si="1"/>
        <v>0</v>
      </c>
      <c r="M40" s="1">
        <f t="shared" si="2"/>
        <v>337295.9015514261</v>
      </c>
      <c r="N40" s="1">
        <f t="shared" si="3"/>
        <v>302714.29858046432</v>
      </c>
      <c r="O40" s="1"/>
    </row>
    <row r="41" spans="1:15" x14ac:dyDescent="0.25">
      <c r="A41">
        <v>40</v>
      </c>
      <c r="B41">
        <v>654875.77229999995</v>
      </c>
      <c r="C41">
        <v>0</v>
      </c>
      <c r="D41">
        <v>1143140.983</v>
      </c>
      <c r="E41">
        <v>2231.027</v>
      </c>
      <c r="F41">
        <v>1548153.882</v>
      </c>
      <c r="G41">
        <v>2969.1819999999998</v>
      </c>
      <c r="H41">
        <v>40</v>
      </c>
      <c r="I41" t="str">
        <f t="shared" si="0"/>
        <v>YES</v>
      </c>
      <c r="J41" t="s">
        <v>51</v>
      </c>
      <c r="K41">
        <v>14572.6498787</v>
      </c>
      <c r="L41" s="1">
        <f t="shared" si="1"/>
        <v>0</v>
      </c>
      <c r="M41" s="1">
        <f t="shared" si="2"/>
        <v>354380.53121609805</v>
      </c>
      <c r="N41" s="1">
        <f t="shared" si="3"/>
        <v>220671.13353190492</v>
      </c>
      <c r="O41" s="1"/>
    </row>
    <row r="42" spans="1:15" x14ac:dyDescent="0.25">
      <c r="A42">
        <v>41</v>
      </c>
      <c r="B42">
        <v>625705.83499999996</v>
      </c>
      <c r="C42">
        <v>0</v>
      </c>
      <c r="D42">
        <v>1120140.4790000001</v>
      </c>
      <c r="E42">
        <v>2231.027</v>
      </c>
      <c r="F42">
        <v>1520121.632</v>
      </c>
      <c r="G42">
        <v>1952.6679999999999</v>
      </c>
      <c r="H42">
        <v>41</v>
      </c>
      <c r="I42" t="str">
        <f t="shared" si="0"/>
        <v>YES</v>
      </c>
      <c r="J42" t="s">
        <v>52</v>
      </c>
      <c r="K42">
        <v>7146.8169257999998</v>
      </c>
      <c r="L42" s="1">
        <f t="shared" si="1"/>
        <v>0</v>
      </c>
      <c r="M42" s="1">
        <f t="shared" si="2"/>
        <v>173797.68262813307</v>
      </c>
      <c r="N42" s="1">
        <f t="shared" si="3"/>
        <v>71172.33963562698</v>
      </c>
      <c r="O42" s="1"/>
    </row>
    <row r="43" spans="1:15" x14ac:dyDescent="0.25">
      <c r="A43">
        <v>42</v>
      </c>
      <c r="B43">
        <v>623032.63529999997</v>
      </c>
      <c r="C43">
        <v>0</v>
      </c>
      <c r="D43">
        <v>1103878.1680000001</v>
      </c>
      <c r="E43">
        <v>2977.7139999999999</v>
      </c>
      <c r="F43">
        <v>1498892.7919999999</v>
      </c>
      <c r="G43">
        <v>1952.6679999999999</v>
      </c>
      <c r="H43">
        <v>42</v>
      </c>
      <c r="I43" t="str">
        <f t="shared" si="0"/>
        <v>YES</v>
      </c>
      <c r="J43" t="s">
        <v>53</v>
      </c>
      <c r="K43">
        <v>6357.7394058</v>
      </c>
      <c r="L43" s="1">
        <f t="shared" si="1"/>
        <v>0</v>
      </c>
      <c r="M43" s="1">
        <f t="shared" si="2"/>
        <v>206353.67304332554</v>
      </c>
      <c r="N43" s="1">
        <f t="shared" si="3"/>
        <v>63314.226879227834</v>
      </c>
      <c r="O43" s="1"/>
    </row>
    <row r="44" spans="1:15" x14ac:dyDescent="0.25">
      <c r="A44">
        <v>43</v>
      </c>
      <c r="B44">
        <v>613221.04539999994</v>
      </c>
      <c r="C44">
        <v>0</v>
      </c>
      <c r="D44">
        <v>1094689.42</v>
      </c>
      <c r="E44">
        <v>0</v>
      </c>
      <c r="F44">
        <v>1477008.7290000001</v>
      </c>
      <c r="G44">
        <v>97.091999999999999</v>
      </c>
      <c r="H44">
        <v>43</v>
      </c>
      <c r="I44" t="str">
        <f t="shared" si="0"/>
        <v>YES</v>
      </c>
      <c r="J44" t="s">
        <v>54</v>
      </c>
      <c r="K44">
        <v>6398.7545548899998</v>
      </c>
      <c r="L44" s="1">
        <f t="shared" si="1"/>
        <v>0</v>
      </c>
      <c r="M44" s="1">
        <f t="shared" si="2"/>
        <v>0</v>
      </c>
      <c r="N44" s="1">
        <f t="shared" si="3"/>
        <v>3168.4661739412372</v>
      </c>
      <c r="O44" s="1"/>
    </row>
    <row r="45" spans="1:15" x14ac:dyDescent="0.25">
      <c r="A45">
        <v>44</v>
      </c>
      <c r="B45">
        <v>623289.37150000001</v>
      </c>
      <c r="C45">
        <v>0</v>
      </c>
      <c r="D45">
        <v>1093018.0379999999</v>
      </c>
      <c r="E45">
        <v>0</v>
      </c>
      <c r="F45">
        <v>1473073.023</v>
      </c>
      <c r="G45">
        <v>0</v>
      </c>
      <c r="H45">
        <v>44</v>
      </c>
      <c r="I45" t="str">
        <f t="shared" si="0"/>
        <v>YES</v>
      </c>
      <c r="J45" t="s">
        <v>55</v>
      </c>
      <c r="K45">
        <v>11622.654324900001</v>
      </c>
      <c r="L45" s="1">
        <f t="shared" si="1"/>
        <v>0</v>
      </c>
      <c r="M45" s="1">
        <f t="shared" si="2"/>
        <v>0</v>
      </c>
      <c r="N45" s="1">
        <f t="shared" si="3"/>
        <v>0</v>
      </c>
      <c r="O45" s="1"/>
    </row>
    <row r="46" spans="1:15" x14ac:dyDescent="0.25">
      <c r="A46">
        <v>45</v>
      </c>
      <c r="B46">
        <v>623978.84829999995</v>
      </c>
      <c r="C46">
        <v>0</v>
      </c>
      <c r="D46">
        <v>1081143.4010000001</v>
      </c>
      <c r="E46">
        <v>0</v>
      </c>
      <c r="F46">
        <v>1448935.466</v>
      </c>
      <c r="G46">
        <v>919.423</v>
      </c>
      <c r="H46">
        <v>45</v>
      </c>
      <c r="I46" t="str">
        <f t="shared" si="0"/>
        <v>YES</v>
      </c>
      <c r="J46" t="s">
        <v>56</v>
      </c>
      <c r="K46">
        <v>22184.0785019</v>
      </c>
      <c r="L46" s="1">
        <f t="shared" si="1"/>
        <v>0</v>
      </c>
      <c r="M46" s="1">
        <f t="shared" si="2"/>
        <v>0</v>
      </c>
      <c r="N46" s="1">
        <f t="shared" si="3"/>
        <v>104022.41524310727</v>
      </c>
      <c r="O46" s="1"/>
    </row>
    <row r="47" spans="1:15" x14ac:dyDescent="0.25">
      <c r="A47">
        <v>46</v>
      </c>
      <c r="B47">
        <v>683647.95279999997</v>
      </c>
      <c r="C47">
        <v>0</v>
      </c>
      <c r="D47">
        <v>1142893.0830000001</v>
      </c>
      <c r="E47">
        <v>746.68799999999999</v>
      </c>
      <c r="F47">
        <v>1571932.2890000001</v>
      </c>
      <c r="G47">
        <v>1952.6669999999999</v>
      </c>
      <c r="H47">
        <v>46</v>
      </c>
      <c r="I47" t="str">
        <f t="shared" si="0"/>
        <v>YES</v>
      </c>
      <c r="J47" t="s">
        <v>57</v>
      </c>
      <c r="K47">
        <v>6129.6114671400001</v>
      </c>
      <c r="L47" s="1">
        <f t="shared" si="1"/>
        <v>0</v>
      </c>
      <c r="M47" s="1">
        <f t="shared" si="2"/>
        <v>49888.289866216575</v>
      </c>
      <c r="N47" s="1">
        <f t="shared" si="3"/>
        <v>61042.359176999897</v>
      </c>
      <c r="O47" s="1"/>
    </row>
    <row r="48" spans="1:15" x14ac:dyDescent="0.25">
      <c r="A48">
        <v>47</v>
      </c>
      <c r="B48">
        <v>706893.60699999996</v>
      </c>
      <c r="C48">
        <v>0</v>
      </c>
      <c r="D48">
        <v>1181617.9180000001</v>
      </c>
      <c r="E48">
        <v>2494.3449999999998</v>
      </c>
      <c r="F48">
        <v>1576696.86</v>
      </c>
      <c r="G48">
        <v>1559.3689999999999</v>
      </c>
      <c r="H48">
        <v>47</v>
      </c>
      <c r="I48" t="str">
        <f t="shared" si="0"/>
        <v>YES</v>
      </c>
      <c r="J48" t="s">
        <v>58</v>
      </c>
      <c r="K48">
        <v>13887.999460700001</v>
      </c>
      <c r="L48" s="1">
        <f t="shared" si="1"/>
        <v>0</v>
      </c>
      <c r="M48" s="1">
        <f t="shared" si="2"/>
        <v>377591.93596131715</v>
      </c>
      <c r="N48" s="1">
        <f t="shared" si="3"/>
        <v>110448.23073826474</v>
      </c>
      <c r="O48" s="1"/>
    </row>
    <row r="49" spans="1:15" x14ac:dyDescent="0.25">
      <c r="A49">
        <v>48</v>
      </c>
      <c r="B49">
        <v>683325.00210000004</v>
      </c>
      <c r="C49">
        <v>0</v>
      </c>
      <c r="D49">
        <v>1178616.9280000001</v>
      </c>
      <c r="E49">
        <v>2231.027</v>
      </c>
      <c r="F49">
        <v>1583613.334</v>
      </c>
      <c r="G49">
        <v>2872.09</v>
      </c>
      <c r="H49">
        <v>48</v>
      </c>
      <c r="I49" t="str">
        <f t="shared" si="0"/>
        <v>YES</v>
      </c>
      <c r="J49" t="s">
        <v>59</v>
      </c>
      <c r="K49">
        <v>13399.928260799999</v>
      </c>
      <c r="L49" s="1">
        <f t="shared" si="1"/>
        <v>0</v>
      </c>
      <c r="M49" s="1">
        <f t="shared" si="2"/>
        <v>325862.05905219552</v>
      </c>
      <c r="N49" s="1">
        <f t="shared" si="3"/>
        <v>196277.57978866147</v>
      </c>
      <c r="O49" s="1"/>
    </row>
    <row r="50" spans="1:15" x14ac:dyDescent="0.25">
      <c r="A50">
        <v>49</v>
      </c>
      <c r="B50">
        <v>640322.72990000003</v>
      </c>
      <c r="C50">
        <v>0</v>
      </c>
      <c r="D50">
        <v>1134765.5319999999</v>
      </c>
      <c r="E50">
        <v>746.68799999999999</v>
      </c>
      <c r="F50">
        <v>1534006.2720000001</v>
      </c>
      <c r="G50">
        <v>1952.6679999999999</v>
      </c>
      <c r="H50">
        <v>49</v>
      </c>
      <c r="I50" t="str">
        <f t="shared" si="0"/>
        <v>YES</v>
      </c>
      <c r="J50" t="s">
        <v>60</v>
      </c>
      <c r="K50">
        <v>12977.6741275</v>
      </c>
      <c r="L50" s="1">
        <f t="shared" si="1"/>
        <v>0</v>
      </c>
      <c r="M50" s="1">
        <f t="shared" si="2"/>
        <v>105623.98157417044</v>
      </c>
      <c r="N50" s="1">
        <f t="shared" si="3"/>
        <v>129239.55381430557</v>
      </c>
      <c r="O50" s="1"/>
    </row>
    <row r="51" spans="1:15" x14ac:dyDescent="0.25">
      <c r="A51">
        <v>50</v>
      </c>
      <c r="B51">
        <v>646642.72640000004</v>
      </c>
      <c r="C51">
        <v>0</v>
      </c>
      <c r="D51">
        <v>1141586.9539999999</v>
      </c>
      <c r="E51">
        <v>0</v>
      </c>
      <c r="F51">
        <v>1537749.9469999999</v>
      </c>
      <c r="G51">
        <v>0</v>
      </c>
      <c r="H51">
        <v>50</v>
      </c>
      <c r="I51" t="str">
        <f t="shared" si="0"/>
        <v>YES</v>
      </c>
      <c r="J51" t="s">
        <v>61</v>
      </c>
      <c r="K51">
        <v>16749.4053322</v>
      </c>
      <c r="L51" s="1">
        <f t="shared" si="1"/>
        <v>0</v>
      </c>
      <c r="M51" s="1">
        <f t="shared" si="2"/>
        <v>0</v>
      </c>
      <c r="N51" s="1">
        <f t="shared" si="3"/>
        <v>0</v>
      </c>
      <c r="O51" s="1"/>
    </row>
    <row r="52" spans="1:15" x14ac:dyDescent="0.25">
      <c r="A52">
        <v>51</v>
      </c>
      <c r="B52">
        <v>636716.86620000005</v>
      </c>
      <c r="C52">
        <v>0</v>
      </c>
      <c r="D52">
        <v>1129001.483</v>
      </c>
      <c r="E52">
        <v>0</v>
      </c>
      <c r="F52">
        <v>1523933.8089999999</v>
      </c>
      <c r="G52">
        <v>0</v>
      </c>
      <c r="H52">
        <v>51</v>
      </c>
      <c r="I52" t="str">
        <f t="shared" si="0"/>
        <v>YES</v>
      </c>
      <c r="J52" t="s">
        <v>62</v>
      </c>
      <c r="K52">
        <v>12746.483319700001</v>
      </c>
      <c r="L52" s="1">
        <f t="shared" si="1"/>
        <v>0</v>
      </c>
      <c r="M52" s="1">
        <f t="shared" si="2"/>
        <v>0</v>
      </c>
      <c r="N52" s="1">
        <f t="shared" si="3"/>
        <v>0</v>
      </c>
      <c r="O52" s="1"/>
    </row>
    <row r="53" spans="1:15" x14ac:dyDescent="0.25">
      <c r="A53">
        <v>52</v>
      </c>
      <c r="B53">
        <v>654341.81259999995</v>
      </c>
      <c r="C53">
        <v>0</v>
      </c>
      <c r="D53">
        <v>1145072.1640000001</v>
      </c>
      <c r="E53">
        <v>0</v>
      </c>
      <c r="F53">
        <v>1535235.7139999999</v>
      </c>
      <c r="G53">
        <v>919.42200000000003</v>
      </c>
      <c r="H53">
        <v>52</v>
      </c>
      <c r="I53" t="str">
        <f t="shared" si="0"/>
        <v>YES</v>
      </c>
      <c r="J53" t="s">
        <v>63</v>
      </c>
      <c r="K53">
        <v>15234.7412754</v>
      </c>
      <c r="L53" s="1">
        <f t="shared" si="1"/>
        <v>0</v>
      </c>
      <c r="M53" s="1">
        <f t="shared" si="2"/>
        <v>0</v>
      </c>
      <c r="N53" s="1">
        <f t="shared" si="3"/>
        <v>71436.497093845173</v>
      </c>
      <c r="O53" s="1"/>
    </row>
    <row r="54" spans="1:15" x14ac:dyDescent="0.25">
      <c r="A54">
        <v>53</v>
      </c>
      <c r="B54">
        <v>558219.8077</v>
      </c>
      <c r="C54">
        <v>0</v>
      </c>
      <c r="D54">
        <v>989736.83609999996</v>
      </c>
      <c r="E54">
        <v>0</v>
      </c>
      <c r="F54">
        <v>1433753.9809999999</v>
      </c>
      <c r="G54">
        <v>1198.567</v>
      </c>
      <c r="H54">
        <v>53</v>
      </c>
      <c r="I54" t="str">
        <f t="shared" si="0"/>
        <v>YES</v>
      </c>
      <c r="J54" t="s">
        <v>64</v>
      </c>
      <c r="K54">
        <v>29032.559453099999</v>
      </c>
      <c r="L54" s="1">
        <f t="shared" si="1"/>
        <v>0</v>
      </c>
      <c r="M54" s="1">
        <f t="shared" si="2"/>
        <v>0</v>
      </c>
      <c r="N54" s="1">
        <f t="shared" si="3"/>
        <v>177467.08519872092</v>
      </c>
      <c r="O54" s="1"/>
    </row>
    <row r="55" spans="1:15" x14ac:dyDescent="0.25">
      <c r="A55">
        <v>54</v>
      </c>
      <c r="B55">
        <v>657888.67310000001</v>
      </c>
      <c r="C55">
        <v>0</v>
      </c>
      <c r="D55">
        <v>1119389.7080000001</v>
      </c>
      <c r="E55">
        <v>746.68700000000001</v>
      </c>
      <c r="F55">
        <v>1545799.1869999999</v>
      </c>
      <c r="G55">
        <v>2094.7710000000002</v>
      </c>
      <c r="H55">
        <v>54</v>
      </c>
      <c r="I55" t="str">
        <f t="shared" si="0"/>
        <v>YES</v>
      </c>
      <c r="J55" t="s">
        <v>65</v>
      </c>
      <c r="K55">
        <v>17119.204949200001</v>
      </c>
      <c r="L55" s="1">
        <f t="shared" si="1"/>
        <v>0</v>
      </c>
      <c r="M55" s="1">
        <f t="shared" si="2"/>
        <v>139331.29686634598</v>
      </c>
      <c r="N55" s="1">
        <f t="shared" si="3"/>
        <v>182890.15176026727</v>
      </c>
      <c r="O55" s="1"/>
    </row>
    <row r="56" spans="1:15" x14ac:dyDescent="0.25">
      <c r="A56">
        <v>55</v>
      </c>
      <c r="B56">
        <v>667430.5675</v>
      </c>
      <c r="C56">
        <v>0</v>
      </c>
      <c r="D56">
        <v>1144125.638</v>
      </c>
      <c r="E56">
        <v>746.68799999999999</v>
      </c>
      <c r="F56">
        <v>1567041.3</v>
      </c>
      <c r="G56">
        <v>1952.6679999999999</v>
      </c>
      <c r="H56">
        <v>55</v>
      </c>
      <c r="I56" t="str">
        <f t="shared" si="0"/>
        <v>YES</v>
      </c>
      <c r="J56" t="s">
        <v>66</v>
      </c>
      <c r="K56">
        <v>10947.031665</v>
      </c>
      <c r="L56" s="1">
        <f t="shared" si="1"/>
        <v>0</v>
      </c>
      <c r="M56" s="1">
        <f t="shared" si="2"/>
        <v>89096.787260643163</v>
      </c>
      <c r="N56" s="1">
        <f t="shared" si="3"/>
        <v>109017.18397888432</v>
      </c>
      <c r="O56" s="1"/>
    </row>
    <row r="57" spans="1:15" x14ac:dyDescent="0.25">
      <c r="A57">
        <v>56</v>
      </c>
      <c r="B57">
        <v>703969.06350000005</v>
      </c>
      <c r="C57">
        <v>0</v>
      </c>
      <c r="D57">
        <v>1151677.375</v>
      </c>
      <c r="E57">
        <v>2231.0259999999998</v>
      </c>
      <c r="F57">
        <v>1574381.389</v>
      </c>
      <c r="G57">
        <v>1559.3689999999999</v>
      </c>
      <c r="H57">
        <v>56</v>
      </c>
      <c r="I57" t="str">
        <f t="shared" si="0"/>
        <v>YES</v>
      </c>
      <c r="J57" t="s">
        <v>67</v>
      </c>
      <c r="K57">
        <v>12411.3038514</v>
      </c>
      <c r="L57" s="1">
        <f t="shared" si="1"/>
        <v>0</v>
      </c>
      <c r="M57" s="1">
        <f t="shared" si="2"/>
        <v>301820.36329147156</v>
      </c>
      <c r="N57" s="1">
        <f t="shared" si="3"/>
        <v>98704.392624814209</v>
      </c>
      <c r="O57" s="1"/>
    </row>
    <row r="58" spans="1:15" x14ac:dyDescent="0.25">
      <c r="A58">
        <v>57</v>
      </c>
      <c r="B58">
        <v>716864.38890000002</v>
      </c>
      <c r="C58">
        <v>0</v>
      </c>
      <c r="D58">
        <v>1185634.0719999999</v>
      </c>
      <c r="E58">
        <v>2231.027</v>
      </c>
      <c r="F58">
        <v>1577632.6470000001</v>
      </c>
      <c r="G58">
        <v>1016.514</v>
      </c>
      <c r="H58">
        <v>57</v>
      </c>
      <c r="I58" t="str">
        <f t="shared" si="0"/>
        <v>YES</v>
      </c>
      <c r="J58" t="s">
        <v>68</v>
      </c>
      <c r="K58">
        <v>30102.616279599999</v>
      </c>
      <c r="L58" s="1">
        <f t="shared" si="1"/>
        <v>0</v>
      </c>
      <c r="M58" s="1">
        <f t="shared" si="2"/>
        <v>732041.27162565594</v>
      </c>
      <c r="N58" s="1">
        <f t="shared" si="3"/>
        <v>156058.6275126907</v>
      </c>
      <c r="O58" s="1"/>
    </row>
    <row r="59" spans="1:15" x14ac:dyDescent="0.25">
      <c r="A59">
        <v>58</v>
      </c>
      <c r="B59">
        <v>686818.17420000001</v>
      </c>
      <c r="C59">
        <v>0</v>
      </c>
      <c r="D59">
        <v>1169405.317</v>
      </c>
      <c r="E59">
        <v>7288.0749999999998</v>
      </c>
      <c r="F59">
        <v>1569909.8959999999</v>
      </c>
      <c r="G59">
        <v>1220.0630000000001</v>
      </c>
      <c r="H59">
        <v>58</v>
      </c>
      <c r="I59" t="str">
        <f t="shared" si="0"/>
        <v>YES</v>
      </c>
      <c r="J59" t="s">
        <v>69</v>
      </c>
      <c r="K59">
        <v>21693.943382699999</v>
      </c>
      <c r="L59" s="1">
        <f t="shared" si="1"/>
        <v>0</v>
      </c>
      <c r="M59" s="1">
        <f t="shared" si="2"/>
        <v>1723367.2419656971</v>
      </c>
      <c r="N59" s="1">
        <f t="shared" si="3"/>
        <v>134986.68599116828</v>
      </c>
      <c r="O59" s="1"/>
    </row>
    <row r="60" spans="1:15" x14ac:dyDescent="0.25">
      <c r="A60">
        <v>59</v>
      </c>
      <c r="B60">
        <v>656568.69330000004</v>
      </c>
      <c r="C60">
        <v>0</v>
      </c>
      <c r="D60">
        <v>1144579.612</v>
      </c>
      <c r="E60">
        <v>0</v>
      </c>
      <c r="F60">
        <v>1547928.307</v>
      </c>
      <c r="G60">
        <v>919.423</v>
      </c>
      <c r="H60">
        <v>59</v>
      </c>
      <c r="I60" t="str">
        <f t="shared" si="0"/>
        <v>YES</v>
      </c>
      <c r="J60" t="s">
        <v>70</v>
      </c>
      <c r="K60">
        <v>10366.0195212</v>
      </c>
      <c r="L60" s="1">
        <f t="shared" si="1"/>
        <v>0</v>
      </c>
      <c r="M60" s="1">
        <f t="shared" si="2"/>
        <v>0</v>
      </c>
      <c r="N60" s="1">
        <f t="shared" si="3"/>
        <v>48606.859507825371</v>
      </c>
      <c r="O60" s="1"/>
    </row>
    <row r="61" spans="1:15" x14ac:dyDescent="0.25">
      <c r="A61">
        <v>60</v>
      </c>
      <c r="B61">
        <v>659034.6986</v>
      </c>
      <c r="C61">
        <v>0</v>
      </c>
      <c r="D61">
        <v>1077264.7660000001</v>
      </c>
      <c r="E61">
        <v>4824.7240000000002</v>
      </c>
      <c r="F61">
        <v>1464171.1089999999</v>
      </c>
      <c r="G61">
        <v>1220.0630000000001</v>
      </c>
      <c r="H61">
        <v>60</v>
      </c>
      <c r="I61" t="str">
        <f t="shared" si="0"/>
        <v>YES</v>
      </c>
      <c r="J61" t="s">
        <v>71</v>
      </c>
      <c r="K61">
        <v>10816.1341973</v>
      </c>
      <c r="L61" s="1">
        <f t="shared" si="1"/>
        <v>0</v>
      </c>
      <c r="M61" s="1">
        <f t="shared" si="2"/>
        <v>568814.99851338111</v>
      </c>
      <c r="N61" s="1">
        <f t="shared" si="3"/>
        <v>67301.462199518195</v>
      </c>
      <c r="O61" s="1"/>
    </row>
    <row r="62" spans="1:15" x14ac:dyDescent="0.25">
      <c r="A62">
        <v>61</v>
      </c>
      <c r="B62">
        <v>680583.82539999997</v>
      </c>
      <c r="C62">
        <v>0</v>
      </c>
      <c r="D62">
        <v>1147397.125</v>
      </c>
      <c r="E62">
        <v>0</v>
      </c>
      <c r="F62">
        <v>1531584.226</v>
      </c>
      <c r="G62">
        <v>1220.0630000000001</v>
      </c>
      <c r="H62">
        <v>61</v>
      </c>
      <c r="I62" t="str">
        <f t="shared" si="0"/>
        <v>YES</v>
      </c>
      <c r="J62" t="s">
        <v>72</v>
      </c>
      <c r="K62">
        <v>9573.4300004699999</v>
      </c>
      <c r="L62" s="1">
        <f t="shared" si="1"/>
        <v>0</v>
      </c>
      <c r="M62" s="1">
        <f t="shared" si="2"/>
        <v>0</v>
      </c>
      <c r="N62" s="1">
        <f t="shared" si="3"/>
        <v>59568.957405983499</v>
      </c>
      <c r="O62" s="1"/>
    </row>
    <row r="63" spans="1:15" x14ac:dyDescent="0.25">
      <c r="A63">
        <v>62</v>
      </c>
      <c r="B63">
        <v>655803.60019999999</v>
      </c>
      <c r="C63">
        <v>0</v>
      </c>
      <c r="D63">
        <v>1136514.3940000001</v>
      </c>
      <c r="E63">
        <v>0</v>
      </c>
      <c r="F63">
        <v>1523551.2109999999</v>
      </c>
      <c r="G63">
        <v>919.42200000000003</v>
      </c>
      <c r="H63">
        <v>62</v>
      </c>
      <c r="I63" t="str">
        <f t="shared" si="0"/>
        <v>YES</v>
      </c>
      <c r="J63" t="s">
        <v>73</v>
      </c>
      <c r="K63">
        <v>14067.419826200001</v>
      </c>
      <c r="L63" s="1">
        <f t="shared" si="1"/>
        <v>0</v>
      </c>
      <c r="M63" s="1">
        <f t="shared" si="2"/>
        <v>0</v>
      </c>
      <c r="N63" s="1">
        <f t="shared" si="3"/>
        <v>65962.865884366736</v>
      </c>
      <c r="O63" s="1"/>
    </row>
    <row r="64" spans="1:15" x14ac:dyDescent="0.25">
      <c r="A64">
        <v>63</v>
      </c>
      <c r="B64">
        <v>665915.45920000004</v>
      </c>
      <c r="C64">
        <v>0</v>
      </c>
      <c r="D64">
        <v>1111753.7879999999</v>
      </c>
      <c r="E64">
        <v>4824.723</v>
      </c>
      <c r="F64">
        <v>1494529.0360000001</v>
      </c>
      <c r="G64">
        <v>1220.0619999999999</v>
      </c>
      <c r="H64">
        <v>63</v>
      </c>
      <c r="I64" t="str">
        <f t="shared" si="0"/>
        <v>YES</v>
      </c>
      <c r="J64" t="s">
        <v>74</v>
      </c>
      <c r="K64">
        <v>68780.052886100006</v>
      </c>
      <c r="L64" s="1">
        <f t="shared" si="1"/>
        <v>0</v>
      </c>
      <c r="M64" s="1">
        <f t="shared" si="2"/>
        <v>3617107.2637985353</v>
      </c>
      <c r="N64" s="1">
        <f t="shared" si="3"/>
        <v>427971.23731003678</v>
      </c>
      <c r="O64" s="1"/>
    </row>
    <row r="65" spans="1:15" x14ac:dyDescent="0.25">
      <c r="A65">
        <v>64</v>
      </c>
      <c r="B65">
        <v>279396.8028</v>
      </c>
      <c r="C65">
        <v>0</v>
      </c>
      <c r="D65">
        <v>633036.03060000006</v>
      </c>
      <c r="E65">
        <v>0</v>
      </c>
      <c r="F65">
        <v>1100057.0819999999</v>
      </c>
      <c r="G65">
        <v>0</v>
      </c>
      <c r="H65">
        <v>64</v>
      </c>
      <c r="I65" t="str">
        <f t="shared" si="0"/>
        <v>YES</v>
      </c>
      <c r="J65" t="s">
        <v>75</v>
      </c>
      <c r="K65">
        <v>143531.902665</v>
      </c>
      <c r="L65" s="1">
        <f t="shared" si="1"/>
        <v>0</v>
      </c>
      <c r="M65" s="1">
        <f t="shared" si="2"/>
        <v>0</v>
      </c>
      <c r="N65" s="1">
        <f t="shared" si="3"/>
        <v>0</v>
      </c>
      <c r="O65" s="1"/>
    </row>
    <row r="66" spans="1:15" x14ac:dyDescent="0.25">
      <c r="A66">
        <v>65</v>
      </c>
      <c r="B66">
        <v>532611.43290000001</v>
      </c>
      <c r="C66">
        <v>0</v>
      </c>
      <c r="D66">
        <v>938933.34239999996</v>
      </c>
      <c r="E66">
        <v>0</v>
      </c>
      <c r="F66">
        <v>1367756.4140000001</v>
      </c>
      <c r="G66">
        <v>2607.0500000000002</v>
      </c>
      <c r="H66">
        <v>65</v>
      </c>
      <c r="I66" t="str">
        <f t="shared" ref="I66:I129" si="5">IF(A66=H66,"YES","NO")</f>
        <v>YES</v>
      </c>
      <c r="J66" t="s">
        <v>76</v>
      </c>
      <c r="K66">
        <v>14395.444787300001</v>
      </c>
      <c r="L66" s="1">
        <f t="shared" si="1"/>
        <v>0</v>
      </c>
      <c r="M66" s="1">
        <f t="shared" si="2"/>
        <v>0</v>
      </c>
      <c r="N66" s="1">
        <f t="shared" si="3"/>
        <v>191401.1860969254</v>
      </c>
      <c r="O66" s="1"/>
    </row>
    <row r="67" spans="1:15" x14ac:dyDescent="0.25">
      <c r="A67">
        <v>66</v>
      </c>
      <c r="B67">
        <v>553286.84589999996</v>
      </c>
      <c r="C67">
        <v>0</v>
      </c>
      <c r="D67">
        <v>975253.5638</v>
      </c>
      <c r="E67">
        <v>0</v>
      </c>
      <c r="F67">
        <v>1406559.6259999999</v>
      </c>
      <c r="G67">
        <v>1435.6949999999999</v>
      </c>
      <c r="H67">
        <v>66</v>
      </c>
      <c r="I67" t="str">
        <f t="shared" si="5"/>
        <v>YES</v>
      </c>
      <c r="J67" t="s">
        <v>77</v>
      </c>
      <c r="K67">
        <v>16475.591944100001</v>
      </c>
      <c r="L67" s="1">
        <f t="shared" ref="L67:L130" si="6">$U$2*$K67*C67</f>
        <v>0</v>
      </c>
      <c r="M67" s="1">
        <f t="shared" ref="M67:M130" si="7">$U$3*$K67*E67</f>
        <v>0</v>
      </c>
      <c r="N67" s="1">
        <f t="shared" ref="N67:N130" si="8">$U$4*$K67*G67</f>
        <v>120635.01737854171</v>
      </c>
      <c r="O67" s="1"/>
    </row>
    <row r="68" spans="1:15" x14ac:dyDescent="0.25">
      <c r="A68">
        <v>67</v>
      </c>
      <c r="B68">
        <v>595570.29410000006</v>
      </c>
      <c r="C68">
        <v>0</v>
      </c>
      <c r="D68">
        <v>1045099.18</v>
      </c>
      <c r="E68">
        <v>0</v>
      </c>
      <c r="F68">
        <v>1474977.254</v>
      </c>
      <c r="G68">
        <v>1271.539</v>
      </c>
      <c r="H68">
        <v>67</v>
      </c>
      <c r="I68" t="str">
        <f t="shared" si="5"/>
        <v>YES</v>
      </c>
      <c r="J68" t="s">
        <v>78</v>
      </c>
      <c r="K68">
        <v>19926.000099299999</v>
      </c>
      <c r="L68" s="1">
        <f t="shared" si="6"/>
        <v>0</v>
      </c>
      <c r="M68" s="1">
        <f t="shared" si="7"/>
        <v>0</v>
      </c>
      <c r="N68" s="1">
        <f t="shared" si="8"/>
        <v>129217.0998253455</v>
      </c>
      <c r="O68" s="1"/>
    </row>
    <row r="69" spans="1:15" x14ac:dyDescent="0.25">
      <c r="A69">
        <v>68</v>
      </c>
      <c r="B69">
        <v>624702.1311</v>
      </c>
      <c r="C69">
        <v>0</v>
      </c>
      <c r="D69">
        <v>1095124.871</v>
      </c>
      <c r="E69">
        <v>1616.415</v>
      </c>
      <c r="F69">
        <v>1511831.5460000001</v>
      </c>
      <c r="G69">
        <v>2094.7710000000002</v>
      </c>
      <c r="H69">
        <v>68</v>
      </c>
      <c r="I69" t="str">
        <f t="shared" si="5"/>
        <v>YES</v>
      </c>
      <c r="J69" t="s">
        <v>79</v>
      </c>
      <c r="K69">
        <v>14129.878039900001</v>
      </c>
      <c r="L69" s="1">
        <f t="shared" si="6"/>
        <v>0</v>
      </c>
      <c r="M69" s="1">
        <f t="shared" si="7"/>
        <v>248953.24024932805</v>
      </c>
      <c r="N69" s="1">
        <f t="shared" si="8"/>
        <v>150954.1796327488</v>
      </c>
      <c r="O69" s="1"/>
    </row>
    <row r="70" spans="1:15" x14ac:dyDescent="0.25">
      <c r="A70">
        <v>69</v>
      </c>
      <c r="B70">
        <v>649439.59880000004</v>
      </c>
      <c r="C70">
        <v>0</v>
      </c>
      <c r="D70">
        <v>1110700.0260000001</v>
      </c>
      <c r="E70">
        <v>1132.6410000000001</v>
      </c>
      <c r="F70">
        <v>1540817.6769999999</v>
      </c>
      <c r="G70">
        <v>1952.6679999999999</v>
      </c>
      <c r="H70">
        <v>69</v>
      </c>
      <c r="I70" t="str">
        <f t="shared" si="5"/>
        <v>YES</v>
      </c>
      <c r="J70" t="s">
        <v>80</v>
      </c>
      <c r="K70">
        <v>8170.8346371199996</v>
      </c>
      <c r="L70" s="1">
        <f t="shared" si="6"/>
        <v>0</v>
      </c>
      <c r="M70" s="1">
        <f t="shared" si="7"/>
        <v>100875.38322502235</v>
      </c>
      <c r="N70" s="1">
        <f t="shared" si="8"/>
        <v>81370.129378898753</v>
      </c>
      <c r="O70" s="1"/>
    </row>
    <row r="71" spans="1:15" x14ac:dyDescent="0.25">
      <c r="A71">
        <v>70</v>
      </c>
      <c r="B71">
        <v>618703.35389999999</v>
      </c>
      <c r="C71">
        <v>0</v>
      </c>
      <c r="D71">
        <v>1085522.959</v>
      </c>
      <c r="E71">
        <v>1230.463</v>
      </c>
      <c r="F71">
        <v>1497735.8289999999</v>
      </c>
      <c r="G71">
        <v>1952.6679999999999</v>
      </c>
      <c r="H71">
        <v>70</v>
      </c>
      <c r="I71" t="str">
        <f t="shared" si="5"/>
        <v>YES</v>
      </c>
      <c r="J71" t="s">
        <v>81</v>
      </c>
      <c r="K71">
        <v>7780.2118110199999</v>
      </c>
      <c r="L71" s="1">
        <f t="shared" si="6"/>
        <v>0</v>
      </c>
      <c r="M71" s="1">
        <f t="shared" si="7"/>
        <v>104348.56414529182</v>
      </c>
      <c r="N71" s="1">
        <f t="shared" si="8"/>
        <v>77480.070246664094</v>
      </c>
      <c r="O71" s="1"/>
    </row>
    <row r="72" spans="1:15" x14ac:dyDescent="0.25">
      <c r="A72">
        <v>71</v>
      </c>
      <c r="B72">
        <v>662425.14839999995</v>
      </c>
      <c r="C72">
        <v>0</v>
      </c>
      <c r="D72">
        <v>1146003.0649999999</v>
      </c>
      <c r="E72">
        <v>2463.3510000000001</v>
      </c>
      <c r="F72">
        <v>1563460.0390000001</v>
      </c>
      <c r="G72">
        <v>1016.514</v>
      </c>
      <c r="H72">
        <v>71</v>
      </c>
      <c r="I72" t="str">
        <f t="shared" si="5"/>
        <v>YES</v>
      </c>
      <c r="J72" t="s">
        <v>82</v>
      </c>
      <c r="K72">
        <v>7520.7604358600001</v>
      </c>
      <c r="L72" s="1">
        <f t="shared" si="6"/>
        <v>0</v>
      </c>
      <c r="M72" s="1">
        <f t="shared" si="7"/>
        <v>201936.37287075425</v>
      </c>
      <c r="N72" s="1">
        <f t="shared" si="8"/>
        <v>38989.287195858742</v>
      </c>
      <c r="O72" s="1"/>
    </row>
    <row r="73" spans="1:15" x14ac:dyDescent="0.25">
      <c r="A73">
        <v>72</v>
      </c>
      <c r="B73">
        <v>624109.89859999996</v>
      </c>
      <c r="C73">
        <v>0</v>
      </c>
      <c r="D73">
        <v>1119524.284</v>
      </c>
      <c r="E73">
        <v>2231.027</v>
      </c>
      <c r="F73">
        <v>1513477.7</v>
      </c>
      <c r="G73">
        <v>1016.514</v>
      </c>
      <c r="H73">
        <v>72</v>
      </c>
      <c r="I73" t="str">
        <f t="shared" si="5"/>
        <v>YES</v>
      </c>
      <c r="J73" t="s">
        <v>83</v>
      </c>
      <c r="K73">
        <v>10913.7609569</v>
      </c>
      <c r="L73" s="1">
        <f t="shared" si="6"/>
        <v>0</v>
      </c>
      <c r="M73" s="1">
        <f t="shared" si="7"/>
        <v>265402.95949364814</v>
      </c>
      <c r="N73" s="1">
        <f t="shared" si="8"/>
        <v>56579.353107245464</v>
      </c>
      <c r="O73" s="1"/>
    </row>
    <row r="74" spans="1:15" x14ac:dyDescent="0.25">
      <c r="A74">
        <v>73</v>
      </c>
      <c r="B74">
        <v>643838.20460000006</v>
      </c>
      <c r="C74">
        <v>0</v>
      </c>
      <c r="D74">
        <v>1140932.058</v>
      </c>
      <c r="E74">
        <v>232.32400000000001</v>
      </c>
      <c r="F74">
        <v>1544322.327</v>
      </c>
      <c r="G74">
        <v>919.42200000000003</v>
      </c>
      <c r="H74">
        <v>73</v>
      </c>
      <c r="I74" t="str">
        <f t="shared" si="5"/>
        <v>YES</v>
      </c>
      <c r="J74" t="s">
        <v>84</v>
      </c>
      <c r="K74">
        <v>24095.533907000001</v>
      </c>
      <c r="L74" s="1">
        <f t="shared" si="6"/>
        <v>0</v>
      </c>
      <c r="M74" s="1">
        <f t="shared" si="7"/>
        <v>61017.881931567572</v>
      </c>
      <c r="N74" s="1">
        <f t="shared" si="8"/>
        <v>112985.21627679297</v>
      </c>
      <c r="O74" s="1"/>
    </row>
    <row r="75" spans="1:15" x14ac:dyDescent="0.25">
      <c r="A75">
        <v>74</v>
      </c>
      <c r="B75">
        <v>653928.64280000003</v>
      </c>
      <c r="C75">
        <v>0</v>
      </c>
      <c r="D75">
        <v>1127760.9809999999</v>
      </c>
      <c r="E75">
        <v>0</v>
      </c>
      <c r="F75">
        <v>1530798.898</v>
      </c>
      <c r="G75">
        <v>1220.0630000000001</v>
      </c>
      <c r="H75">
        <v>74</v>
      </c>
      <c r="I75" t="str">
        <f t="shared" si="5"/>
        <v>YES</v>
      </c>
      <c r="J75" t="s">
        <v>85</v>
      </c>
      <c r="K75">
        <v>19218.999243300001</v>
      </c>
      <c r="L75" s="1">
        <f t="shared" si="6"/>
        <v>0</v>
      </c>
      <c r="M75" s="1">
        <f t="shared" si="7"/>
        <v>0</v>
      </c>
      <c r="N75" s="1">
        <f t="shared" si="8"/>
        <v>119586.78835626949</v>
      </c>
      <c r="O75" s="1"/>
    </row>
    <row r="76" spans="1:15" x14ac:dyDescent="0.25">
      <c r="A76">
        <v>75</v>
      </c>
      <c r="B76">
        <v>661320.95479999995</v>
      </c>
      <c r="C76">
        <v>0</v>
      </c>
      <c r="D76">
        <v>1129542.2379999999</v>
      </c>
      <c r="E76">
        <v>0</v>
      </c>
      <c r="F76">
        <v>1519406.298</v>
      </c>
      <c r="G76">
        <v>941.16499999999996</v>
      </c>
      <c r="H76">
        <v>75</v>
      </c>
      <c r="I76" t="str">
        <f t="shared" si="5"/>
        <v>YES</v>
      </c>
      <c r="J76" t="s">
        <v>86</v>
      </c>
      <c r="K76">
        <v>10794.633963300001</v>
      </c>
      <c r="L76" s="1">
        <f t="shared" si="6"/>
        <v>0</v>
      </c>
      <c r="M76" s="1">
        <f t="shared" si="7"/>
        <v>0</v>
      </c>
      <c r="N76" s="1">
        <f t="shared" si="8"/>
        <v>51813.611537753153</v>
      </c>
      <c r="O76" s="1"/>
    </row>
    <row r="77" spans="1:15" x14ac:dyDescent="0.25">
      <c r="A77">
        <v>76</v>
      </c>
      <c r="B77">
        <v>675412.00450000004</v>
      </c>
      <c r="C77">
        <v>0</v>
      </c>
      <c r="D77">
        <v>1141519.4240000001</v>
      </c>
      <c r="E77">
        <v>493.91699999999997</v>
      </c>
      <c r="F77">
        <v>1523316.943</v>
      </c>
      <c r="G77">
        <v>194.20699999999999</v>
      </c>
      <c r="H77">
        <v>76</v>
      </c>
      <c r="I77" t="str">
        <f t="shared" si="5"/>
        <v>YES</v>
      </c>
      <c r="J77" t="s">
        <v>87</v>
      </c>
      <c r="K77">
        <v>9440.4991847599995</v>
      </c>
      <c r="L77" s="1">
        <f t="shared" si="6"/>
        <v>0</v>
      </c>
      <c r="M77" s="1">
        <f t="shared" si="7"/>
        <v>50824.771090646238</v>
      </c>
      <c r="N77" s="1">
        <f t="shared" si="8"/>
        <v>9350.396228390895</v>
      </c>
      <c r="O77" s="1"/>
    </row>
    <row r="78" spans="1:15" x14ac:dyDescent="0.25">
      <c r="A78">
        <v>77</v>
      </c>
      <c r="B78">
        <v>696186.70669999998</v>
      </c>
      <c r="C78">
        <v>0</v>
      </c>
      <c r="D78">
        <v>1136004.969</v>
      </c>
      <c r="E78">
        <v>0</v>
      </c>
      <c r="F78">
        <v>1508295.5970000001</v>
      </c>
      <c r="G78">
        <v>1220.0619999999999</v>
      </c>
      <c r="H78">
        <v>77</v>
      </c>
      <c r="I78" t="str">
        <f t="shared" si="5"/>
        <v>YES</v>
      </c>
      <c r="J78" t="s">
        <v>88</v>
      </c>
      <c r="K78">
        <v>14175.2391976</v>
      </c>
      <c r="L78" s="1">
        <f t="shared" si="6"/>
        <v>0</v>
      </c>
      <c r="M78" s="1">
        <f t="shared" si="7"/>
        <v>0</v>
      </c>
      <c r="N78" s="1">
        <f t="shared" si="8"/>
        <v>88202.820498101486</v>
      </c>
      <c r="O78" s="1"/>
    </row>
    <row r="79" spans="1:15" x14ac:dyDescent="0.25">
      <c r="A79">
        <v>78</v>
      </c>
      <c r="B79">
        <v>559522.71499999997</v>
      </c>
      <c r="C79">
        <v>0</v>
      </c>
      <c r="D79">
        <v>994268.05130000005</v>
      </c>
      <c r="E79">
        <v>0</v>
      </c>
      <c r="F79">
        <v>1407068.567</v>
      </c>
      <c r="G79">
        <v>2033.433</v>
      </c>
      <c r="H79">
        <v>78</v>
      </c>
      <c r="I79" t="str">
        <f t="shared" si="5"/>
        <v>YES</v>
      </c>
      <c r="J79" t="s">
        <v>89</v>
      </c>
      <c r="K79">
        <v>22341.371558899998</v>
      </c>
      <c r="L79" s="1">
        <f t="shared" si="6"/>
        <v>0</v>
      </c>
      <c r="M79" s="1">
        <f t="shared" si="7"/>
        <v>0</v>
      </c>
      <c r="N79" s="1">
        <f t="shared" si="8"/>
        <v>231691.3791849564</v>
      </c>
      <c r="O79" s="1"/>
    </row>
    <row r="80" spans="1:15" x14ac:dyDescent="0.25">
      <c r="A80">
        <v>79</v>
      </c>
      <c r="B80">
        <v>539763.70719999995</v>
      </c>
      <c r="C80">
        <v>0</v>
      </c>
      <c r="D80">
        <v>972729.84400000004</v>
      </c>
      <c r="E80">
        <v>0</v>
      </c>
      <c r="F80">
        <v>1384357.105</v>
      </c>
      <c r="G80">
        <v>1198.568</v>
      </c>
      <c r="H80">
        <v>79</v>
      </c>
      <c r="I80" t="str">
        <f t="shared" si="5"/>
        <v>YES</v>
      </c>
      <c r="J80" t="s">
        <v>90</v>
      </c>
      <c r="K80">
        <v>42496.500771300001</v>
      </c>
      <c r="L80" s="1">
        <f t="shared" si="6"/>
        <v>0</v>
      </c>
      <c r="M80" s="1">
        <f t="shared" si="7"/>
        <v>0</v>
      </c>
      <c r="N80" s="1">
        <f t="shared" si="8"/>
        <v>259768.22427592307</v>
      </c>
      <c r="O80" s="1"/>
    </row>
    <row r="81" spans="1:15" x14ac:dyDescent="0.25">
      <c r="A81">
        <v>80</v>
      </c>
      <c r="B81">
        <v>574092.85419999994</v>
      </c>
      <c r="C81">
        <v>0</v>
      </c>
      <c r="D81">
        <v>1013672.069</v>
      </c>
      <c r="E81">
        <v>0</v>
      </c>
      <c r="F81">
        <v>1412382.041</v>
      </c>
      <c r="G81">
        <v>1271.539</v>
      </c>
      <c r="H81">
        <v>80</v>
      </c>
      <c r="I81" t="str">
        <f t="shared" si="5"/>
        <v>YES</v>
      </c>
      <c r="J81" t="s">
        <v>91</v>
      </c>
      <c r="K81">
        <v>22366.297439599999</v>
      </c>
      <c r="L81" s="1">
        <f t="shared" si="6"/>
        <v>0</v>
      </c>
      <c r="M81" s="1">
        <f t="shared" si="7"/>
        <v>0</v>
      </c>
      <c r="N81" s="1">
        <f t="shared" si="8"/>
        <v>145042.05934826288</v>
      </c>
      <c r="O81" s="1"/>
    </row>
    <row r="82" spans="1:15" x14ac:dyDescent="0.25">
      <c r="A82">
        <v>81</v>
      </c>
      <c r="B82">
        <v>601412.6483</v>
      </c>
      <c r="C82">
        <v>0</v>
      </c>
      <c r="D82">
        <v>1047764.909</v>
      </c>
      <c r="E82">
        <v>1132.6400000000001</v>
      </c>
      <c r="F82">
        <v>1457872.2919999999</v>
      </c>
      <c r="G82">
        <v>2506.145</v>
      </c>
      <c r="H82">
        <v>81</v>
      </c>
      <c r="I82" t="str">
        <f t="shared" si="5"/>
        <v>YES</v>
      </c>
      <c r="J82" t="s">
        <v>92</v>
      </c>
      <c r="K82">
        <v>15089.0627864</v>
      </c>
      <c r="L82" s="1">
        <f t="shared" si="6"/>
        <v>0</v>
      </c>
      <c r="M82" s="1">
        <f t="shared" si="7"/>
        <v>186286.18921083026</v>
      </c>
      <c r="N82" s="1">
        <f t="shared" si="8"/>
        <v>192858.43420979439</v>
      </c>
      <c r="O82" s="1"/>
    </row>
    <row r="83" spans="1:15" x14ac:dyDescent="0.25">
      <c r="A83">
        <v>82</v>
      </c>
      <c r="B83">
        <v>628226.8848</v>
      </c>
      <c r="C83">
        <v>0</v>
      </c>
      <c r="D83">
        <v>1084681.236</v>
      </c>
      <c r="E83">
        <v>2231.027</v>
      </c>
      <c r="F83">
        <v>1514196.9439999999</v>
      </c>
      <c r="G83">
        <v>1656.462</v>
      </c>
      <c r="H83">
        <v>82</v>
      </c>
      <c r="I83" t="str">
        <f t="shared" si="5"/>
        <v>YES</v>
      </c>
      <c r="J83" t="s">
        <v>93</v>
      </c>
      <c r="K83">
        <v>16846.332761099999</v>
      </c>
      <c r="L83" s="1">
        <f t="shared" si="6"/>
        <v>0</v>
      </c>
      <c r="M83" s="1">
        <f t="shared" si="7"/>
        <v>409672.3933268853</v>
      </c>
      <c r="N83" s="1">
        <f t="shared" si="8"/>
        <v>142317.08129639787</v>
      </c>
      <c r="O83" s="1"/>
    </row>
    <row r="84" spans="1:15" x14ac:dyDescent="0.25">
      <c r="A84">
        <v>83</v>
      </c>
      <c r="B84">
        <v>622301.30759999994</v>
      </c>
      <c r="C84">
        <v>0</v>
      </c>
      <c r="D84">
        <v>1091641.6299999999</v>
      </c>
      <c r="E84">
        <v>2231.027</v>
      </c>
      <c r="F84">
        <v>1493463.81</v>
      </c>
      <c r="G84">
        <v>1870.854</v>
      </c>
      <c r="H84">
        <v>83</v>
      </c>
      <c r="I84" t="str">
        <f t="shared" si="5"/>
        <v>YES</v>
      </c>
      <c r="J84" t="s">
        <v>94</v>
      </c>
      <c r="K84">
        <v>17061.2847549</v>
      </c>
      <c r="L84" s="1">
        <f t="shared" si="6"/>
        <v>0</v>
      </c>
      <c r="M84" s="1">
        <f t="shared" si="7"/>
        <v>414899.63767728605</v>
      </c>
      <c r="N84" s="1">
        <f t="shared" si="8"/>
        <v>162787.7814271028</v>
      </c>
      <c r="O84" s="1"/>
    </row>
    <row r="85" spans="1:15" x14ac:dyDescent="0.25">
      <c r="A85">
        <v>84</v>
      </c>
      <c r="B85">
        <v>635368.84180000005</v>
      </c>
      <c r="C85">
        <v>0</v>
      </c>
      <c r="D85">
        <v>1119773.2690000001</v>
      </c>
      <c r="E85">
        <v>0</v>
      </c>
      <c r="F85">
        <v>1522926.388</v>
      </c>
      <c r="G85">
        <v>1220.0630000000001</v>
      </c>
      <c r="H85">
        <v>84</v>
      </c>
      <c r="I85" t="str">
        <f t="shared" si="5"/>
        <v>YES</v>
      </c>
      <c r="J85" t="s">
        <v>95</v>
      </c>
      <c r="K85">
        <v>16576.711416999999</v>
      </c>
      <c r="L85" s="1">
        <f t="shared" si="6"/>
        <v>0</v>
      </c>
      <c r="M85" s="1">
        <f t="shared" si="7"/>
        <v>0</v>
      </c>
      <c r="N85" s="1">
        <f t="shared" si="8"/>
        <v>103145.62453395229</v>
      </c>
      <c r="O85" s="1"/>
    </row>
    <row r="86" spans="1:15" x14ac:dyDescent="0.25">
      <c r="A86">
        <v>85</v>
      </c>
      <c r="B86">
        <v>643156.78170000005</v>
      </c>
      <c r="C86">
        <v>0</v>
      </c>
      <c r="D86">
        <v>1110231.675</v>
      </c>
      <c r="E86">
        <v>0</v>
      </c>
      <c r="F86">
        <v>1501429.264</v>
      </c>
      <c r="G86">
        <v>1220.0619999999999</v>
      </c>
      <c r="H86">
        <v>85</v>
      </c>
      <c r="I86" t="str">
        <f t="shared" si="5"/>
        <v>YES</v>
      </c>
      <c r="J86" t="s">
        <v>96</v>
      </c>
      <c r="K86">
        <v>15275.41577</v>
      </c>
      <c r="L86" s="1">
        <f t="shared" si="6"/>
        <v>0</v>
      </c>
      <c r="M86" s="1">
        <f t="shared" si="7"/>
        <v>0</v>
      </c>
      <c r="N86" s="1">
        <f t="shared" si="8"/>
        <v>95048.467007406463</v>
      </c>
      <c r="O86" s="1"/>
    </row>
    <row r="87" spans="1:15" x14ac:dyDescent="0.25">
      <c r="A87">
        <v>86</v>
      </c>
      <c r="B87">
        <v>664435.13749999995</v>
      </c>
      <c r="C87">
        <v>0</v>
      </c>
      <c r="D87">
        <v>1086262.635</v>
      </c>
      <c r="E87">
        <v>0</v>
      </c>
      <c r="F87">
        <v>1481142.2990000001</v>
      </c>
      <c r="G87">
        <v>941.16499999999996</v>
      </c>
      <c r="H87">
        <v>86</v>
      </c>
      <c r="I87" t="str">
        <f t="shared" si="5"/>
        <v>YES</v>
      </c>
      <c r="J87" t="s">
        <v>97</v>
      </c>
      <c r="K87">
        <v>12122.559662199999</v>
      </c>
      <c r="L87" s="1">
        <f t="shared" si="6"/>
        <v>0</v>
      </c>
      <c r="M87" s="1">
        <f t="shared" si="7"/>
        <v>0</v>
      </c>
      <c r="N87" s="1">
        <f t="shared" si="8"/>
        <v>58187.577208819755</v>
      </c>
      <c r="O87" s="1"/>
    </row>
    <row r="88" spans="1:15" x14ac:dyDescent="0.25">
      <c r="A88">
        <v>87</v>
      </c>
      <c r="B88">
        <v>681737.19609999994</v>
      </c>
      <c r="C88">
        <v>0</v>
      </c>
      <c r="D88">
        <v>1109749.132</v>
      </c>
      <c r="E88">
        <v>0</v>
      </c>
      <c r="F88">
        <v>1487923.7250000001</v>
      </c>
      <c r="G88">
        <v>640.52499999999998</v>
      </c>
      <c r="H88">
        <v>87</v>
      </c>
      <c r="I88" t="str">
        <f t="shared" si="5"/>
        <v>YES</v>
      </c>
      <c r="J88" t="s">
        <v>98</v>
      </c>
      <c r="K88">
        <v>11853.139100799999</v>
      </c>
      <c r="L88" s="1">
        <f t="shared" si="6"/>
        <v>0</v>
      </c>
      <c r="M88" s="1">
        <f t="shared" si="7"/>
        <v>0</v>
      </c>
      <c r="N88" s="1">
        <f t="shared" si="8"/>
        <v>38720.382804953588</v>
      </c>
      <c r="O88" s="1"/>
    </row>
    <row r="89" spans="1:15" x14ac:dyDescent="0.25">
      <c r="A89">
        <v>88</v>
      </c>
      <c r="B89">
        <v>540322.37150000001</v>
      </c>
      <c r="C89">
        <v>0</v>
      </c>
      <c r="D89">
        <v>948476.53899999999</v>
      </c>
      <c r="E89">
        <v>0</v>
      </c>
      <c r="F89">
        <v>1376484.825</v>
      </c>
      <c r="G89">
        <v>2033.433</v>
      </c>
      <c r="H89">
        <v>88</v>
      </c>
      <c r="I89" t="str">
        <f t="shared" si="5"/>
        <v>YES</v>
      </c>
      <c r="J89" t="s">
        <v>99</v>
      </c>
      <c r="K89">
        <v>39939.4050174</v>
      </c>
      <c r="L89" s="1">
        <f t="shared" si="6"/>
        <v>0</v>
      </c>
      <c r="M89" s="1">
        <f t="shared" si="7"/>
        <v>0</v>
      </c>
      <c r="N89" s="1">
        <f t="shared" si="8"/>
        <v>414191.93123000843</v>
      </c>
      <c r="O89" s="1"/>
    </row>
    <row r="90" spans="1:15" x14ac:dyDescent="0.25">
      <c r="A90">
        <v>89</v>
      </c>
      <c r="B90">
        <v>500885.06209999998</v>
      </c>
      <c r="C90">
        <v>0</v>
      </c>
      <c r="D90">
        <v>935810.10770000005</v>
      </c>
      <c r="E90">
        <v>0</v>
      </c>
      <c r="F90">
        <v>1341063.328</v>
      </c>
      <c r="G90">
        <v>2113.1329999999998</v>
      </c>
      <c r="H90">
        <v>89</v>
      </c>
      <c r="I90" t="str">
        <f t="shared" si="5"/>
        <v>YES</v>
      </c>
      <c r="J90" t="s">
        <v>100</v>
      </c>
      <c r="K90">
        <v>93823.679296699993</v>
      </c>
      <c r="L90" s="1">
        <f t="shared" si="6"/>
        <v>0</v>
      </c>
      <c r="M90" s="1">
        <f t="shared" si="7"/>
        <v>0</v>
      </c>
      <c r="N90" s="1">
        <f t="shared" si="8"/>
        <v>1011135.755806695</v>
      </c>
      <c r="O90" s="1"/>
    </row>
    <row r="91" spans="1:15" x14ac:dyDescent="0.25">
      <c r="A91">
        <v>90</v>
      </c>
      <c r="B91">
        <v>536905.21440000006</v>
      </c>
      <c r="C91">
        <v>0</v>
      </c>
      <c r="D91">
        <v>978755.58089999994</v>
      </c>
      <c r="E91">
        <v>0</v>
      </c>
      <c r="F91">
        <v>1357029.52</v>
      </c>
      <c r="G91">
        <v>1198.567</v>
      </c>
      <c r="H91">
        <v>90</v>
      </c>
      <c r="I91" t="str">
        <f t="shared" si="5"/>
        <v>YES</v>
      </c>
      <c r="J91" t="s">
        <v>101</v>
      </c>
      <c r="K91">
        <v>12729.917926599999</v>
      </c>
      <c r="L91" s="1">
        <f t="shared" si="6"/>
        <v>0</v>
      </c>
      <c r="M91" s="1">
        <f t="shared" si="7"/>
        <v>0</v>
      </c>
      <c r="N91" s="1">
        <f t="shared" si="8"/>
        <v>77814.063651609031</v>
      </c>
      <c r="O91" s="1"/>
    </row>
    <row r="92" spans="1:15" x14ac:dyDescent="0.25">
      <c r="A92">
        <v>91</v>
      </c>
      <c r="B92">
        <v>507687.76699999999</v>
      </c>
      <c r="C92">
        <v>0</v>
      </c>
      <c r="D92">
        <v>941994.58479999995</v>
      </c>
      <c r="E92">
        <v>0</v>
      </c>
      <c r="F92">
        <v>1336454.125</v>
      </c>
      <c r="G92">
        <v>2113.1329999999998</v>
      </c>
      <c r="H92">
        <v>91</v>
      </c>
      <c r="I92" t="str">
        <f t="shared" si="5"/>
        <v>YES</v>
      </c>
      <c r="J92" t="s">
        <v>102</v>
      </c>
      <c r="K92">
        <v>28385.951228499998</v>
      </c>
      <c r="L92" s="1">
        <f t="shared" si="6"/>
        <v>0</v>
      </c>
      <c r="M92" s="1">
        <f t="shared" si="7"/>
        <v>0</v>
      </c>
      <c r="N92" s="1">
        <f t="shared" si="8"/>
        <v>305914.78041440278</v>
      </c>
      <c r="O92" s="1"/>
    </row>
    <row r="93" spans="1:15" x14ac:dyDescent="0.25">
      <c r="A93">
        <v>92</v>
      </c>
      <c r="B93">
        <v>627792.07209999999</v>
      </c>
      <c r="C93">
        <v>0</v>
      </c>
      <c r="D93">
        <v>1066481.791</v>
      </c>
      <c r="E93">
        <v>2231.027</v>
      </c>
      <c r="F93">
        <v>1439412.078</v>
      </c>
      <c r="G93">
        <v>1559.37</v>
      </c>
      <c r="H93">
        <v>92</v>
      </c>
      <c r="I93" t="str">
        <f t="shared" si="5"/>
        <v>YES</v>
      </c>
      <c r="J93" t="s">
        <v>103</v>
      </c>
      <c r="K93">
        <v>18947.315939600001</v>
      </c>
      <c r="L93" s="1">
        <f t="shared" si="6"/>
        <v>0</v>
      </c>
      <c r="M93" s="1">
        <f t="shared" si="7"/>
        <v>460764.51048267988</v>
      </c>
      <c r="N93" s="1">
        <f t="shared" si="8"/>
        <v>150683.96788934368</v>
      </c>
      <c r="O93" s="1"/>
    </row>
    <row r="94" spans="1:15" x14ac:dyDescent="0.25">
      <c r="A94">
        <v>93</v>
      </c>
      <c r="B94">
        <v>670392.42839999998</v>
      </c>
      <c r="C94">
        <v>0</v>
      </c>
      <c r="D94">
        <v>1110217.6100000001</v>
      </c>
      <c r="E94">
        <v>0</v>
      </c>
      <c r="F94">
        <v>1503735.4680000001</v>
      </c>
      <c r="G94">
        <v>1220.0619999999999</v>
      </c>
      <c r="H94">
        <v>93</v>
      </c>
      <c r="I94" t="str">
        <f t="shared" si="5"/>
        <v>YES</v>
      </c>
      <c r="J94" t="s">
        <v>104</v>
      </c>
      <c r="K94">
        <v>12537.2995794</v>
      </c>
      <c r="L94" s="1">
        <f t="shared" si="6"/>
        <v>0</v>
      </c>
      <c r="M94" s="1">
        <f t="shared" si="7"/>
        <v>0</v>
      </c>
      <c r="N94" s="1">
        <f t="shared" si="8"/>
        <v>78011.0422771538</v>
      </c>
      <c r="O94" s="1"/>
    </row>
    <row r="95" spans="1:15" x14ac:dyDescent="0.25">
      <c r="A95">
        <v>94</v>
      </c>
      <c r="B95">
        <v>694974.45360000001</v>
      </c>
      <c r="C95">
        <v>0</v>
      </c>
      <c r="D95">
        <v>1127144.4029999999</v>
      </c>
      <c r="E95">
        <v>412.54899999999998</v>
      </c>
      <c r="F95">
        <v>1508664.743</v>
      </c>
      <c r="G95">
        <v>1220.0619999999999</v>
      </c>
      <c r="H95">
        <v>94</v>
      </c>
      <c r="I95" t="str">
        <f t="shared" si="5"/>
        <v>YES</v>
      </c>
      <c r="J95" t="s">
        <v>105</v>
      </c>
      <c r="K95">
        <v>15443.309788799999</v>
      </c>
      <c r="L95" s="1">
        <f t="shared" si="6"/>
        <v>0</v>
      </c>
      <c r="M95" s="1">
        <f t="shared" si="7"/>
        <v>69445.229909650196</v>
      </c>
      <c r="N95" s="1">
        <f t="shared" si="8"/>
        <v>96093.156680468819</v>
      </c>
      <c r="O95" s="1"/>
    </row>
    <row r="96" spans="1:15" x14ac:dyDescent="0.25">
      <c r="A96">
        <v>95</v>
      </c>
      <c r="B96">
        <v>709154.72730000003</v>
      </c>
      <c r="C96">
        <v>0</v>
      </c>
      <c r="D96">
        <v>1158650.7520000001</v>
      </c>
      <c r="E96">
        <v>412.548</v>
      </c>
      <c r="F96">
        <v>1536501.4669999999</v>
      </c>
      <c r="G96">
        <v>1414.269</v>
      </c>
      <c r="H96">
        <v>95</v>
      </c>
      <c r="I96" t="str">
        <f t="shared" si="5"/>
        <v>YES</v>
      </c>
      <c r="J96" t="s">
        <v>106</v>
      </c>
      <c r="K96">
        <v>11986.261244900001</v>
      </c>
      <c r="L96" s="1">
        <f t="shared" si="6"/>
        <v>0</v>
      </c>
      <c r="M96" s="1">
        <f t="shared" si="7"/>
        <v>53899.498334264958</v>
      </c>
      <c r="N96" s="1">
        <f t="shared" si="8"/>
        <v>86454.16829327376</v>
      </c>
      <c r="O96" s="1"/>
    </row>
    <row r="97" spans="1:15" x14ac:dyDescent="0.25">
      <c r="A97">
        <v>96</v>
      </c>
      <c r="B97">
        <v>703359.34409999999</v>
      </c>
      <c r="C97">
        <v>0</v>
      </c>
      <c r="D97">
        <v>1127704.2960000001</v>
      </c>
      <c r="E97">
        <v>0</v>
      </c>
      <c r="F97">
        <v>1500351.817</v>
      </c>
      <c r="G97">
        <v>1414.269</v>
      </c>
      <c r="H97">
        <v>96</v>
      </c>
      <c r="I97" t="str">
        <f t="shared" si="5"/>
        <v>YES</v>
      </c>
      <c r="J97" t="s">
        <v>107</v>
      </c>
      <c r="K97">
        <v>28064.5926076</v>
      </c>
      <c r="L97" s="1">
        <f t="shared" si="6"/>
        <v>0</v>
      </c>
      <c r="M97" s="1">
        <f t="shared" si="7"/>
        <v>0</v>
      </c>
      <c r="N97" s="1">
        <f t="shared" si="8"/>
        <v>202423.50494504502</v>
      </c>
      <c r="O97" s="1"/>
    </row>
    <row r="98" spans="1:15" x14ac:dyDescent="0.25">
      <c r="A98">
        <v>97</v>
      </c>
      <c r="B98">
        <v>659982.86919999996</v>
      </c>
      <c r="C98">
        <v>0</v>
      </c>
      <c r="D98">
        <v>1110761.828</v>
      </c>
      <c r="E98">
        <v>5057.0479999999998</v>
      </c>
      <c r="F98">
        <v>1479301.534</v>
      </c>
      <c r="G98">
        <v>941.16499999999996</v>
      </c>
      <c r="H98">
        <v>97</v>
      </c>
      <c r="I98" t="str">
        <f t="shared" si="5"/>
        <v>YES</v>
      </c>
      <c r="J98" t="s">
        <v>108</v>
      </c>
      <c r="K98">
        <v>28769.267505899999</v>
      </c>
      <c r="L98" s="1">
        <f t="shared" si="6"/>
        <v>0</v>
      </c>
      <c r="M98" s="1">
        <f t="shared" si="7"/>
        <v>1585814.4770537247</v>
      </c>
      <c r="N98" s="1">
        <f t="shared" si="8"/>
        <v>138090.8010261709</v>
      </c>
      <c r="O98" s="1"/>
    </row>
    <row r="99" spans="1:15" x14ac:dyDescent="0.25">
      <c r="A99">
        <v>98</v>
      </c>
      <c r="B99">
        <v>672796.68579999998</v>
      </c>
      <c r="C99">
        <v>0</v>
      </c>
      <c r="D99">
        <v>1135278.43</v>
      </c>
      <c r="E99">
        <v>0</v>
      </c>
      <c r="F99">
        <v>1479775.085</v>
      </c>
      <c r="G99">
        <v>640.52499999999998</v>
      </c>
      <c r="H99">
        <v>98</v>
      </c>
      <c r="I99" t="str">
        <f t="shared" si="5"/>
        <v>YES</v>
      </c>
      <c r="J99" t="s">
        <v>109</v>
      </c>
      <c r="K99">
        <v>19184.576759399999</v>
      </c>
      <c r="L99" s="1">
        <f t="shared" si="6"/>
        <v>0</v>
      </c>
      <c r="M99" s="1">
        <f t="shared" si="7"/>
        <v>0</v>
      </c>
      <c r="N99" s="1">
        <f t="shared" si="8"/>
        <v>62669.82524695489</v>
      </c>
      <c r="O99" s="1"/>
    </row>
    <row r="100" spans="1:15" x14ac:dyDescent="0.25">
      <c r="A100">
        <v>99</v>
      </c>
      <c r="B100">
        <v>579723.35549999995</v>
      </c>
      <c r="C100">
        <v>0</v>
      </c>
      <c r="D100">
        <v>975062.16680000001</v>
      </c>
      <c r="E100">
        <v>746.68790000000001</v>
      </c>
      <c r="F100">
        <v>1368198.202</v>
      </c>
      <c r="G100">
        <v>919.423</v>
      </c>
      <c r="H100">
        <v>99</v>
      </c>
      <c r="I100" t="str">
        <f t="shared" si="5"/>
        <v>YES</v>
      </c>
      <c r="J100" t="s">
        <v>110</v>
      </c>
      <c r="K100">
        <v>20220.246472999999</v>
      </c>
      <c r="L100" s="1">
        <f t="shared" si="6"/>
        <v>0</v>
      </c>
      <c r="M100" s="1">
        <f t="shared" si="7"/>
        <v>164570.52580283387</v>
      </c>
      <c r="N100" s="1">
        <f t="shared" si="8"/>
        <v>94813.894332019903</v>
      </c>
      <c r="O100" s="1"/>
    </row>
    <row r="101" spans="1:15" x14ac:dyDescent="0.25">
      <c r="A101">
        <v>100</v>
      </c>
      <c r="B101">
        <v>539643.71189999999</v>
      </c>
      <c r="C101">
        <v>0</v>
      </c>
      <c r="D101">
        <v>936152.21799999999</v>
      </c>
      <c r="E101">
        <v>0</v>
      </c>
      <c r="F101">
        <v>1327589.4369999999</v>
      </c>
      <c r="G101">
        <v>1738.2760000000001</v>
      </c>
      <c r="H101">
        <v>100</v>
      </c>
      <c r="I101" t="str">
        <f t="shared" si="5"/>
        <v>YES</v>
      </c>
      <c r="J101" t="s">
        <v>111</v>
      </c>
      <c r="K101">
        <v>186788.438513</v>
      </c>
      <c r="L101" s="1">
        <f t="shared" si="6"/>
        <v>0</v>
      </c>
      <c r="M101" s="1">
        <f t="shared" si="7"/>
        <v>0</v>
      </c>
      <c r="N101" s="1">
        <f t="shared" si="8"/>
        <v>1655918.2846975804</v>
      </c>
      <c r="O101" s="1"/>
    </row>
    <row r="102" spans="1:15" x14ac:dyDescent="0.25">
      <c r="A102">
        <v>101</v>
      </c>
      <c r="B102">
        <v>629217.79200000002</v>
      </c>
      <c r="C102">
        <v>0</v>
      </c>
      <c r="D102">
        <v>1046674.302</v>
      </c>
      <c r="E102">
        <v>2231.0259999999998</v>
      </c>
      <c r="F102">
        <v>1429219.1310000001</v>
      </c>
      <c r="G102">
        <v>1656.461</v>
      </c>
      <c r="H102">
        <v>101</v>
      </c>
      <c r="I102" t="str">
        <f t="shared" si="5"/>
        <v>YES</v>
      </c>
      <c r="J102" t="s">
        <v>112</v>
      </c>
      <c r="K102">
        <v>15834.8729332</v>
      </c>
      <c r="L102" s="1">
        <f t="shared" si="6"/>
        <v>0</v>
      </c>
      <c r="M102" s="1">
        <f t="shared" si="7"/>
        <v>385075.34410525352</v>
      </c>
      <c r="N102" s="1">
        <f t="shared" si="8"/>
        <v>133772.23221438719</v>
      </c>
      <c r="O102" s="1"/>
    </row>
    <row r="103" spans="1:15" x14ac:dyDescent="0.25">
      <c r="A103">
        <v>102</v>
      </c>
      <c r="B103">
        <v>642977.14159999997</v>
      </c>
      <c r="C103">
        <v>0</v>
      </c>
      <c r="D103">
        <v>1093102.5490000001</v>
      </c>
      <c r="E103">
        <v>4824.7240000000002</v>
      </c>
      <c r="F103">
        <v>1464864.8829999999</v>
      </c>
      <c r="G103">
        <v>1220.0630000000001</v>
      </c>
      <c r="H103">
        <v>102</v>
      </c>
      <c r="I103" t="str">
        <f t="shared" si="5"/>
        <v>YES</v>
      </c>
      <c r="J103" t="s">
        <v>113</v>
      </c>
      <c r="K103">
        <v>13826.3320824</v>
      </c>
      <c r="L103" s="1">
        <f t="shared" si="6"/>
        <v>0</v>
      </c>
      <c r="M103" s="1">
        <f t="shared" si="7"/>
        <v>727119.77490618534</v>
      </c>
      <c r="N103" s="1">
        <f t="shared" si="8"/>
        <v>86031.880617190895</v>
      </c>
      <c r="O103" s="1"/>
    </row>
    <row r="104" spans="1:15" x14ac:dyDescent="0.25">
      <c r="A104">
        <v>103</v>
      </c>
      <c r="B104">
        <v>738848.34259999997</v>
      </c>
      <c r="C104">
        <v>0</v>
      </c>
      <c r="D104">
        <v>1185230.487</v>
      </c>
      <c r="E104">
        <v>0</v>
      </c>
      <c r="F104">
        <v>1552085.429</v>
      </c>
      <c r="G104">
        <v>1414.269</v>
      </c>
      <c r="H104">
        <v>103</v>
      </c>
      <c r="I104" t="str">
        <f t="shared" si="5"/>
        <v>YES</v>
      </c>
      <c r="J104" t="s">
        <v>114</v>
      </c>
      <c r="K104">
        <v>26694.846183400001</v>
      </c>
      <c r="L104" s="1">
        <f t="shared" si="6"/>
        <v>0</v>
      </c>
      <c r="M104" s="1">
        <f t="shared" si="7"/>
        <v>0</v>
      </c>
      <c r="N104" s="1">
        <f t="shared" si="8"/>
        <v>192543.83642644979</v>
      </c>
      <c r="O104" s="1"/>
    </row>
    <row r="105" spans="1:15" x14ac:dyDescent="0.25">
      <c r="A105">
        <v>104</v>
      </c>
      <c r="B105">
        <v>774605.9852</v>
      </c>
      <c r="C105">
        <v>0</v>
      </c>
      <c r="D105">
        <v>1185163.237</v>
      </c>
      <c r="E105">
        <v>2033.432</v>
      </c>
      <c r="F105">
        <v>1567817.226</v>
      </c>
      <c r="G105">
        <v>1414.269</v>
      </c>
      <c r="H105">
        <v>104</v>
      </c>
      <c r="I105" t="str">
        <f t="shared" si="5"/>
        <v>YES</v>
      </c>
      <c r="J105" t="s">
        <v>115</v>
      </c>
      <c r="K105">
        <v>16072.830883500001</v>
      </c>
      <c r="L105" s="1">
        <f t="shared" si="6"/>
        <v>0</v>
      </c>
      <c r="M105" s="1">
        <f t="shared" si="7"/>
        <v>356244.79427515919</v>
      </c>
      <c r="N105" s="1">
        <f t="shared" si="8"/>
        <v>115929.66294996098</v>
      </c>
      <c r="O105" s="1"/>
    </row>
    <row r="106" spans="1:15" x14ac:dyDescent="0.25">
      <c r="A106">
        <v>105</v>
      </c>
      <c r="B106">
        <v>748468.65359999996</v>
      </c>
      <c r="C106">
        <v>0</v>
      </c>
      <c r="D106">
        <v>1201405.094</v>
      </c>
      <c r="E106">
        <v>0</v>
      </c>
      <c r="F106">
        <v>1543798.993</v>
      </c>
      <c r="G106">
        <v>640.52499999999998</v>
      </c>
      <c r="H106">
        <v>105</v>
      </c>
      <c r="I106" t="str">
        <f t="shared" si="5"/>
        <v>YES</v>
      </c>
      <c r="J106" t="s">
        <v>116</v>
      </c>
      <c r="K106">
        <v>14487.8944978</v>
      </c>
      <c r="L106" s="1">
        <f t="shared" si="6"/>
        <v>0</v>
      </c>
      <c r="M106" s="1">
        <f t="shared" si="7"/>
        <v>0</v>
      </c>
      <c r="N106" s="1">
        <f t="shared" si="8"/>
        <v>47327.278978337061</v>
      </c>
      <c r="O106" s="1"/>
    </row>
    <row r="107" spans="1:15" x14ac:dyDescent="0.25">
      <c r="A107">
        <v>106</v>
      </c>
      <c r="B107">
        <v>709353.16830000002</v>
      </c>
      <c r="C107">
        <v>0</v>
      </c>
      <c r="D107">
        <v>1132742.7590000001</v>
      </c>
      <c r="E107">
        <v>493.91699999999997</v>
      </c>
      <c r="F107">
        <v>1490605.067</v>
      </c>
      <c r="G107">
        <v>194.20599999999999</v>
      </c>
      <c r="H107">
        <v>106</v>
      </c>
      <c r="I107" t="str">
        <f t="shared" si="5"/>
        <v>YES</v>
      </c>
      <c r="J107" t="s">
        <v>117</v>
      </c>
      <c r="K107">
        <v>9942.0129282300004</v>
      </c>
      <c r="L107" s="1">
        <f t="shared" si="6"/>
        <v>0</v>
      </c>
      <c r="M107" s="1">
        <f t="shared" si="7"/>
        <v>53524.768274251088</v>
      </c>
      <c r="N107" s="1">
        <f t="shared" si="8"/>
        <v>9847.0726699731604</v>
      </c>
      <c r="O107" s="1"/>
    </row>
    <row r="108" spans="1:15" x14ac:dyDescent="0.25">
      <c r="A108">
        <v>107</v>
      </c>
      <c r="B108">
        <v>681985.84909999999</v>
      </c>
      <c r="C108">
        <v>0</v>
      </c>
      <c r="D108">
        <v>1070963.4609999999</v>
      </c>
      <c r="E108">
        <v>726.24</v>
      </c>
      <c r="F108">
        <v>1450881.4029999999</v>
      </c>
      <c r="G108">
        <v>194.20699999999999</v>
      </c>
      <c r="H108">
        <v>107</v>
      </c>
      <c r="I108" t="str">
        <f t="shared" si="5"/>
        <v>YES</v>
      </c>
      <c r="J108" t="s">
        <v>118</v>
      </c>
      <c r="K108">
        <v>193075.44948000001</v>
      </c>
      <c r="L108" s="1">
        <f t="shared" si="6"/>
        <v>0</v>
      </c>
      <c r="M108" s="1">
        <f t="shared" si="7"/>
        <v>1528388.3472908717</v>
      </c>
      <c r="N108" s="1">
        <f t="shared" si="8"/>
        <v>191232.67946752804</v>
      </c>
      <c r="O108" s="1"/>
    </row>
    <row r="109" spans="1:15" x14ac:dyDescent="0.25">
      <c r="A109">
        <v>108</v>
      </c>
      <c r="B109">
        <v>479547.31530000002</v>
      </c>
      <c r="C109">
        <v>0</v>
      </c>
      <c r="D109">
        <v>854858.90399999998</v>
      </c>
      <c r="E109">
        <v>5856.1823999999997</v>
      </c>
      <c r="F109">
        <v>1276790.477</v>
      </c>
      <c r="G109">
        <v>1539.5160000000001</v>
      </c>
      <c r="H109">
        <v>108</v>
      </c>
      <c r="I109" t="str">
        <f t="shared" si="5"/>
        <v>YES</v>
      </c>
      <c r="J109" t="s">
        <v>119</v>
      </c>
      <c r="K109">
        <v>150505.348134</v>
      </c>
      <c r="L109" s="1">
        <f t="shared" si="6"/>
        <v>0</v>
      </c>
      <c r="M109" s="1">
        <f t="shared" si="7"/>
        <v>9607115.8022454195</v>
      </c>
      <c r="N109" s="1">
        <f t="shared" si="8"/>
        <v>1181697.4968431022</v>
      </c>
      <c r="O109" s="1"/>
    </row>
    <row r="110" spans="1:15" x14ac:dyDescent="0.25">
      <c r="A110">
        <v>109</v>
      </c>
      <c r="B110">
        <v>606152.33869999996</v>
      </c>
      <c r="C110">
        <v>0</v>
      </c>
      <c r="D110">
        <v>1019048.326</v>
      </c>
      <c r="E110">
        <v>2231.027</v>
      </c>
      <c r="F110">
        <v>1396045.5549999999</v>
      </c>
      <c r="G110">
        <v>1016.514</v>
      </c>
      <c r="H110">
        <v>109</v>
      </c>
      <c r="I110" t="str">
        <f t="shared" si="5"/>
        <v>YES</v>
      </c>
      <c r="J110" t="s">
        <v>120</v>
      </c>
      <c r="K110">
        <v>22973.257625800001</v>
      </c>
      <c r="L110" s="1">
        <f t="shared" si="6"/>
        <v>0</v>
      </c>
      <c r="M110" s="1">
        <f t="shared" si="7"/>
        <v>558668.14264816104</v>
      </c>
      <c r="N110" s="1">
        <f t="shared" si="8"/>
        <v>119098.45381138557</v>
      </c>
      <c r="O110" s="1"/>
    </row>
    <row r="111" spans="1:15" x14ac:dyDescent="0.25">
      <c r="A111">
        <v>110</v>
      </c>
      <c r="B111">
        <v>635787.79680000001</v>
      </c>
      <c r="C111">
        <v>0</v>
      </c>
      <c r="D111">
        <v>1079069.145</v>
      </c>
      <c r="E111">
        <v>4824.723</v>
      </c>
      <c r="F111">
        <v>1462937.973</v>
      </c>
      <c r="G111">
        <v>1220.0630000000001</v>
      </c>
      <c r="H111">
        <v>110</v>
      </c>
      <c r="I111" t="str">
        <f t="shared" si="5"/>
        <v>YES</v>
      </c>
      <c r="J111" t="s">
        <v>121</v>
      </c>
      <c r="K111">
        <v>20750.756013900002</v>
      </c>
      <c r="L111" s="1">
        <f t="shared" si="6"/>
        <v>0</v>
      </c>
      <c r="M111" s="1">
        <f t="shared" si="7"/>
        <v>1091271.482903403</v>
      </c>
      <c r="N111" s="1">
        <f t="shared" si="8"/>
        <v>129117.87113639311</v>
      </c>
      <c r="O111" s="1"/>
    </row>
    <row r="112" spans="1:15" x14ac:dyDescent="0.25">
      <c r="A112">
        <v>111</v>
      </c>
      <c r="B112">
        <v>705289.56099999999</v>
      </c>
      <c r="C112">
        <v>0</v>
      </c>
      <c r="D112">
        <v>1147428.45</v>
      </c>
      <c r="E112">
        <v>0</v>
      </c>
      <c r="F112">
        <v>1525919.523</v>
      </c>
      <c r="G112">
        <v>1414.269</v>
      </c>
      <c r="H112">
        <v>111</v>
      </c>
      <c r="I112" t="str">
        <f t="shared" si="5"/>
        <v>YES</v>
      </c>
      <c r="J112" t="s">
        <v>122</v>
      </c>
      <c r="K112">
        <v>22793.4834515</v>
      </c>
      <c r="L112" s="1">
        <f t="shared" si="6"/>
        <v>0</v>
      </c>
      <c r="M112" s="1">
        <f t="shared" si="7"/>
        <v>0</v>
      </c>
      <c r="N112" s="1">
        <f t="shared" si="8"/>
        <v>164404.19694209425</v>
      </c>
      <c r="O112" s="1"/>
    </row>
    <row r="113" spans="1:15" x14ac:dyDescent="0.25">
      <c r="A113">
        <v>112</v>
      </c>
      <c r="B113">
        <v>746292.40090000001</v>
      </c>
      <c r="C113">
        <v>0</v>
      </c>
      <c r="D113">
        <v>1176071.172</v>
      </c>
      <c r="E113">
        <v>0</v>
      </c>
      <c r="F113">
        <v>1547424.129</v>
      </c>
      <c r="G113">
        <v>941.16499999999996</v>
      </c>
      <c r="H113">
        <v>112</v>
      </c>
      <c r="I113" t="str">
        <f t="shared" si="5"/>
        <v>YES</v>
      </c>
      <c r="J113" t="s">
        <v>123</v>
      </c>
      <c r="K113">
        <v>11404.2847422</v>
      </c>
      <c r="L113" s="1">
        <f t="shared" si="6"/>
        <v>0</v>
      </c>
      <c r="M113" s="1">
        <f t="shared" si="7"/>
        <v>0</v>
      </c>
      <c r="N113" s="1">
        <f t="shared" si="8"/>
        <v>54739.899611902576</v>
      </c>
      <c r="O113" s="1"/>
    </row>
    <row r="114" spans="1:15" x14ac:dyDescent="0.25">
      <c r="A114">
        <v>113</v>
      </c>
      <c r="B114">
        <v>699229.30810000002</v>
      </c>
      <c r="C114">
        <v>0</v>
      </c>
      <c r="D114">
        <v>1121621.2660000001</v>
      </c>
      <c r="E114">
        <v>412.548</v>
      </c>
      <c r="F114">
        <v>1493192.1939999999</v>
      </c>
      <c r="G114">
        <v>1414.269</v>
      </c>
      <c r="H114">
        <v>113</v>
      </c>
      <c r="I114" t="str">
        <f t="shared" si="5"/>
        <v>YES</v>
      </c>
      <c r="J114" t="s">
        <v>124</v>
      </c>
      <c r="K114">
        <v>5237.6216038100001</v>
      </c>
      <c r="L114" s="1">
        <f t="shared" si="6"/>
        <v>0</v>
      </c>
      <c r="M114" s="1">
        <f t="shared" si="7"/>
        <v>23552.396459753825</v>
      </c>
      <c r="N114" s="1">
        <f t="shared" si="8"/>
        <v>37777.769926793706</v>
      </c>
      <c r="O114" s="1"/>
    </row>
    <row r="115" spans="1:15" x14ac:dyDescent="0.25">
      <c r="A115">
        <v>114</v>
      </c>
      <c r="B115">
        <v>646199.41009999998</v>
      </c>
      <c r="C115">
        <v>0</v>
      </c>
      <c r="D115">
        <v>1090699.76</v>
      </c>
      <c r="E115">
        <v>412.548</v>
      </c>
      <c r="F115">
        <v>1462140.9850000001</v>
      </c>
      <c r="G115">
        <v>1414.269</v>
      </c>
      <c r="H115">
        <v>114</v>
      </c>
      <c r="I115" t="str">
        <f t="shared" si="5"/>
        <v>YES</v>
      </c>
      <c r="J115" t="s">
        <v>125</v>
      </c>
      <c r="K115">
        <v>15263.088208200001</v>
      </c>
      <c r="L115" s="1">
        <f t="shared" si="6"/>
        <v>0</v>
      </c>
      <c r="M115" s="1">
        <f t="shared" si="7"/>
        <v>68634.646003869784</v>
      </c>
      <c r="N115" s="1">
        <f t="shared" si="8"/>
        <v>110089.17373532632</v>
      </c>
      <c r="O115" s="1"/>
    </row>
    <row r="116" spans="1:15" x14ac:dyDescent="0.25">
      <c r="A116">
        <v>115</v>
      </c>
      <c r="B116">
        <v>679966.50859999994</v>
      </c>
      <c r="C116">
        <v>0</v>
      </c>
      <c r="D116">
        <v>1062495.635</v>
      </c>
      <c r="E116">
        <v>0</v>
      </c>
      <c r="F116">
        <v>1441018.446</v>
      </c>
      <c r="G116">
        <v>640.52499999999998</v>
      </c>
      <c r="H116">
        <v>115</v>
      </c>
      <c r="I116" t="str">
        <f t="shared" si="5"/>
        <v>YES</v>
      </c>
      <c r="J116" t="s">
        <v>126</v>
      </c>
      <c r="K116">
        <v>21789.644526600001</v>
      </c>
      <c r="L116" s="1">
        <f t="shared" si="6"/>
        <v>0</v>
      </c>
      <c r="M116" s="1">
        <f t="shared" si="7"/>
        <v>0</v>
      </c>
      <c r="N116" s="1">
        <f t="shared" si="8"/>
        <v>71179.741508042382</v>
      </c>
      <c r="O116" s="1"/>
    </row>
    <row r="117" spans="1:15" x14ac:dyDescent="0.25">
      <c r="A117">
        <v>116</v>
      </c>
      <c r="B117">
        <v>695264.42579999997</v>
      </c>
      <c r="C117">
        <v>0</v>
      </c>
      <c r="D117">
        <v>1082534.1059999999</v>
      </c>
      <c r="E117">
        <v>493.91699999999997</v>
      </c>
      <c r="F117">
        <v>1459050.0149999999</v>
      </c>
      <c r="G117">
        <v>194.20699999999999</v>
      </c>
      <c r="H117">
        <v>116</v>
      </c>
      <c r="I117" t="str">
        <f t="shared" si="5"/>
        <v>YES</v>
      </c>
      <c r="J117" t="s">
        <v>127</v>
      </c>
      <c r="K117">
        <v>15744.0423947</v>
      </c>
      <c r="L117" s="1">
        <f t="shared" si="6"/>
        <v>0</v>
      </c>
      <c r="M117" s="1">
        <f t="shared" si="7"/>
        <v>84761.127043347122</v>
      </c>
      <c r="N117" s="1">
        <f t="shared" si="8"/>
        <v>15593.776530872265</v>
      </c>
      <c r="O117" s="1"/>
    </row>
    <row r="118" spans="1:15" x14ac:dyDescent="0.25">
      <c r="A118">
        <v>117</v>
      </c>
      <c r="B118">
        <v>584761.99340000004</v>
      </c>
      <c r="C118">
        <v>0</v>
      </c>
      <c r="D118">
        <v>977111.74540000001</v>
      </c>
      <c r="E118">
        <v>3729.5931</v>
      </c>
      <c r="F118">
        <v>1348966.6359999999</v>
      </c>
      <c r="G118">
        <v>1414.269</v>
      </c>
      <c r="H118">
        <v>117</v>
      </c>
      <c r="I118" t="str">
        <f t="shared" si="5"/>
        <v>YES</v>
      </c>
      <c r="J118" t="s">
        <v>128</v>
      </c>
      <c r="K118">
        <v>19668.809261599999</v>
      </c>
      <c r="L118" s="1">
        <f t="shared" si="6"/>
        <v>0</v>
      </c>
      <c r="M118" s="1">
        <f t="shared" si="7"/>
        <v>799587.54284934606</v>
      </c>
      <c r="N118" s="1">
        <f t="shared" si="8"/>
        <v>141866.63474852825</v>
      </c>
      <c r="O118" s="1"/>
    </row>
    <row r="119" spans="1:15" x14ac:dyDescent="0.25">
      <c r="A119">
        <v>118</v>
      </c>
      <c r="B119">
        <v>632272.4081</v>
      </c>
      <c r="C119">
        <v>0</v>
      </c>
      <c r="D119">
        <v>1036030.019</v>
      </c>
      <c r="E119">
        <v>412.548</v>
      </c>
      <c r="F119">
        <v>1418951.0970000001</v>
      </c>
      <c r="G119">
        <v>1414.269</v>
      </c>
      <c r="H119">
        <v>118</v>
      </c>
      <c r="I119" t="str">
        <f t="shared" si="5"/>
        <v>YES</v>
      </c>
      <c r="J119" t="s">
        <v>129</v>
      </c>
      <c r="K119">
        <v>19684.192805800001</v>
      </c>
      <c r="L119" s="1">
        <f t="shared" si="6"/>
        <v>0</v>
      </c>
      <c r="M119" s="1">
        <f t="shared" si="7"/>
        <v>88515.350672754255</v>
      </c>
      <c r="N119" s="1">
        <f t="shared" si="8"/>
        <v>141977.59274385642</v>
      </c>
      <c r="O119" s="1"/>
    </row>
    <row r="120" spans="1:15" x14ac:dyDescent="0.25">
      <c r="A120">
        <v>119</v>
      </c>
      <c r="B120">
        <v>663612.86560000002</v>
      </c>
      <c r="C120">
        <v>0</v>
      </c>
      <c r="D120">
        <v>1038420.978</v>
      </c>
      <c r="E120">
        <v>0</v>
      </c>
      <c r="F120">
        <v>1421717.5649999999</v>
      </c>
      <c r="G120">
        <v>941.16499999999996</v>
      </c>
      <c r="H120">
        <v>119</v>
      </c>
      <c r="I120" t="str">
        <f t="shared" si="5"/>
        <v>YES</v>
      </c>
      <c r="J120" t="s">
        <v>130</v>
      </c>
      <c r="K120">
        <v>26149.040529000002</v>
      </c>
      <c r="L120" s="1">
        <f t="shared" si="6"/>
        <v>0</v>
      </c>
      <c r="M120" s="1">
        <f t="shared" si="7"/>
        <v>0</v>
      </c>
      <c r="N120" s="1">
        <f t="shared" si="8"/>
        <v>125513.86482032906</v>
      </c>
      <c r="O120" s="1"/>
    </row>
    <row r="121" spans="1:15" x14ac:dyDescent="0.25">
      <c r="A121">
        <v>120</v>
      </c>
      <c r="B121">
        <v>663586.36159999995</v>
      </c>
      <c r="C121">
        <v>0</v>
      </c>
      <c r="D121">
        <v>1015359.84</v>
      </c>
      <c r="E121">
        <v>644.87199999999996</v>
      </c>
      <c r="F121">
        <v>1405286.09</v>
      </c>
      <c r="G121">
        <v>941.16499999999996</v>
      </c>
      <c r="H121">
        <v>120</v>
      </c>
      <c r="I121" t="str">
        <f t="shared" si="5"/>
        <v>YES</v>
      </c>
      <c r="J121" t="s">
        <v>131</v>
      </c>
      <c r="K121">
        <v>16347.606543399999</v>
      </c>
      <c r="L121" s="1">
        <f t="shared" si="6"/>
        <v>0</v>
      </c>
      <c r="M121" s="1">
        <f t="shared" si="7"/>
        <v>114909.03962272433</v>
      </c>
      <c r="N121" s="1">
        <f t="shared" si="8"/>
        <v>78467.555073337222</v>
      </c>
      <c r="O121" s="1"/>
    </row>
    <row r="122" spans="1:15" x14ac:dyDescent="0.25">
      <c r="A122">
        <v>121</v>
      </c>
      <c r="B122">
        <v>679236.84019999998</v>
      </c>
      <c r="C122">
        <v>0</v>
      </c>
      <c r="D122">
        <v>1059976.821</v>
      </c>
      <c r="E122">
        <v>2113.1320000000001</v>
      </c>
      <c r="F122">
        <v>1451094.6869999999</v>
      </c>
      <c r="G122">
        <v>194.20699999999999</v>
      </c>
      <c r="H122">
        <v>121</v>
      </c>
      <c r="I122" t="str">
        <f t="shared" si="5"/>
        <v>YES</v>
      </c>
      <c r="J122" t="s">
        <v>132</v>
      </c>
      <c r="K122">
        <v>10757.6098241</v>
      </c>
      <c r="L122" s="1">
        <f t="shared" si="6"/>
        <v>0</v>
      </c>
      <c r="M122" s="1">
        <f t="shared" si="7"/>
        <v>247781.52023473888</v>
      </c>
      <c r="N122" s="1">
        <f t="shared" si="8"/>
        <v>10654.935968655842</v>
      </c>
      <c r="O122" s="1"/>
    </row>
    <row r="123" spans="1:15" x14ac:dyDescent="0.25">
      <c r="A123">
        <v>122</v>
      </c>
      <c r="B123">
        <v>668175.5527</v>
      </c>
      <c r="C123">
        <v>0</v>
      </c>
      <c r="D123">
        <v>1031419.366</v>
      </c>
      <c r="E123">
        <v>2113.1329999999998</v>
      </c>
      <c r="F123">
        <v>1433666.7709999999</v>
      </c>
      <c r="G123">
        <v>194.20599999999999</v>
      </c>
      <c r="H123">
        <v>122</v>
      </c>
      <c r="I123" t="str">
        <f t="shared" si="5"/>
        <v>YES</v>
      </c>
      <c r="J123" t="s">
        <v>133</v>
      </c>
      <c r="K123">
        <v>13472.459227200001</v>
      </c>
      <c r="L123" s="1">
        <f t="shared" si="6"/>
        <v>0</v>
      </c>
      <c r="M123" s="1">
        <f t="shared" si="7"/>
        <v>310313.17020724388</v>
      </c>
      <c r="N123" s="1">
        <f t="shared" si="8"/>
        <v>13343.805325055777</v>
      </c>
      <c r="O123" s="1"/>
    </row>
    <row r="124" spans="1:15" x14ac:dyDescent="0.25">
      <c r="A124">
        <v>123</v>
      </c>
      <c r="B124">
        <v>626318.17180000001</v>
      </c>
      <c r="C124">
        <v>0</v>
      </c>
      <c r="D124">
        <v>978561.15289999999</v>
      </c>
      <c r="E124">
        <v>232.32400000000001</v>
      </c>
      <c r="F124">
        <v>1386317.4650000001</v>
      </c>
      <c r="G124">
        <v>640.52499999999998</v>
      </c>
      <c r="H124">
        <v>123</v>
      </c>
      <c r="I124" t="str">
        <f t="shared" si="5"/>
        <v>YES</v>
      </c>
      <c r="J124" t="s">
        <v>134</v>
      </c>
      <c r="K124">
        <v>15796.499711300001</v>
      </c>
      <c r="L124" s="1">
        <f t="shared" si="6"/>
        <v>0</v>
      </c>
      <c r="M124" s="1">
        <f t="shared" si="7"/>
        <v>40001.97538831587</v>
      </c>
      <c r="N124" s="1">
        <f t="shared" si="8"/>
        <v>51602.07018566021</v>
      </c>
      <c r="O124" s="1"/>
    </row>
    <row r="125" spans="1:15" x14ac:dyDescent="0.25">
      <c r="A125">
        <v>124</v>
      </c>
      <c r="B125">
        <v>614657.81920000003</v>
      </c>
      <c r="C125">
        <v>0</v>
      </c>
      <c r="D125">
        <v>960189.37789999996</v>
      </c>
      <c r="E125">
        <v>0</v>
      </c>
      <c r="F125">
        <v>1355654.39</v>
      </c>
      <c r="G125">
        <v>640.524</v>
      </c>
      <c r="H125">
        <v>124</v>
      </c>
      <c r="I125" t="str">
        <f t="shared" si="5"/>
        <v>YES</v>
      </c>
      <c r="J125" t="s">
        <v>135</v>
      </c>
      <c r="K125">
        <v>10162.976006499999</v>
      </c>
      <c r="L125" s="1">
        <f t="shared" si="6"/>
        <v>0</v>
      </c>
      <c r="M125" s="1">
        <f t="shared" si="7"/>
        <v>0</v>
      </c>
      <c r="N125" s="1">
        <f t="shared" si="8"/>
        <v>33199.113222295768</v>
      </c>
      <c r="O125" s="1"/>
    </row>
    <row r="126" spans="1:15" x14ac:dyDescent="0.25">
      <c r="A126">
        <v>125</v>
      </c>
      <c r="B126">
        <v>549709.18810000003</v>
      </c>
      <c r="C126">
        <v>0</v>
      </c>
      <c r="D126">
        <v>933838.61970000004</v>
      </c>
      <c r="E126">
        <v>2714.8013999999998</v>
      </c>
      <c r="F126">
        <v>1327194.1980000001</v>
      </c>
      <c r="G126">
        <v>2969.183</v>
      </c>
      <c r="H126">
        <v>125</v>
      </c>
      <c r="I126" t="str">
        <f t="shared" si="5"/>
        <v>YES</v>
      </c>
      <c r="J126" t="s">
        <v>136</v>
      </c>
      <c r="K126">
        <v>53119.855900000002</v>
      </c>
      <c r="L126" s="1">
        <f t="shared" si="6"/>
        <v>0</v>
      </c>
      <c r="M126" s="1">
        <f t="shared" si="7"/>
        <v>1571887.4648997891</v>
      </c>
      <c r="N126" s="1">
        <f t="shared" si="8"/>
        <v>804385.12281372154</v>
      </c>
      <c r="O126" s="1"/>
    </row>
    <row r="127" spans="1:15" x14ac:dyDescent="0.25">
      <c r="A127">
        <v>126</v>
      </c>
      <c r="B127">
        <v>577774.50600000005</v>
      </c>
      <c r="C127">
        <v>0</v>
      </c>
      <c r="D127">
        <v>942037.46070000005</v>
      </c>
      <c r="E127">
        <v>3855.3762000000002</v>
      </c>
      <c r="F127">
        <v>1333285.6129999999</v>
      </c>
      <c r="G127">
        <v>1414.269</v>
      </c>
      <c r="H127">
        <v>126</v>
      </c>
      <c r="I127" t="str">
        <f t="shared" si="5"/>
        <v>YES</v>
      </c>
      <c r="J127" t="s">
        <v>137</v>
      </c>
      <c r="K127">
        <v>14490.3553242</v>
      </c>
      <c r="L127" s="1">
        <f t="shared" si="6"/>
        <v>0</v>
      </c>
      <c r="M127" s="1">
        <f t="shared" si="7"/>
        <v>608936.90440645721</v>
      </c>
      <c r="N127" s="1">
        <f t="shared" si="8"/>
        <v>104515.62770340516</v>
      </c>
      <c r="O127" s="1"/>
    </row>
    <row r="128" spans="1:15" x14ac:dyDescent="0.25">
      <c r="A128">
        <v>127</v>
      </c>
      <c r="B128">
        <v>617046.87990000006</v>
      </c>
      <c r="C128">
        <v>0</v>
      </c>
      <c r="D128">
        <v>1016686.696</v>
      </c>
      <c r="E128">
        <v>644.87199999999996</v>
      </c>
      <c r="F128">
        <v>1382263.2620000001</v>
      </c>
      <c r="G128">
        <v>1414.269</v>
      </c>
      <c r="H128">
        <v>127</v>
      </c>
      <c r="I128" t="str">
        <f t="shared" si="5"/>
        <v>YES</v>
      </c>
      <c r="J128" t="s">
        <v>138</v>
      </c>
      <c r="K128">
        <v>8467.1530206099997</v>
      </c>
      <c r="L128" s="1">
        <f t="shared" si="6"/>
        <v>0</v>
      </c>
      <c r="M128" s="1">
        <f t="shared" si="7"/>
        <v>59516.505939504248</v>
      </c>
      <c r="N128" s="1">
        <f t="shared" si="8"/>
        <v>61071.643380055932</v>
      </c>
      <c r="O128" s="1"/>
    </row>
    <row r="129" spans="1:15" x14ac:dyDescent="0.25">
      <c r="A129">
        <v>128</v>
      </c>
      <c r="B129">
        <v>637911.85930000001</v>
      </c>
      <c r="C129">
        <v>0</v>
      </c>
      <c r="D129">
        <v>1033739.204</v>
      </c>
      <c r="E129">
        <v>968.83</v>
      </c>
      <c r="F129">
        <v>1395808.2690000001</v>
      </c>
      <c r="G129">
        <v>1414.269</v>
      </c>
      <c r="H129">
        <v>128</v>
      </c>
      <c r="I129" t="str">
        <f t="shared" si="5"/>
        <v>YES</v>
      </c>
      <c r="J129" t="s">
        <v>139</v>
      </c>
      <c r="K129">
        <v>5928.6152934900001</v>
      </c>
      <c r="L129" s="1">
        <f t="shared" si="6"/>
        <v>0</v>
      </c>
      <c r="M129" s="1">
        <f t="shared" si="7"/>
        <v>62607.641867231898</v>
      </c>
      <c r="N129" s="1">
        <f t="shared" si="8"/>
        <v>42761.74979479493</v>
      </c>
      <c r="O129" s="1"/>
    </row>
    <row r="130" spans="1:15" x14ac:dyDescent="0.25">
      <c r="A130">
        <v>129</v>
      </c>
      <c r="B130">
        <v>654747.41839999997</v>
      </c>
      <c r="C130">
        <v>0</v>
      </c>
      <c r="D130">
        <v>1057052.6910000001</v>
      </c>
      <c r="E130">
        <v>2219.3470000000002</v>
      </c>
      <c r="F130">
        <v>1432855.5519999999</v>
      </c>
      <c r="G130">
        <v>941.16499999999996</v>
      </c>
      <c r="H130">
        <v>129</v>
      </c>
      <c r="I130" t="str">
        <f t="shared" ref="I130:I193" si="9">IF(A130=H130,"YES","NO")</f>
        <v>YES</v>
      </c>
      <c r="J130" t="s">
        <v>140</v>
      </c>
      <c r="K130">
        <v>14109.954685500001</v>
      </c>
      <c r="L130" s="1">
        <f t="shared" si="6"/>
        <v>0</v>
      </c>
      <c r="M130" s="1">
        <f t="shared" si="7"/>
        <v>341332.25305526407</v>
      </c>
      <c r="N130" s="1">
        <f t="shared" si="8"/>
        <v>67726.957058050903</v>
      </c>
      <c r="O130" s="1"/>
    </row>
    <row r="131" spans="1:15" x14ac:dyDescent="0.25">
      <c r="A131">
        <v>130</v>
      </c>
      <c r="B131">
        <v>639290.65890000004</v>
      </c>
      <c r="C131">
        <v>0</v>
      </c>
      <c r="D131">
        <v>1034202.718</v>
      </c>
      <c r="E131">
        <v>493.91699999999997</v>
      </c>
      <c r="F131">
        <v>1405441.311</v>
      </c>
      <c r="G131">
        <v>1414.269</v>
      </c>
      <c r="H131">
        <v>130</v>
      </c>
      <c r="I131" t="str">
        <f t="shared" si="9"/>
        <v>YES</v>
      </c>
      <c r="J131" t="s">
        <v>141</v>
      </c>
      <c r="K131">
        <v>22704.042365400001</v>
      </c>
      <c r="L131" s="1">
        <f t="shared" ref="L131:L194" si="10">$U$2*$K131*C131</f>
        <v>0</v>
      </c>
      <c r="M131" s="1">
        <f t="shared" ref="M131:M194" si="11">$U$3*$K131*E131</f>
        <v>122231.64617360487</v>
      </c>
      <c r="N131" s="1">
        <f t="shared" ref="N131:N194" si="12">$U$4*$K131*G131</f>
        <v>163759.07878956667</v>
      </c>
      <c r="O131" s="1"/>
    </row>
    <row r="132" spans="1:15" x14ac:dyDescent="0.25">
      <c r="A132">
        <v>131</v>
      </c>
      <c r="B132">
        <v>616418.23600000003</v>
      </c>
      <c r="C132">
        <v>0</v>
      </c>
      <c r="D132">
        <v>993193.01930000004</v>
      </c>
      <c r="E132">
        <v>0</v>
      </c>
      <c r="F132">
        <v>1404673.152</v>
      </c>
      <c r="G132">
        <v>1414.269</v>
      </c>
      <c r="H132">
        <v>131</v>
      </c>
      <c r="I132" t="str">
        <f t="shared" si="9"/>
        <v>YES</v>
      </c>
      <c r="J132" t="s">
        <v>142</v>
      </c>
      <c r="K132">
        <v>18089.786802899998</v>
      </c>
      <c r="L132" s="1">
        <f t="shared" si="10"/>
        <v>0</v>
      </c>
      <c r="M132" s="1">
        <f t="shared" si="11"/>
        <v>0</v>
      </c>
      <c r="N132" s="1">
        <f t="shared" si="12"/>
        <v>130477.50592894795</v>
      </c>
      <c r="O132" s="1"/>
    </row>
    <row r="133" spans="1:15" x14ac:dyDescent="0.25">
      <c r="A133">
        <v>132</v>
      </c>
      <c r="B133">
        <v>642089.01930000004</v>
      </c>
      <c r="C133">
        <v>0</v>
      </c>
      <c r="D133">
        <v>990589.44629999995</v>
      </c>
      <c r="E133">
        <v>0</v>
      </c>
      <c r="F133">
        <v>1408307.291</v>
      </c>
      <c r="G133">
        <v>640.52499999999998</v>
      </c>
      <c r="H133">
        <v>132</v>
      </c>
      <c r="I133" t="str">
        <f t="shared" si="9"/>
        <v>YES</v>
      </c>
      <c r="J133" t="s">
        <v>143</v>
      </c>
      <c r="K133">
        <v>20109.462245800001</v>
      </c>
      <c r="L133" s="1">
        <f t="shared" si="10"/>
        <v>0</v>
      </c>
      <c r="M133" s="1">
        <f t="shared" si="11"/>
        <v>0</v>
      </c>
      <c r="N133" s="1">
        <f t="shared" si="12"/>
        <v>65691.127855454339</v>
      </c>
      <c r="O133" s="1"/>
    </row>
    <row r="134" spans="1:15" x14ac:dyDescent="0.25">
      <c r="A134">
        <v>133</v>
      </c>
      <c r="B134">
        <v>645309.62470000004</v>
      </c>
      <c r="C134">
        <v>0</v>
      </c>
      <c r="D134">
        <v>1041246.2439999999</v>
      </c>
      <c r="E134">
        <v>2033.432</v>
      </c>
      <c r="F134">
        <v>1426175.077</v>
      </c>
      <c r="G134">
        <v>1414.269</v>
      </c>
      <c r="H134">
        <v>133</v>
      </c>
      <c r="I134" t="str">
        <f t="shared" si="9"/>
        <v>YES</v>
      </c>
      <c r="J134" t="s">
        <v>144</v>
      </c>
      <c r="K134">
        <v>11803.274909</v>
      </c>
      <c r="L134" s="1">
        <f t="shared" si="10"/>
        <v>0</v>
      </c>
      <c r="M134" s="1">
        <f t="shared" si="11"/>
        <v>261612.61026185879</v>
      </c>
      <c r="N134" s="1">
        <f t="shared" si="12"/>
        <v>85134.329591610265</v>
      </c>
      <c r="O134" s="1"/>
    </row>
    <row r="135" spans="1:15" x14ac:dyDescent="0.25">
      <c r="A135">
        <v>134</v>
      </c>
      <c r="B135">
        <v>677362.09600000002</v>
      </c>
      <c r="C135">
        <v>0</v>
      </c>
      <c r="D135">
        <v>1089775.298</v>
      </c>
      <c r="E135">
        <v>2033.433</v>
      </c>
      <c r="F135">
        <v>1473526.0689999999</v>
      </c>
      <c r="G135">
        <v>1414.269</v>
      </c>
      <c r="H135">
        <v>134</v>
      </c>
      <c r="I135" t="str">
        <f t="shared" si="9"/>
        <v>YES</v>
      </c>
      <c r="J135" t="s">
        <v>145</v>
      </c>
      <c r="K135">
        <v>63159.931726199997</v>
      </c>
      <c r="L135" s="1">
        <f t="shared" si="10"/>
        <v>0</v>
      </c>
      <c r="M135" s="1">
        <f t="shared" si="11"/>
        <v>1399903.2350028423</v>
      </c>
      <c r="N135" s="1">
        <f t="shared" si="12"/>
        <v>455558.18076065381</v>
      </c>
      <c r="O135" s="1"/>
    </row>
    <row r="136" spans="1:15" x14ac:dyDescent="0.25">
      <c r="A136">
        <v>135</v>
      </c>
      <c r="B136">
        <v>617862.22849999997</v>
      </c>
      <c r="C136">
        <v>0</v>
      </c>
      <c r="D136">
        <v>1006591.963</v>
      </c>
      <c r="E136">
        <v>2033.433</v>
      </c>
      <c r="F136">
        <v>1401314.7949999999</v>
      </c>
      <c r="G136">
        <v>1414.269</v>
      </c>
      <c r="H136">
        <v>135</v>
      </c>
      <c r="I136" t="str">
        <f t="shared" si="9"/>
        <v>YES</v>
      </c>
      <c r="J136" t="s">
        <v>146</v>
      </c>
      <c r="K136">
        <v>19807.016431399999</v>
      </c>
      <c r="L136" s="1">
        <f t="shared" si="10"/>
        <v>0</v>
      </c>
      <c r="M136" s="1">
        <f t="shared" si="11"/>
        <v>439011.02519034588</v>
      </c>
      <c r="N136" s="1">
        <f t="shared" si="12"/>
        <v>142863.4915392402</v>
      </c>
      <c r="O136" s="1"/>
    </row>
    <row r="137" spans="1:15" x14ac:dyDescent="0.25">
      <c r="A137">
        <v>136</v>
      </c>
      <c r="B137">
        <v>487476.47600000002</v>
      </c>
      <c r="C137">
        <v>0</v>
      </c>
      <c r="D137">
        <v>868819.54099999997</v>
      </c>
      <c r="E137">
        <v>746.68780000000004</v>
      </c>
      <c r="F137">
        <v>1271853.504</v>
      </c>
      <c r="G137">
        <v>2712.165</v>
      </c>
      <c r="H137">
        <v>136</v>
      </c>
      <c r="I137" t="str">
        <f t="shared" si="9"/>
        <v>YES</v>
      </c>
      <c r="J137" t="s">
        <v>147</v>
      </c>
      <c r="K137">
        <v>37750.6975523</v>
      </c>
      <c r="L137" s="1">
        <f t="shared" si="10"/>
        <v>0</v>
      </c>
      <c r="M137" s="1">
        <f t="shared" si="11"/>
        <v>307249.0398113358</v>
      </c>
      <c r="N137" s="1">
        <f t="shared" si="12"/>
        <v>522169.21519736206</v>
      </c>
      <c r="O137" s="1"/>
    </row>
    <row r="138" spans="1:15" x14ac:dyDescent="0.25">
      <c r="A138">
        <v>137</v>
      </c>
      <c r="B138">
        <v>617862.22849999997</v>
      </c>
      <c r="C138">
        <v>0</v>
      </c>
      <c r="D138">
        <v>1006828.188</v>
      </c>
      <c r="E138">
        <v>2033.433</v>
      </c>
      <c r="F138">
        <v>1403728.7620000001</v>
      </c>
      <c r="G138">
        <v>1414.269</v>
      </c>
      <c r="H138">
        <v>137</v>
      </c>
      <c r="I138" t="str">
        <f t="shared" si="9"/>
        <v>YES</v>
      </c>
      <c r="J138" t="s">
        <v>148</v>
      </c>
      <c r="K138">
        <v>6217.8841805499997</v>
      </c>
      <c r="L138" s="1">
        <f t="shared" si="10"/>
        <v>0</v>
      </c>
      <c r="M138" s="1">
        <f t="shared" si="11"/>
        <v>137815.79462370076</v>
      </c>
      <c r="N138" s="1">
        <f t="shared" si="12"/>
        <v>44848.180294925565</v>
      </c>
      <c r="O138" s="1"/>
    </row>
    <row r="139" spans="1:15" x14ac:dyDescent="0.25">
      <c r="A139">
        <v>138</v>
      </c>
      <c r="B139">
        <v>684073.38219999999</v>
      </c>
      <c r="C139">
        <v>0</v>
      </c>
      <c r="D139">
        <v>1065427.6100000001</v>
      </c>
      <c r="E139">
        <v>2435.335</v>
      </c>
      <c r="F139">
        <v>1445122.47</v>
      </c>
      <c r="G139">
        <v>640.52499999999998</v>
      </c>
      <c r="H139">
        <v>138</v>
      </c>
      <c r="I139" t="str">
        <f t="shared" si="9"/>
        <v>YES</v>
      </c>
      <c r="J139" t="s">
        <v>149</v>
      </c>
      <c r="K139">
        <v>6141.05932355</v>
      </c>
      <c r="L139" s="1">
        <f t="shared" si="10"/>
        <v>0</v>
      </c>
      <c r="M139" s="1">
        <f t="shared" si="11"/>
        <v>163015.35011412227</v>
      </c>
      <c r="N139" s="1">
        <f t="shared" si="12"/>
        <v>20060.860318406008</v>
      </c>
      <c r="O139" s="1"/>
    </row>
    <row r="140" spans="1:15" x14ac:dyDescent="0.25">
      <c r="A140">
        <v>139</v>
      </c>
      <c r="B140">
        <v>661278.17319999996</v>
      </c>
      <c r="C140">
        <v>0</v>
      </c>
      <c r="D140">
        <v>1049835.898</v>
      </c>
      <c r="E140">
        <v>2033.432</v>
      </c>
      <c r="F140">
        <v>1434412.6259999999</v>
      </c>
      <c r="G140">
        <v>941.16499999999996</v>
      </c>
      <c r="H140">
        <v>139</v>
      </c>
      <c r="I140" t="str">
        <f t="shared" si="9"/>
        <v>YES</v>
      </c>
      <c r="J140" t="s">
        <v>150</v>
      </c>
      <c r="K140">
        <v>4997.0405858200002</v>
      </c>
      <c r="L140" s="1">
        <f t="shared" si="10"/>
        <v>0</v>
      </c>
      <c r="M140" s="1">
        <f t="shared" si="11"/>
        <v>110756.45033430596</v>
      </c>
      <c r="N140" s="1">
        <f t="shared" si="12"/>
        <v>23985.50248506173</v>
      </c>
      <c r="O140" s="1"/>
    </row>
    <row r="141" spans="1:15" x14ac:dyDescent="0.25">
      <c r="A141">
        <v>140</v>
      </c>
      <c r="B141">
        <v>617134.82869999995</v>
      </c>
      <c r="C141">
        <v>0</v>
      </c>
      <c r="D141">
        <v>1012511.968</v>
      </c>
      <c r="E141">
        <v>493.916</v>
      </c>
      <c r="F141">
        <v>1419902.466</v>
      </c>
      <c r="G141">
        <v>1414.269</v>
      </c>
      <c r="H141">
        <v>140</v>
      </c>
      <c r="I141" t="str">
        <f t="shared" si="9"/>
        <v>YES</v>
      </c>
      <c r="J141" t="s">
        <v>151</v>
      </c>
      <c r="K141">
        <v>10195.4328585</v>
      </c>
      <c r="L141" s="1">
        <f t="shared" si="10"/>
        <v>0</v>
      </c>
      <c r="M141" s="1">
        <f t="shared" si="11"/>
        <v>54888.992831553864</v>
      </c>
      <c r="N141" s="1">
        <f t="shared" si="12"/>
        <v>73537.331630125482</v>
      </c>
      <c r="O141" s="1"/>
    </row>
    <row r="142" spans="1:15" x14ac:dyDescent="0.25">
      <c r="A142">
        <v>141</v>
      </c>
      <c r="B142">
        <v>588073.7831</v>
      </c>
      <c r="C142">
        <v>0</v>
      </c>
      <c r="D142">
        <v>989478.98499999999</v>
      </c>
      <c r="E142">
        <v>493.91680000000002</v>
      </c>
      <c r="F142">
        <v>1380284.493</v>
      </c>
      <c r="G142">
        <v>1414.269</v>
      </c>
      <c r="H142">
        <v>141</v>
      </c>
      <c r="I142" t="str">
        <f t="shared" si="9"/>
        <v>YES</v>
      </c>
      <c r="J142" t="s">
        <v>152</v>
      </c>
      <c r="K142">
        <v>8099.0111090299997</v>
      </c>
      <c r="L142" s="1">
        <f t="shared" si="10"/>
        <v>0</v>
      </c>
      <c r="M142" s="1">
        <f t="shared" si="11"/>
        <v>43602.59038648838</v>
      </c>
      <c r="N142" s="1">
        <f t="shared" si="12"/>
        <v>58416.319744999419</v>
      </c>
      <c r="O142" s="1"/>
    </row>
    <row r="143" spans="1:15" x14ac:dyDescent="0.25">
      <c r="A143">
        <v>142</v>
      </c>
      <c r="B143">
        <v>654730.73620000004</v>
      </c>
      <c r="C143">
        <v>0</v>
      </c>
      <c r="D143">
        <v>1026039.214</v>
      </c>
      <c r="E143">
        <v>2033.433</v>
      </c>
      <c r="F143">
        <v>1431011.3740000001</v>
      </c>
      <c r="G143">
        <v>941.16499999999996</v>
      </c>
      <c r="H143">
        <v>142</v>
      </c>
      <c r="I143" t="str">
        <f t="shared" si="9"/>
        <v>YES</v>
      </c>
      <c r="J143" t="s">
        <v>153</v>
      </c>
      <c r="K143">
        <v>22076.001835899999</v>
      </c>
      <c r="L143" s="1">
        <f t="shared" si="10"/>
        <v>0</v>
      </c>
      <c r="M143" s="1">
        <f t="shared" si="11"/>
        <v>489301.76998885814</v>
      </c>
      <c r="N143" s="1">
        <f t="shared" si="12"/>
        <v>105963.51736621259</v>
      </c>
      <c r="O143" s="1"/>
    </row>
    <row r="144" spans="1:15" x14ac:dyDescent="0.25">
      <c r="A144">
        <v>143</v>
      </c>
      <c r="B144">
        <v>691644.60439999995</v>
      </c>
      <c r="C144">
        <v>5856.1823999999997</v>
      </c>
      <c r="D144">
        <v>1077478.1950000001</v>
      </c>
      <c r="E144">
        <v>3182.163</v>
      </c>
      <c r="F144">
        <v>1464323.0179999999</v>
      </c>
      <c r="G144">
        <v>194.20699999999999</v>
      </c>
      <c r="H144">
        <v>143</v>
      </c>
      <c r="I144" t="str">
        <f t="shared" si="9"/>
        <v>YES</v>
      </c>
      <c r="J144" t="s">
        <v>154</v>
      </c>
      <c r="K144">
        <v>6937.2846391700004</v>
      </c>
      <c r="L144" s="1">
        <f t="shared" si="10"/>
        <v>1320345.1367501754</v>
      </c>
      <c r="M144" s="1">
        <f t="shared" si="11"/>
        <v>240623.71844166284</v>
      </c>
      <c r="N144" s="1">
        <f t="shared" si="12"/>
        <v>6871.0731133883701</v>
      </c>
      <c r="O144" s="1"/>
    </row>
    <row r="145" spans="1:15" x14ac:dyDescent="0.25">
      <c r="A145">
        <v>144</v>
      </c>
      <c r="B145">
        <v>589337.86609999998</v>
      </c>
      <c r="C145">
        <v>0</v>
      </c>
      <c r="D145">
        <v>985828.57239999995</v>
      </c>
      <c r="E145">
        <v>644.87239999999997</v>
      </c>
      <c r="F145">
        <v>1391643.9450000001</v>
      </c>
      <c r="G145">
        <v>1414.269</v>
      </c>
      <c r="H145">
        <v>144</v>
      </c>
      <c r="I145" t="str">
        <f t="shared" si="9"/>
        <v>YES</v>
      </c>
      <c r="J145" t="s">
        <v>155</v>
      </c>
      <c r="K145">
        <v>26313.202573999999</v>
      </c>
      <c r="L145" s="1">
        <f t="shared" si="10"/>
        <v>0</v>
      </c>
      <c r="M145" s="1">
        <f t="shared" si="11"/>
        <v>184958.37324183897</v>
      </c>
      <c r="N145" s="1">
        <f t="shared" si="12"/>
        <v>189791.12812475491</v>
      </c>
      <c r="O145" s="1"/>
    </row>
    <row r="146" spans="1:15" x14ac:dyDescent="0.25">
      <c r="A146">
        <v>145</v>
      </c>
      <c r="B146">
        <v>695087.51100000006</v>
      </c>
      <c r="C146">
        <v>0</v>
      </c>
      <c r="D146">
        <v>1091212.442</v>
      </c>
      <c r="E146">
        <v>2435.335</v>
      </c>
      <c r="F146">
        <v>1467470.861</v>
      </c>
      <c r="G146">
        <v>640.52499999999998</v>
      </c>
      <c r="H146">
        <v>145</v>
      </c>
      <c r="I146" t="str">
        <f t="shared" si="9"/>
        <v>YES</v>
      </c>
      <c r="J146" t="s">
        <v>156</v>
      </c>
      <c r="K146">
        <v>14492.188678099999</v>
      </c>
      <c r="L146" s="1">
        <f t="shared" si="10"/>
        <v>0</v>
      </c>
      <c r="M146" s="1">
        <f t="shared" si="11"/>
        <v>384697.3440267492</v>
      </c>
      <c r="N146" s="1">
        <f t="shared" si="12"/>
        <v>47341.306680504007</v>
      </c>
      <c r="O146" s="1"/>
    </row>
    <row r="147" spans="1:15" x14ac:dyDescent="0.25">
      <c r="A147">
        <v>146</v>
      </c>
      <c r="B147">
        <v>757147.87699999998</v>
      </c>
      <c r="C147">
        <v>0</v>
      </c>
      <c r="D147">
        <v>1204923.44</v>
      </c>
      <c r="E147">
        <v>2033.432</v>
      </c>
      <c r="F147">
        <v>1577093.3430000001</v>
      </c>
      <c r="G147">
        <v>941.16499999999996</v>
      </c>
      <c r="H147">
        <v>146</v>
      </c>
      <c r="I147" t="str">
        <f t="shared" si="9"/>
        <v>YES</v>
      </c>
      <c r="J147" t="s">
        <v>157</v>
      </c>
      <c r="K147">
        <v>133134.54147200001</v>
      </c>
      <c r="L147" s="1">
        <f t="shared" si="10"/>
        <v>0</v>
      </c>
      <c r="M147" s="1">
        <f t="shared" si="11"/>
        <v>2950848.4025859623</v>
      </c>
      <c r="N147" s="1">
        <f t="shared" si="12"/>
        <v>639038.01069492393</v>
      </c>
      <c r="O147" s="1"/>
    </row>
    <row r="148" spans="1:15" x14ac:dyDescent="0.25">
      <c r="A148">
        <v>147</v>
      </c>
      <c r="B148">
        <v>16745.536899999999</v>
      </c>
      <c r="C148">
        <v>0</v>
      </c>
      <c r="D148">
        <v>436501.71240000002</v>
      </c>
      <c r="E148">
        <v>0</v>
      </c>
      <c r="F148">
        <v>792492.29980000004</v>
      </c>
      <c r="G148">
        <v>0</v>
      </c>
      <c r="H148">
        <v>147</v>
      </c>
      <c r="I148" t="str">
        <f t="shared" si="9"/>
        <v>YES</v>
      </c>
      <c r="J148" t="s">
        <v>158</v>
      </c>
      <c r="K148">
        <v>64184.287314200003</v>
      </c>
      <c r="L148" s="1">
        <f t="shared" si="10"/>
        <v>0</v>
      </c>
      <c r="M148" s="1">
        <f t="shared" si="11"/>
        <v>0</v>
      </c>
      <c r="N148" s="1">
        <f t="shared" si="12"/>
        <v>0</v>
      </c>
      <c r="O148" s="1"/>
    </row>
    <row r="149" spans="1:15" x14ac:dyDescent="0.25">
      <c r="A149">
        <v>148</v>
      </c>
      <c r="B149">
        <v>83546.303509999998</v>
      </c>
      <c r="C149">
        <v>0</v>
      </c>
      <c r="D149">
        <v>477526.90259999997</v>
      </c>
      <c r="E149">
        <v>0</v>
      </c>
      <c r="F149">
        <v>849571.42909999995</v>
      </c>
      <c r="G149">
        <v>0</v>
      </c>
      <c r="H149">
        <v>148</v>
      </c>
      <c r="I149" t="str">
        <f t="shared" si="9"/>
        <v>YES</v>
      </c>
      <c r="J149" t="s">
        <v>159</v>
      </c>
      <c r="K149">
        <v>4123.1521796400002</v>
      </c>
      <c r="L149" s="1">
        <f t="shared" si="10"/>
        <v>0</v>
      </c>
      <c r="M149" s="1">
        <f t="shared" si="11"/>
        <v>0</v>
      </c>
      <c r="N149" s="1">
        <f t="shared" si="12"/>
        <v>0</v>
      </c>
      <c r="O149" s="1"/>
    </row>
    <row r="150" spans="1:15" x14ac:dyDescent="0.25">
      <c r="A150">
        <v>149</v>
      </c>
      <c r="B150">
        <v>528047.92740000004</v>
      </c>
      <c r="C150">
        <v>0</v>
      </c>
      <c r="D150">
        <v>949631.4523</v>
      </c>
      <c r="E150">
        <v>0</v>
      </c>
      <c r="F150">
        <v>1389819.6710000001</v>
      </c>
      <c r="G150">
        <v>2113.1329999999998</v>
      </c>
      <c r="H150">
        <v>149</v>
      </c>
      <c r="I150" t="str">
        <f t="shared" si="9"/>
        <v>YES</v>
      </c>
      <c r="J150" t="s">
        <v>160</v>
      </c>
      <c r="K150">
        <v>17113.302184700002</v>
      </c>
      <c r="L150" s="1">
        <f t="shared" si="10"/>
        <v>0</v>
      </c>
      <c r="M150" s="1">
        <f t="shared" si="11"/>
        <v>0</v>
      </c>
      <c r="N150" s="1">
        <f t="shared" si="12"/>
        <v>184429.68628585452</v>
      </c>
      <c r="O150" s="1"/>
    </row>
    <row r="151" spans="1:15" x14ac:dyDescent="0.25">
      <c r="A151">
        <v>150</v>
      </c>
      <c r="B151">
        <v>521584.07689999999</v>
      </c>
      <c r="C151">
        <v>0</v>
      </c>
      <c r="D151">
        <v>922666.41509999998</v>
      </c>
      <c r="E151">
        <v>0</v>
      </c>
      <c r="F151">
        <v>1347281.102</v>
      </c>
      <c r="G151">
        <v>2033.433</v>
      </c>
      <c r="H151">
        <v>150</v>
      </c>
      <c r="I151" t="str">
        <f t="shared" si="9"/>
        <v>YES</v>
      </c>
      <c r="J151" t="s">
        <v>76</v>
      </c>
      <c r="K151">
        <v>12229.096071100001</v>
      </c>
      <c r="L151" s="1">
        <f t="shared" si="10"/>
        <v>0</v>
      </c>
      <c r="M151" s="1">
        <f t="shared" si="11"/>
        <v>0</v>
      </c>
      <c r="N151" s="1">
        <f t="shared" si="12"/>
        <v>126821.94230683996</v>
      </c>
      <c r="O151" s="1"/>
    </row>
    <row r="152" spans="1:15" x14ac:dyDescent="0.25">
      <c r="A152">
        <v>151</v>
      </c>
      <c r="B152">
        <v>432159.64059999998</v>
      </c>
      <c r="C152">
        <v>0</v>
      </c>
      <c r="D152">
        <v>801522.96759999997</v>
      </c>
      <c r="E152">
        <v>0</v>
      </c>
      <c r="F152">
        <v>1262048.7039999999</v>
      </c>
      <c r="G152">
        <v>7055.75</v>
      </c>
      <c r="H152">
        <v>151</v>
      </c>
      <c r="I152" t="str">
        <f t="shared" si="9"/>
        <v>YES</v>
      </c>
      <c r="J152" t="s">
        <v>161</v>
      </c>
      <c r="K152">
        <v>112076.020034</v>
      </c>
      <c r="L152" s="1">
        <f t="shared" si="10"/>
        <v>0</v>
      </c>
      <c r="M152" s="1">
        <f t="shared" si="11"/>
        <v>0</v>
      </c>
      <c r="N152" s="1">
        <f t="shared" si="12"/>
        <v>4032979.9296099679</v>
      </c>
      <c r="O152" s="1"/>
    </row>
    <row r="153" spans="1:15" x14ac:dyDescent="0.25">
      <c r="A153">
        <v>152</v>
      </c>
      <c r="B153">
        <v>407131.11700000003</v>
      </c>
      <c r="C153">
        <v>0</v>
      </c>
      <c r="D153">
        <v>731423.63950000005</v>
      </c>
      <c r="E153">
        <v>0</v>
      </c>
      <c r="F153">
        <v>1185115.6839999999</v>
      </c>
      <c r="G153">
        <v>2231.027</v>
      </c>
      <c r="H153">
        <v>152</v>
      </c>
      <c r="I153" t="str">
        <f t="shared" si="9"/>
        <v>YES</v>
      </c>
      <c r="J153" t="s">
        <v>162</v>
      </c>
      <c r="K153">
        <v>190243.612864</v>
      </c>
      <c r="L153" s="1">
        <f t="shared" si="10"/>
        <v>0</v>
      </c>
      <c r="M153" s="1">
        <f t="shared" si="11"/>
        <v>0</v>
      </c>
      <c r="N153" s="1">
        <f t="shared" si="12"/>
        <v>2164637.04807337</v>
      </c>
      <c r="O153" s="1"/>
    </row>
    <row r="154" spans="1:15" x14ac:dyDescent="0.25">
      <c r="A154">
        <v>153</v>
      </c>
      <c r="B154">
        <v>478992.022</v>
      </c>
      <c r="C154">
        <v>0</v>
      </c>
      <c r="D154">
        <v>891439.9584</v>
      </c>
      <c r="E154">
        <v>0</v>
      </c>
      <c r="F154">
        <v>1314338.6370000001</v>
      </c>
      <c r="G154">
        <v>412.548</v>
      </c>
      <c r="H154">
        <v>153</v>
      </c>
      <c r="I154" t="str">
        <f t="shared" si="9"/>
        <v>YES</v>
      </c>
      <c r="J154" t="s">
        <v>163</v>
      </c>
      <c r="K154">
        <v>170909.71325500001</v>
      </c>
      <c r="L154" s="1">
        <f t="shared" si="10"/>
        <v>0</v>
      </c>
      <c r="M154" s="1">
        <f t="shared" si="11"/>
        <v>0</v>
      </c>
      <c r="N154" s="1">
        <f t="shared" si="12"/>
        <v>359593.14795801113</v>
      </c>
      <c r="O154" s="1"/>
    </row>
    <row r="155" spans="1:15" x14ac:dyDescent="0.25">
      <c r="A155">
        <v>154</v>
      </c>
      <c r="B155">
        <v>577520.01850000001</v>
      </c>
      <c r="C155">
        <v>0</v>
      </c>
      <c r="D155">
        <v>1000663.858</v>
      </c>
      <c r="E155">
        <v>0</v>
      </c>
      <c r="F155">
        <v>1434643.585</v>
      </c>
      <c r="G155">
        <v>2033.432</v>
      </c>
      <c r="H155">
        <v>154</v>
      </c>
      <c r="I155" t="str">
        <f t="shared" si="9"/>
        <v>YES</v>
      </c>
      <c r="J155" t="s">
        <v>164</v>
      </c>
      <c r="K155">
        <v>35693.5671468</v>
      </c>
      <c r="L155" s="1">
        <f t="shared" si="10"/>
        <v>0</v>
      </c>
      <c r="M155" s="1">
        <f t="shared" si="11"/>
        <v>0</v>
      </c>
      <c r="N155" s="1">
        <f t="shared" si="12"/>
        <v>370160.2523153043</v>
      </c>
      <c r="O155" s="1"/>
    </row>
    <row r="156" spans="1:15" x14ac:dyDescent="0.25">
      <c r="A156">
        <v>155</v>
      </c>
      <c r="B156">
        <v>507464.4423</v>
      </c>
      <c r="C156">
        <v>0</v>
      </c>
      <c r="D156">
        <v>905013.24950000003</v>
      </c>
      <c r="E156">
        <v>0</v>
      </c>
      <c r="F156">
        <v>1342365.5930000001</v>
      </c>
      <c r="G156">
        <v>0</v>
      </c>
      <c r="H156">
        <v>155</v>
      </c>
      <c r="I156" t="str">
        <f t="shared" si="9"/>
        <v>YES</v>
      </c>
      <c r="J156" t="s">
        <v>165</v>
      </c>
      <c r="K156">
        <v>26340.3678745</v>
      </c>
      <c r="L156" s="1">
        <f t="shared" si="10"/>
        <v>0</v>
      </c>
      <c r="M156" s="1">
        <f t="shared" si="11"/>
        <v>0</v>
      </c>
      <c r="N156" s="1">
        <f t="shared" si="12"/>
        <v>0</v>
      </c>
      <c r="O156" s="1"/>
    </row>
    <row r="157" spans="1:15" x14ac:dyDescent="0.25">
      <c r="A157">
        <v>156</v>
      </c>
      <c r="B157">
        <v>461071.71620000002</v>
      </c>
      <c r="C157">
        <v>0</v>
      </c>
      <c r="D157">
        <v>851750.37659999996</v>
      </c>
      <c r="E157">
        <v>0</v>
      </c>
      <c r="F157">
        <v>1281744.27</v>
      </c>
      <c r="G157">
        <v>412.54899999999998</v>
      </c>
      <c r="H157">
        <v>156</v>
      </c>
      <c r="I157" t="str">
        <f t="shared" si="9"/>
        <v>YES</v>
      </c>
      <c r="J157" t="s">
        <v>166</v>
      </c>
      <c r="K157">
        <v>128912.908335</v>
      </c>
      <c r="L157" s="1">
        <f t="shared" si="10"/>
        <v>0</v>
      </c>
      <c r="M157" s="1">
        <f t="shared" si="11"/>
        <v>0</v>
      </c>
      <c r="N157" s="1">
        <f t="shared" si="12"/>
        <v>271232.74624554918</v>
      </c>
      <c r="O157" s="1"/>
    </row>
    <row r="158" spans="1:15" x14ac:dyDescent="0.25">
      <c r="A158">
        <v>157</v>
      </c>
      <c r="B158">
        <v>428680.88860000001</v>
      </c>
      <c r="C158">
        <v>0</v>
      </c>
      <c r="D158">
        <v>790912.8273</v>
      </c>
      <c r="E158">
        <v>0</v>
      </c>
      <c r="F158">
        <v>1200485.1610000001</v>
      </c>
      <c r="G158">
        <v>2435.3359999999998</v>
      </c>
      <c r="H158">
        <v>157</v>
      </c>
      <c r="I158" t="str">
        <f t="shared" si="9"/>
        <v>YES</v>
      </c>
      <c r="J158" t="s">
        <v>167</v>
      </c>
      <c r="K158">
        <v>216002.29129200001</v>
      </c>
      <c r="L158" s="1">
        <f t="shared" si="10"/>
        <v>0</v>
      </c>
      <c r="M158" s="1">
        <f t="shared" si="11"/>
        <v>0</v>
      </c>
      <c r="N158" s="1">
        <f t="shared" si="12"/>
        <v>2682794.59593606</v>
      </c>
      <c r="O158" s="1"/>
    </row>
    <row r="159" spans="1:15" x14ac:dyDescent="0.25">
      <c r="A159">
        <v>158</v>
      </c>
      <c r="B159">
        <v>402037.01280000003</v>
      </c>
      <c r="C159">
        <v>0</v>
      </c>
      <c r="D159">
        <v>813082.6189</v>
      </c>
      <c r="E159">
        <v>0</v>
      </c>
      <c r="F159">
        <v>1189368.7180000001</v>
      </c>
      <c r="G159">
        <v>2165.59</v>
      </c>
      <c r="H159">
        <v>158</v>
      </c>
      <c r="I159" t="str">
        <f t="shared" si="9"/>
        <v>YES</v>
      </c>
      <c r="J159" t="s">
        <v>168</v>
      </c>
      <c r="K159">
        <v>127790.318143</v>
      </c>
      <c r="L159" s="1">
        <f t="shared" si="10"/>
        <v>0</v>
      </c>
      <c r="M159" s="1">
        <f t="shared" si="11"/>
        <v>0</v>
      </c>
      <c r="N159" s="1">
        <f t="shared" si="12"/>
        <v>1411381.3188432269</v>
      </c>
      <c r="O159" s="1"/>
    </row>
    <row r="160" spans="1:15" x14ac:dyDescent="0.25">
      <c r="A160">
        <v>159</v>
      </c>
      <c r="B160">
        <v>491875.39429999999</v>
      </c>
      <c r="C160">
        <v>0</v>
      </c>
      <c r="D160">
        <v>844019.14150000003</v>
      </c>
      <c r="E160">
        <v>746.68780000000004</v>
      </c>
      <c r="F160">
        <v>1236645.5870000001</v>
      </c>
      <c r="G160">
        <v>2712.165</v>
      </c>
      <c r="H160">
        <v>159</v>
      </c>
      <c r="I160" t="str">
        <f t="shared" si="9"/>
        <v>YES</v>
      </c>
      <c r="J160" t="s">
        <v>169</v>
      </c>
      <c r="K160">
        <v>186450.68426000001</v>
      </c>
      <c r="L160" s="1">
        <f t="shared" si="10"/>
        <v>0</v>
      </c>
      <c r="M160" s="1">
        <f t="shared" si="11"/>
        <v>1517502.9185006751</v>
      </c>
      <c r="N160" s="1">
        <f t="shared" si="12"/>
        <v>2578993.602387717</v>
      </c>
      <c r="O160" s="1"/>
    </row>
    <row r="161" spans="1:15" x14ac:dyDescent="0.25">
      <c r="A161">
        <v>160</v>
      </c>
      <c r="B161">
        <v>552867.91269999999</v>
      </c>
      <c r="C161">
        <v>0</v>
      </c>
      <c r="D161">
        <v>932969.70929999999</v>
      </c>
      <c r="E161">
        <v>2714.8013999999998</v>
      </c>
      <c r="F161">
        <v>1329881.0360000001</v>
      </c>
      <c r="G161">
        <v>1870.8530000000001</v>
      </c>
      <c r="H161">
        <v>160</v>
      </c>
      <c r="I161" t="str">
        <f t="shared" si="9"/>
        <v>YES</v>
      </c>
      <c r="J161" t="s">
        <v>170</v>
      </c>
      <c r="K161">
        <v>24653.016673900001</v>
      </c>
      <c r="L161" s="1">
        <f t="shared" si="10"/>
        <v>0</v>
      </c>
      <c r="M161" s="1">
        <f t="shared" si="11"/>
        <v>729515.68156774493</v>
      </c>
      <c r="N161" s="1">
        <f t="shared" si="12"/>
        <v>235223.0680374208</v>
      </c>
      <c r="O161" s="1"/>
    </row>
    <row r="162" spans="1:15" x14ac:dyDescent="0.25">
      <c r="A162">
        <v>161</v>
      </c>
      <c r="B162">
        <v>676738.40500000003</v>
      </c>
      <c r="C162">
        <v>0</v>
      </c>
      <c r="D162">
        <v>1172954.585</v>
      </c>
      <c r="E162">
        <v>0</v>
      </c>
      <c r="F162">
        <v>1559221.1610000001</v>
      </c>
      <c r="G162">
        <v>919.42200000000003</v>
      </c>
      <c r="H162">
        <v>161</v>
      </c>
      <c r="I162" t="str">
        <f t="shared" si="9"/>
        <v>YES</v>
      </c>
      <c r="J162" t="s">
        <v>171</v>
      </c>
      <c r="K162">
        <v>13745.7199893</v>
      </c>
      <c r="L162" s="1">
        <f t="shared" si="10"/>
        <v>0</v>
      </c>
      <c r="M162" s="1">
        <f t="shared" si="11"/>
        <v>0</v>
      </c>
      <c r="N162" s="1">
        <f t="shared" si="12"/>
        <v>64454.39855641115</v>
      </c>
      <c r="O162" s="1"/>
    </row>
    <row r="163" spans="1:15" x14ac:dyDescent="0.25">
      <c r="A163">
        <v>162</v>
      </c>
      <c r="B163">
        <v>664079.1875</v>
      </c>
      <c r="C163">
        <v>0</v>
      </c>
      <c r="D163">
        <v>1125072.8940000001</v>
      </c>
      <c r="E163">
        <v>232.32400000000001</v>
      </c>
      <c r="F163">
        <v>1518312.091</v>
      </c>
      <c r="G163">
        <v>1414.269</v>
      </c>
      <c r="H163">
        <v>162</v>
      </c>
      <c r="I163" t="str">
        <f t="shared" si="9"/>
        <v>YES</v>
      </c>
      <c r="J163" t="s">
        <v>172</v>
      </c>
      <c r="K163">
        <v>10138.7144768</v>
      </c>
      <c r="L163" s="1">
        <f t="shared" si="10"/>
        <v>0</v>
      </c>
      <c r="M163" s="1">
        <f t="shared" si="11"/>
        <v>25674.58705297811</v>
      </c>
      <c r="N163" s="1">
        <f t="shared" si="12"/>
        <v>73128.234880386241</v>
      </c>
      <c r="O163" s="1"/>
    </row>
    <row r="164" spans="1:15" x14ac:dyDescent="0.25">
      <c r="A164">
        <v>163</v>
      </c>
      <c r="B164">
        <v>102828.5062</v>
      </c>
      <c r="C164">
        <v>0</v>
      </c>
      <c r="D164">
        <v>572403.46440000006</v>
      </c>
      <c r="E164">
        <v>0</v>
      </c>
      <c r="F164">
        <v>956857.34400000004</v>
      </c>
      <c r="G164">
        <v>0</v>
      </c>
      <c r="H164">
        <v>163</v>
      </c>
      <c r="I164" t="str">
        <f t="shared" si="9"/>
        <v>YES</v>
      </c>
      <c r="J164" t="s">
        <v>173</v>
      </c>
      <c r="K164">
        <v>381186.06232600001</v>
      </c>
      <c r="L164" s="1">
        <f t="shared" si="10"/>
        <v>0</v>
      </c>
      <c r="M164" s="1">
        <f t="shared" si="11"/>
        <v>0</v>
      </c>
      <c r="N164" s="1">
        <f t="shared" si="12"/>
        <v>0</v>
      </c>
      <c r="O164" s="1"/>
    </row>
    <row r="165" spans="1:15" x14ac:dyDescent="0.25">
      <c r="A165">
        <v>164</v>
      </c>
      <c r="B165">
        <v>245372.50649999999</v>
      </c>
      <c r="C165">
        <v>0</v>
      </c>
      <c r="D165">
        <v>637800.96369999996</v>
      </c>
      <c r="E165">
        <v>0</v>
      </c>
      <c r="F165">
        <v>1051222.3589999999</v>
      </c>
      <c r="G165">
        <v>4824.7240000000002</v>
      </c>
      <c r="H165">
        <v>164</v>
      </c>
      <c r="I165" t="str">
        <f t="shared" si="9"/>
        <v>YES</v>
      </c>
      <c r="J165" t="s">
        <v>174</v>
      </c>
      <c r="K165">
        <v>52090.213642800001</v>
      </c>
      <c r="L165" s="1">
        <f t="shared" si="10"/>
        <v>0</v>
      </c>
      <c r="M165" s="1">
        <f t="shared" si="11"/>
        <v>0</v>
      </c>
      <c r="N165" s="1">
        <f t="shared" si="12"/>
        <v>1281736.6100304774</v>
      </c>
      <c r="O165" s="1"/>
    </row>
    <row r="166" spans="1:15" x14ac:dyDescent="0.25">
      <c r="A166">
        <v>165</v>
      </c>
      <c r="B166">
        <v>394722.24339999998</v>
      </c>
      <c r="C166">
        <v>0</v>
      </c>
      <c r="D166">
        <v>752523.54489999998</v>
      </c>
      <c r="E166">
        <v>0</v>
      </c>
      <c r="F166">
        <v>1184271.48</v>
      </c>
      <c r="G166">
        <v>441.18700000000001</v>
      </c>
      <c r="H166">
        <v>165</v>
      </c>
      <c r="I166" t="str">
        <f t="shared" si="9"/>
        <v>YES</v>
      </c>
      <c r="J166" t="s">
        <v>175</v>
      </c>
      <c r="K166">
        <v>151331.18467799999</v>
      </c>
      <c r="L166" s="1">
        <f t="shared" si="10"/>
        <v>0</v>
      </c>
      <c r="M166" s="1">
        <f t="shared" si="11"/>
        <v>0</v>
      </c>
      <c r="N166" s="1">
        <f t="shared" si="12"/>
        <v>340503.29201011726</v>
      </c>
      <c r="O166" s="1"/>
    </row>
    <row r="167" spans="1:15" x14ac:dyDescent="0.25">
      <c r="A167">
        <v>166</v>
      </c>
      <c r="B167">
        <v>277078.3322</v>
      </c>
      <c r="C167">
        <v>0</v>
      </c>
      <c r="D167">
        <v>675012.2709</v>
      </c>
      <c r="E167">
        <v>0</v>
      </c>
      <c r="F167">
        <v>1074091.0549999999</v>
      </c>
      <c r="G167">
        <v>0</v>
      </c>
      <c r="H167">
        <v>166</v>
      </c>
      <c r="I167" t="str">
        <f t="shared" si="9"/>
        <v>YES</v>
      </c>
      <c r="J167" t="s">
        <v>176</v>
      </c>
      <c r="K167">
        <v>86089.023524599994</v>
      </c>
      <c r="L167" s="1">
        <f t="shared" si="10"/>
        <v>0</v>
      </c>
      <c r="M167" s="1">
        <f t="shared" si="11"/>
        <v>0</v>
      </c>
      <c r="N167" s="1">
        <f t="shared" si="12"/>
        <v>0</v>
      </c>
      <c r="O167" s="1"/>
    </row>
    <row r="168" spans="1:15" x14ac:dyDescent="0.25">
      <c r="A168">
        <v>167</v>
      </c>
      <c r="B168">
        <v>185414.20689999999</v>
      </c>
      <c r="C168">
        <v>0</v>
      </c>
      <c r="D168">
        <v>611072.92929999996</v>
      </c>
      <c r="E168">
        <v>0</v>
      </c>
      <c r="F168">
        <v>1010780.121</v>
      </c>
      <c r="G168">
        <v>2231.0259999999998</v>
      </c>
      <c r="H168">
        <v>167</v>
      </c>
      <c r="I168" t="str">
        <f t="shared" si="9"/>
        <v>YES</v>
      </c>
      <c r="J168" t="s">
        <v>177</v>
      </c>
      <c r="K168">
        <v>170159.01730499999</v>
      </c>
      <c r="L168" s="1">
        <f t="shared" si="10"/>
        <v>0</v>
      </c>
      <c r="M168" s="1">
        <f t="shared" si="11"/>
        <v>0</v>
      </c>
      <c r="N168" s="1">
        <f t="shared" si="12"/>
        <v>1936108.8778837149</v>
      </c>
      <c r="O168" s="1"/>
    </row>
    <row r="169" spans="1:15" x14ac:dyDescent="0.25">
      <c r="A169">
        <v>168</v>
      </c>
      <c r="B169">
        <v>548999.27469999995</v>
      </c>
      <c r="C169">
        <v>0</v>
      </c>
      <c r="D169">
        <v>926535.13150000002</v>
      </c>
      <c r="E169">
        <v>0</v>
      </c>
      <c r="F169">
        <v>1321189.67</v>
      </c>
      <c r="G169">
        <v>0</v>
      </c>
      <c r="H169">
        <v>168</v>
      </c>
      <c r="I169" t="str">
        <f t="shared" si="9"/>
        <v>YES</v>
      </c>
      <c r="J169" t="s">
        <v>178</v>
      </c>
      <c r="K169">
        <v>91441.368566200006</v>
      </c>
      <c r="L169" s="1">
        <f t="shared" si="10"/>
        <v>0</v>
      </c>
      <c r="M169" s="1">
        <f t="shared" si="11"/>
        <v>0</v>
      </c>
      <c r="N169" s="1">
        <f t="shared" si="12"/>
        <v>0</v>
      </c>
      <c r="O169" s="1"/>
    </row>
    <row r="170" spans="1:15" x14ac:dyDescent="0.25">
      <c r="A170">
        <v>169</v>
      </c>
      <c r="B170">
        <v>477002.73109999998</v>
      </c>
      <c r="C170">
        <v>0</v>
      </c>
      <c r="D170">
        <v>850222.68319999997</v>
      </c>
      <c r="E170">
        <v>0</v>
      </c>
      <c r="F170">
        <v>1243095.9099999999</v>
      </c>
      <c r="G170">
        <v>1098.328</v>
      </c>
      <c r="H170">
        <v>169</v>
      </c>
      <c r="I170" t="str">
        <f t="shared" si="9"/>
        <v>YES</v>
      </c>
      <c r="J170" t="s">
        <v>179</v>
      </c>
      <c r="K170">
        <v>84997.093034499994</v>
      </c>
      <c r="L170" s="1">
        <f t="shared" si="10"/>
        <v>0</v>
      </c>
      <c r="M170" s="1">
        <f t="shared" si="11"/>
        <v>0</v>
      </c>
      <c r="N170" s="1">
        <f t="shared" si="12"/>
        <v>476108.90471182117</v>
      </c>
      <c r="O170" s="1"/>
    </row>
    <row r="171" spans="1:15" x14ac:dyDescent="0.25">
      <c r="A171">
        <v>170</v>
      </c>
      <c r="B171">
        <v>489271.78539999999</v>
      </c>
      <c r="C171">
        <v>0</v>
      </c>
      <c r="D171">
        <v>865039.95</v>
      </c>
      <c r="E171">
        <v>0</v>
      </c>
      <c r="F171">
        <v>1252649.8470000001</v>
      </c>
      <c r="G171">
        <v>1271.54</v>
      </c>
      <c r="H171">
        <v>170</v>
      </c>
      <c r="I171" t="str">
        <f t="shared" si="9"/>
        <v>YES</v>
      </c>
      <c r="J171" t="s">
        <v>180</v>
      </c>
      <c r="K171">
        <v>102648.539024</v>
      </c>
      <c r="L171" s="1">
        <f t="shared" si="10"/>
        <v>0</v>
      </c>
      <c r="M171" s="1">
        <f t="shared" si="11"/>
        <v>0</v>
      </c>
      <c r="N171" s="1">
        <f t="shared" si="12"/>
        <v>665660.78888394241</v>
      </c>
      <c r="O171" s="1"/>
    </row>
    <row r="172" spans="1:15" x14ac:dyDescent="0.25">
      <c r="A172">
        <v>171</v>
      </c>
      <c r="B172">
        <v>532755.79310000001</v>
      </c>
      <c r="C172">
        <v>0</v>
      </c>
      <c r="D172">
        <v>914735.38450000004</v>
      </c>
      <c r="E172">
        <v>0</v>
      </c>
      <c r="F172">
        <v>1307230.7150000001</v>
      </c>
      <c r="G172">
        <v>1098.329</v>
      </c>
      <c r="H172">
        <v>171</v>
      </c>
      <c r="I172" t="str">
        <f t="shared" si="9"/>
        <v>YES</v>
      </c>
      <c r="J172" t="s">
        <v>181</v>
      </c>
      <c r="K172">
        <v>99450.843708800006</v>
      </c>
      <c r="L172" s="1">
        <f t="shared" si="10"/>
        <v>0</v>
      </c>
      <c r="M172" s="1">
        <f t="shared" si="11"/>
        <v>0</v>
      </c>
      <c r="N172" s="1">
        <f t="shared" si="12"/>
        <v>557071.70317119732</v>
      </c>
      <c r="O172" s="1"/>
    </row>
    <row r="173" spans="1:15" x14ac:dyDescent="0.25">
      <c r="A173">
        <v>172</v>
      </c>
      <c r="B173">
        <v>450180.64510000002</v>
      </c>
      <c r="C173">
        <v>0</v>
      </c>
      <c r="D173">
        <v>796820.15319999994</v>
      </c>
      <c r="E173">
        <v>0</v>
      </c>
      <c r="F173">
        <v>1218190.4010000001</v>
      </c>
      <c r="G173">
        <v>1098.329</v>
      </c>
      <c r="H173">
        <v>172</v>
      </c>
      <c r="I173" t="str">
        <f t="shared" si="9"/>
        <v>YES</v>
      </c>
      <c r="J173" t="s">
        <v>182</v>
      </c>
      <c r="K173">
        <v>32089.492605799998</v>
      </c>
      <c r="L173" s="1">
        <f t="shared" si="10"/>
        <v>0</v>
      </c>
      <c r="M173" s="1">
        <f t="shared" si="11"/>
        <v>0</v>
      </c>
      <c r="N173" s="1">
        <f t="shared" si="12"/>
        <v>179748.58365360211</v>
      </c>
      <c r="O173" s="1"/>
    </row>
    <row r="174" spans="1:15" x14ac:dyDescent="0.25">
      <c r="A174">
        <v>173</v>
      </c>
      <c r="B174">
        <v>320642.55940000003</v>
      </c>
      <c r="C174">
        <v>0</v>
      </c>
      <c r="D174">
        <v>693439.7548</v>
      </c>
      <c r="E174">
        <v>0</v>
      </c>
      <c r="F174">
        <v>1105440.7150000001</v>
      </c>
      <c r="G174">
        <v>0</v>
      </c>
      <c r="H174">
        <v>173</v>
      </c>
      <c r="I174" t="str">
        <f t="shared" si="9"/>
        <v>YES</v>
      </c>
      <c r="J174" t="s">
        <v>183</v>
      </c>
      <c r="K174">
        <v>205467.09468099999</v>
      </c>
      <c r="L174" s="1">
        <f t="shared" si="10"/>
        <v>0</v>
      </c>
      <c r="M174" s="1">
        <f t="shared" si="11"/>
        <v>0</v>
      </c>
      <c r="N174" s="1">
        <f t="shared" si="12"/>
        <v>0</v>
      </c>
      <c r="O174" s="1"/>
    </row>
    <row r="175" spans="1:15" x14ac:dyDescent="0.25">
      <c r="A175">
        <v>174</v>
      </c>
      <c r="B175">
        <v>648546.16240000003</v>
      </c>
      <c r="C175">
        <v>0</v>
      </c>
      <c r="D175">
        <v>1120177.7490000001</v>
      </c>
      <c r="E175">
        <v>0</v>
      </c>
      <c r="F175">
        <v>1525823.693</v>
      </c>
      <c r="G175">
        <v>1220.0630000000001</v>
      </c>
      <c r="H175">
        <v>174</v>
      </c>
      <c r="I175" t="str">
        <f t="shared" si="9"/>
        <v>YES</v>
      </c>
      <c r="J175" t="s">
        <v>184</v>
      </c>
      <c r="K175">
        <v>8448.4735214800003</v>
      </c>
      <c r="L175" s="1">
        <f t="shared" si="10"/>
        <v>0</v>
      </c>
      <c r="M175" s="1">
        <f t="shared" si="11"/>
        <v>0</v>
      </c>
      <c r="N175" s="1">
        <f t="shared" si="12"/>
        <v>52569.116745191022</v>
      </c>
      <c r="O175" s="1"/>
    </row>
    <row r="176" spans="1:15" x14ac:dyDescent="0.25">
      <c r="A176">
        <v>175</v>
      </c>
      <c r="B176">
        <v>481084.4472</v>
      </c>
      <c r="C176">
        <v>0</v>
      </c>
      <c r="D176">
        <v>837568.92920000001</v>
      </c>
      <c r="E176">
        <v>0</v>
      </c>
      <c r="F176">
        <v>1231243.8189999999</v>
      </c>
      <c r="G176">
        <v>919.42200000000003</v>
      </c>
      <c r="H176">
        <v>175</v>
      </c>
      <c r="I176" t="str">
        <f t="shared" si="9"/>
        <v>YES</v>
      </c>
      <c r="J176" t="s">
        <v>185</v>
      </c>
      <c r="K176">
        <v>54079.376491100003</v>
      </c>
      <c r="L176" s="1">
        <f t="shared" si="10"/>
        <v>0</v>
      </c>
      <c r="M176" s="1">
        <f t="shared" si="11"/>
        <v>0</v>
      </c>
      <c r="N176" s="1">
        <f t="shared" si="12"/>
        <v>253581.01931022076</v>
      </c>
      <c r="O176" s="1"/>
    </row>
    <row r="177" spans="1:15" x14ac:dyDescent="0.25">
      <c r="A177">
        <v>176</v>
      </c>
      <c r="B177">
        <v>586009.43830000004</v>
      </c>
      <c r="C177">
        <v>0</v>
      </c>
      <c r="D177">
        <v>969485.76910000003</v>
      </c>
      <c r="E177">
        <v>0</v>
      </c>
      <c r="F177">
        <v>1359123.6769999999</v>
      </c>
      <c r="G177">
        <v>919.42200000000003</v>
      </c>
      <c r="H177">
        <v>176</v>
      </c>
      <c r="I177" t="str">
        <f t="shared" si="9"/>
        <v>YES</v>
      </c>
      <c r="J177" t="s">
        <v>186</v>
      </c>
      <c r="K177">
        <v>44556.3558147</v>
      </c>
      <c r="L177" s="1">
        <f t="shared" si="10"/>
        <v>0</v>
      </c>
      <c r="M177" s="1">
        <f t="shared" si="11"/>
        <v>0</v>
      </c>
      <c r="N177" s="1">
        <f t="shared" si="12"/>
        <v>208927.07825690185</v>
      </c>
      <c r="O177" s="1"/>
    </row>
    <row r="178" spans="1:15" x14ac:dyDescent="0.25">
      <c r="A178">
        <v>177</v>
      </c>
      <c r="B178">
        <v>614430.53370000003</v>
      </c>
      <c r="C178">
        <v>0</v>
      </c>
      <c r="D178">
        <v>957222.26679999998</v>
      </c>
      <c r="E178">
        <v>0</v>
      </c>
      <c r="F178">
        <v>1354775.6189999999</v>
      </c>
      <c r="G178">
        <v>746.95799999999997</v>
      </c>
      <c r="H178">
        <v>177</v>
      </c>
      <c r="I178" t="str">
        <f t="shared" si="9"/>
        <v>YES</v>
      </c>
      <c r="J178" t="s">
        <v>187</v>
      </c>
      <c r="K178">
        <v>7837.5620812799998</v>
      </c>
      <c r="L178" s="1">
        <f t="shared" si="10"/>
        <v>0</v>
      </c>
      <c r="M178" s="1">
        <f t="shared" si="11"/>
        <v>0</v>
      </c>
      <c r="N178" s="1">
        <f t="shared" si="12"/>
        <v>29857.081455254607</v>
      </c>
      <c r="O178" s="1"/>
    </row>
    <row r="179" spans="1:15" x14ac:dyDescent="0.25">
      <c r="A179">
        <v>178</v>
      </c>
      <c r="B179">
        <v>543579.96250000002</v>
      </c>
      <c r="C179">
        <v>0</v>
      </c>
      <c r="D179">
        <v>917518.48730000004</v>
      </c>
      <c r="E179">
        <v>0</v>
      </c>
      <c r="F179">
        <v>1290791.0630000001</v>
      </c>
      <c r="G179">
        <v>919.42200000000003</v>
      </c>
      <c r="H179">
        <v>178</v>
      </c>
      <c r="I179" t="str">
        <f t="shared" si="9"/>
        <v>YES</v>
      </c>
      <c r="J179" t="s">
        <v>188</v>
      </c>
      <c r="K179">
        <v>150101.89371800001</v>
      </c>
      <c r="L179" s="1">
        <f t="shared" si="10"/>
        <v>0</v>
      </c>
      <c r="M179" s="1">
        <f t="shared" si="11"/>
        <v>0</v>
      </c>
      <c r="N179" s="1">
        <f t="shared" si="12"/>
        <v>703835.61496255419</v>
      </c>
      <c r="O179" s="1"/>
    </row>
    <row r="180" spans="1:15" x14ac:dyDescent="0.25">
      <c r="A180">
        <v>179</v>
      </c>
      <c r="B180">
        <v>494666.22379999998</v>
      </c>
      <c r="C180">
        <v>0</v>
      </c>
      <c r="D180">
        <v>861392.56079999998</v>
      </c>
      <c r="E180">
        <v>0</v>
      </c>
      <c r="F180">
        <v>1253545.3729999999</v>
      </c>
      <c r="G180">
        <v>0</v>
      </c>
      <c r="H180">
        <v>179</v>
      </c>
      <c r="I180" t="str">
        <f t="shared" si="9"/>
        <v>YES</v>
      </c>
      <c r="J180" t="s">
        <v>189</v>
      </c>
      <c r="K180">
        <v>103746.99770599999</v>
      </c>
      <c r="L180" s="1">
        <f t="shared" si="10"/>
        <v>0</v>
      </c>
      <c r="M180" s="1">
        <f t="shared" si="11"/>
        <v>0</v>
      </c>
      <c r="N180" s="1">
        <f t="shared" si="12"/>
        <v>0</v>
      </c>
      <c r="O180" s="1"/>
    </row>
    <row r="181" spans="1:15" x14ac:dyDescent="0.25">
      <c r="A181">
        <v>180</v>
      </c>
      <c r="B181">
        <v>388003.53320000001</v>
      </c>
      <c r="C181">
        <v>0</v>
      </c>
      <c r="D181">
        <v>750599.91760000004</v>
      </c>
      <c r="E181">
        <v>0</v>
      </c>
      <c r="F181">
        <v>1150846.422</v>
      </c>
      <c r="G181">
        <v>0</v>
      </c>
      <c r="H181">
        <v>180</v>
      </c>
      <c r="I181" t="str">
        <f t="shared" si="9"/>
        <v>YES</v>
      </c>
      <c r="J181" t="s">
        <v>190</v>
      </c>
      <c r="K181">
        <v>195724.383761</v>
      </c>
      <c r="L181" s="1">
        <f t="shared" si="10"/>
        <v>0</v>
      </c>
      <c r="M181" s="1">
        <f t="shared" si="11"/>
        <v>0</v>
      </c>
      <c r="N181" s="1">
        <f t="shared" si="12"/>
        <v>0</v>
      </c>
      <c r="O181" s="1"/>
    </row>
    <row r="182" spans="1:15" x14ac:dyDescent="0.25">
      <c r="A182">
        <v>181</v>
      </c>
      <c r="B182">
        <v>554074.38130000001</v>
      </c>
      <c r="C182">
        <v>0</v>
      </c>
      <c r="D182">
        <v>931861.77980000002</v>
      </c>
      <c r="E182">
        <v>0</v>
      </c>
      <c r="F182">
        <v>1339014.67</v>
      </c>
      <c r="G182">
        <v>446.31799999999998</v>
      </c>
      <c r="H182">
        <v>181</v>
      </c>
      <c r="I182" t="str">
        <f t="shared" si="9"/>
        <v>YES</v>
      </c>
      <c r="J182" t="s">
        <v>191</v>
      </c>
      <c r="K182">
        <v>8356.2177822199992</v>
      </c>
      <c r="L182" s="1">
        <f t="shared" si="10"/>
        <v>0</v>
      </c>
      <c r="M182" s="1">
        <f t="shared" si="11"/>
        <v>0</v>
      </c>
      <c r="N182" s="1">
        <f t="shared" si="12"/>
        <v>19020.605081436814</v>
      </c>
      <c r="O182" s="1"/>
    </row>
    <row r="183" spans="1:15" x14ac:dyDescent="0.25">
      <c r="A183">
        <v>182</v>
      </c>
      <c r="B183">
        <v>520149.02399999998</v>
      </c>
      <c r="C183">
        <v>0</v>
      </c>
      <c r="D183">
        <v>885604.85679999995</v>
      </c>
      <c r="E183">
        <v>0</v>
      </c>
      <c r="F183">
        <v>1250715.973</v>
      </c>
      <c r="G183">
        <v>194.20599999999999</v>
      </c>
      <c r="H183">
        <v>182</v>
      </c>
      <c r="I183" t="str">
        <f t="shared" si="9"/>
        <v>YES</v>
      </c>
      <c r="J183" t="s">
        <v>192</v>
      </c>
      <c r="K183">
        <v>96565.147953399995</v>
      </c>
      <c r="L183" s="1">
        <f t="shared" si="10"/>
        <v>0</v>
      </c>
      <c r="M183" s="1">
        <f t="shared" si="11"/>
        <v>0</v>
      </c>
      <c r="N183" s="1">
        <f t="shared" si="12"/>
        <v>95643.008729533802</v>
      </c>
      <c r="O183" s="1"/>
    </row>
    <row r="184" spans="1:15" x14ac:dyDescent="0.25">
      <c r="A184">
        <v>183</v>
      </c>
      <c r="B184">
        <v>419907.26770000003</v>
      </c>
      <c r="C184">
        <v>0</v>
      </c>
      <c r="D184">
        <v>810270.24639999995</v>
      </c>
      <c r="E184">
        <v>0</v>
      </c>
      <c r="F184">
        <v>1214547.095</v>
      </c>
      <c r="G184">
        <v>473.10399999999998</v>
      </c>
      <c r="H184">
        <v>183</v>
      </c>
      <c r="I184" t="str">
        <f t="shared" si="9"/>
        <v>YES</v>
      </c>
      <c r="J184" t="s">
        <v>193</v>
      </c>
      <c r="K184">
        <v>109892.86444999999</v>
      </c>
      <c r="L184" s="1">
        <f t="shared" si="10"/>
        <v>0</v>
      </c>
      <c r="M184" s="1">
        <f t="shared" si="11"/>
        <v>0</v>
      </c>
      <c r="N184" s="1">
        <f t="shared" si="12"/>
        <v>265152.84408803924</v>
      </c>
      <c r="O184" s="1"/>
    </row>
    <row r="185" spans="1:15" x14ac:dyDescent="0.25">
      <c r="A185">
        <v>184</v>
      </c>
      <c r="B185">
        <v>531156.76379999996</v>
      </c>
      <c r="C185">
        <v>0</v>
      </c>
      <c r="D185">
        <v>885742.26540000003</v>
      </c>
      <c r="E185">
        <v>0</v>
      </c>
      <c r="F185">
        <v>1255293.19</v>
      </c>
      <c r="G185">
        <v>194.20599999999999</v>
      </c>
      <c r="H185">
        <v>184</v>
      </c>
      <c r="I185" t="str">
        <f t="shared" si="9"/>
        <v>YES</v>
      </c>
      <c r="J185" t="s">
        <v>194</v>
      </c>
      <c r="K185">
        <v>37771.287750700001</v>
      </c>
      <c r="L185" s="1">
        <f t="shared" si="10"/>
        <v>0</v>
      </c>
      <c r="M185" s="1">
        <f t="shared" si="11"/>
        <v>0</v>
      </c>
      <c r="N185" s="1">
        <f t="shared" si="12"/>
        <v>37410.594615453469</v>
      </c>
      <c r="O185" s="1"/>
    </row>
    <row r="186" spans="1:15" x14ac:dyDescent="0.25">
      <c r="A186">
        <v>185</v>
      </c>
      <c r="B186">
        <v>441353.17739999999</v>
      </c>
      <c r="C186">
        <v>0</v>
      </c>
      <c r="D186">
        <v>838850.5736</v>
      </c>
      <c r="E186">
        <v>1098.3288</v>
      </c>
      <c r="F186">
        <v>1224997.7320000001</v>
      </c>
      <c r="G186">
        <v>0</v>
      </c>
      <c r="H186">
        <v>185</v>
      </c>
      <c r="I186" t="str">
        <f t="shared" si="9"/>
        <v>YES</v>
      </c>
      <c r="J186" t="s">
        <v>195</v>
      </c>
      <c r="K186">
        <v>46879.107253100003</v>
      </c>
      <c r="L186" s="1">
        <f t="shared" si="10"/>
        <v>0</v>
      </c>
      <c r="M186" s="1">
        <f t="shared" si="11"/>
        <v>561226.54239661805</v>
      </c>
      <c r="N186" s="1">
        <f t="shared" si="12"/>
        <v>0</v>
      </c>
      <c r="O186" s="1"/>
    </row>
    <row r="187" spans="1:15" x14ac:dyDescent="0.25">
      <c r="A187">
        <v>186</v>
      </c>
      <c r="B187">
        <v>404581.50770000002</v>
      </c>
      <c r="C187">
        <v>0</v>
      </c>
      <c r="D187">
        <v>715590.88910000003</v>
      </c>
      <c r="E187">
        <v>0</v>
      </c>
      <c r="F187">
        <v>1179532.9909999999</v>
      </c>
      <c r="G187">
        <v>2231.027</v>
      </c>
      <c r="H187">
        <v>186</v>
      </c>
      <c r="I187" t="str">
        <f t="shared" si="9"/>
        <v>YES</v>
      </c>
      <c r="J187" t="s">
        <v>196</v>
      </c>
      <c r="K187">
        <v>142837.36891799999</v>
      </c>
      <c r="L187" s="1">
        <f t="shared" si="10"/>
        <v>0</v>
      </c>
      <c r="M187" s="1">
        <f t="shared" si="11"/>
        <v>0</v>
      </c>
      <c r="N187" s="1">
        <f t="shared" si="12"/>
        <v>1625237.5359915958</v>
      </c>
      <c r="O187" s="1"/>
    </row>
    <row r="188" spans="1:15" x14ac:dyDescent="0.25">
      <c r="A188">
        <v>187</v>
      </c>
      <c r="B188">
        <v>531248.28249999997</v>
      </c>
      <c r="C188">
        <v>0</v>
      </c>
      <c r="D188">
        <v>944944.00269999995</v>
      </c>
      <c r="E188">
        <v>0</v>
      </c>
      <c r="F188">
        <v>1370307.1170000001</v>
      </c>
      <c r="G188">
        <v>401.90199999999999</v>
      </c>
      <c r="H188">
        <v>187</v>
      </c>
      <c r="I188" t="str">
        <f t="shared" si="9"/>
        <v>YES</v>
      </c>
      <c r="J188" t="s">
        <v>197</v>
      </c>
      <c r="K188">
        <v>126462.592275</v>
      </c>
      <c r="L188" s="1">
        <f t="shared" si="10"/>
        <v>0</v>
      </c>
      <c r="M188" s="1">
        <f t="shared" si="11"/>
        <v>0</v>
      </c>
      <c r="N188" s="1">
        <f t="shared" si="12"/>
        <v>259210.40067858598</v>
      </c>
      <c r="O188" s="1"/>
    </row>
    <row r="189" spans="1:15" x14ac:dyDescent="0.25">
      <c r="A189">
        <v>188</v>
      </c>
      <c r="B189">
        <v>579759.68830000004</v>
      </c>
      <c r="C189">
        <v>0</v>
      </c>
      <c r="D189">
        <v>939626.61769999994</v>
      </c>
      <c r="E189">
        <v>0</v>
      </c>
      <c r="F189">
        <v>1342467.5919999999</v>
      </c>
      <c r="G189">
        <v>446.31799999999998</v>
      </c>
      <c r="H189">
        <v>188</v>
      </c>
      <c r="I189" t="str">
        <f t="shared" si="9"/>
        <v>YES</v>
      </c>
      <c r="J189" t="s">
        <v>198</v>
      </c>
      <c r="K189">
        <v>47579.919989499998</v>
      </c>
      <c r="L189" s="1">
        <f t="shared" si="10"/>
        <v>0</v>
      </c>
      <c r="M189" s="1">
        <f t="shared" si="11"/>
        <v>0</v>
      </c>
      <c r="N189" s="1">
        <f t="shared" si="12"/>
        <v>108302.45112235566</v>
      </c>
      <c r="O189" s="1"/>
    </row>
    <row r="190" spans="1:15" x14ac:dyDescent="0.25">
      <c r="A190">
        <v>189</v>
      </c>
      <c r="B190">
        <v>573563.61809999996</v>
      </c>
      <c r="C190">
        <v>0</v>
      </c>
      <c r="D190">
        <v>956348.83589999995</v>
      </c>
      <c r="E190">
        <v>412.54829999999998</v>
      </c>
      <c r="F190">
        <v>1342688.8049999999</v>
      </c>
      <c r="G190">
        <v>1220.0619999999999</v>
      </c>
      <c r="H190">
        <v>189</v>
      </c>
      <c r="I190" t="str">
        <f t="shared" si="9"/>
        <v>YES</v>
      </c>
      <c r="J190" t="s">
        <v>199</v>
      </c>
      <c r="K190">
        <v>29150.998792300001</v>
      </c>
      <c r="L190" s="1">
        <f t="shared" si="10"/>
        <v>0</v>
      </c>
      <c r="M190" s="1">
        <f t="shared" si="11"/>
        <v>131085.52544621305</v>
      </c>
      <c r="N190" s="1">
        <f t="shared" si="12"/>
        <v>181386.73203150873</v>
      </c>
      <c r="O190" s="1"/>
    </row>
    <row r="191" spans="1:15" x14ac:dyDescent="0.25">
      <c r="A191">
        <v>190</v>
      </c>
      <c r="B191">
        <v>532768.24300000002</v>
      </c>
      <c r="C191">
        <v>0</v>
      </c>
      <c r="D191">
        <v>896551.15049999999</v>
      </c>
      <c r="E191">
        <v>412.54829999999998</v>
      </c>
      <c r="F191">
        <v>1282580.7309999999</v>
      </c>
      <c r="G191">
        <v>919.42200000000003</v>
      </c>
      <c r="H191">
        <v>190</v>
      </c>
      <c r="I191" t="str">
        <f t="shared" si="9"/>
        <v>YES</v>
      </c>
      <c r="J191" t="s">
        <v>200</v>
      </c>
      <c r="K191">
        <v>30316.650122300001</v>
      </c>
      <c r="L191" s="1">
        <f t="shared" si="10"/>
        <v>0</v>
      </c>
      <c r="M191" s="1">
        <f t="shared" si="11"/>
        <v>136327.19891918128</v>
      </c>
      <c r="N191" s="1">
        <f t="shared" si="12"/>
        <v>142156.3549526011</v>
      </c>
      <c r="O191" s="1"/>
    </row>
    <row r="192" spans="1:15" x14ac:dyDescent="0.25">
      <c r="A192">
        <v>191</v>
      </c>
      <c r="B192">
        <v>514073.04979999998</v>
      </c>
      <c r="C192">
        <v>0</v>
      </c>
      <c r="D192">
        <v>876823.60360000003</v>
      </c>
      <c r="E192">
        <v>0</v>
      </c>
      <c r="F192">
        <v>1258174.6029999999</v>
      </c>
      <c r="G192">
        <v>746.95799999999997</v>
      </c>
      <c r="H192">
        <v>191</v>
      </c>
      <c r="I192" t="str">
        <f t="shared" si="9"/>
        <v>YES</v>
      </c>
      <c r="J192" t="s">
        <v>201</v>
      </c>
      <c r="K192">
        <v>10865.468479700001</v>
      </c>
      <c r="L192" s="1">
        <f t="shared" si="10"/>
        <v>0</v>
      </c>
      <c r="M192" s="1">
        <f t="shared" si="11"/>
        <v>0</v>
      </c>
      <c r="N192" s="1">
        <f t="shared" si="12"/>
        <v>41391.847883764742</v>
      </c>
      <c r="O192" s="1"/>
    </row>
    <row r="193" spans="1:15" x14ac:dyDescent="0.25">
      <c r="A193">
        <v>192</v>
      </c>
      <c r="B193">
        <v>643873.63230000006</v>
      </c>
      <c r="C193">
        <v>0</v>
      </c>
      <c r="D193">
        <v>1009040.7070000001</v>
      </c>
      <c r="E193">
        <v>493.91699999999997</v>
      </c>
      <c r="F193">
        <v>1429353.1980000001</v>
      </c>
      <c r="G193">
        <v>1414.269</v>
      </c>
      <c r="H193">
        <v>192</v>
      </c>
      <c r="I193" t="str">
        <f t="shared" si="9"/>
        <v>YES</v>
      </c>
      <c r="J193" t="s">
        <v>202</v>
      </c>
      <c r="K193">
        <v>27883.4625566</v>
      </c>
      <c r="L193" s="1">
        <f t="shared" si="10"/>
        <v>0</v>
      </c>
      <c r="M193" s="1">
        <f t="shared" si="11"/>
        <v>150116.06631369339</v>
      </c>
      <c r="N193" s="1">
        <f t="shared" si="12"/>
        <v>201117.05520294665</v>
      </c>
      <c r="O193" s="1"/>
    </row>
    <row r="194" spans="1:15" x14ac:dyDescent="0.25">
      <c r="A194">
        <v>193</v>
      </c>
      <c r="B194">
        <v>539487.03980000003</v>
      </c>
      <c r="C194">
        <v>0</v>
      </c>
      <c r="D194">
        <v>942763.63540000003</v>
      </c>
      <c r="E194">
        <v>412.54829999999998</v>
      </c>
      <c r="F194">
        <v>1335857.3759999999</v>
      </c>
      <c r="G194">
        <v>1414.269</v>
      </c>
      <c r="H194">
        <v>193</v>
      </c>
      <c r="I194" t="str">
        <f t="shared" ref="I194:I257" si="13">IF(A194=H194,"YES","NO")</f>
        <v>YES</v>
      </c>
      <c r="J194" t="s">
        <v>203</v>
      </c>
      <c r="K194">
        <v>87823.028528900002</v>
      </c>
      <c r="L194" s="1">
        <f t="shared" si="10"/>
        <v>0</v>
      </c>
      <c r="M194" s="1">
        <f t="shared" si="11"/>
        <v>394920.5282128962</v>
      </c>
      <c r="N194" s="1">
        <f t="shared" si="12"/>
        <v>633447.47234614834</v>
      </c>
      <c r="O194" s="1"/>
    </row>
    <row r="195" spans="1:15" x14ac:dyDescent="0.25">
      <c r="A195">
        <v>194</v>
      </c>
      <c r="B195">
        <v>745287.24690000003</v>
      </c>
      <c r="C195">
        <v>0</v>
      </c>
      <c r="D195">
        <v>1133185.8160000001</v>
      </c>
      <c r="E195">
        <v>2780.261</v>
      </c>
      <c r="F195">
        <v>1511271.585</v>
      </c>
      <c r="G195">
        <v>194.20699999999999</v>
      </c>
      <c r="H195">
        <v>194</v>
      </c>
      <c r="I195" t="str">
        <f t="shared" si="13"/>
        <v>YES</v>
      </c>
      <c r="J195" t="s">
        <v>204</v>
      </c>
      <c r="K195">
        <v>19079.874304199999</v>
      </c>
      <c r="L195" s="1">
        <f t="shared" ref="L195:L258" si="14">$U$2*$K195*C195</f>
        <v>0</v>
      </c>
      <c r="M195" s="1">
        <f t="shared" ref="M195:M258" si="15">$U$3*$K195*E195</f>
        <v>578212.63150027639</v>
      </c>
      <c r="N195" s="1">
        <f t="shared" ref="N195:N258" si="16">$U$4*$K195*G195</f>
        <v>18897.770259878424</v>
      </c>
      <c r="O195" s="1"/>
    </row>
    <row r="196" spans="1:15" x14ac:dyDescent="0.25">
      <c r="A196">
        <v>195</v>
      </c>
      <c r="B196">
        <v>617195.20539999998</v>
      </c>
      <c r="C196">
        <v>0</v>
      </c>
      <c r="D196">
        <v>1004056.251</v>
      </c>
      <c r="E196">
        <v>493.916</v>
      </c>
      <c r="F196">
        <v>1428525.737</v>
      </c>
      <c r="G196">
        <v>1414.269</v>
      </c>
      <c r="H196">
        <v>195</v>
      </c>
      <c r="I196" t="str">
        <f t="shared" si="13"/>
        <v>YES</v>
      </c>
      <c r="J196" t="s">
        <v>205</v>
      </c>
      <c r="K196">
        <v>61938.171877799999</v>
      </c>
      <c r="L196" s="1">
        <f t="shared" si="14"/>
        <v>0</v>
      </c>
      <c r="M196" s="1">
        <f t="shared" si="15"/>
        <v>333455.56970303057</v>
      </c>
      <c r="N196" s="1">
        <f t="shared" si="16"/>
        <v>446745.90565756609</v>
      </c>
      <c r="O196" s="1"/>
    </row>
    <row r="197" spans="1:15" x14ac:dyDescent="0.25">
      <c r="A197">
        <v>196</v>
      </c>
      <c r="B197">
        <v>439019.63370000001</v>
      </c>
      <c r="C197">
        <v>0</v>
      </c>
      <c r="D197">
        <v>855608.03189999994</v>
      </c>
      <c r="E197">
        <v>441.18709999999999</v>
      </c>
      <c r="F197">
        <v>1265290.149</v>
      </c>
      <c r="G197">
        <v>194.20699999999999</v>
      </c>
      <c r="H197">
        <v>196</v>
      </c>
      <c r="I197" t="str">
        <f t="shared" si="13"/>
        <v>YES</v>
      </c>
      <c r="J197" t="s">
        <v>206</v>
      </c>
      <c r="K197">
        <v>200637.248915</v>
      </c>
      <c r="L197" s="1">
        <f t="shared" si="14"/>
        <v>0</v>
      </c>
      <c r="M197" s="1">
        <f t="shared" si="15"/>
        <v>964852.36940857826</v>
      </c>
      <c r="N197" s="1">
        <f t="shared" si="16"/>
        <v>198722.30682018059</v>
      </c>
      <c r="O197" s="1"/>
    </row>
    <row r="198" spans="1:15" x14ac:dyDescent="0.25">
      <c r="A198">
        <v>197</v>
      </c>
      <c r="B198">
        <v>744884.93689999997</v>
      </c>
      <c r="C198">
        <v>0</v>
      </c>
      <c r="D198">
        <v>1145572.598</v>
      </c>
      <c r="E198">
        <v>3182.1619999999998</v>
      </c>
      <c r="F198">
        <v>1526475.977</v>
      </c>
      <c r="G198">
        <v>194.20599999999999</v>
      </c>
      <c r="H198">
        <v>197</v>
      </c>
      <c r="I198" t="str">
        <f t="shared" si="13"/>
        <v>YES</v>
      </c>
      <c r="J198" t="s">
        <v>207</v>
      </c>
      <c r="K198">
        <v>48153.173009799997</v>
      </c>
      <c r="L198" s="1">
        <f t="shared" si="14"/>
        <v>0</v>
      </c>
      <c r="M198" s="1">
        <f t="shared" si="15"/>
        <v>1670220.0509102016</v>
      </c>
      <c r="N198" s="1">
        <f t="shared" si="16"/>
        <v>47693.339099460216</v>
      </c>
      <c r="O198" s="1"/>
    </row>
    <row r="199" spans="1:15" x14ac:dyDescent="0.25">
      <c r="A199">
        <v>198</v>
      </c>
      <c r="B199">
        <v>608295.50289999996</v>
      </c>
      <c r="C199">
        <v>5856.1823999999997</v>
      </c>
      <c r="D199">
        <v>994672.05009999999</v>
      </c>
      <c r="E199">
        <v>3368.0767000000001</v>
      </c>
      <c r="F199">
        <v>1422400.8419999999</v>
      </c>
      <c r="G199">
        <v>194.20699999999999</v>
      </c>
      <c r="H199">
        <v>198</v>
      </c>
      <c r="I199" t="str">
        <f t="shared" si="13"/>
        <v>YES</v>
      </c>
      <c r="J199" t="s">
        <v>208</v>
      </c>
      <c r="K199">
        <v>107285.52272399999</v>
      </c>
      <c r="L199" s="1">
        <f t="shared" si="14"/>
        <v>20419216.673410386</v>
      </c>
      <c r="M199" s="1">
        <f t="shared" si="15"/>
        <v>3938669.9757408714</v>
      </c>
      <c r="N199" s="1">
        <f t="shared" si="16"/>
        <v>106261.55750946533</v>
      </c>
      <c r="O199" s="1"/>
    </row>
    <row r="200" spans="1:15" x14ac:dyDescent="0.25">
      <c r="A200">
        <v>199</v>
      </c>
      <c r="B200">
        <v>419798.50959999999</v>
      </c>
      <c r="C200">
        <v>0</v>
      </c>
      <c r="D200">
        <v>855397.5355</v>
      </c>
      <c r="E200">
        <v>2508.3463999999999</v>
      </c>
      <c r="F200">
        <v>1259111.142</v>
      </c>
      <c r="G200">
        <v>941.16499999999996</v>
      </c>
      <c r="H200">
        <v>199</v>
      </c>
      <c r="I200" t="str">
        <f t="shared" si="13"/>
        <v>YES</v>
      </c>
      <c r="J200" t="s">
        <v>209</v>
      </c>
      <c r="K200">
        <v>207204.52523599999</v>
      </c>
      <c r="L200" s="1">
        <f t="shared" si="14"/>
        <v>0</v>
      </c>
      <c r="M200" s="1">
        <f t="shared" si="15"/>
        <v>5665173.9018397834</v>
      </c>
      <c r="N200" s="1">
        <f t="shared" si="16"/>
        <v>994569.5996680737</v>
      </c>
      <c r="O200" s="1"/>
    </row>
    <row r="201" spans="1:15" x14ac:dyDescent="0.25">
      <c r="A201">
        <v>200</v>
      </c>
      <c r="B201">
        <v>629711.44350000005</v>
      </c>
      <c r="C201">
        <v>0</v>
      </c>
      <c r="D201">
        <v>1023370.822</v>
      </c>
      <c r="E201">
        <v>0</v>
      </c>
      <c r="F201">
        <v>1415433.0819999999</v>
      </c>
      <c r="G201">
        <v>1414.269</v>
      </c>
      <c r="H201">
        <v>200</v>
      </c>
      <c r="I201" t="str">
        <f t="shared" si="13"/>
        <v>YES</v>
      </c>
      <c r="J201" t="s">
        <v>210</v>
      </c>
      <c r="K201">
        <v>90732.586008300001</v>
      </c>
      <c r="L201" s="1">
        <f t="shared" si="14"/>
        <v>0</v>
      </c>
      <c r="M201" s="1">
        <f t="shared" si="15"/>
        <v>0</v>
      </c>
      <c r="N201" s="1">
        <f t="shared" si="16"/>
        <v>654433.44677499949</v>
      </c>
      <c r="O201" s="1"/>
    </row>
    <row r="202" spans="1:15" x14ac:dyDescent="0.25">
      <c r="A202">
        <v>201</v>
      </c>
      <c r="B202">
        <v>580883.29169999994</v>
      </c>
      <c r="C202">
        <v>0</v>
      </c>
      <c r="D202">
        <v>979167.30790000001</v>
      </c>
      <c r="E202">
        <v>3008.9520000000002</v>
      </c>
      <c r="F202">
        <v>1382153.2590000001</v>
      </c>
      <c r="G202">
        <v>640.52499999999998</v>
      </c>
      <c r="H202">
        <v>201</v>
      </c>
      <c r="I202" t="str">
        <f t="shared" si="13"/>
        <v>YES</v>
      </c>
      <c r="J202" t="s">
        <v>211</v>
      </c>
      <c r="K202">
        <v>190652.97341800001</v>
      </c>
      <c r="L202" s="1">
        <f t="shared" si="14"/>
        <v>0</v>
      </c>
      <c r="M202" s="1">
        <f t="shared" si="15"/>
        <v>6252955.5378252137</v>
      </c>
      <c r="N202" s="1">
        <f t="shared" si="16"/>
        <v>622801.77857267868</v>
      </c>
      <c r="O202" s="1"/>
    </row>
    <row r="203" spans="1:15" x14ac:dyDescent="0.25">
      <c r="A203">
        <v>202</v>
      </c>
      <c r="B203">
        <v>415699.413</v>
      </c>
      <c r="C203">
        <v>0</v>
      </c>
      <c r="D203">
        <v>860464.37179999996</v>
      </c>
      <c r="E203">
        <v>3008.9520000000002</v>
      </c>
      <c r="F203">
        <v>1263096.2590000001</v>
      </c>
      <c r="G203">
        <v>640.52499999999998</v>
      </c>
      <c r="H203">
        <v>202</v>
      </c>
      <c r="I203" t="str">
        <f t="shared" si="13"/>
        <v>YES</v>
      </c>
      <c r="J203" t="s">
        <v>212</v>
      </c>
      <c r="K203">
        <v>154619.20773699999</v>
      </c>
      <c r="L203" s="1">
        <f t="shared" si="14"/>
        <v>0</v>
      </c>
      <c r="M203" s="1">
        <f t="shared" si="15"/>
        <v>5071135.3405094119</v>
      </c>
      <c r="N203" s="1">
        <f t="shared" si="16"/>
        <v>505091.0869822838</v>
      </c>
      <c r="O203" s="1"/>
    </row>
    <row r="204" spans="1:15" x14ac:dyDescent="0.25">
      <c r="A204">
        <v>205</v>
      </c>
      <c r="B204">
        <v>563691.94189999998</v>
      </c>
      <c r="C204">
        <v>0</v>
      </c>
      <c r="D204">
        <v>944485.76100000006</v>
      </c>
      <c r="E204">
        <v>7539.5248000000001</v>
      </c>
      <c r="F204">
        <v>1333460.08</v>
      </c>
      <c r="G204">
        <v>1957.1020000000001</v>
      </c>
      <c r="H204">
        <v>205</v>
      </c>
      <c r="I204" t="str">
        <f t="shared" si="13"/>
        <v>YES</v>
      </c>
      <c r="J204" t="s">
        <v>213</v>
      </c>
      <c r="K204">
        <v>32822.569647199998</v>
      </c>
      <c r="L204" s="1">
        <f t="shared" si="14"/>
        <v>0</v>
      </c>
      <c r="M204" s="1">
        <f t="shared" si="15"/>
        <v>2697385.6986172292</v>
      </c>
      <c r="N204" s="1">
        <f t="shared" si="16"/>
        <v>327609.29517853953</v>
      </c>
      <c r="O204" s="1"/>
    </row>
    <row r="205" spans="1:15" x14ac:dyDescent="0.25">
      <c r="A205">
        <v>206</v>
      </c>
      <c r="B205">
        <v>470594.70309999998</v>
      </c>
      <c r="C205">
        <v>0</v>
      </c>
      <c r="D205">
        <v>867482.14370000002</v>
      </c>
      <c r="E205">
        <v>746.68790000000001</v>
      </c>
      <c r="F205">
        <v>1279752.2649999999</v>
      </c>
      <c r="G205">
        <v>2148.6149999999998</v>
      </c>
      <c r="H205">
        <v>206</v>
      </c>
      <c r="I205" t="str">
        <f t="shared" si="13"/>
        <v>YES</v>
      </c>
      <c r="J205" t="s">
        <v>214</v>
      </c>
      <c r="K205">
        <v>67788.954510299998</v>
      </c>
      <c r="L205" s="1">
        <f t="shared" si="14"/>
        <v>0</v>
      </c>
      <c r="M205" s="1">
        <f t="shared" si="15"/>
        <v>551727.39374275657</v>
      </c>
      <c r="N205" s="1">
        <f t="shared" si="16"/>
        <v>742827.05892525602</v>
      </c>
      <c r="O205" s="1"/>
    </row>
    <row r="206" spans="1:15" x14ac:dyDescent="0.25">
      <c r="A206">
        <v>207</v>
      </c>
      <c r="B206">
        <v>334235.24349999998</v>
      </c>
      <c r="C206">
        <v>0</v>
      </c>
      <c r="D206">
        <v>829655.38630000001</v>
      </c>
      <c r="E206">
        <v>5856.1823999999997</v>
      </c>
      <c r="F206">
        <v>1261879.8459999999</v>
      </c>
      <c r="G206">
        <v>3008.9520000000002</v>
      </c>
      <c r="H206">
        <v>207</v>
      </c>
      <c r="I206" t="str">
        <f t="shared" si="13"/>
        <v>YES</v>
      </c>
      <c r="J206" t="s">
        <v>215</v>
      </c>
      <c r="K206">
        <v>187159.210991</v>
      </c>
      <c r="L206" s="1">
        <f t="shared" si="14"/>
        <v>0</v>
      </c>
      <c r="M206" s="1">
        <f t="shared" si="15"/>
        <v>11946819.40369685</v>
      </c>
      <c r="N206" s="1">
        <f t="shared" si="16"/>
        <v>2872080.7193719367</v>
      </c>
      <c r="O206" s="1"/>
    </row>
    <row r="207" spans="1:15" x14ac:dyDescent="0.25">
      <c r="A207">
        <v>208</v>
      </c>
      <c r="B207">
        <v>639296.00589999999</v>
      </c>
      <c r="C207">
        <v>0</v>
      </c>
      <c r="D207">
        <v>1086530.5589999999</v>
      </c>
      <c r="E207">
        <v>644.87300000000005</v>
      </c>
      <c r="F207">
        <v>1474526.3870000001</v>
      </c>
      <c r="G207">
        <v>1414.269</v>
      </c>
      <c r="H207">
        <v>208</v>
      </c>
      <c r="I207" t="str">
        <f t="shared" si="13"/>
        <v>YES</v>
      </c>
      <c r="J207" t="s">
        <v>216</v>
      </c>
      <c r="K207">
        <v>98898.459081699999</v>
      </c>
      <c r="L207" s="1">
        <f t="shared" si="14"/>
        <v>0</v>
      </c>
      <c r="M207" s="1">
        <f t="shared" si="15"/>
        <v>695168.71143698506</v>
      </c>
      <c r="N207" s="1">
        <f t="shared" si="16"/>
        <v>713332.02661778557</v>
      </c>
      <c r="O207" s="1"/>
    </row>
    <row r="208" spans="1:15" x14ac:dyDescent="0.25">
      <c r="A208">
        <v>209</v>
      </c>
      <c r="B208">
        <v>416643.86499999999</v>
      </c>
      <c r="C208">
        <v>0</v>
      </c>
      <c r="D208">
        <v>899219.82</v>
      </c>
      <c r="E208">
        <v>0</v>
      </c>
      <c r="F208">
        <v>1331963.4809999999</v>
      </c>
      <c r="G208">
        <v>1371.778</v>
      </c>
      <c r="H208">
        <v>209</v>
      </c>
      <c r="I208" t="str">
        <f t="shared" si="13"/>
        <v>YES</v>
      </c>
      <c r="J208" t="s">
        <v>217</v>
      </c>
      <c r="K208">
        <v>76395.850902299993</v>
      </c>
      <c r="L208" s="1">
        <f t="shared" si="14"/>
        <v>0</v>
      </c>
      <c r="M208" s="1">
        <f t="shared" si="15"/>
        <v>0</v>
      </c>
      <c r="N208" s="1">
        <f t="shared" si="16"/>
        <v>534470.55255118199</v>
      </c>
      <c r="O208" s="1"/>
    </row>
    <row r="209" spans="1:15" x14ac:dyDescent="0.25">
      <c r="A209">
        <v>210</v>
      </c>
      <c r="B209">
        <v>590325.72459999996</v>
      </c>
      <c r="C209">
        <v>0</v>
      </c>
      <c r="D209">
        <v>1058987.7250000001</v>
      </c>
      <c r="E209">
        <v>1587.64</v>
      </c>
      <c r="F209">
        <v>1471351.31</v>
      </c>
      <c r="G209">
        <v>3228.585</v>
      </c>
      <c r="H209">
        <v>210</v>
      </c>
      <c r="I209" t="str">
        <f t="shared" si="13"/>
        <v>YES</v>
      </c>
      <c r="J209" t="s">
        <v>218</v>
      </c>
      <c r="K209">
        <v>82407.676145899997</v>
      </c>
      <c r="L209" s="1">
        <f t="shared" si="14"/>
        <v>0</v>
      </c>
      <c r="M209" s="1">
        <f t="shared" si="15"/>
        <v>1426087.5802234157</v>
      </c>
      <c r="N209" s="1">
        <f t="shared" si="16"/>
        <v>1356906.9541565038</v>
      </c>
      <c r="O209" s="1"/>
    </row>
    <row r="210" spans="1:15" x14ac:dyDescent="0.25">
      <c r="A210">
        <v>211</v>
      </c>
      <c r="B210">
        <v>573895.95030000003</v>
      </c>
      <c r="C210">
        <v>0</v>
      </c>
      <c r="D210">
        <v>1053177.3770000001</v>
      </c>
      <c r="E210">
        <v>7468.299</v>
      </c>
      <c r="F210">
        <v>1468726.554</v>
      </c>
      <c r="G210">
        <v>919.42200000000003</v>
      </c>
      <c r="H210">
        <v>211</v>
      </c>
      <c r="I210" t="str">
        <f t="shared" si="13"/>
        <v>YES</v>
      </c>
      <c r="J210" t="s">
        <v>219</v>
      </c>
      <c r="K210">
        <v>48427.516733500001</v>
      </c>
      <c r="L210" s="1">
        <f t="shared" si="14"/>
        <v>0</v>
      </c>
      <c r="M210" s="1">
        <f t="shared" si="15"/>
        <v>3942215.8052467667</v>
      </c>
      <c r="N210" s="1">
        <f t="shared" si="16"/>
        <v>227079.153879755</v>
      </c>
      <c r="O210" s="1"/>
    </row>
    <row r="211" spans="1:15" x14ac:dyDescent="0.25">
      <c r="A211">
        <v>212</v>
      </c>
      <c r="B211">
        <v>450404.78600000002</v>
      </c>
      <c r="C211">
        <v>0</v>
      </c>
      <c r="D211">
        <v>928431.35959999997</v>
      </c>
      <c r="E211">
        <v>1103.8649</v>
      </c>
      <c r="F211">
        <v>1362611.6769999999</v>
      </c>
      <c r="G211">
        <v>1738.2760000000001</v>
      </c>
      <c r="H211">
        <v>212</v>
      </c>
      <c r="I211" t="str">
        <f t="shared" si="13"/>
        <v>YES</v>
      </c>
      <c r="J211" t="s">
        <v>220</v>
      </c>
      <c r="K211">
        <v>183141.678166</v>
      </c>
      <c r="L211" s="1">
        <f t="shared" si="14"/>
        <v>0</v>
      </c>
      <c r="M211" s="1">
        <f t="shared" si="15"/>
        <v>2203584.0057745273</v>
      </c>
      <c r="N211" s="1">
        <f t="shared" si="16"/>
        <v>1623588.9971539774</v>
      </c>
      <c r="O211" s="1"/>
    </row>
    <row r="212" spans="1:15" x14ac:dyDescent="0.25">
      <c r="A212">
        <v>213</v>
      </c>
      <c r="B212">
        <v>421201.83020000003</v>
      </c>
      <c r="C212">
        <v>0</v>
      </c>
      <c r="D212">
        <v>866398.30330000003</v>
      </c>
      <c r="E212">
        <v>0</v>
      </c>
      <c r="F212">
        <v>1281586.537</v>
      </c>
      <c r="G212">
        <v>1414.269</v>
      </c>
      <c r="H212">
        <v>213</v>
      </c>
      <c r="I212" t="str">
        <f t="shared" si="13"/>
        <v>YES</v>
      </c>
      <c r="J212" t="s">
        <v>221</v>
      </c>
      <c r="K212">
        <v>84579.031005900004</v>
      </c>
      <c r="L212" s="1">
        <f t="shared" si="14"/>
        <v>0</v>
      </c>
      <c r="M212" s="1">
        <f t="shared" si="15"/>
        <v>0</v>
      </c>
      <c r="N212" s="1">
        <f t="shared" si="16"/>
        <v>610049.25816858432</v>
      </c>
      <c r="O212" s="1"/>
    </row>
    <row r="213" spans="1:15" x14ac:dyDescent="0.25">
      <c r="A213">
        <v>214</v>
      </c>
      <c r="B213">
        <v>263222.04350000003</v>
      </c>
      <c r="C213">
        <v>0</v>
      </c>
      <c r="D213">
        <v>798583.83829999994</v>
      </c>
      <c r="E213">
        <v>0</v>
      </c>
      <c r="F213">
        <v>1180350.307</v>
      </c>
      <c r="G213">
        <v>941.16499999999996</v>
      </c>
      <c r="H213">
        <v>214</v>
      </c>
      <c r="I213" t="str">
        <f t="shared" si="13"/>
        <v>YES</v>
      </c>
      <c r="J213" t="s">
        <v>222</v>
      </c>
      <c r="K213">
        <v>198242.54141199999</v>
      </c>
      <c r="L213" s="1">
        <f t="shared" si="14"/>
        <v>0</v>
      </c>
      <c r="M213" s="1">
        <f t="shared" si="15"/>
        <v>0</v>
      </c>
      <c r="N213" s="1">
        <f t="shared" si="16"/>
        <v>951552.60158892744</v>
      </c>
      <c r="O213" s="1"/>
    </row>
    <row r="214" spans="1:15" x14ac:dyDescent="0.25">
      <c r="A214">
        <v>215</v>
      </c>
      <c r="B214">
        <v>685872.31259999995</v>
      </c>
      <c r="C214">
        <v>0</v>
      </c>
      <c r="D214">
        <v>1140160.429</v>
      </c>
      <c r="E214">
        <v>232.32400000000001</v>
      </c>
      <c r="F214">
        <v>1571641.0689999999</v>
      </c>
      <c r="G214">
        <v>1414.269</v>
      </c>
      <c r="H214">
        <v>215</v>
      </c>
      <c r="I214" t="str">
        <f t="shared" si="13"/>
        <v>YES</v>
      </c>
      <c r="J214" t="s">
        <v>223</v>
      </c>
      <c r="K214">
        <v>125999.11801200001</v>
      </c>
      <c r="L214" s="1">
        <f t="shared" si="14"/>
        <v>0</v>
      </c>
      <c r="M214" s="1">
        <f t="shared" si="15"/>
        <v>319071.54811391683</v>
      </c>
      <c r="N214" s="1">
        <f t="shared" si="16"/>
        <v>908802.89782173757</v>
      </c>
      <c r="O214" s="1"/>
    </row>
    <row r="215" spans="1:15" x14ac:dyDescent="0.25">
      <c r="A215">
        <v>216</v>
      </c>
      <c r="B215">
        <v>395633.13380000001</v>
      </c>
      <c r="C215">
        <v>0</v>
      </c>
      <c r="D215">
        <v>891529.75109999999</v>
      </c>
      <c r="E215">
        <v>0</v>
      </c>
      <c r="F215">
        <v>1345783.6669999999</v>
      </c>
      <c r="G215">
        <v>2607.0500000000002</v>
      </c>
      <c r="H215">
        <v>216</v>
      </c>
      <c r="I215" t="str">
        <f t="shared" si="13"/>
        <v>YES</v>
      </c>
      <c r="J215" t="s">
        <v>224</v>
      </c>
      <c r="K215">
        <v>142960.503719</v>
      </c>
      <c r="L215" s="1">
        <f t="shared" si="14"/>
        <v>0</v>
      </c>
      <c r="M215" s="1">
        <f t="shared" si="15"/>
        <v>0</v>
      </c>
      <c r="N215" s="1">
        <f t="shared" si="16"/>
        <v>1900796.4242251569</v>
      </c>
      <c r="O215" s="1"/>
    </row>
    <row r="216" spans="1:15" x14ac:dyDescent="0.25">
      <c r="A216">
        <v>217</v>
      </c>
      <c r="B216">
        <v>517120.9486</v>
      </c>
      <c r="C216">
        <v>0</v>
      </c>
      <c r="D216">
        <v>1016032.284</v>
      </c>
      <c r="E216">
        <v>5928.5879999999997</v>
      </c>
      <c r="F216">
        <v>1427141.686</v>
      </c>
      <c r="G216">
        <v>919.423</v>
      </c>
      <c r="H216">
        <v>217</v>
      </c>
      <c r="I216" t="str">
        <f t="shared" si="13"/>
        <v>YES</v>
      </c>
      <c r="J216" t="s">
        <v>225</v>
      </c>
      <c r="K216">
        <v>51585.442320499998</v>
      </c>
      <c r="L216" s="1">
        <f t="shared" si="14"/>
        <v>0</v>
      </c>
      <c r="M216" s="1">
        <f t="shared" si="15"/>
        <v>3333534.2940444918</v>
      </c>
      <c r="N216" s="1">
        <f t="shared" si="16"/>
        <v>241887.09488666948</v>
      </c>
      <c r="O216" s="1"/>
    </row>
    <row r="217" spans="1:15" x14ac:dyDescent="0.25">
      <c r="A217">
        <v>218</v>
      </c>
      <c r="B217">
        <v>432414.26069999998</v>
      </c>
      <c r="C217">
        <v>0</v>
      </c>
      <c r="D217">
        <v>912218.92359999998</v>
      </c>
      <c r="E217">
        <v>746.68790000000001</v>
      </c>
      <c r="F217">
        <v>1348244.6</v>
      </c>
      <c r="G217">
        <v>0</v>
      </c>
      <c r="H217">
        <v>218</v>
      </c>
      <c r="I217" t="str">
        <f t="shared" si="13"/>
        <v>YES</v>
      </c>
      <c r="J217" t="s">
        <v>226</v>
      </c>
      <c r="K217">
        <v>100300.52172600001</v>
      </c>
      <c r="L217" s="1">
        <f t="shared" si="14"/>
        <v>0</v>
      </c>
      <c r="M217" s="1">
        <f t="shared" si="15"/>
        <v>816335.72670775547</v>
      </c>
      <c r="N217" s="1">
        <f t="shared" si="16"/>
        <v>0</v>
      </c>
      <c r="O217" s="1"/>
    </row>
    <row r="218" spans="1:15" x14ac:dyDescent="0.25">
      <c r="A218">
        <v>219</v>
      </c>
      <c r="B218">
        <v>433588.02720000001</v>
      </c>
      <c r="C218">
        <v>0</v>
      </c>
      <c r="D218">
        <v>887833.22770000005</v>
      </c>
      <c r="E218">
        <v>0</v>
      </c>
      <c r="F218">
        <v>1309968.9439999999</v>
      </c>
      <c r="G218">
        <v>446.31799999999998</v>
      </c>
      <c r="H218">
        <v>219</v>
      </c>
      <c r="I218" t="str">
        <f t="shared" si="13"/>
        <v>YES</v>
      </c>
      <c r="J218" t="s">
        <v>227</v>
      </c>
      <c r="K218">
        <v>145169.575893</v>
      </c>
      <c r="L218" s="1">
        <f t="shared" si="14"/>
        <v>0</v>
      </c>
      <c r="M218" s="1">
        <f t="shared" si="15"/>
        <v>0</v>
      </c>
      <c r="N218" s="1">
        <f t="shared" si="16"/>
        <v>330438.1533444011</v>
      </c>
      <c r="O218" s="1"/>
    </row>
    <row r="219" spans="1:15" x14ac:dyDescent="0.25">
      <c r="A219">
        <v>220</v>
      </c>
      <c r="B219">
        <v>324633.54479999997</v>
      </c>
      <c r="C219">
        <v>0</v>
      </c>
      <c r="D219">
        <v>806126.68720000004</v>
      </c>
      <c r="E219">
        <v>493.91680000000002</v>
      </c>
      <c r="F219">
        <v>1198479.8529999999</v>
      </c>
      <c r="G219">
        <v>194.20599999999999</v>
      </c>
      <c r="H219">
        <v>220</v>
      </c>
      <c r="I219" t="str">
        <f t="shared" si="13"/>
        <v>YES</v>
      </c>
      <c r="J219" t="s">
        <v>228</v>
      </c>
      <c r="K219">
        <v>91638.843314500002</v>
      </c>
      <c r="L219" s="1">
        <f t="shared" si="14"/>
        <v>0</v>
      </c>
      <c r="M219" s="1">
        <f t="shared" si="15"/>
        <v>493355.41027703165</v>
      </c>
      <c r="N219" s="1">
        <f t="shared" si="16"/>
        <v>90763.747344152522</v>
      </c>
      <c r="O219" s="1"/>
    </row>
    <row r="220" spans="1:15" x14ac:dyDescent="0.25">
      <c r="A220">
        <v>221</v>
      </c>
      <c r="B220">
        <v>143340.44750000001</v>
      </c>
      <c r="C220">
        <v>0</v>
      </c>
      <c r="D220">
        <v>721273.96349999995</v>
      </c>
      <c r="E220">
        <v>0</v>
      </c>
      <c r="F220">
        <v>1045809.287</v>
      </c>
      <c r="G220">
        <v>746.95799999999997</v>
      </c>
      <c r="H220">
        <v>221</v>
      </c>
      <c r="I220" t="str">
        <f t="shared" si="13"/>
        <v>YES</v>
      </c>
      <c r="J220" t="s">
        <v>229</v>
      </c>
      <c r="K220">
        <v>58148.036612800002</v>
      </c>
      <c r="L220" s="1">
        <f t="shared" si="14"/>
        <v>0</v>
      </c>
      <c r="M220" s="1">
        <f t="shared" si="15"/>
        <v>0</v>
      </c>
      <c r="N220" s="1">
        <f t="shared" si="16"/>
        <v>221514.11977434173</v>
      </c>
      <c r="O220" s="1"/>
    </row>
    <row r="221" spans="1:15" x14ac:dyDescent="0.25">
      <c r="A221">
        <v>222</v>
      </c>
      <c r="B221">
        <v>433501.27429999999</v>
      </c>
      <c r="C221">
        <v>0</v>
      </c>
      <c r="D221">
        <v>913641.94559999998</v>
      </c>
      <c r="E221">
        <v>0</v>
      </c>
      <c r="F221">
        <v>1351069.3970000001</v>
      </c>
      <c r="G221">
        <v>1098.328</v>
      </c>
      <c r="H221">
        <v>222</v>
      </c>
      <c r="I221" t="str">
        <f t="shared" si="13"/>
        <v>YES</v>
      </c>
      <c r="J221" t="s">
        <v>230</v>
      </c>
      <c r="K221">
        <v>99706.283757199999</v>
      </c>
      <c r="L221" s="1">
        <f t="shared" si="14"/>
        <v>0</v>
      </c>
      <c r="M221" s="1">
        <f t="shared" si="15"/>
        <v>0</v>
      </c>
      <c r="N221" s="1">
        <f t="shared" si="16"/>
        <v>558502.03645503765</v>
      </c>
      <c r="O221" s="1"/>
    </row>
    <row r="222" spans="1:15" x14ac:dyDescent="0.25">
      <c r="A222">
        <v>223</v>
      </c>
      <c r="B222">
        <v>58253.439870000002</v>
      </c>
      <c r="C222">
        <v>0</v>
      </c>
      <c r="D222">
        <v>679660.28099999996</v>
      </c>
      <c r="E222">
        <v>0</v>
      </c>
      <c r="F222">
        <v>1153734.2279999999</v>
      </c>
      <c r="G222">
        <v>232.32400000000001</v>
      </c>
      <c r="H222">
        <v>223</v>
      </c>
      <c r="I222" t="str">
        <f t="shared" si="13"/>
        <v>YES</v>
      </c>
      <c r="J222" t="s">
        <v>231</v>
      </c>
      <c r="K222">
        <v>42544.257112300002</v>
      </c>
      <c r="L222" s="1">
        <f t="shared" si="14"/>
        <v>0</v>
      </c>
      <c r="M222" s="1">
        <f t="shared" si="15"/>
        <v>0</v>
      </c>
      <c r="N222" s="1">
        <f t="shared" si="16"/>
        <v>50408.665145725732</v>
      </c>
      <c r="O222" s="1"/>
    </row>
    <row r="223" spans="1:15" x14ac:dyDescent="0.25">
      <c r="A223">
        <v>224</v>
      </c>
      <c r="B223">
        <v>503984.79830000002</v>
      </c>
      <c r="C223">
        <v>0</v>
      </c>
      <c r="D223">
        <v>1004836.806</v>
      </c>
      <c r="E223">
        <v>746.68799999999999</v>
      </c>
      <c r="F223">
        <v>1432453.6950000001</v>
      </c>
      <c r="G223">
        <v>1738.2760000000001</v>
      </c>
      <c r="H223">
        <v>224</v>
      </c>
      <c r="I223" t="str">
        <f t="shared" si="13"/>
        <v>YES</v>
      </c>
      <c r="J223" t="s">
        <v>232</v>
      </c>
      <c r="K223">
        <v>103762.07808799999</v>
      </c>
      <c r="L223" s="1">
        <f t="shared" si="14"/>
        <v>0</v>
      </c>
      <c r="M223" s="1">
        <f t="shared" si="15"/>
        <v>844509.09434076061</v>
      </c>
      <c r="N223" s="1">
        <f t="shared" si="16"/>
        <v>919872.36325753108</v>
      </c>
      <c r="O223" s="1"/>
    </row>
    <row r="224" spans="1:15" x14ac:dyDescent="0.25">
      <c r="A224">
        <v>225</v>
      </c>
      <c r="B224">
        <v>78841.585590000002</v>
      </c>
      <c r="C224">
        <v>0</v>
      </c>
      <c r="D224">
        <v>711902.12679999997</v>
      </c>
      <c r="E224">
        <v>0</v>
      </c>
      <c r="F224">
        <v>1146856.064</v>
      </c>
      <c r="G224">
        <v>0</v>
      </c>
      <c r="H224">
        <v>225</v>
      </c>
      <c r="I224" t="str">
        <f t="shared" si="13"/>
        <v>YES</v>
      </c>
      <c r="J224" t="s">
        <v>233</v>
      </c>
      <c r="K224">
        <v>137200.346984</v>
      </c>
      <c r="L224" s="1">
        <f t="shared" si="14"/>
        <v>0</v>
      </c>
      <c r="M224" s="1">
        <f t="shared" si="15"/>
        <v>0</v>
      </c>
      <c r="N224" s="1">
        <f t="shared" si="16"/>
        <v>0</v>
      </c>
      <c r="O224" s="1"/>
    </row>
    <row r="225" spans="1:15" x14ac:dyDescent="0.25">
      <c r="A225">
        <v>226</v>
      </c>
      <c r="B225">
        <v>90553.539789999995</v>
      </c>
      <c r="C225">
        <v>0</v>
      </c>
      <c r="D225">
        <v>541348.47629999998</v>
      </c>
      <c r="E225">
        <v>0</v>
      </c>
      <c r="F225">
        <v>935771.42350000003</v>
      </c>
      <c r="G225">
        <v>0</v>
      </c>
      <c r="H225">
        <v>226</v>
      </c>
      <c r="I225" t="str">
        <f t="shared" si="13"/>
        <v>YES</v>
      </c>
      <c r="J225" t="s">
        <v>234</v>
      </c>
      <c r="K225">
        <v>160810.355128</v>
      </c>
      <c r="L225" s="1">
        <f t="shared" si="14"/>
        <v>0</v>
      </c>
      <c r="M225" s="1">
        <f t="shared" si="15"/>
        <v>0</v>
      </c>
      <c r="N225" s="1">
        <f t="shared" si="16"/>
        <v>0</v>
      </c>
      <c r="O225" s="1"/>
    </row>
    <row r="226" spans="1:15" x14ac:dyDescent="0.25">
      <c r="A226">
        <v>227</v>
      </c>
      <c r="B226">
        <v>208498.3518</v>
      </c>
      <c r="C226">
        <v>0</v>
      </c>
      <c r="D226">
        <v>642340.67420000001</v>
      </c>
      <c r="E226">
        <v>0</v>
      </c>
      <c r="F226">
        <v>1052352.6129999999</v>
      </c>
      <c r="G226">
        <v>0</v>
      </c>
      <c r="H226">
        <v>227</v>
      </c>
      <c r="I226" t="str">
        <f t="shared" si="13"/>
        <v>YES</v>
      </c>
      <c r="J226" t="s">
        <v>235</v>
      </c>
      <c r="K226">
        <v>399240.73665199999</v>
      </c>
      <c r="L226" s="1">
        <f t="shared" si="14"/>
        <v>0</v>
      </c>
      <c r="M226" s="1">
        <f t="shared" si="15"/>
        <v>0</v>
      </c>
      <c r="N226" s="1">
        <f t="shared" si="16"/>
        <v>0</v>
      </c>
      <c r="O226" s="1"/>
    </row>
    <row r="227" spans="1:15" x14ac:dyDescent="0.25">
      <c r="A227">
        <v>228</v>
      </c>
      <c r="B227">
        <v>218467.32519999999</v>
      </c>
      <c r="C227">
        <v>0</v>
      </c>
      <c r="D227">
        <v>658704.73389999999</v>
      </c>
      <c r="E227">
        <v>0</v>
      </c>
      <c r="F227">
        <v>1069946.9339999999</v>
      </c>
      <c r="G227">
        <v>746.68799999999999</v>
      </c>
      <c r="H227">
        <v>228</v>
      </c>
      <c r="I227" t="str">
        <f t="shared" si="13"/>
        <v>YES</v>
      </c>
      <c r="J227" t="s">
        <v>236</v>
      </c>
      <c r="K227">
        <v>490216.23717099999</v>
      </c>
      <c r="L227" s="1">
        <f t="shared" si="14"/>
        <v>0</v>
      </c>
      <c r="M227" s="1">
        <f t="shared" si="15"/>
        <v>0</v>
      </c>
      <c r="N227" s="1">
        <f t="shared" si="16"/>
        <v>1866796.7666737721</v>
      </c>
      <c r="O227" s="1"/>
    </row>
    <row r="228" spans="1:15" x14ac:dyDescent="0.25">
      <c r="A228">
        <v>229</v>
      </c>
      <c r="B228">
        <v>164668.56630000001</v>
      </c>
      <c r="C228">
        <v>0</v>
      </c>
      <c r="D228">
        <v>611497.58909999998</v>
      </c>
      <c r="E228">
        <v>0</v>
      </c>
      <c r="F228">
        <v>1032709.1139999999</v>
      </c>
      <c r="G228">
        <v>1103.865</v>
      </c>
      <c r="H228">
        <v>229</v>
      </c>
      <c r="I228" t="str">
        <f t="shared" si="13"/>
        <v>YES</v>
      </c>
      <c r="J228" t="s">
        <v>237</v>
      </c>
      <c r="K228">
        <v>315047.71427599998</v>
      </c>
      <c r="L228" s="1">
        <f t="shared" si="14"/>
        <v>0</v>
      </c>
      <c r="M228" s="1">
        <f t="shared" si="15"/>
        <v>0</v>
      </c>
      <c r="N228" s="1">
        <f t="shared" si="16"/>
        <v>1773627.7401083116</v>
      </c>
      <c r="O228" s="1"/>
    </row>
    <row r="229" spans="1:15" x14ac:dyDescent="0.25">
      <c r="A229">
        <v>230</v>
      </c>
      <c r="B229">
        <v>75715.346449999997</v>
      </c>
      <c r="C229">
        <v>0</v>
      </c>
      <c r="D229">
        <v>561528.50349999999</v>
      </c>
      <c r="E229">
        <v>0</v>
      </c>
      <c r="F229">
        <v>915157.17830000003</v>
      </c>
      <c r="G229">
        <v>746.68790000000001</v>
      </c>
      <c r="H229">
        <v>230</v>
      </c>
      <c r="I229" t="str">
        <f t="shared" si="13"/>
        <v>YES</v>
      </c>
      <c r="J229" t="s">
        <v>238</v>
      </c>
      <c r="K229">
        <v>264510.42208599998</v>
      </c>
      <c r="L229" s="1">
        <f t="shared" si="14"/>
        <v>0</v>
      </c>
      <c r="M229" s="1">
        <f t="shared" si="15"/>
        <v>0</v>
      </c>
      <c r="N229" s="1">
        <f t="shared" si="16"/>
        <v>1007284.3311370956</v>
      </c>
      <c r="O229" s="1"/>
    </row>
    <row r="230" spans="1:15" x14ac:dyDescent="0.25">
      <c r="A230">
        <v>231</v>
      </c>
      <c r="B230">
        <v>161914.2738</v>
      </c>
      <c r="C230">
        <v>0</v>
      </c>
      <c r="D230">
        <v>699212.45039999997</v>
      </c>
      <c r="E230">
        <v>0</v>
      </c>
      <c r="F230">
        <v>1036218.785</v>
      </c>
      <c r="G230">
        <v>232.32400000000001</v>
      </c>
      <c r="H230">
        <v>231</v>
      </c>
      <c r="I230" t="str">
        <f t="shared" si="13"/>
        <v>YES</v>
      </c>
      <c r="J230" t="s">
        <v>239</v>
      </c>
      <c r="K230">
        <v>173239.01969099999</v>
      </c>
      <c r="L230" s="1">
        <f t="shared" si="14"/>
        <v>0</v>
      </c>
      <c r="M230" s="1">
        <f t="shared" si="15"/>
        <v>0</v>
      </c>
      <c r="N230" s="1">
        <f t="shared" si="16"/>
        <v>205262.66825452863</v>
      </c>
      <c r="O230" s="1"/>
    </row>
    <row r="231" spans="1:15" x14ac:dyDescent="0.25">
      <c r="A231">
        <v>232</v>
      </c>
      <c r="B231">
        <v>237218.9607</v>
      </c>
      <c r="C231">
        <v>0</v>
      </c>
      <c r="D231">
        <v>714453.29779999994</v>
      </c>
      <c r="E231">
        <v>0</v>
      </c>
      <c r="F231">
        <v>1051640.0249999999</v>
      </c>
      <c r="G231">
        <v>493.91699999999997</v>
      </c>
      <c r="H231">
        <v>232</v>
      </c>
      <c r="I231" t="str">
        <f t="shared" si="13"/>
        <v>YES</v>
      </c>
      <c r="J231" t="s">
        <v>240</v>
      </c>
      <c r="K231">
        <v>232952.14946399999</v>
      </c>
      <c r="L231" s="1">
        <f t="shared" si="14"/>
        <v>0</v>
      </c>
      <c r="M231" s="1">
        <f t="shared" si="15"/>
        <v>0</v>
      </c>
      <c r="N231" s="1">
        <f t="shared" si="16"/>
        <v>586801.03671473346</v>
      </c>
      <c r="O231" s="1"/>
    </row>
    <row r="232" spans="1:15" x14ac:dyDescent="0.25">
      <c r="A232">
        <v>233</v>
      </c>
      <c r="B232">
        <v>210765.98149999999</v>
      </c>
      <c r="C232">
        <v>0</v>
      </c>
      <c r="D232">
        <v>712997.05429999996</v>
      </c>
      <c r="E232">
        <v>0</v>
      </c>
      <c r="F232">
        <v>1090560.193</v>
      </c>
      <c r="G232">
        <v>935.10400000000004</v>
      </c>
      <c r="H232">
        <v>233</v>
      </c>
      <c r="I232" t="str">
        <f t="shared" si="13"/>
        <v>YES</v>
      </c>
      <c r="J232" t="s">
        <v>241</v>
      </c>
      <c r="K232">
        <v>261480.14518799999</v>
      </c>
      <c r="L232" s="1">
        <f t="shared" si="14"/>
        <v>0</v>
      </c>
      <c r="M232" s="1">
        <f t="shared" si="15"/>
        <v>0</v>
      </c>
      <c r="N232" s="1">
        <f t="shared" si="16"/>
        <v>1247006.7613979857</v>
      </c>
      <c r="O232" s="1"/>
    </row>
    <row r="233" spans="1:15" x14ac:dyDescent="0.25">
      <c r="A233">
        <v>236</v>
      </c>
      <c r="B233">
        <v>140646.4762</v>
      </c>
      <c r="C233">
        <v>0</v>
      </c>
      <c r="D233">
        <v>686204.73910000001</v>
      </c>
      <c r="E233">
        <v>0</v>
      </c>
      <c r="F233">
        <v>1027487.201</v>
      </c>
      <c r="G233">
        <v>1748.7370000000001</v>
      </c>
      <c r="H233">
        <v>236</v>
      </c>
      <c r="I233" t="str">
        <f t="shared" si="13"/>
        <v>YES</v>
      </c>
      <c r="J233" t="s">
        <v>242</v>
      </c>
      <c r="K233">
        <v>676764.973245</v>
      </c>
      <c r="L233" s="1">
        <f t="shared" si="14"/>
        <v>0</v>
      </c>
      <c r="M233" s="1">
        <f t="shared" si="15"/>
        <v>0</v>
      </c>
      <c r="N233" s="1">
        <f t="shared" si="16"/>
        <v>6035768.1399894627</v>
      </c>
      <c r="O233" s="1"/>
    </row>
    <row r="234" spans="1:15" x14ac:dyDescent="0.25">
      <c r="A234">
        <v>237</v>
      </c>
      <c r="B234">
        <v>86075.258010000005</v>
      </c>
      <c r="C234">
        <v>0</v>
      </c>
      <c r="D234">
        <v>585019.67729999998</v>
      </c>
      <c r="E234">
        <v>0</v>
      </c>
      <c r="F234">
        <v>972521.37930000003</v>
      </c>
      <c r="G234">
        <v>746.68780000000004</v>
      </c>
      <c r="H234">
        <v>237</v>
      </c>
      <c r="I234" t="str">
        <f t="shared" si="13"/>
        <v>YES</v>
      </c>
      <c r="J234" t="s">
        <v>243</v>
      </c>
      <c r="K234">
        <v>218120.30025599999</v>
      </c>
      <c r="L234" s="1">
        <f t="shared" si="14"/>
        <v>0</v>
      </c>
      <c r="M234" s="1">
        <f t="shared" si="15"/>
        <v>0</v>
      </c>
      <c r="N234" s="1">
        <f t="shared" si="16"/>
        <v>830625.61238080962</v>
      </c>
      <c r="O234" s="1"/>
    </row>
    <row r="235" spans="1:15" x14ac:dyDescent="0.25">
      <c r="A235">
        <v>238</v>
      </c>
      <c r="B235">
        <v>95617.404110000003</v>
      </c>
      <c r="C235">
        <v>0</v>
      </c>
      <c r="D235">
        <v>627293.06980000006</v>
      </c>
      <c r="E235">
        <v>0</v>
      </c>
      <c r="F235">
        <v>990812.9277</v>
      </c>
      <c r="G235">
        <v>1103.8649</v>
      </c>
      <c r="H235">
        <v>238</v>
      </c>
      <c r="I235" t="str">
        <f t="shared" si="13"/>
        <v>YES</v>
      </c>
      <c r="J235" t="s">
        <v>244</v>
      </c>
      <c r="K235">
        <v>121114.571343</v>
      </c>
      <c r="L235" s="1">
        <f t="shared" si="14"/>
        <v>0</v>
      </c>
      <c r="M235" s="1">
        <f t="shared" si="15"/>
        <v>0</v>
      </c>
      <c r="N235" s="1">
        <f t="shared" si="16"/>
        <v>681840.03333882627</v>
      </c>
      <c r="O235" s="1"/>
    </row>
    <row r="236" spans="1:15" x14ac:dyDescent="0.25">
      <c r="A236">
        <v>239</v>
      </c>
      <c r="B236">
        <v>334482.40590000001</v>
      </c>
      <c r="C236">
        <v>0</v>
      </c>
      <c r="D236">
        <v>844420.6</v>
      </c>
      <c r="E236">
        <v>0</v>
      </c>
      <c r="F236">
        <v>1282980.9709999999</v>
      </c>
      <c r="G236">
        <v>2219.346</v>
      </c>
      <c r="H236">
        <v>239</v>
      </c>
      <c r="I236" t="str">
        <f t="shared" si="13"/>
        <v>YES</v>
      </c>
      <c r="J236" t="s">
        <v>245</v>
      </c>
      <c r="K236">
        <v>164191.11499199999</v>
      </c>
      <c r="L236" s="1">
        <f t="shared" si="14"/>
        <v>0</v>
      </c>
      <c r="M236" s="1">
        <f t="shared" si="15"/>
        <v>0</v>
      </c>
      <c r="N236" s="1">
        <f t="shared" si="16"/>
        <v>1858424.1608944796</v>
      </c>
      <c r="O236" s="1"/>
    </row>
    <row r="237" spans="1:15" x14ac:dyDescent="0.25">
      <c r="A237">
        <v>240</v>
      </c>
      <c r="B237">
        <v>549104.14610000001</v>
      </c>
      <c r="C237">
        <v>0</v>
      </c>
      <c r="D237">
        <v>1031867.723</v>
      </c>
      <c r="E237">
        <v>746.68799999999999</v>
      </c>
      <c r="F237">
        <v>1438010.067</v>
      </c>
      <c r="G237">
        <v>2926.5569999999998</v>
      </c>
      <c r="H237">
        <v>240</v>
      </c>
      <c r="I237" t="str">
        <f t="shared" si="13"/>
        <v>YES</v>
      </c>
      <c r="J237" t="s">
        <v>246</v>
      </c>
      <c r="K237">
        <v>101330.165139</v>
      </c>
      <c r="L237" s="1">
        <f t="shared" si="14"/>
        <v>0</v>
      </c>
      <c r="M237" s="1">
        <f t="shared" si="15"/>
        <v>824715.99998567498</v>
      </c>
      <c r="N237" s="1">
        <f t="shared" si="16"/>
        <v>1512397.3709033518</v>
      </c>
      <c r="O237" s="1"/>
    </row>
    <row r="238" spans="1:15" x14ac:dyDescent="0.25">
      <c r="A238">
        <v>241</v>
      </c>
      <c r="B238">
        <v>99051.173569999999</v>
      </c>
      <c r="C238">
        <v>0</v>
      </c>
      <c r="D238">
        <v>656601.37910000002</v>
      </c>
      <c r="E238">
        <v>0</v>
      </c>
      <c r="F238">
        <v>1112541.929</v>
      </c>
      <c r="G238">
        <v>2714.8009999999999</v>
      </c>
      <c r="H238">
        <v>241</v>
      </c>
      <c r="I238" t="str">
        <f t="shared" si="13"/>
        <v>YES</v>
      </c>
      <c r="J238" t="s">
        <v>247</v>
      </c>
      <c r="K238">
        <v>154119.91726300001</v>
      </c>
      <c r="L238" s="1">
        <f t="shared" si="14"/>
        <v>0</v>
      </c>
      <c r="M238" s="1">
        <f t="shared" si="15"/>
        <v>0</v>
      </c>
      <c r="N238" s="1">
        <f t="shared" si="16"/>
        <v>2133865.0180780995</v>
      </c>
      <c r="O238" s="1"/>
    </row>
    <row r="239" spans="1:15" x14ac:dyDescent="0.25">
      <c r="A239">
        <v>242</v>
      </c>
      <c r="B239">
        <v>192899.9613</v>
      </c>
      <c r="C239">
        <v>0</v>
      </c>
      <c r="D239">
        <v>754482.21010000003</v>
      </c>
      <c r="E239">
        <v>0</v>
      </c>
      <c r="F239">
        <v>1168448.0589999999</v>
      </c>
      <c r="G239">
        <v>644.87300000000005</v>
      </c>
      <c r="H239">
        <v>242</v>
      </c>
      <c r="I239" t="str">
        <f t="shared" si="13"/>
        <v>YES</v>
      </c>
      <c r="J239" t="s">
        <v>248</v>
      </c>
      <c r="K239">
        <v>182355.61012900001</v>
      </c>
      <c r="L239" s="1">
        <f t="shared" si="14"/>
        <v>0</v>
      </c>
      <c r="M239" s="1">
        <f t="shared" si="15"/>
        <v>0</v>
      </c>
      <c r="N239" s="1">
        <f t="shared" si="16"/>
        <v>599740.66779066506</v>
      </c>
      <c r="O239" s="1"/>
    </row>
    <row r="240" spans="1:15" x14ac:dyDescent="0.25">
      <c r="A240">
        <v>243</v>
      </c>
      <c r="B240">
        <v>213602.50959999999</v>
      </c>
      <c r="C240">
        <v>0</v>
      </c>
      <c r="D240">
        <v>768350.11179999996</v>
      </c>
      <c r="E240">
        <v>0</v>
      </c>
      <c r="F240">
        <v>1214351.2549999999</v>
      </c>
      <c r="G240">
        <v>232.32499999999999</v>
      </c>
      <c r="H240">
        <v>243</v>
      </c>
      <c r="I240" t="str">
        <f t="shared" si="13"/>
        <v>YES</v>
      </c>
      <c r="J240" t="s">
        <v>249</v>
      </c>
      <c r="K240">
        <v>106463.636128</v>
      </c>
      <c r="L240" s="1">
        <f t="shared" si="14"/>
        <v>0</v>
      </c>
      <c r="M240" s="1">
        <f t="shared" si="15"/>
        <v>0</v>
      </c>
      <c r="N240" s="1">
        <f t="shared" si="16"/>
        <v>126144.23774353176</v>
      </c>
      <c r="O240" s="1"/>
    </row>
    <row r="241" spans="1:15" x14ac:dyDescent="0.25">
      <c r="A241">
        <v>244</v>
      </c>
      <c r="B241">
        <v>545795.65090000001</v>
      </c>
      <c r="C241">
        <v>0</v>
      </c>
      <c r="D241">
        <v>1026367.024</v>
      </c>
      <c r="E241">
        <v>746.68799999999999</v>
      </c>
      <c r="F241">
        <v>1435883.8049999999</v>
      </c>
      <c r="G241">
        <v>2743.2730000000001</v>
      </c>
      <c r="H241">
        <v>244</v>
      </c>
      <c r="I241" t="str">
        <f t="shared" si="13"/>
        <v>YES</v>
      </c>
      <c r="J241" t="s">
        <v>250</v>
      </c>
      <c r="K241">
        <v>47056.823153899997</v>
      </c>
      <c r="L241" s="1">
        <f t="shared" si="14"/>
        <v>0</v>
      </c>
      <c r="M241" s="1">
        <f t="shared" si="15"/>
        <v>382990.74032181816</v>
      </c>
      <c r="N241" s="1">
        <f t="shared" si="16"/>
        <v>658357.53336173052</v>
      </c>
      <c r="O241" s="1"/>
    </row>
    <row r="242" spans="1:15" x14ac:dyDescent="0.25">
      <c r="A242">
        <v>245</v>
      </c>
      <c r="B242">
        <v>307154.05619999999</v>
      </c>
      <c r="C242">
        <v>0</v>
      </c>
      <c r="D242">
        <v>814966.17870000005</v>
      </c>
      <c r="E242">
        <v>0</v>
      </c>
      <c r="F242">
        <v>1247363.5049999999</v>
      </c>
      <c r="G242">
        <v>493.91699999999997</v>
      </c>
      <c r="H242">
        <v>245</v>
      </c>
      <c r="I242" t="str">
        <f t="shared" si="13"/>
        <v>YES</v>
      </c>
      <c r="J242" t="s">
        <v>251</v>
      </c>
      <c r="K242">
        <v>303163.57981800003</v>
      </c>
      <c r="L242" s="1">
        <f t="shared" si="14"/>
        <v>0</v>
      </c>
      <c r="M242" s="1">
        <f t="shared" si="15"/>
        <v>0</v>
      </c>
      <c r="N242" s="1">
        <f t="shared" si="16"/>
        <v>763661.99385013233</v>
      </c>
      <c r="O242" s="1"/>
    </row>
    <row r="243" spans="1:15" x14ac:dyDescent="0.25">
      <c r="A243">
        <v>246</v>
      </c>
      <c r="B243">
        <v>258574.82550000001</v>
      </c>
      <c r="C243">
        <v>0</v>
      </c>
      <c r="D243">
        <v>816831.12269999995</v>
      </c>
      <c r="E243">
        <v>0</v>
      </c>
      <c r="F243">
        <v>1226550.5</v>
      </c>
      <c r="G243">
        <v>2033.433</v>
      </c>
      <c r="H243">
        <v>246</v>
      </c>
      <c r="I243" t="str">
        <f t="shared" si="13"/>
        <v>YES</v>
      </c>
      <c r="J243" t="s">
        <v>252</v>
      </c>
      <c r="K243">
        <v>150254.72179899999</v>
      </c>
      <c r="L243" s="1">
        <f t="shared" si="14"/>
        <v>0</v>
      </c>
      <c r="M243" s="1">
        <f t="shared" si="15"/>
        <v>0</v>
      </c>
      <c r="N243" s="1">
        <f t="shared" si="16"/>
        <v>1558217.8395307206</v>
      </c>
      <c r="O243" s="1"/>
    </row>
    <row r="244" spans="1:15" x14ac:dyDescent="0.25">
      <c r="A244">
        <v>247</v>
      </c>
      <c r="B244">
        <v>321713.114</v>
      </c>
      <c r="C244">
        <v>0</v>
      </c>
      <c r="D244">
        <v>821737.25390000001</v>
      </c>
      <c r="E244">
        <v>0</v>
      </c>
      <c r="F244">
        <v>1264659.6440000001</v>
      </c>
      <c r="G244">
        <v>2033.432</v>
      </c>
      <c r="H244">
        <v>247</v>
      </c>
      <c r="I244" t="str">
        <f t="shared" si="13"/>
        <v>YES</v>
      </c>
      <c r="J244" t="s">
        <v>253</v>
      </c>
      <c r="K244">
        <v>126811.313474</v>
      </c>
      <c r="L244" s="1">
        <f t="shared" si="14"/>
        <v>0</v>
      </c>
      <c r="M244" s="1">
        <f t="shared" si="15"/>
        <v>0</v>
      </c>
      <c r="N244" s="1">
        <f t="shared" si="16"/>
        <v>1315097.1321783201</v>
      </c>
      <c r="O244" s="1"/>
    </row>
    <row r="245" spans="1:15" x14ac:dyDescent="0.25">
      <c r="A245">
        <v>248</v>
      </c>
      <c r="B245">
        <v>360390.43219999998</v>
      </c>
      <c r="C245">
        <v>0</v>
      </c>
      <c r="D245">
        <v>846876.51749999996</v>
      </c>
      <c r="E245">
        <v>0</v>
      </c>
      <c r="F245">
        <v>1289923.8529999999</v>
      </c>
      <c r="G245">
        <v>2033.432</v>
      </c>
      <c r="H245">
        <v>248</v>
      </c>
      <c r="I245" t="str">
        <f t="shared" si="13"/>
        <v>YES</v>
      </c>
      <c r="J245" t="s">
        <v>254</v>
      </c>
      <c r="K245">
        <v>164566.96104600001</v>
      </c>
      <c r="L245" s="1">
        <f t="shared" si="14"/>
        <v>0</v>
      </c>
      <c r="M245" s="1">
        <f t="shared" si="15"/>
        <v>0</v>
      </c>
      <c r="N245" s="1">
        <f t="shared" si="16"/>
        <v>1706642.1961418185</v>
      </c>
      <c r="O245" s="1"/>
    </row>
    <row r="246" spans="1:15" x14ac:dyDescent="0.25">
      <c r="A246">
        <v>249</v>
      </c>
      <c r="B246">
        <v>364607.7169</v>
      </c>
      <c r="C246">
        <v>0</v>
      </c>
      <c r="D246">
        <v>863023.20479999995</v>
      </c>
      <c r="E246">
        <v>0</v>
      </c>
      <c r="F246">
        <v>1295520.952</v>
      </c>
      <c r="G246">
        <v>2435.335</v>
      </c>
      <c r="H246">
        <v>249</v>
      </c>
      <c r="I246" t="str">
        <f t="shared" si="13"/>
        <v>YES</v>
      </c>
      <c r="J246" t="s">
        <v>255</v>
      </c>
      <c r="K246">
        <v>196527.579509</v>
      </c>
      <c r="L246" s="1">
        <f t="shared" si="14"/>
        <v>0</v>
      </c>
      <c r="M246" s="1">
        <f t="shared" si="15"/>
        <v>0</v>
      </c>
      <c r="N246" s="1">
        <f t="shared" si="16"/>
        <v>2440913.5135021079</v>
      </c>
      <c r="O246" s="1"/>
    </row>
    <row r="247" spans="1:15" x14ac:dyDescent="0.25">
      <c r="A247">
        <v>250</v>
      </c>
      <c r="B247">
        <v>126703.47380000001</v>
      </c>
      <c r="C247">
        <v>0</v>
      </c>
      <c r="D247">
        <v>741702.57449999999</v>
      </c>
      <c r="E247">
        <v>0</v>
      </c>
      <c r="F247">
        <v>1176518.0619999999</v>
      </c>
      <c r="G247">
        <v>232.32400000000001</v>
      </c>
      <c r="H247">
        <v>250</v>
      </c>
      <c r="I247" t="str">
        <f t="shared" si="13"/>
        <v>YES</v>
      </c>
      <c r="J247" t="s">
        <v>256</v>
      </c>
      <c r="K247">
        <v>112151.927454</v>
      </c>
      <c r="L247" s="1">
        <f t="shared" si="14"/>
        <v>0</v>
      </c>
      <c r="M247" s="1">
        <f t="shared" si="15"/>
        <v>0</v>
      </c>
      <c r="N247" s="1">
        <f t="shared" si="16"/>
        <v>132883.48040849779</v>
      </c>
      <c r="O247" s="1"/>
    </row>
    <row r="248" spans="1:15" x14ac:dyDescent="0.25">
      <c r="A248">
        <v>251</v>
      </c>
      <c r="B248">
        <v>73531.840920000002</v>
      </c>
      <c r="C248">
        <v>0</v>
      </c>
      <c r="D248">
        <v>720384.80379999999</v>
      </c>
      <c r="E248">
        <v>0</v>
      </c>
      <c r="F248">
        <v>1139335.8459999999</v>
      </c>
      <c r="G248">
        <v>232.32400000000001</v>
      </c>
      <c r="H248">
        <v>251</v>
      </c>
      <c r="I248" t="str">
        <f t="shared" si="13"/>
        <v>YES</v>
      </c>
      <c r="J248" t="s">
        <v>257</v>
      </c>
      <c r="K248">
        <v>327894.75998500001</v>
      </c>
      <c r="L248" s="1">
        <f t="shared" si="14"/>
        <v>0</v>
      </c>
      <c r="M248" s="1">
        <f t="shared" si="15"/>
        <v>0</v>
      </c>
      <c r="N248" s="1">
        <f t="shared" si="16"/>
        <v>388506.89331565128</v>
      </c>
      <c r="O248" s="1"/>
    </row>
    <row r="249" spans="1:15" x14ac:dyDescent="0.25">
      <c r="A249">
        <v>252</v>
      </c>
      <c r="B249">
        <v>110316.3572</v>
      </c>
      <c r="C249">
        <v>0</v>
      </c>
      <c r="D249">
        <v>626661.26399999997</v>
      </c>
      <c r="E249">
        <v>0</v>
      </c>
      <c r="F249">
        <v>976513.24979999999</v>
      </c>
      <c r="G249">
        <v>7539.5249000000003</v>
      </c>
      <c r="H249">
        <v>252</v>
      </c>
      <c r="I249" t="str">
        <f t="shared" si="13"/>
        <v>YES</v>
      </c>
      <c r="J249" t="s">
        <v>258</v>
      </c>
      <c r="K249">
        <v>122246.057323</v>
      </c>
      <c r="L249" s="1">
        <f t="shared" si="14"/>
        <v>0</v>
      </c>
      <c r="M249" s="1">
        <f t="shared" si="15"/>
        <v>0</v>
      </c>
      <c r="N249" s="1">
        <f t="shared" si="16"/>
        <v>4700553.684879289</v>
      </c>
      <c r="O249" s="1"/>
    </row>
    <row r="250" spans="1:15" x14ac:dyDescent="0.25">
      <c r="A250">
        <v>253</v>
      </c>
      <c r="B250">
        <v>57746.273459999997</v>
      </c>
      <c r="C250">
        <v>0</v>
      </c>
      <c r="D250">
        <v>678978.64760000003</v>
      </c>
      <c r="E250">
        <v>0</v>
      </c>
      <c r="F250">
        <v>1098176.0260000001</v>
      </c>
      <c r="G250">
        <v>0</v>
      </c>
      <c r="H250">
        <v>253</v>
      </c>
      <c r="I250" t="str">
        <f t="shared" si="13"/>
        <v>YES</v>
      </c>
      <c r="J250" t="s">
        <v>259</v>
      </c>
      <c r="K250">
        <v>81151.131588400007</v>
      </c>
      <c r="L250" s="1">
        <f t="shared" si="14"/>
        <v>0</v>
      </c>
      <c r="M250" s="1">
        <f t="shared" si="15"/>
        <v>0</v>
      </c>
      <c r="N250" s="1">
        <f t="shared" si="16"/>
        <v>0</v>
      </c>
      <c r="O250" s="1"/>
    </row>
    <row r="251" spans="1:15" x14ac:dyDescent="0.25">
      <c r="A251">
        <v>254</v>
      </c>
      <c r="B251">
        <v>452590.24739999999</v>
      </c>
      <c r="C251">
        <v>0</v>
      </c>
      <c r="D251">
        <v>900877.53769999999</v>
      </c>
      <c r="E251">
        <v>5856.1823999999997</v>
      </c>
      <c r="F251">
        <v>1333610.226</v>
      </c>
      <c r="G251">
        <v>3619.5790000000002</v>
      </c>
      <c r="H251">
        <v>254</v>
      </c>
      <c r="I251" t="str">
        <f t="shared" si="13"/>
        <v>YES</v>
      </c>
      <c r="J251" t="s">
        <v>260</v>
      </c>
      <c r="K251">
        <v>83338.538764900004</v>
      </c>
      <c r="L251" s="1">
        <f t="shared" si="14"/>
        <v>0</v>
      </c>
      <c r="M251" s="1">
        <f t="shared" si="15"/>
        <v>5319697.9551283037</v>
      </c>
      <c r="N251" s="1">
        <f t="shared" si="16"/>
        <v>1538417.1665010022</v>
      </c>
      <c r="O251" s="1"/>
    </row>
    <row r="252" spans="1:15" x14ac:dyDescent="0.25">
      <c r="A252">
        <v>255</v>
      </c>
      <c r="B252">
        <v>322396.67940000002</v>
      </c>
      <c r="C252">
        <v>0</v>
      </c>
      <c r="D252">
        <v>840665.87679999997</v>
      </c>
      <c r="E252">
        <v>0</v>
      </c>
      <c r="F252">
        <v>1283212.915</v>
      </c>
      <c r="G252">
        <v>2033.433</v>
      </c>
      <c r="H252">
        <v>255</v>
      </c>
      <c r="I252" t="str">
        <f t="shared" si="13"/>
        <v>YES</v>
      </c>
      <c r="J252" t="s">
        <v>261</v>
      </c>
      <c r="K252">
        <v>98362.935576400007</v>
      </c>
      <c r="L252" s="1">
        <f t="shared" si="14"/>
        <v>0</v>
      </c>
      <c r="M252" s="1">
        <f t="shared" si="15"/>
        <v>0</v>
      </c>
      <c r="N252" s="1">
        <f t="shared" si="16"/>
        <v>1020073.6398074216</v>
      </c>
      <c r="O252" s="1"/>
    </row>
    <row r="253" spans="1:15" x14ac:dyDescent="0.25">
      <c r="A253">
        <v>256</v>
      </c>
      <c r="B253">
        <v>191964.511</v>
      </c>
      <c r="C253">
        <v>0</v>
      </c>
      <c r="D253">
        <v>793542.77969999996</v>
      </c>
      <c r="E253">
        <v>0</v>
      </c>
      <c r="F253">
        <v>1223839.54</v>
      </c>
      <c r="G253">
        <v>0</v>
      </c>
      <c r="H253">
        <v>256</v>
      </c>
      <c r="I253" t="str">
        <f t="shared" si="13"/>
        <v>YES</v>
      </c>
      <c r="J253" t="s">
        <v>262</v>
      </c>
      <c r="K253">
        <v>214555.239393</v>
      </c>
      <c r="L253" s="1">
        <f t="shared" si="14"/>
        <v>0</v>
      </c>
      <c r="M253" s="1">
        <f t="shared" si="15"/>
        <v>0</v>
      </c>
      <c r="N253" s="1">
        <f t="shared" si="16"/>
        <v>0</v>
      </c>
      <c r="O253" s="1"/>
    </row>
    <row r="254" spans="1:15" x14ac:dyDescent="0.25">
      <c r="A254">
        <v>257</v>
      </c>
      <c r="B254">
        <v>93446.281390000004</v>
      </c>
      <c r="C254">
        <v>0</v>
      </c>
      <c r="D254">
        <v>745329.03969999996</v>
      </c>
      <c r="E254">
        <v>0</v>
      </c>
      <c r="F254">
        <v>1161602.848</v>
      </c>
      <c r="G254">
        <v>1098.329</v>
      </c>
      <c r="H254">
        <v>257</v>
      </c>
      <c r="I254" t="str">
        <f t="shared" si="13"/>
        <v>YES</v>
      </c>
      <c r="J254" t="s">
        <v>263</v>
      </c>
      <c r="K254">
        <v>153909.551461</v>
      </c>
      <c r="L254" s="1">
        <f t="shared" si="14"/>
        <v>0</v>
      </c>
      <c r="M254" s="1">
        <f t="shared" si="15"/>
        <v>0</v>
      </c>
      <c r="N254" s="1">
        <f t="shared" si="16"/>
        <v>862120.9511077042</v>
      </c>
      <c r="O254" s="1"/>
    </row>
    <row r="255" spans="1:15" x14ac:dyDescent="0.25">
      <c r="A255">
        <v>258</v>
      </c>
      <c r="B255">
        <v>204693.90100000001</v>
      </c>
      <c r="C255">
        <v>0</v>
      </c>
      <c r="D255">
        <v>806926.60959999997</v>
      </c>
      <c r="E255">
        <v>0</v>
      </c>
      <c r="F255">
        <v>1234967.7509999999</v>
      </c>
      <c r="G255">
        <v>0</v>
      </c>
      <c r="H255">
        <v>258</v>
      </c>
      <c r="I255" t="str">
        <f t="shared" si="13"/>
        <v>YES</v>
      </c>
      <c r="J255" t="s">
        <v>264</v>
      </c>
      <c r="K255">
        <v>333521.51918900001</v>
      </c>
      <c r="L255" s="1">
        <f t="shared" si="14"/>
        <v>0</v>
      </c>
      <c r="M255" s="1">
        <f t="shared" si="15"/>
        <v>0</v>
      </c>
      <c r="N255" s="1">
        <f t="shared" si="16"/>
        <v>0</v>
      </c>
      <c r="O255" s="1"/>
    </row>
    <row r="256" spans="1:15" x14ac:dyDescent="0.25">
      <c r="A256">
        <v>259</v>
      </c>
      <c r="B256">
        <v>90204.001199999999</v>
      </c>
      <c r="C256">
        <v>0</v>
      </c>
      <c r="D256">
        <v>751085.20649999997</v>
      </c>
      <c r="E256">
        <v>0</v>
      </c>
      <c r="F256">
        <v>1171257.8030000001</v>
      </c>
      <c r="G256">
        <v>232.32400000000001</v>
      </c>
      <c r="H256">
        <v>259</v>
      </c>
      <c r="I256" t="str">
        <f t="shared" si="13"/>
        <v>YES</v>
      </c>
      <c r="J256" t="s">
        <v>265</v>
      </c>
      <c r="K256">
        <v>142567.73358100001</v>
      </c>
      <c r="L256" s="1">
        <f t="shared" si="14"/>
        <v>0</v>
      </c>
      <c r="M256" s="1">
        <f t="shared" si="15"/>
        <v>0</v>
      </c>
      <c r="N256" s="1">
        <f t="shared" si="16"/>
        <v>168921.72129600847</v>
      </c>
      <c r="O256" s="1"/>
    </row>
    <row r="257" spans="1:15" x14ac:dyDescent="0.25">
      <c r="A257">
        <v>260</v>
      </c>
      <c r="B257">
        <v>79086.844429999997</v>
      </c>
      <c r="C257">
        <v>0</v>
      </c>
      <c r="D257">
        <v>719881.79799999995</v>
      </c>
      <c r="E257">
        <v>0</v>
      </c>
      <c r="F257">
        <v>1139219.7320000001</v>
      </c>
      <c r="G257">
        <v>0</v>
      </c>
      <c r="H257">
        <v>260</v>
      </c>
      <c r="I257" t="str">
        <f t="shared" si="13"/>
        <v>YES</v>
      </c>
      <c r="J257" t="s">
        <v>266</v>
      </c>
      <c r="K257">
        <v>192649.89945200001</v>
      </c>
      <c r="L257" s="1">
        <f t="shared" si="14"/>
        <v>0</v>
      </c>
      <c r="M257" s="1">
        <f t="shared" si="15"/>
        <v>0</v>
      </c>
      <c r="N257" s="1">
        <f t="shared" si="16"/>
        <v>0</v>
      </c>
      <c r="O257" s="1"/>
    </row>
    <row r="258" spans="1:15" x14ac:dyDescent="0.25">
      <c r="A258">
        <v>261</v>
      </c>
      <c r="B258">
        <v>61089.344449999997</v>
      </c>
      <c r="C258">
        <v>0</v>
      </c>
      <c r="D258">
        <v>658031.55169999995</v>
      </c>
      <c r="E258">
        <v>0</v>
      </c>
      <c r="F258">
        <v>1058755.425</v>
      </c>
      <c r="G258">
        <v>0</v>
      </c>
      <c r="H258">
        <v>261</v>
      </c>
      <c r="I258" t="str">
        <f t="shared" ref="I258:I321" si="17">IF(A258=H258,"YES","NO")</f>
        <v>YES</v>
      </c>
      <c r="J258" t="s">
        <v>267</v>
      </c>
      <c r="K258">
        <v>232287.64271700001</v>
      </c>
      <c r="L258" s="1">
        <f t="shared" si="14"/>
        <v>0</v>
      </c>
      <c r="M258" s="1">
        <f t="shared" si="15"/>
        <v>0</v>
      </c>
      <c r="N258" s="1">
        <f t="shared" si="16"/>
        <v>0</v>
      </c>
      <c r="O258" s="1"/>
    </row>
    <row r="259" spans="1:15" x14ac:dyDescent="0.25">
      <c r="A259">
        <v>262</v>
      </c>
      <c r="B259">
        <v>94947.286030000003</v>
      </c>
      <c r="C259">
        <v>0</v>
      </c>
      <c r="D259">
        <v>720876.80610000005</v>
      </c>
      <c r="E259">
        <v>0</v>
      </c>
      <c r="F259">
        <v>1092001.7069999999</v>
      </c>
      <c r="G259">
        <v>0</v>
      </c>
      <c r="H259">
        <v>262</v>
      </c>
      <c r="I259" t="str">
        <f t="shared" si="17"/>
        <v>YES</v>
      </c>
      <c r="J259" t="s">
        <v>268</v>
      </c>
      <c r="K259">
        <v>306073.32696400001</v>
      </c>
      <c r="L259" s="1">
        <f t="shared" ref="L259:L322" si="18">$U$2*$K259*C259</f>
        <v>0</v>
      </c>
      <c r="M259" s="1">
        <f t="shared" ref="M259:M322" si="19">$U$3*$K259*E259</f>
        <v>0</v>
      </c>
      <c r="N259" s="1">
        <f t="shared" ref="N259:N322" si="20">$U$4*$K259*G259</f>
        <v>0</v>
      </c>
      <c r="O259" s="1"/>
    </row>
    <row r="260" spans="1:15" x14ac:dyDescent="0.25">
      <c r="A260">
        <v>263</v>
      </c>
      <c r="B260">
        <v>54043.056790000002</v>
      </c>
      <c r="C260">
        <v>0</v>
      </c>
      <c r="D260">
        <v>631301.70889999997</v>
      </c>
      <c r="E260">
        <v>0</v>
      </c>
      <c r="F260">
        <v>1005716.439</v>
      </c>
      <c r="G260">
        <v>960.13099999999997</v>
      </c>
      <c r="H260">
        <v>263</v>
      </c>
      <c r="I260" t="str">
        <f t="shared" si="17"/>
        <v>YES</v>
      </c>
      <c r="J260" t="s">
        <v>269</v>
      </c>
      <c r="K260">
        <v>274743.58152800001</v>
      </c>
      <c r="L260" s="1">
        <f t="shared" si="18"/>
        <v>0</v>
      </c>
      <c r="M260" s="1">
        <f t="shared" si="19"/>
        <v>0</v>
      </c>
      <c r="N260" s="1">
        <f t="shared" si="20"/>
        <v>1345328.1313479068</v>
      </c>
      <c r="O260" s="1"/>
    </row>
    <row r="261" spans="1:15" x14ac:dyDescent="0.25">
      <c r="A261">
        <v>264</v>
      </c>
      <c r="B261">
        <v>337505.43310000002</v>
      </c>
      <c r="C261">
        <v>0</v>
      </c>
      <c r="D261">
        <v>825189.86199999996</v>
      </c>
      <c r="E261">
        <v>746.68780000000004</v>
      </c>
      <c r="F261">
        <v>1245265.625</v>
      </c>
      <c r="G261">
        <v>0</v>
      </c>
      <c r="H261">
        <v>264</v>
      </c>
      <c r="I261" t="str">
        <f t="shared" si="17"/>
        <v>YES</v>
      </c>
      <c r="J261" t="s">
        <v>270</v>
      </c>
      <c r="K261">
        <v>223836.18910300001</v>
      </c>
      <c r="L261" s="1">
        <f t="shared" si="18"/>
        <v>0</v>
      </c>
      <c r="M261" s="1">
        <f t="shared" si="19"/>
        <v>1821779.6924585635</v>
      </c>
      <c r="N261" s="1">
        <f t="shared" si="20"/>
        <v>0</v>
      </c>
      <c r="O261" s="1"/>
    </row>
    <row r="262" spans="1:15" x14ac:dyDescent="0.25">
      <c r="A262">
        <v>265</v>
      </c>
      <c r="B262">
        <v>47060.565990000003</v>
      </c>
      <c r="C262">
        <v>0</v>
      </c>
      <c r="D262">
        <v>596238.73380000005</v>
      </c>
      <c r="E262">
        <v>0</v>
      </c>
      <c r="F262">
        <v>1027556.211</v>
      </c>
      <c r="G262">
        <v>0</v>
      </c>
      <c r="H262">
        <v>265</v>
      </c>
      <c r="I262" t="str">
        <f t="shared" si="17"/>
        <v>YES</v>
      </c>
      <c r="J262" t="s">
        <v>271</v>
      </c>
      <c r="K262">
        <v>730290.70625199995</v>
      </c>
      <c r="L262" s="1">
        <f t="shared" si="18"/>
        <v>0</v>
      </c>
      <c r="M262" s="1">
        <f t="shared" si="19"/>
        <v>0</v>
      </c>
      <c r="N262" s="1">
        <f t="shared" si="20"/>
        <v>0</v>
      </c>
      <c r="O262" s="1"/>
    </row>
    <row r="263" spans="1:15" x14ac:dyDescent="0.25">
      <c r="A263">
        <v>266</v>
      </c>
      <c r="B263">
        <v>76903.596640000003</v>
      </c>
      <c r="C263">
        <v>0</v>
      </c>
      <c r="D263">
        <v>563705.15879999998</v>
      </c>
      <c r="E263">
        <v>0</v>
      </c>
      <c r="F263">
        <v>982278.18259999994</v>
      </c>
      <c r="G263">
        <v>960.13139999999999</v>
      </c>
      <c r="H263">
        <v>266</v>
      </c>
      <c r="I263" t="str">
        <f t="shared" si="17"/>
        <v>YES</v>
      </c>
      <c r="J263" t="s">
        <v>272</v>
      </c>
      <c r="K263">
        <v>805396.88119600003</v>
      </c>
      <c r="L263" s="1">
        <f t="shared" si="18"/>
        <v>0</v>
      </c>
      <c r="M263" s="1">
        <f t="shared" si="19"/>
        <v>0</v>
      </c>
      <c r="N263" s="1">
        <f t="shared" si="20"/>
        <v>3943762.8590015806</v>
      </c>
      <c r="O263" s="1"/>
    </row>
    <row r="264" spans="1:15" x14ac:dyDescent="0.25">
      <c r="A264">
        <v>267</v>
      </c>
      <c r="B264">
        <v>43515.826520000002</v>
      </c>
      <c r="C264">
        <v>0</v>
      </c>
      <c r="D264">
        <v>559051.36690000002</v>
      </c>
      <c r="E264">
        <v>0</v>
      </c>
      <c r="F264">
        <v>921284.13379999995</v>
      </c>
      <c r="G264">
        <v>746.95830000000001</v>
      </c>
      <c r="H264">
        <v>267</v>
      </c>
      <c r="I264" t="str">
        <f t="shared" si="17"/>
        <v>YES</v>
      </c>
      <c r="J264" t="s">
        <v>273</v>
      </c>
      <c r="K264">
        <v>439773.87841900002</v>
      </c>
      <c r="L264" s="1">
        <f t="shared" si="18"/>
        <v>0</v>
      </c>
      <c r="M264" s="1">
        <f t="shared" si="19"/>
        <v>0</v>
      </c>
      <c r="N264" s="1">
        <f t="shared" si="20"/>
        <v>1675313.017902141</v>
      </c>
      <c r="O264" s="1"/>
    </row>
    <row r="265" spans="1:15" x14ac:dyDescent="0.25">
      <c r="A265">
        <v>268</v>
      </c>
      <c r="B265">
        <v>207485.71460000001</v>
      </c>
      <c r="C265">
        <v>0</v>
      </c>
      <c r="D265">
        <v>778677.28350000002</v>
      </c>
      <c r="E265">
        <v>0</v>
      </c>
      <c r="F265">
        <v>1186794.774</v>
      </c>
      <c r="G265">
        <v>0</v>
      </c>
      <c r="H265">
        <v>268</v>
      </c>
      <c r="I265" t="str">
        <f t="shared" si="17"/>
        <v>YES</v>
      </c>
      <c r="J265" t="s">
        <v>274</v>
      </c>
      <c r="K265">
        <v>107346.679638</v>
      </c>
      <c r="L265" s="1">
        <f t="shared" si="18"/>
        <v>0</v>
      </c>
      <c r="M265" s="1">
        <f t="shared" si="19"/>
        <v>0</v>
      </c>
      <c r="N265" s="1">
        <f t="shared" si="20"/>
        <v>0</v>
      </c>
      <c r="O265" s="1"/>
    </row>
    <row r="266" spans="1:15" x14ac:dyDescent="0.25">
      <c r="A266">
        <v>270</v>
      </c>
      <c r="B266">
        <v>371603.51650000003</v>
      </c>
      <c r="C266">
        <v>0</v>
      </c>
      <c r="D266">
        <v>892077.08120000002</v>
      </c>
      <c r="E266">
        <v>0</v>
      </c>
      <c r="F266">
        <v>1317647.2760000001</v>
      </c>
      <c r="G266">
        <v>446.31799999999998</v>
      </c>
      <c r="H266">
        <v>270</v>
      </c>
      <c r="I266" t="str">
        <f t="shared" si="17"/>
        <v>YES</v>
      </c>
      <c r="J266" t="s">
        <v>275</v>
      </c>
      <c r="K266">
        <v>130306.768645</v>
      </c>
      <c r="L266" s="1">
        <f t="shared" si="18"/>
        <v>0</v>
      </c>
      <c r="M266" s="1">
        <f t="shared" si="19"/>
        <v>0</v>
      </c>
      <c r="N266" s="1">
        <f t="shared" si="20"/>
        <v>296607.10747730552</v>
      </c>
      <c r="O266" s="1"/>
    </row>
    <row r="267" spans="1:15" x14ac:dyDescent="0.25">
      <c r="A267">
        <v>271</v>
      </c>
      <c r="B267">
        <v>386853.9118</v>
      </c>
      <c r="C267">
        <v>0</v>
      </c>
      <c r="D267">
        <v>846914.12479999999</v>
      </c>
      <c r="E267">
        <v>0</v>
      </c>
      <c r="F267">
        <v>1246408.3230000001</v>
      </c>
      <c r="G267">
        <v>919.42200000000003</v>
      </c>
      <c r="H267">
        <v>271</v>
      </c>
      <c r="I267" t="str">
        <f t="shared" si="17"/>
        <v>YES</v>
      </c>
      <c r="J267" t="s">
        <v>276</v>
      </c>
      <c r="K267">
        <v>191812.97403000001</v>
      </c>
      <c r="L267" s="1">
        <f t="shared" si="18"/>
        <v>0</v>
      </c>
      <c r="M267" s="1">
        <f t="shared" si="19"/>
        <v>0</v>
      </c>
      <c r="N267" s="1">
        <f t="shared" si="20"/>
        <v>899421.04786391451</v>
      </c>
      <c r="O267" s="1"/>
    </row>
    <row r="268" spans="1:15" x14ac:dyDescent="0.25">
      <c r="A268">
        <v>272</v>
      </c>
      <c r="B268">
        <v>146451.09229999999</v>
      </c>
      <c r="C268">
        <v>0</v>
      </c>
      <c r="D268">
        <v>717909.4253</v>
      </c>
      <c r="E268">
        <v>746.68790000000001</v>
      </c>
      <c r="F268">
        <v>1086133.56</v>
      </c>
      <c r="G268">
        <v>446.31900000000002</v>
      </c>
      <c r="H268">
        <v>272</v>
      </c>
      <c r="I268" t="str">
        <f t="shared" si="17"/>
        <v>YES</v>
      </c>
      <c r="J268" t="s">
        <v>277</v>
      </c>
      <c r="K268">
        <v>141414.00645799999</v>
      </c>
      <c r="L268" s="1">
        <f t="shared" si="18"/>
        <v>0</v>
      </c>
      <c r="M268" s="1">
        <f t="shared" si="19"/>
        <v>1150954.1898885439</v>
      </c>
      <c r="N268" s="1">
        <f t="shared" si="20"/>
        <v>321890.36553647334</v>
      </c>
      <c r="O268" s="1"/>
    </row>
    <row r="269" spans="1:15" x14ac:dyDescent="0.25">
      <c r="A269">
        <v>273</v>
      </c>
      <c r="B269">
        <v>155405.3193</v>
      </c>
      <c r="C269">
        <v>0</v>
      </c>
      <c r="D269">
        <v>712261.5601</v>
      </c>
      <c r="E269">
        <v>0</v>
      </c>
      <c r="F269">
        <v>1046974.578</v>
      </c>
      <c r="G269">
        <v>194.20699999999999</v>
      </c>
      <c r="H269">
        <v>273</v>
      </c>
      <c r="I269" t="str">
        <f t="shared" si="17"/>
        <v>YES</v>
      </c>
      <c r="J269" t="s">
        <v>278</v>
      </c>
      <c r="K269">
        <v>128222.629686</v>
      </c>
      <c r="L269" s="1">
        <f t="shared" si="18"/>
        <v>0</v>
      </c>
      <c r="M269" s="1">
        <f t="shared" si="19"/>
        <v>0</v>
      </c>
      <c r="N269" s="1">
        <f t="shared" si="20"/>
        <v>126998.83444148792</v>
      </c>
      <c r="O269" s="1"/>
    </row>
    <row r="270" spans="1:15" x14ac:dyDescent="0.25">
      <c r="A270">
        <v>274</v>
      </c>
      <c r="B270">
        <v>327176.9363</v>
      </c>
      <c r="C270">
        <v>0</v>
      </c>
      <c r="D270">
        <v>836929.59219999996</v>
      </c>
      <c r="E270">
        <v>0</v>
      </c>
      <c r="F270">
        <v>1235154.6880000001</v>
      </c>
      <c r="G270">
        <v>194.20699999999999</v>
      </c>
      <c r="H270">
        <v>274</v>
      </c>
      <c r="I270" t="str">
        <f t="shared" si="17"/>
        <v>YES</v>
      </c>
      <c r="J270" t="s">
        <v>279</v>
      </c>
      <c r="K270">
        <v>151506.53970200001</v>
      </c>
      <c r="L270" s="1">
        <f t="shared" si="18"/>
        <v>0</v>
      </c>
      <c r="M270" s="1">
        <f t="shared" si="19"/>
        <v>0</v>
      </c>
      <c r="N270" s="1">
        <f t="shared" si="20"/>
        <v>150060.51583512223</v>
      </c>
      <c r="O270" s="1"/>
    </row>
    <row r="271" spans="1:15" x14ac:dyDescent="0.25">
      <c r="A271">
        <v>275</v>
      </c>
      <c r="B271">
        <v>241638.8063</v>
      </c>
      <c r="C271">
        <v>0</v>
      </c>
      <c r="D271">
        <v>790678.61860000005</v>
      </c>
      <c r="E271">
        <v>232.32409999999999</v>
      </c>
      <c r="F271">
        <v>1165050.361</v>
      </c>
      <c r="G271">
        <v>0</v>
      </c>
      <c r="H271">
        <v>275</v>
      </c>
      <c r="I271" t="str">
        <f t="shared" si="17"/>
        <v>YES</v>
      </c>
      <c r="J271" t="s">
        <v>280</v>
      </c>
      <c r="K271">
        <v>86600.007959800001</v>
      </c>
      <c r="L271" s="1">
        <f t="shared" si="18"/>
        <v>0</v>
      </c>
      <c r="M271" s="1">
        <f t="shared" si="19"/>
        <v>219300.03111086175</v>
      </c>
      <c r="N271" s="1">
        <f t="shared" si="20"/>
        <v>0</v>
      </c>
      <c r="O271" s="1"/>
    </row>
    <row r="272" spans="1:15" x14ac:dyDescent="0.25">
      <c r="A272">
        <v>276</v>
      </c>
      <c r="B272">
        <v>89936.182539999994</v>
      </c>
      <c r="C272">
        <v>0</v>
      </c>
      <c r="D272">
        <v>666701.72470000002</v>
      </c>
      <c r="E272">
        <v>1098.3288</v>
      </c>
      <c r="F272">
        <v>1019031.751</v>
      </c>
      <c r="G272">
        <v>0</v>
      </c>
      <c r="H272">
        <v>276</v>
      </c>
      <c r="I272" t="str">
        <f t="shared" si="17"/>
        <v>YES</v>
      </c>
      <c r="J272" t="s">
        <v>281</v>
      </c>
      <c r="K272">
        <v>194544.93660700001</v>
      </c>
      <c r="L272" s="1">
        <f t="shared" si="18"/>
        <v>0</v>
      </c>
      <c r="M272" s="1">
        <f t="shared" si="19"/>
        <v>2329049.9437891021</v>
      </c>
      <c r="N272" s="1">
        <f t="shared" si="20"/>
        <v>0</v>
      </c>
      <c r="O272" s="1"/>
    </row>
    <row r="273" spans="1:15" x14ac:dyDescent="0.25">
      <c r="A273">
        <v>277</v>
      </c>
      <c r="B273">
        <v>264170.80579999997</v>
      </c>
      <c r="C273">
        <v>0</v>
      </c>
      <c r="D273">
        <v>801619.90240000002</v>
      </c>
      <c r="E273">
        <v>0</v>
      </c>
      <c r="F273">
        <v>1179817.0549999999</v>
      </c>
      <c r="G273">
        <v>194.20699999999999</v>
      </c>
      <c r="H273">
        <v>277</v>
      </c>
      <c r="I273" t="str">
        <f t="shared" si="17"/>
        <v>YES</v>
      </c>
      <c r="J273" t="s">
        <v>282</v>
      </c>
      <c r="K273">
        <v>96489.696217499994</v>
      </c>
      <c r="L273" s="1">
        <f t="shared" si="18"/>
        <v>0</v>
      </c>
      <c r="M273" s="1">
        <f t="shared" si="19"/>
        <v>0</v>
      </c>
      <c r="N273" s="1">
        <f t="shared" si="20"/>
        <v>95568.769609891315</v>
      </c>
      <c r="O273" s="1"/>
    </row>
    <row r="274" spans="1:15" x14ac:dyDescent="0.25">
      <c r="A274">
        <v>278</v>
      </c>
      <c r="B274">
        <v>77731.703399999999</v>
      </c>
      <c r="C274">
        <v>0</v>
      </c>
      <c r="D274">
        <v>658944.20909999998</v>
      </c>
      <c r="E274">
        <v>0</v>
      </c>
      <c r="F274">
        <v>1000907.385</v>
      </c>
      <c r="G274">
        <v>0</v>
      </c>
      <c r="H274">
        <v>278</v>
      </c>
      <c r="I274" t="str">
        <f t="shared" si="17"/>
        <v>YES</v>
      </c>
      <c r="J274" t="s">
        <v>283</v>
      </c>
      <c r="K274">
        <v>143279.707395</v>
      </c>
      <c r="L274" s="1">
        <f t="shared" si="18"/>
        <v>0</v>
      </c>
      <c r="M274" s="1">
        <f t="shared" si="19"/>
        <v>0</v>
      </c>
      <c r="N274" s="1">
        <f t="shared" si="20"/>
        <v>0</v>
      </c>
      <c r="O274" s="1"/>
    </row>
    <row r="275" spans="1:15" x14ac:dyDescent="0.25">
      <c r="A275">
        <v>279</v>
      </c>
      <c r="B275">
        <v>418131.7953</v>
      </c>
      <c r="C275">
        <v>0</v>
      </c>
      <c r="D275">
        <v>861999.4817</v>
      </c>
      <c r="E275">
        <v>1418.8784000000001</v>
      </c>
      <c r="F275">
        <v>1285190.3370000001</v>
      </c>
      <c r="G275">
        <v>194.20699999999999</v>
      </c>
      <c r="H275">
        <v>279</v>
      </c>
      <c r="I275" t="str">
        <f t="shared" si="17"/>
        <v>YES</v>
      </c>
      <c r="J275" t="s">
        <v>284</v>
      </c>
      <c r="K275">
        <v>105880.061216</v>
      </c>
      <c r="L275" s="1">
        <f t="shared" si="18"/>
        <v>0</v>
      </c>
      <c r="M275" s="1">
        <f t="shared" si="19"/>
        <v>1637517.1571656556</v>
      </c>
      <c r="N275" s="1">
        <f t="shared" si="20"/>
        <v>104869.51014773613</v>
      </c>
      <c r="O275" s="1"/>
    </row>
    <row r="276" spans="1:15" x14ac:dyDescent="0.25">
      <c r="A276">
        <v>280</v>
      </c>
      <c r="B276">
        <v>62849.982669999998</v>
      </c>
      <c r="C276">
        <v>0</v>
      </c>
      <c r="D276">
        <v>612531.91850000003</v>
      </c>
      <c r="E276">
        <v>0</v>
      </c>
      <c r="F276">
        <v>977324.74739999999</v>
      </c>
      <c r="G276">
        <v>0</v>
      </c>
      <c r="H276">
        <v>280</v>
      </c>
      <c r="I276" t="str">
        <f t="shared" si="17"/>
        <v>YES</v>
      </c>
      <c r="J276" t="s">
        <v>285</v>
      </c>
      <c r="K276">
        <v>102145.134546</v>
      </c>
      <c r="L276" s="1">
        <f t="shared" si="18"/>
        <v>0</v>
      </c>
      <c r="M276" s="1">
        <f t="shared" si="19"/>
        <v>0</v>
      </c>
      <c r="N276" s="1">
        <f t="shared" si="20"/>
        <v>0</v>
      </c>
      <c r="O276" s="1"/>
    </row>
    <row r="277" spans="1:15" x14ac:dyDescent="0.25">
      <c r="A277">
        <v>281</v>
      </c>
      <c r="B277">
        <v>140439.45259999999</v>
      </c>
      <c r="C277">
        <v>0</v>
      </c>
      <c r="D277">
        <v>732244.73439999996</v>
      </c>
      <c r="E277">
        <v>977.69110000000001</v>
      </c>
      <c r="F277">
        <v>1079465.4569999999</v>
      </c>
      <c r="G277">
        <v>194.20699999999999</v>
      </c>
      <c r="H277">
        <v>281</v>
      </c>
      <c r="I277" t="str">
        <f t="shared" si="17"/>
        <v>YES</v>
      </c>
      <c r="J277" t="s">
        <v>286</v>
      </c>
      <c r="K277">
        <v>106939.54245399999</v>
      </c>
      <c r="L277" s="1">
        <f t="shared" si="18"/>
        <v>0</v>
      </c>
      <c r="M277" s="1">
        <f t="shared" si="19"/>
        <v>1139636.8439592926</v>
      </c>
      <c r="N277" s="1">
        <f t="shared" si="20"/>
        <v>105918.87937895629</v>
      </c>
      <c r="O277" s="1"/>
    </row>
    <row r="278" spans="1:15" x14ac:dyDescent="0.25">
      <c r="A278">
        <v>282</v>
      </c>
      <c r="B278">
        <v>48231.631529999999</v>
      </c>
      <c r="C278">
        <v>0</v>
      </c>
      <c r="D278">
        <v>582344.12569999998</v>
      </c>
      <c r="E278">
        <v>1098.3288</v>
      </c>
      <c r="F278">
        <v>946735.58530000004</v>
      </c>
      <c r="G278">
        <v>0</v>
      </c>
      <c r="H278">
        <v>282</v>
      </c>
      <c r="I278" t="str">
        <f t="shared" si="17"/>
        <v>YES</v>
      </c>
      <c r="J278" t="s">
        <v>287</v>
      </c>
      <c r="K278">
        <v>125553.80327600001</v>
      </c>
      <c r="L278" s="1">
        <f t="shared" si="18"/>
        <v>0</v>
      </c>
      <c r="M278" s="1">
        <f t="shared" si="19"/>
        <v>1503103.0031544603</v>
      </c>
      <c r="N278" s="1">
        <f t="shared" si="20"/>
        <v>0</v>
      </c>
      <c r="O278" s="1"/>
    </row>
    <row r="279" spans="1:15" x14ac:dyDescent="0.25">
      <c r="A279">
        <v>283</v>
      </c>
      <c r="B279">
        <v>164759.89509999999</v>
      </c>
      <c r="C279">
        <v>0</v>
      </c>
      <c r="D279">
        <v>745106.84739999997</v>
      </c>
      <c r="E279">
        <v>0</v>
      </c>
      <c r="F279">
        <v>1106901.713</v>
      </c>
      <c r="G279">
        <v>446.31799999999998</v>
      </c>
      <c r="H279">
        <v>283</v>
      </c>
      <c r="I279" t="str">
        <f t="shared" si="17"/>
        <v>YES</v>
      </c>
      <c r="J279" t="s">
        <v>288</v>
      </c>
      <c r="K279">
        <v>175716.34531</v>
      </c>
      <c r="L279" s="1">
        <f t="shared" si="18"/>
        <v>0</v>
      </c>
      <c r="M279" s="1">
        <f t="shared" si="19"/>
        <v>0</v>
      </c>
      <c r="N279" s="1">
        <f t="shared" si="20"/>
        <v>399969.37581094977</v>
      </c>
      <c r="O279" s="1"/>
    </row>
    <row r="280" spans="1:15" x14ac:dyDescent="0.25">
      <c r="A280">
        <v>284</v>
      </c>
      <c r="B280">
        <v>170373.04019999999</v>
      </c>
      <c r="C280">
        <v>0</v>
      </c>
      <c r="D280">
        <v>736646.95220000006</v>
      </c>
      <c r="E280">
        <v>483.77449999999999</v>
      </c>
      <c r="F280">
        <v>1091090.8419999999</v>
      </c>
      <c r="G280">
        <v>194.20699999999999</v>
      </c>
      <c r="H280">
        <v>284</v>
      </c>
      <c r="I280" t="str">
        <f t="shared" si="17"/>
        <v>YES</v>
      </c>
      <c r="J280" t="s">
        <v>289</v>
      </c>
      <c r="K280">
        <v>172817.829164</v>
      </c>
      <c r="L280" s="1">
        <f t="shared" si="18"/>
        <v>0</v>
      </c>
      <c r="M280" s="1">
        <f t="shared" si="19"/>
        <v>911292.96195440472</v>
      </c>
      <c r="N280" s="1">
        <f t="shared" si="20"/>
        <v>171168.40395711004</v>
      </c>
      <c r="O280" s="1"/>
    </row>
    <row r="281" spans="1:15" x14ac:dyDescent="0.25">
      <c r="A281">
        <v>285</v>
      </c>
      <c r="B281">
        <v>106466.5851</v>
      </c>
      <c r="C281">
        <v>0</v>
      </c>
      <c r="D281">
        <v>685853.3628</v>
      </c>
      <c r="E281">
        <v>977.69110000000001</v>
      </c>
      <c r="F281">
        <v>1056841.7309999999</v>
      </c>
      <c r="G281">
        <v>194.20599999999999</v>
      </c>
      <c r="H281">
        <v>285</v>
      </c>
      <c r="I281" t="str">
        <f t="shared" si="17"/>
        <v>YES</v>
      </c>
      <c r="J281" t="s">
        <v>290</v>
      </c>
      <c r="K281">
        <v>146419.50279500001</v>
      </c>
      <c r="L281" s="1">
        <f t="shared" si="18"/>
        <v>0</v>
      </c>
      <c r="M281" s="1">
        <f t="shared" si="19"/>
        <v>1560368.1877651534</v>
      </c>
      <c r="N281" s="1">
        <f t="shared" si="20"/>
        <v>145021.28439500945</v>
      </c>
      <c r="O281" s="1"/>
    </row>
    <row r="282" spans="1:15" x14ac:dyDescent="0.25">
      <c r="A282">
        <v>286</v>
      </c>
      <c r="B282">
        <v>39230.60469</v>
      </c>
      <c r="C282">
        <v>0</v>
      </c>
      <c r="D282">
        <v>522856.09220000001</v>
      </c>
      <c r="E282">
        <v>977.69110000000001</v>
      </c>
      <c r="F282">
        <v>913939.8112</v>
      </c>
      <c r="G282">
        <v>194.20670000000001</v>
      </c>
      <c r="H282">
        <v>286</v>
      </c>
      <c r="I282" t="str">
        <f t="shared" si="17"/>
        <v>YES</v>
      </c>
      <c r="J282" t="s">
        <v>291</v>
      </c>
      <c r="K282">
        <v>161852.775796</v>
      </c>
      <c r="L282" s="1">
        <f t="shared" si="18"/>
        <v>0</v>
      </c>
      <c r="M282" s="1">
        <f t="shared" si="19"/>
        <v>1724838.0006258865</v>
      </c>
      <c r="N282" s="1">
        <f t="shared" si="20"/>
        <v>160307.75671322329</v>
      </c>
      <c r="O282" s="1"/>
    </row>
    <row r="283" spans="1:15" x14ac:dyDescent="0.25">
      <c r="A283">
        <v>287</v>
      </c>
      <c r="B283">
        <v>76483.923800000004</v>
      </c>
      <c r="C283">
        <v>0</v>
      </c>
      <c r="D283">
        <v>641568.75320000004</v>
      </c>
      <c r="E283">
        <v>0</v>
      </c>
      <c r="F283">
        <v>1007924.905</v>
      </c>
      <c r="G283">
        <v>194.20699999999999</v>
      </c>
      <c r="H283">
        <v>287</v>
      </c>
      <c r="I283" t="str">
        <f t="shared" si="17"/>
        <v>YES</v>
      </c>
      <c r="J283" t="s">
        <v>292</v>
      </c>
      <c r="K283">
        <v>209569.78580000001</v>
      </c>
      <c r="L283" s="1">
        <f t="shared" si="18"/>
        <v>0</v>
      </c>
      <c r="M283" s="1">
        <f t="shared" si="19"/>
        <v>0</v>
      </c>
      <c r="N283" s="1">
        <f t="shared" si="20"/>
        <v>207569.5888933891</v>
      </c>
      <c r="O283" s="1"/>
    </row>
    <row r="284" spans="1:15" x14ac:dyDescent="0.25">
      <c r="A284">
        <v>288</v>
      </c>
      <c r="B284">
        <v>50830.048459999998</v>
      </c>
      <c r="C284">
        <v>0</v>
      </c>
      <c r="D284">
        <v>540806.34779999999</v>
      </c>
      <c r="E284">
        <v>0</v>
      </c>
      <c r="F284">
        <v>921142.37150000001</v>
      </c>
      <c r="G284">
        <v>194.20660000000001</v>
      </c>
      <c r="H284">
        <v>288</v>
      </c>
      <c r="I284" t="str">
        <f t="shared" si="17"/>
        <v>YES</v>
      </c>
      <c r="J284" t="s">
        <v>293</v>
      </c>
      <c r="K284">
        <v>259611.98126299999</v>
      </c>
      <c r="L284" s="1">
        <f t="shared" si="18"/>
        <v>0</v>
      </c>
      <c r="M284" s="1">
        <f t="shared" si="19"/>
        <v>0</v>
      </c>
      <c r="N284" s="1">
        <f t="shared" si="20"/>
        <v>257133.63702178982</v>
      </c>
      <c r="O284" s="1"/>
    </row>
    <row r="285" spans="1:15" x14ac:dyDescent="0.25">
      <c r="A285">
        <v>289</v>
      </c>
      <c r="B285">
        <v>53395.360630000003</v>
      </c>
      <c r="C285">
        <v>0</v>
      </c>
      <c r="D285">
        <v>512250.7009</v>
      </c>
      <c r="E285">
        <v>1098.3288</v>
      </c>
      <c r="F285">
        <v>917126.4277</v>
      </c>
      <c r="G285">
        <v>0</v>
      </c>
      <c r="H285">
        <v>289</v>
      </c>
      <c r="I285" t="str">
        <f t="shared" si="17"/>
        <v>YES</v>
      </c>
      <c r="J285" t="s">
        <v>294</v>
      </c>
      <c r="K285">
        <v>204666.75245500001</v>
      </c>
      <c r="L285" s="1">
        <f t="shared" si="18"/>
        <v>0</v>
      </c>
      <c r="M285" s="1">
        <f t="shared" si="19"/>
        <v>2450226.1359993899</v>
      </c>
      <c r="N285" s="1">
        <f t="shared" si="20"/>
        <v>0</v>
      </c>
      <c r="O285" s="1"/>
    </row>
    <row r="286" spans="1:15" x14ac:dyDescent="0.25">
      <c r="A286">
        <v>290</v>
      </c>
      <c r="B286">
        <v>44091.151619999997</v>
      </c>
      <c r="C286">
        <v>0</v>
      </c>
      <c r="D286">
        <v>417972.84759999998</v>
      </c>
      <c r="E286">
        <v>0</v>
      </c>
      <c r="F286">
        <v>873996.92460000003</v>
      </c>
      <c r="G286">
        <v>0</v>
      </c>
      <c r="H286">
        <v>290</v>
      </c>
      <c r="I286" t="str">
        <f t="shared" si="17"/>
        <v>YES</v>
      </c>
      <c r="J286" t="s">
        <v>295</v>
      </c>
      <c r="K286">
        <v>308888.15665899997</v>
      </c>
      <c r="L286" s="1">
        <f t="shared" si="18"/>
        <v>0</v>
      </c>
      <c r="M286" s="1">
        <f t="shared" si="19"/>
        <v>0</v>
      </c>
      <c r="N286" s="1">
        <f t="shared" si="20"/>
        <v>0</v>
      </c>
      <c r="O286" s="1"/>
    </row>
    <row r="287" spans="1:15" x14ac:dyDescent="0.25">
      <c r="A287">
        <v>291</v>
      </c>
      <c r="B287">
        <v>463595.05170000001</v>
      </c>
      <c r="C287">
        <v>0</v>
      </c>
      <c r="D287">
        <v>879699.49910000002</v>
      </c>
      <c r="E287">
        <v>0</v>
      </c>
      <c r="F287">
        <v>1297894.122</v>
      </c>
      <c r="G287">
        <v>0</v>
      </c>
      <c r="H287">
        <v>291</v>
      </c>
      <c r="I287" t="str">
        <f t="shared" si="17"/>
        <v>YES</v>
      </c>
      <c r="J287" t="s">
        <v>296</v>
      </c>
      <c r="K287">
        <v>59231.173465599997</v>
      </c>
      <c r="L287" s="1">
        <f t="shared" si="18"/>
        <v>0</v>
      </c>
      <c r="M287" s="1">
        <f t="shared" si="19"/>
        <v>0</v>
      </c>
      <c r="N287" s="1">
        <f t="shared" si="20"/>
        <v>0</v>
      </c>
      <c r="O287" s="1"/>
    </row>
    <row r="288" spans="1:15" x14ac:dyDescent="0.25">
      <c r="A288">
        <v>292</v>
      </c>
      <c r="B288">
        <v>281518.79869999998</v>
      </c>
      <c r="C288">
        <v>0</v>
      </c>
      <c r="D288">
        <v>812657.8774</v>
      </c>
      <c r="E288">
        <v>1098.3288</v>
      </c>
      <c r="F288">
        <v>1186722.081</v>
      </c>
      <c r="G288">
        <v>194.20699999999999</v>
      </c>
      <c r="H288">
        <v>292</v>
      </c>
      <c r="I288" t="str">
        <f t="shared" si="17"/>
        <v>YES</v>
      </c>
      <c r="J288" t="s">
        <v>297</v>
      </c>
      <c r="K288">
        <v>63952.779797199997</v>
      </c>
      <c r="L288" s="1">
        <f t="shared" si="18"/>
        <v>0</v>
      </c>
      <c r="M288" s="1">
        <f t="shared" si="19"/>
        <v>765628.86081541982</v>
      </c>
      <c r="N288" s="1">
        <f t="shared" si="20"/>
        <v>63342.395280981582</v>
      </c>
      <c r="O288" s="1"/>
    </row>
    <row r="289" spans="1:15" x14ac:dyDescent="0.25">
      <c r="A289">
        <v>300</v>
      </c>
      <c r="B289">
        <v>25263.138719999999</v>
      </c>
      <c r="C289">
        <v>0</v>
      </c>
      <c r="D289">
        <v>389028.52439999999</v>
      </c>
      <c r="E289">
        <v>0</v>
      </c>
      <c r="F289">
        <v>916684.57299999997</v>
      </c>
      <c r="G289">
        <v>0</v>
      </c>
      <c r="H289">
        <v>300</v>
      </c>
      <c r="I289" t="str">
        <f t="shared" si="17"/>
        <v>YES</v>
      </c>
      <c r="J289" t="s">
        <v>298</v>
      </c>
      <c r="K289">
        <v>287447.35699599999</v>
      </c>
      <c r="L289" s="1">
        <f t="shared" si="18"/>
        <v>0</v>
      </c>
      <c r="M289" s="1">
        <f t="shared" si="19"/>
        <v>0</v>
      </c>
      <c r="N289" s="1">
        <f t="shared" si="20"/>
        <v>0</v>
      </c>
      <c r="O289" s="1"/>
    </row>
    <row r="290" spans="1:15" x14ac:dyDescent="0.25">
      <c r="A290">
        <v>301</v>
      </c>
      <c r="B290">
        <v>20851.821790000002</v>
      </c>
      <c r="C290">
        <v>0</v>
      </c>
      <c r="D290">
        <v>218796.47880000001</v>
      </c>
      <c r="E290">
        <v>0</v>
      </c>
      <c r="F290">
        <v>848887.52229999995</v>
      </c>
      <c r="G290">
        <v>0</v>
      </c>
      <c r="H290">
        <v>301</v>
      </c>
      <c r="I290" t="str">
        <f t="shared" si="17"/>
        <v>YES</v>
      </c>
      <c r="J290" t="s">
        <v>299</v>
      </c>
      <c r="K290">
        <v>387928.82788599998</v>
      </c>
      <c r="L290" s="1">
        <f t="shared" si="18"/>
        <v>0</v>
      </c>
      <c r="M290" s="1">
        <f t="shared" si="19"/>
        <v>0</v>
      </c>
      <c r="N290" s="1">
        <f t="shared" si="20"/>
        <v>0</v>
      </c>
      <c r="O290" s="1"/>
    </row>
    <row r="291" spans="1:15" x14ac:dyDescent="0.25">
      <c r="A291">
        <v>302</v>
      </c>
      <c r="B291">
        <v>14496.327079999999</v>
      </c>
      <c r="C291">
        <v>0</v>
      </c>
      <c r="D291">
        <v>193203.07519999999</v>
      </c>
      <c r="E291">
        <v>0</v>
      </c>
      <c r="F291">
        <v>853545.07949999999</v>
      </c>
      <c r="G291">
        <v>0</v>
      </c>
      <c r="H291">
        <v>302</v>
      </c>
      <c r="I291" t="str">
        <f t="shared" si="17"/>
        <v>YES</v>
      </c>
      <c r="J291" t="s">
        <v>300</v>
      </c>
      <c r="K291">
        <v>360401.20723300002</v>
      </c>
      <c r="L291" s="1">
        <f t="shared" si="18"/>
        <v>0</v>
      </c>
      <c r="M291" s="1">
        <f t="shared" si="19"/>
        <v>0</v>
      </c>
      <c r="N291" s="1">
        <f t="shared" si="20"/>
        <v>0</v>
      </c>
      <c r="O291" s="1"/>
    </row>
    <row r="292" spans="1:15" x14ac:dyDescent="0.25">
      <c r="A292">
        <v>303</v>
      </c>
      <c r="B292">
        <v>16122.912539999999</v>
      </c>
      <c r="C292">
        <v>0</v>
      </c>
      <c r="D292">
        <v>451695.01520000002</v>
      </c>
      <c r="E292">
        <v>0</v>
      </c>
      <c r="F292">
        <v>925275.95120000001</v>
      </c>
      <c r="G292">
        <v>5856.1823999999997</v>
      </c>
      <c r="H292">
        <v>303</v>
      </c>
      <c r="I292" t="str">
        <f t="shared" si="17"/>
        <v>YES</v>
      </c>
      <c r="J292" t="s">
        <v>301</v>
      </c>
      <c r="K292">
        <v>339404.49005000002</v>
      </c>
      <c r="L292" s="1">
        <f t="shared" si="18"/>
        <v>0</v>
      </c>
      <c r="M292" s="1">
        <f t="shared" si="19"/>
        <v>0</v>
      </c>
      <c r="N292" s="1">
        <f t="shared" si="20"/>
        <v>10136834.465670105</v>
      </c>
      <c r="O292" s="1"/>
    </row>
    <row r="293" spans="1:15" x14ac:dyDescent="0.25">
      <c r="A293">
        <v>304</v>
      </c>
      <c r="B293">
        <v>21193.468570000001</v>
      </c>
      <c r="C293">
        <v>0</v>
      </c>
      <c r="D293">
        <v>510887.77759999997</v>
      </c>
      <c r="E293">
        <v>0</v>
      </c>
      <c r="F293">
        <v>986264.56869999995</v>
      </c>
      <c r="G293">
        <v>0</v>
      </c>
      <c r="H293">
        <v>304</v>
      </c>
      <c r="I293" t="str">
        <f t="shared" si="17"/>
        <v>YES</v>
      </c>
      <c r="J293" t="s">
        <v>302</v>
      </c>
      <c r="K293">
        <v>455644.58406000002</v>
      </c>
      <c r="L293" s="1">
        <f t="shared" si="18"/>
        <v>0</v>
      </c>
      <c r="M293" s="1">
        <f t="shared" si="19"/>
        <v>0</v>
      </c>
      <c r="N293" s="1">
        <f t="shared" si="20"/>
        <v>0</v>
      </c>
      <c r="O293" s="1"/>
    </row>
    <row r="294" spans="1:15" x14ac:dyDescent="0.25">
      <c r="A294">
        <v>305</v>
      </c>
      <c r="B294">
        <v>73922.609479999999</v>
      </c>
      <c r="C294">
        <v>0</v>
      </c>
      <c r="D294">
        <v>706445.82</v>
      </c>
      <c r="E294">
        <v>0</v>
      </c>
      <c r="F294">
        <v>1117832.6510000001</v>
      </c>
      <c r="G294">
        <v>2978.1190000000001</v>
      </c>
      <c r="H294">
        <v>305</v>
      </c>
      <c r="I294" t="str">
        <f t="shared" si="17"/>
        <v>YES</v>
      </c>
      <c r="J294" t="s">
        <v>303</v>
      </c>
      <c r="K294">
        <v>804519.22749600001</v>
      </c>
      <c r="L294" s="1">
        <f t="shared" si="18"/>
        <v>0</v>
      </c>
      <c r="M294" s="1">
        <f t="shared" si="19"/>
        <v>0</v>
      </c>
      <c r="N294" s="1">
        <f t="shared" si="20"/>
        <v>12219365.386082917</v>
      </c>
      <c r="O294" s="1"/>
    </row>
    <row r="295" spans="1:15" x14ac:dyDescent="0.25">
      <c r="A295">
        <v>306</v>
      </c>
      <c r="B295">
        <v>20887.552540000001</v>
      </c>
      <c r="C295">
        <v>0</v>
      </c>
      <c r="D295">
        <v>419269.65860000002</v>
      </c>
      <c r="E295">
        <v>0</v>
      </c>
      <c r="F295">
        <v>950534.92680000002</v>
      </c>
      <c r="G295">
        <v>0</v>
      </c>
      <c r="H295">
        <v>306</v>
      </c>
      <c r="I295" t="str">
        <f t="shared" si="17"/>
        <v>YES</v>
      </c>
      <c r="J295" t="s">
        <v>304</v>
      </c>
      <c r="K295">
        <v>266719.76295599999</v>
      </c>
      <c r="L295" s="1">
        <f t="shared" si="18"/>
        <v>0</v>
      </c>
      <c r="M295" s="1">
        <f t="shared" si="19"/>
        <v>0</v>
      </c>
      <c r="N295" s="1">
        <f t="shared" si="20"/>
        <v>0</v>
      </c>
      <c r="O295" s="1"/>
    </row>
    <row r="296" spans="1:15" x14ac:dyDescent="0.25">
      <c r="A296">
        <v>307</v>
      </c>
      <c r="B296">
        <v>30888.99394</v>
      </c>
      <c r="C296">
        <v>0</v>
      </c>
      <c r="D296">
        <v>664353.3186</v>
      </c>
      <c r="E296">
        <v>0</v>
      </c>
      <c r="F296">
        <v>1100476.436</v>
      </c>
      <c r="G296">
        <v>746.68799999999999</v>
      </c>
      <c r="H296">
        <v>307</v>
      </c>
      <c r="I296" t="str">
        <f t="shared" si="17"/>
        <v>YES</v>
      </c>
      <c r="J296" t="s">
        <v>305</v>
      </c>
      <c r="K296">
        <v>202922.43611400001</v>
      </c>
      <c r="L296" s="1">
        <f t="shared" si="18"/>
        <v>0</v>
      </c>
      <c r="M296" s="1">
        <f t="shared" si="19"/>
        <v>0</v>
      </c>
      <c r="N296" s="1">
        <f t="shared" si="20"/>
        <v>772750.71468316135</v>
      </c>
      <c r="O296" s="1"/>
    </row>
    <row r="297" spans="1:15" x14ac:dyDescent="0.25">
      <c r="A297">
        <v>308</v>
      </c>
      <c r="B297">
        <v>19264.17484</v>
      </c>
      <c r="C297">
        <v>0</v>
      </c>
      <c r="D297">
        <v>575756.94279999996</v>
      </c>
      <c r="E297">
        <v>0</v>
      </c>
      <c r="F297">
        <v>1033714.444</v>
      </c>
      <c r="G297">
        <v>5856.183</v>
      </c>
      <c r="H297">
        <v>308</v>
      </c>
      <c r="I297" t="str">
        <f t="shared" si="17"/>
        <v>YES</v>
      </c>
      <c r="J297" t="s">
        <v>306</v>
      </c>
      <c r="K297">
        <v>332045.902787</v>
      </c>
      <c r="L297" s="1">
        <f t="shared" si="18"/>
        <v>0</v>
      </c>
      <c r="M297" s="1">
        <f t="shared" si="19"/>
        <v>0</v>
      </c>
      <c r="N297" s="1">
        <f t="shared" si="20"/>
        <v>9917060.0127164982</v>
      </c>
      <c r="O297" s="1"/>
    </row>
    <row r="298" spans="1:15" x14ac:dyDescent="0.25">
      <c r="A298">
        <v>309</v>
      </c>
      <c r="B298">
        <v>256002.701</v>
      </c>
      <c r="C298">
        <v>0</v>
      </c>
      <c r="D298">
        <v>851979.99120000005</v>
      </c>
      <c r="E298">
        <v>0</v>
      </c>
      <c r="F298">
        <v>1271252.4210000001</v>
      </c>
      <c r="G298">
        <v>0</v>
      </c>
      <c r="H298">
        <v>309</v>
      </c>
      <c r="I298" t="str">
        <f t="shared" si="17"/>
        <v>YES</v>
      </c>
      <c r="J298" t="s">
        <v>307</v>
      </c>
      <c r="K298">
        <v>446654.51515200001</v>
      </c>
      <c r="L298" s="1">
        <f t="shared" si="18"/>
        <v>0</v>
      </c>
      <c r="M298" s="1">
        <f t="shared" si="19"/>
        <v>0</v>
      </c>
      <c r="N298" s="1">
        <f t="shared" si="20"/>
        <v>0</v>
      </c>
      <c r="O298" s="1"/>
    </row>
    <row r="299" spans="1:15" x14ac:dyDescent="0.25">
      <c r="A299">
        <v>310</v>
      </c>
      <c r="B299">
        <v>29906.873640000002</v>
      </c>
      <c r="C299">
        <v>0</v>
      </c>
      <c r="D299">
        <v>672761.11069999996</v>
      </c>
      <c r="E299">
        <v>0</v>
      </c>
      <c r="F299">
        <v>1113076.8759999999</v>
      </c>
      <c r="G299">
        <v>746.68799999999999</v>
      </c>
      <c r="H299">
        <v>310</v>
      </c>
      <c r="I299" t="str">
        <f t="shared" si="17"/>
        <v>YES</v>
      </c>
      <c r="J299" t="s">
        <v>308</v>
      </c>
      <c r="K299">
        <v>324160.10235599999</v>
      </c>
      <c r="L299" s="1">
        <f t="shared" si="18"/>
        <v>0</v>
      </c>
      <c r="M299" s="1">
        <f t="shared" si="19"/>
        <v>0</v>
      </c>
      <c r="N299" s="1">
        <f t="shared" si="20"/>
        <v>1234436.9383907844</v>
      </c>
      <c r="O299" s="1"/>
    </row>
    <row r="300" spans="1:15" x14ac:dyDescent="0.25">
      <c r="A300">
        <v>311</v>
      </c>
      <c r="B300">
        <v>7270.8804419999997</v>
      </c>
      <c r="C300">
        <v>0</v>
      </c>
      <c r="D300">
        <v>141792.0865</v>
      </c>
      <c r="E300">
        <v>0</v>
      </c>
      <c r="F300">
        <v>851640.45640000002</v>
      </c>
      <c r="G300">
        <v>0</v>
      </c>
      <c r="H300">
        <v>311</v>
      </c>
      <c r="I300" t="str">
        <f t="shared" si="17"/>
        <v>YES</v>
      </c>
      <c r="J300" t="s">
        <v>309</v>
      </c>
      <c r="K300">
        <v>628718.33312700002</v>
      </c>
      <c r="L300" s="1">
        <f t="shared" si="18"/>
        <v>0</v>
      </c>
      <c r="M300" s="1">
        <f t="shared" si="19"/>
        <v>0</v>
      </c>
      <c r="N300" s="1">
        <f t="shared" si="20"/>
        <v>0</v>
      </c>
      <c r="O300" s="1"/>
    </row>
    <row r="301" spans="1:15" x14ac:dyDescent="0.25">
      <c r="A301">
        <v>312</v>
      </c>
      <c r="B301">
        <v>14554.317489999999</v>
      </c>
      <c r="C301">
        <v>0</v>
      </c>
      <c r="D301">
        <v>401609.94699999999</v>
      </c>
      <c r="E301">
        <v>0</v>
      </c>
      <c r="F301">
        <v>949336.66220000002</v>
      </c>
      <c r="G301">
        <v>0</v>
      </c>
      <c r="H301">
        <v>312</v>
      </c>
      <c r="I301" t="str">
        <f t="shared" si="17"/>
        <v>YES</v>
      </c>
      <c r="J301" t="s">
        <v>310</v>
      </c>
      <c r="K301">
        <v>272911.10032500001</v>
      </c>
      <c r="L301" s="1">
        <f t="shared" si="18"/>
        <v>0</v>
      </c>
      <c r="M301" s="1">
        <f t="shared" si="19"/>
        <v>0</v>
      </c>
      <c r="N301" s="1">
        <f t="shared" si="20"/>
        <v>0</v>
      </c>
      <c r="O301" s="1"/>
    </row>
    <row r="302" spans="1:15" x14ac:dyDescent="0.25">
      <c r="A302">
        <v>313</v>
      </c>
      <c r="B302">
        <v>11895.200339999999</v>
      </c>
      <c r="C302">
        <v>0</v>
      </c>
      <c r="D302">
        <v>625074.67760000005</v>
      </c>
      <c r="E302">
        <v>0</v>
      </c>
      <c r="F302">
        <v>1058851.733</v>
      </c>
      <c r="G302">
        <v>746.68799999999999</v>
      </c>
      <c r="H302">
        <v>313</v>
      </c>
      <c r="I302" t="str">
        <f t="shared" si="17"/>
        <v>YES</v>
      </c>
      <c r="J302" t="s">
        <v>311</v>
      </c>
      <c r="K302">
        <v>369403.12882899999</v>
      </c>
      <c r="L302" s="1">
        <f t="shared" si="18"/>
        <v>0</v>
      </c>
      <c r="M302" s="1">
        <f t="shared" si="19"/>
        <v>0</v>
      </c>
      <c r="N302" s="1">
        <f t="shared" si="20"/>
        <v>1406727.3056412486</v>
      </c>
      <c r="O302" s="1"/>
    </row>
    <row r="303" spans="1:15" x14ac:dyDescent="0.25">
      <c r="A303">
        <v>314</v>
      </c>
      <c r="B303">
        <v>30385.613109999998</v>
      </c>
      <c r="C303">
        <v>0</v>
      </c>
      <c r="D303">
        <v>648322.34530000004</v>
      </c>
      <c r="E303">
        <v>0</v>
      </c>
      <c r="F303">
        <v>1093958.3840000001</v>
      </c>
      <c r="G303">
        <v>746.68799999999999</v>
      </c>
      <c r="H303">
        <v>314</v>
      </c>
      <c r="I303" t="str">
        <f t="shared" si="17"/>
        <v>YES</v>
      </c>
      <c r="J303" t="s">
        <v>312</v>
      </c>
      <c r="K303">
        <v>174219.30353</v>
      </c>
      <c r="L303" s="1">
        <f t="shared" si="18"/>
        <v>0</v>
      </c>
      <c r="M303" s="1">
        <f t="shared" si="19"/>
        <v>0</v>
      </c>
      <c r="N303" s="1">
        <f t="shared" si="20"/>
        <v>663446.06290246418</v>
      </c>
      <c r="O303" s="1"/>
    </row>
    <row r="304" spans="1:15" x14ac:dyDescent="0.25">
      <c r="A304">
        <v>315</v>
      </c>
      <c r="B304">
        <v>31507.619839999999</v>
      </c>
      <c r="C304">
        <v>0</v>
      </c>
      <c r="D304">
        <v>652457.196</v>
      </c>
      <c r="E304">
        <v>0</v>
      </c>
      <c r="F304">
        <v>1098388.1240000001</v>
      </c>
      <c r="G304">
        <v>0</v>
      </c>
      <c r="H304">
        <v>315</v>
      </c>
      <c r="I304" t="str">
        <f t="shared" si="17"/>
        <v>YES</v>
      </c>
      <c r="J304" t="s">
        <v>313</v>
      </c>
      <c r="K304">
        <v>149176.34333100001</v>
      </c>
      <c r="L304" s="1">
        <f t="shared" si="18"/>
        <v>0</v>
      </c>
      <c r="M304" s="1">
        <f t="shared" si="19"/>
        <v>0</v>
      </c>
      <c r="N304" s="1">
        <f t="shared" si="20"/>
        <v>0</v>
      </c>
      <c r="O304" s="1"/>
    </row>
    <row r="305" spans="1:15" x14ac:dyDescent="0.25">
      <c r="A305">
        <v>316</v>
      </c>
      <c r="B305">
        <v>104723.31359999999</v>
      </c>
      <c r="C305">
        <v>0</v>
      </c>
      <c r="D305">
        <v>638829.32620000001</v>
      </c>
      <c r="E305">
        <v>0</v>
      </c>
      <c r="F305">
        <v>1055416.7919999999</v>
      </c>
      <c r="G305">
        <v>2714.8009999999999</v>
      </c>
      <c r="H305">
        <v>316</v>
      </c>
      <c r="I305" t="str">
        <f t="shared" si="17"/>
        <v>YES</v>
      </c>
      <c r="J305" t="s">
        <v>314</v>
      </c>
      <c r="K305">
        <v>298312.90299500001</v>
      </c>
      <c r="L305" s="1">
        <f t="shared" si="18"/>
        <v>0</v>
      </c>
      <c r="M305" s="1">
        <f t="shared" si="19"/>
        <v>0</v>
      </c>
      <c r="N305" s="1">
        <f t="shared" si="20"/>
        <v>4130286.8535550181</v>
      </c>
      <c r="O305" s="1"/>
    </row>
    <row r="306" spans="1:15" x14ac:dyDescent="0.25">
      <c r="A306">
        <v>317</v>
      </c>
      <c r="B306">
        <v>90548.718120000005</v>
      </c>
      <c r="C306">
        <v>0</v>
      </c>
      <c r="D306">
        <v>700121.34270000004</v>
      </c>
      <c r="E306">
        <v>0</v>
      </c>
      <c r="F306">
        <v>1137407.82</v>
      </c>
      <c r="G306">
        <v>2714.8009999999999</v>
      </c>
      <c r="H306">
        <v>317</v>
      </c>
      <c r="I306" t="str">
        <f t="shared" si="17"/>
        <v>YES</v>
      </c>
      <c r="J306" t="s">
        <v>315</v>
      </c>
      <c r="K306">
        <v>499329.47756600002</v>
      </c>
      <c r="L306" s="1">
        <f t="shared" si="18"/>
        <v>0</v>
      </c>
      <c r="M306" s="1">
        <f t="shared" si="19"/>
        <v>0</v>
      </c>
      <c r="N306" s="1">
        <f t="shared" si="20"/>
        <v>6913458.8416308369</v>
      </c>
      <c r="O306" s="1"/>
    </row>
    <row r="307" spans="1:15" x14ac:dyDescent="0.25">
      <c r="A307">
        <v>318</v>
      </c>
      <c r="B307">
        <v>47831.800190000002</v>
      </c>
      <c r="C307">
        <v>0</v>
      </c>
      <c r="D307">
        <v>651364.19660000002</v>
      </c>
      <c r="E307">
        <v>0</v>
      </c>
      <c r="F307">
        <v>1101730.4939999999</v>
      </c>
      <c r="G307">
        <v>746.68700000000001</v>
      </c>
      <c r="H307">
        <v>318</v>
      </c>
      <c r="I307" t="str">
        <f t="shared" si="17"/>
        <v>YES</v>
      </c>
      <c r="J307" t="s">
        <v>316</v>
      </c>
      <c r="K307">
        <v>234728.24671499999</v>
      </c>
      <c r="L307" s="1">
        <f t="shared" si="18"/>
        <v>0</v>
      </c>
      <c r="M307" s="1">
        <f t="shared" si="19"/>
        <v>0</v>
      </c>
      <c r="N307" s="1">
        <f t="shared" si="20"/>
        <v>893869.50480990438</v>
      </c>
      <c r="O307" s="1"/>
    </row>
    <row r="308" spans="1:15" x14ac:dyDescent="0.25">
      <c r="A308">
        <v>319</v>
      </c>
      <c r="B308">
        <v>218715.79070000001</v>
      </c>
      <c r="C308">
        <v>0</v>
      </c>
      <c r="D308">
        <v>774388.07530000003</v>
      </c>
      <c r="E308">
        <v>0</v>
      </c>
      <c r="F308">
        <v>1217356.3589999999</v>
      </c>
      <c r="G308">
        <v>0</v>
      </c>
      <c r="H308">
        <v>319</v>
      </c>
      <c r="I308" t="str">
        <f t="shared" si="17"/>
        <v>YES</v>
      </c>
      <c r="J308" t="s">
        <v>317</v>
      </c>
      <c r="K308">
        <v>381332.55069</v>
      </c>
      <c r="L308" s="1">
        <f t="shared" si="18"/>
        <v>0</v>
      </c>
      <c r="M308" s="1">
        <f t="shared" si="19"/>
        <v>0</v>
      </c>
      <c r="N308" s="1">
        <f t="shared" si="20"/>
        <v>0</v>
      </c>
      <c r="O308" s="1"/>
    </row>
    <row r="309" spans="1:15" x14ac:dyDescent="0.25">
      <c r="A309">
        <v>320</v>
      </c>
      <c r="B309">
        <v>160509.5276</v>
      </c>
      <c r="C309">
        <v>0</v>
      </c>
      <c r="D309">
        <v>746860.34439999994</v>
      </c>
      <c r="E309">
        <v>0</v>
      </c>
      <c r="F309">
        <v>1199762.1680000001</v>
      </c>
      <c r="G309">
        <v>644.87199999999996</v>
      </c>
      <c r="H309">
        <v>320</v>
      </c>
      <c r="I309" t="str">
        <f t="shared" si="17"/>
        <v>YES</v>
      </c>
      <c r="J309" t="s">
        <v>318</v>
      </c>
      <c r="K309">
        <v>403021.00133599999</v>
      </c>
      <c r="L309" s="1">
        <f t="shared" si="18"/>
        <v>0</v>
      </c>
      <c r="M309" s="1">
        <f t="shared" si="19"/>
        <v>0</v>
      </c>
      <c r="N309" s="1">
        <f t="shared" si="20"/>
        <v>1325474.4917850997</v>
      </c>
      <c r="O309" s="1"/>
    </row>
    <row r="310" spans="1:15" x14ac:dyDescent="0.25">
      <c r="A310">
        <v>321</v>
      </c>
      <c r="B310">
        <v>65962.605330000006</v>
      </c>
      <c r="C310">
        <v>0</v>
      </c>
      <c r="D310">
        <v>678172.20019999996</v>
      </c>
      <c r="E310">
        <v>0</v>
      </c>
      <c r="F310">
        <v>1140666.629</v>
      </c>
      <c r="G310">
        <v>2714.8009999999999</v>
      </c>
      <c r="H310">
        <v>321</v>
      </c>
      <c r="I310" t="str">
        <f t="shared" si="17"/>
        <v>YES</v>
      </c>
      <c r="J310" t="s">
        <v>319</v>
      </c>
      <c r="K310">
        <v>542398.87589499995</v>
      </c>
      <c r="L310" s="1">
        <f t="shared" si="18"/>
        <v>0</v>
      </c>
      <c r="M310" s="1">
        <f t="shared" si="19"/>
        <v>0</v>
      </c>
      <c r="N310" s="1">
        <f t="shared" si="20"/>
        <v>7509775.5544609707</v>
      </c>
      <c r="O310" s="1"/>
    </row>
    <row r="311" spans="1:15" x14ac:dyDescent="0.25">
      <c r="A311">
        <v>322</v>
      </c>
      <c r="B311">
        <v>89531.066600000006</v>
      </c>
      <c r="C311">
        <v>0</v>
      </c>
      <c r="D311">
        <v>650238.27740000002</v>
      </c>
      <c r="E311">
        <v>0</v>
      </c>
      <c r="F311">
        <v>1114853.929</v>
      </c>
      <c r="G311">
        <v>2231.027</v>
      </c>
      <c r="H311">
        <v>322</v>
      </c>
      <c r="I311" t="str">
        <f t="shared" si="17"/>
        <v>YES</v>
      </c>
      <c r="J311" t="s">
        <v>320</v>
      </c>
      <c r="K311">
        <v>109466.86167100001</v>
      </c>
      <c r="L311" s="1">
        <f t="shared" si="18"/>
        <v>0</v>
      </c>
      <c r="M311" s="1">
        <f t="shared" si="19"/>
        <v>0</v>
      </c>
      <c r="N311" s="1">
        <f t="shared" si="20"/>
        <v>1245539.9723656573</v>
      </c>
      <c r="O311" s="1"/>
    </row>
    <row r="312" spans="1:15" x14ac:dyDescent="0.25">
      <c r="A312">
        <v>323</v>
      </c>
      <c r="B312">
        <v>36114.407070000001</v>
      </c>
      <c r="C312">
        <v>0</v>
      </c>
      <c r="D312">
        <v>527641.57979999995</v>
      </c>
      <c r="E312">
        <v>0</v>
      </c>
      <c r="F312">
        <v>1051381.926</v>
      </c>
      <c r="G312">
        <v>0</v>
      </c>
      <c r="H312">
        <v>323</v>
      </c>
      <c r="I312" t="str">
        <f t="shared" si="17"/>
        <v>YES</v>
      </c>
      <c r="J312" t="s">
        <v>321</v>
      </c>
      <c r="K312">
        <v>187703.88836400001</v>
      </c>
      <c r="L312" s="1">
        <f t="shared" si="18"/>
        <v>0</v>
      </c>
      <c r="M312" s="1">
        <f t="shared" si="19"/>
        <v>0</v>
      </c>
      <c r="N312" s="1">
        <f t="shared" si="20"/>
        <v>0</v>
      </c>
      <c r="O312" s="1"/>
    </row>
    <row r="313" spans="1:15" x14ac:dyDescent="0.25">
      <c r="A313">
        <v>324</v>
      </c>
      <c r="B313">
        <v>35578.628069999999</v>
      </c>
      <c r="C313">
        <v>0</v>
      </c>
      <c r="D313">
        <v>545807.5821</v>
      </c>
      <c r="E313">
        <v>0</v>
      </c>
      <c r="F313">
        <v>992170.57539999997</v>
      </c>
      <c r="G313">
        <v>0</v>
      </c>
      <c r="H313">
        <v>324</v>
      </c>
      <c r="I313" t="str">
        <f t="shared" si="17"/>
        <v>YES</v>
      </c>
      <c r="J313" t="s">
        <v>322</v>
      </c>
      <c r="K313">
        <v>171806.89791999999</v>
      </c>
      <c r="L313" s="1">
        <f t="shared" si="18"/>
        <v>0</v>
      </c>
      <c r="M313" s="1">
        <f t="shared" si="19"/>
        <v>0</v>
      </c>
      <c r="N313" s="1">
        <f t="shared" si="20"/>
        <v>0</v>
      </c>
      <c r="O313" s="1"/>
    </row>
    <row r="314" spans="1:15" x14ac:dyDescent="0.25">
      <c r="A314">
        <v>325</v>
      </c>
      <c r="B314">
        <v>59216.213949999998</v>
      </c>
      <c r="C314">
        <v>0</v>
      </c>
      <c r="D314">
        <v>606327.84259999997</v>
      </c>
      <c r="E314">
        <v>0</v>
      </c>
      <c r="F314">
        <v>1060292.919</v>
      </c>
      <c r="G314">
        <v>1620.059</v>
      </c>
      <c r="H314">
        <v>325</v>
      </c>
      <c r="I314" t="str">
        <f t="shared" si="17"/>
        <v>YES</v>
      </c>
      <c r="J314" t="s">
        <v>323</v>
      </c>
      <c r="K314">
        <v>169282.38773799999</v>
      </c>
      <c r="L314" s="1">
        <f t="shared" si="18"/>
        <v>0</v>
      </c>
      <c r="M314" s="1">
        <f t="shared" si="19"/>
        <v>0</v>
      </c>
      <c r="N314" s="1">
        <f t="shared" si="20"/>
        <v>1398662.0245618264</v>
      </c>
      <c r="O314" s="1"/>
    </row>
    <row r="315" spans="1:15" x14ac:dyDescent="0.25">
      <c r="A315">
        <v>328</v>
      </c>
      <c r="B315">
        <v>158034.23790000001</v>
      </c>
      <c r="C315">
        <v>0</v>
      </c>
      <c r="D315">
        <v>772951.0233</v>
      </c>
      <c r="E315">
        <v>0</v>
      </c>
      <c r="F315">
        <v>1195380.6580000001</v>
      </c>
      <c r="G315">
        <v>0</v>
      </c>
      <c r="H315">
        <v>328</v>
      </c>
      <c r="I315" t="str">
        <f t="shared" si="17"/>
        <v>YES</v>
      </c>
      <c r="J315" t="s">
        <v>324</v>
      </c>
      <c r="K315">
        <v>244535.49985200001</v>
      </c>
      <c r="L315" s="1">
        <f t="shared" si="18"/>
        <v>0</v>
      </c>
      <c r="M315" s="1">
        <f t="shared" si="19"/>
        <v>0</v>
      </c>
      <c r="N315" s="1">
        <f t="shared" si="20"/>
        <v>0</v>
      </c>
      <c r="O315" s="1"/>
    </row>
    <row r="316" spans="1:15" x14ac:dyDescent="0.25">
      <c r="A316">
        <v>329</v>
      </c>
      <c r="B316">
        <v>52240.835679999997</v>
      </c>
      <c r="C316">
        <v>0</v>
      </c>
      <c r="D316">
        <v>685231.94579999999</v>
      </c>
      <c r="E316">
        <v>0</v>
      </c>
      <c r="F316">
        <v>1095789.554</v>
      </c>
      <c r="G316">
        <v>0</v>
      </c>
      <c r="H316">
        <v>329</v>
      </c>
      <c r="I316" t="str">
        <f t="shared" si="17"/>
        <v>YES</v>
      </c>
      <c r="J316" t="s">
        <v>325</v>
      </c>
      <c r="K316">
        <v>464058.76970599999</v>
      </c>
      <c r="L316" s="1">
        <f t="shared" si="18"/>
        <v>0</v>
      </c>
      <c r="M316" s="1">
        <f t="shared" si="19"/>
        <v>0</v>
      </c>
      <c r="N316" s="1">
        <f t="shared" si="20"/>
        <v>0</v>
      </c>
      <c r="O316" s="1"/>
    </row>
    <row r="317" spans="1:15" x14ac:dyDescent="0.25">
      <c r="A317">
        <v>330</v>
      </c>
      <c r="B317">
        <v>38419.666210000003</v>
      </c>
      <c r="C317">
        <v>0</v>
      </c>
      <c r="D317">
        <v>356125.40049999999</v>
      </c>
      <c r="E317">
        <v>0</v>
      </c>
      <c r="F317">
        <v>899794.30390000006</v>
      </c>
      <c r="G317">
        <v>573.61689999999999</v>
      </c>
      <c r="H317">
        <v>330</v>
      </c>
      <c r="I317" t="str">
        <f t="shared" si="17"/>
        <v>YES</v>
      </c>
      <c r="J317" t="s">
        <v>326</v>
      </c>
      <c r="K317">
        <v>465036.498356</v>
      </c>
      <c r="L317" s="1">
        <f t="shared" si="18"/>
        <v>0</v>
      </c>
      <c r="M317" s="1">
        <f t="shared" si="19"/>
        <v>0</v>
      </c>
      <c r="N317" s="1">
        <f t="shared" si="20"/>
        <v>1360439.2523265015</v>
      </c>
      <c r="O317" s="1"/>
    </row>
    <row r="318" spans="1:15" x14ac:dyDescent="0.25">
      <c r="A318">
        <v>331</v>
      </c>
      <c r="B318">
        <v>294206.04080000002</v>
      </c>
      <c r="C318">
        <v>0</v>
      </c>
      <c r="D318">
        <v>865429.82649999997</v>
      </c>
      <c r="E318">
        <v>0</v>
      </c>
      <c r="F318">
        <v>1287726.5160000001</v>
      </c>
      <c r="G318">
        <v>1337.0060000000001</v>
      </c>
      <c r="H318">
        <v>331</v>
      </c>
      <c r="I318" t="str">
        <f t="shared" si="17"/>
        <v>YES</v>
      </c>
      <c r="J318" t="s">
        <v>327</v>
      </c>
      <c r="K318">
        <v>509351.89146000001</v>
      </c>
      <c r="L318" s="1">
        <f t="shared" si="18"/>
        <v>0</v>
      </c>
      <c r="M318" s="1">
        <f t="shared" si="19"/>
        <v>0</v>
      </c>
      <c r="N318" s="1">
        <f t="shared" si="20"/>
        <v>3473133.3284661812</v>
      </c>
      <c r="O318" s="1"/>
    </row>
    <row r="319" spans="1:15" x14ac:dyDescent="0.25">
      <c r="A319">
        <v>332</v>
      </c>
      <c r="B319">
        <v>27103.115870000001</v>
      </c>
      <c r="C319">
        <v>0</v>
      </c>
      <c r="D319">
        <v>287351.75040000002</v>
      </c>
      <c r="E319">
        <v>0</v>
      </c>
      <c r="F319">
        <v>874731.12159999995</v>
      </c>
      <c r="G319">
        <v>0</v>
      </c>
      <c r="H319">
        <v>332</v>
      </c>
      <c r="I319" t="str">
        <f t="shared" si="17"/>
        <v>YES</v>
      </c>
      <c r="J319" t="s">
        <v>328</v>
      </c>
      <c r="K319">
        <v>552961.42396100005</v>
      </c>
      <c r="L319" s="1">
        <f t="shared" si="18"/>
        <v>0</v>
      </c>
      <c r="M319" s="1">
        <f t="shared" si="19"/>
        <v>0</v>
      </c>
      <c r="N319" s="1">
        <f t="shared" si="20"/>
        <v>0</v>
      </c>
      <c r="O319" s="1"/>
    </row>
    <row r="320" spans="1:15" x14ac:dyDescent="0.25">
      <c r="A320">
        <v>333</v>
      </c>
      <c r="B320">
        <v>63427.680910000003</v>
      </c>
      <c r="C320">
        <v>0</v>
      </c>
      <c r="D320">
        <v>758637.54110000003</v>
      </c>
      <c r="E320">
        <v>0</v>
      </c>
      <c r="F320">
        <v>1175916.6910000001</v>
      </c>
      <c r="G320">
        <v>3623.0520000000001</v>
      </c>
      <c r="H320">
        <v>333</v>
      </c>
      <c r="I320" t="str">
        <f t="shared" si="17"/>
        <v>YES</v>
      </c>
      <c r="J320" t="s">
        <v>329</v>
      </c>
      <c r="K320">
        <v>415004.73011300003</v>
      </c>
      <c r="L320" s="1">
        <f t="shared" si="18"/>
        <v>0</v>
      </c>
      <c r="M320" s="1">
        <f t="shared" si="19"/>
        <v>0</v>
      </c>
      <c r="N320" s="1">
        <f t="shared" si="20"/>
        <v>7668276.9589713616</v>
      </c>
      <c r="O320" s="1"/>
    </row>
    <row r="321" spans="1:15" x14ac:dyDescent="0.25">
      <c r="A321">
        <v>334</v>
      </c>
      <c r="B321">
        <v>1324.5644649999999</v>
      </c>
      <c r="C321">
        <v>0</v>
      </c>
      <c r="D321">
        <v>4382.1329610000003</v>
      </c>
      <c r="E321">
        <v>0</v>
      </c>
      <c r="F321">
        <v>89766.008199999997</v>
      </c>
      <c r="G321">
        <v>0</v>
      </c>
      <c r="H321">
        <v>334</v>
      </c>
      <c r="I321" t="str">
        <f t="shared" si="17"/>
        <v>YES</v>
      </c>
      <c r="J321" t="s">
        <v>330</v>
      </c>
      <c r="K321">
        <v>1196198.9983699999</v>
      </c>
      <c r="L321" s="1">
        <f t="shared" si="18"/>
        <v>0</v>
      </c>
      <c r="M321" s="1">
        <f t="shared" si="19"/>
        <v>0</v>
      </c>
      <c r="N321" s="1">
        <f t="shared" si="20"/>
        <v>0</v>
      </c>
      <c r="O321" s="1"/>
    </row>
    <row r="322" spans="1:15" x14ac:dyDescent="0.25">
      <c r="A322">
        <v>400</v>
      </c>
      <c r="B322">
        <v>9822.4378319999996</v>
      </c>
      <c r="C322">
        <v>0</v>
      </c>
      <c r="D322">
        <v>22073.35267</v>
      </c>
      <c r="E322">
        <v>0</v>
      </c>
      <c r="F322">
        <v>102576.697</v>
      </c>
      <c r="G322">
        <v>1098.3289</v>
      </c>
      <c r="H322">
        <v>400</v>
      </c>
      <c r="I322" t="str">
        <f t="shared" ref="I322:I385" si="21">IF(A322=H322,"YES","NO")</f>
        <v>YES</v>
      </c>
      <c r="J322" t="s">
        <v>331</v>
      </c>
      <c r="K322">
        <v>1386676.05388</v>
      </c>
      <c r="L322" s="1">
        <f t="shared" si="18"/>
        <v>0</v>
      </c>
      <c r="M322" s="1">
        <f t="shared" si="19"/>
        <v>0</v>
      </c>
      <c r="N322" s="1">
        <f t="shared" si="20"/>
        <v>7767434.5630632425</v>
      </c>
      <c r="O322" s="1"/>
    </row>
    <row r="323" spans="1:15" x14ac:dyDescent="0.25">
      <c r="A323">
        <v>401</v>
      </c>
      <c r="B323">
        <v>11972.64092</v>
      </c>
      <c r="C323">
        <v>0</v>
      </c>
      <c r="D323">
        <v>40494.64026</v>
      </c>
      <c r="E323">
        <v>0</v>
      </c>
      <c r="F323">
        <v>143050.13020000001</v>
      </c>
      <c r="G323">
        <v>194.20660000000001</v>
      </c>
      <c r="H323">
        <v>401</v>
      </c>
      <c r="I323" t="str">
        <f t="shared" si="21"/>
        <v>YES</v>
      </c>
      <c r="J323" t="s">
        <v>332</v>
      </c>
      <c r="K323">
        <v>1173102.38161</v>
      </c>
      <c r="L323" s="1">
        <f t="shared" ref="L323:L386" si="22">$U$2*$K323*C323</f>
        <v>0</v>
      </c>
      <c r="M323" s="1">
        <f t="shared" ref="M323:M386" si="23">$U$3*$K323*E323</f>
        <v>0</v>
      </c>
      <c r="N323" s="1">
        <f t="shared" ref="N323:N386" si="24">$U$4*$K323*G323</f>
        <v>1161903.5474203413</v>
      </c>
      <c r="O323" s="1"/>
    </row>
    <row r="324" spans="1:15" x14ac:dyDescent="0.25">
      <c r="A324">
        <v>402</v>
      </c>
      <c r="B324">
        <v>12743.618469999999</v>
      </c>
      <c r="C324">
        <v>0</v>
      </c>
      <c r="D324">
        <v>39094.883099999999</v>
      </c>
      <c r="E324">
        <v>0</v>
      </c>
      <c r="F324">
        <v>152060.34719999999</v>
      </c>
      <c r="G324">
        <v>0</v>
      </c>
      <c r="H324">
        <v>402</v>
      </c>
      <c r="I324" t="str">
        <f t="shared" si="21"/>
        <v>YES</v>
      </c>
      <c r="J324" t="s">
        <v>333</v>
      </c>
      <c r="K324">
        <v>802674.75168800005</v>
      </c>
      <c r="L324" s="1">
        <f t="shared" si="22"/>
        <v>0</v>
      </c>
      <c r="M324" s="1">
        <f t="shared" si="23"/>
        <v>0</v>
      </c>
      <c r="N324" s="1">
        <f t="shared" si="24"/>
        <v>0</v>
      </c>
      <c r="O324" s="1"/>
    </row>
    <row r="325" spans="1:15" x14ac:dyDescent="0.25">
      <c r="A325">
        <v>405</v>
      </c>
      <c r="B325">
        <v>14869.957189999999</v>
      </c>
      <c r="C325">
        <v>0</v>
      </c>
      <c r="D325">
        <v>85669.991590000005</v>
      </c>
      <c r="E325">
        <v>0</v>
      </c>
      <c r="F325">
        <v>567499.1507</v>
      </c>
      <c r="G325">
        <v>0</v>
      </c>
      <c r="H325">
        <v>405</v>
      </c>
      <c r="I325" t="str">
        <f t="shared" si="21"/>
        <v>YES</v>
      </c>
      <c r="J325" t="s">
        <v>334</v>
      </c>
      <c r="K325">
        <v>655251.37619600003</v>
      </c>
      <c r="L325" s="1">
        <f t="shared" si="22"/>
        <v>0</v>
      </c>
      <c r="M325" s="1">
        <f t="shared" si="23"/>
        <v>0</v>
      </c>
      <c r="N325" s="1">
        <f t="shared" si="24"/>
        <v>0</v>
      </c>
      <c r="O325" s="1"/>
    </row>
    <row r="326" spans="1:15" x14ac:dyDescent="0.25">
      <c r="A326">
        <v>406</v>
      </c>
      <c r="B326">
        <v>18489.896560000001</v>
      </c>
      <c r="C326">
        <v>0</v>
      </c>
      <c r="D326">
        <v>72883.659660000005</v>
      </c>
      <c r="E326">
        <v>0</v>
      </c>
      <c r="F326">
        <v>383648.92290000001</v>
      </c>
      <c r="G326">
        <v>0</v>
      </c>
      <c r="H326">
        <v>406</v>
      </c>
      <c r="I326" t="str">
        <f t="shared" si="21"/>
        <v>YES</v>
      </c>
      <c r="J326" t="s">
        <v>335</v>
      </c>
      <c r="K326">
        <v>409999.88608899998</v>
      </c>
      <c r="L326" s="1">
        <f t="shared" si="22"/>
        <v>0</v>
      </c>
      <c r="M326" s="1">
        <f t="shared" si="23"/>
        <v>0</v>
      </c>
      <c r="N326" s="1">
        <f t="shared" si="24"/>
        <v>0</v>
      </c>
      <c r="O326" s="1"/>
    </row>
    <row r="327" spans="1:15" x14ac:dyDescent="0.25">
      <c r="A327">
        <v>407</v>
      </c>
      <c r="B327">
        <v>15947.499750000001</v>
      </c>
      <c r="C327">
        <v>0</v>
      </c>
      <c r="D327">
        <v>86269.520629999999</v>
      </c>
      <c r="E327">
        <v>0</v>
      </c>
      <c r="F327">
        <v>578806.35049999994</v>
      </c>
      <c r="G327">
        <v>0</v>
      </c>
      <c r="H327">
        <v>407</v>
      </c>
      <c r="I327" t="str">
        <f t="shared" si="21"/>
        <v>YES</v>
      </c>
      <c r="J327" t="s">
        <v>336</v>
      </c>
      <c r="K327">
        <v>637552.17958300002</v>
      </c>
      <c r="L327" s="1">
        <f t="shared" si="22"/>
        <v>0</v>
      </c>
      <c r="M327" s="1">
        <f t="shared" si="23"/>
        <v>0</v>
      </c>
      <c r="N327" s="1">
        <f t="shared" si="24"/>
        <v>0</v>
      </c>
      <c r="O327" s="1"/>
    </row>
    <row r="328" spans="1:15" x14ac:dyDescent="0.25">
      <c r="A328">
        <v>408</v>
      </c>
      <c r="B328">
        <v>30654.992839999999</v>
      </c>
      <c r="C328">
        <v>0</v>
      </c>
      <c r="D328">
        <v>129200.4078</v>
      </c>
      <c r="E328">
        <v>0</v>
      </c>
      <c r="F328">
        <v>632384.22030000004</v>
      </c>
      <c r="G328">
        <v>0</v>
      </c>
      <c r="H328">
        <v>408</v>
      </c>
      <c r="I328" t="str">
        <f t="shared" si="21"/>
        <v>YES</v>
      </c>
      <c r="J328" t="s">
        <v>337</v>
      </c>
      <c r="K328">
        <v>1721738.65922</v>
      </c>
      <c r="L328" s="1">
        <f t="shared" si="22"/>
        <v>0</v>
      </c>
      <c r="M328" s="1">
        <f t="shared" si="23"/>
        <v>0</v>
      </c>
      <c r="N328" s="1">
        <f t="shared" si="24"/>
        <v>0</v>
      </c>
      <c r="O328" s="1"/>
    </row>
    <row r="329" spans="1:15" x14ac:dyDescent="0.25">
      <c r="A329">
        <v>409</v>
      </c>
      <c r="B329">
        <v>60449.392500000002</v>
      </c>
      <c r="C329">
        <v>0</v>
      </c>
      <c r="D329">
        <v>588320.59149999998</v>
      </c>
      <c r="E329">
        <v>0</v>
      </c>
      <c r="F329">
        <v>1004835.983</v>
      </c>
      <c r="G329">
        <v>0</v>
      </c>
      <c r="H329">
        <v>409</v>
      </c>
      <c r="I329" t="str">
        <f t="shared" si="21"/>
        <v>YES</v>
      </c>
      <c r="J329" t="s">
        <v>338</v>
      </c>
      <c r="K329">
        <v>454663.31942199997</v>
      </c>
      <c r="L329" s="1">
        <f t="shared" si="22"/>
        <v>0</v>
      </c>
      <c r="M329" s="1">
        <f t="shared" si="23"/>
        <v>0</v>
      </c>
      <c r="N329" s="1">
        <f t="shared" si="24"/>
        <v>0</v>
      </c>
      <c r="O329" s="1"/>
    </row>
    <row r="330" spans="1:15" x14ac:dyDescent="0.25">
      <c r="A330">
        <v>410</v>
      </c>
      <c r="B330">
        <v>109104.80620000001</v>
      </c>
      <c r="C330">
        <v>0</v>
      </c>
      <c r="D330">
        <v>742590.87150000001</v>
      </c>
      <c r="E330">
        <v>0</v>
      </c>
      <c r="F330">
        <v>1110394.05</v>
      </c>
      <c r="G330">
        <v>0</v>
      </c>
      <c r="H330">
        <v>410</v>
      </c>
      <c r="I330" t="str">
        <f t="shared" si="21"/>
        <v>YES</v>
      </c>
      <c r="J330" t="s">
        <v>339</v>
      </c>
      <c r="K330">
        <v>305741.99478800001</v>
      </c>
      <c r="L330" s="1">
        <f t="shared" si="22"/>
        <v>0</v>
      </c>
      <c r="M330" s="1">
        <f t="shared" si="23"/>
        <v>0</v>
      </c>
      <c r="N330" s="1">
        <f t="shared" si="24"/>
        <v>0</v>
      </c>
      <c r="O330" s="1"/>
    </row>
    <row r="331" spans="1:15" x14ac:dyDescent="0.25">
      <c r="A331">
        <v>411</v>
      </c>
      <c r="B331">
        <v>421255.3222</v>
      </c>
      <c r="C331">
        <v>0</v>
      </c>
      <c r="D331">
        <v>901882.04070000001</v>
      </c>
      <c r="E331">
        <v>0</v>
      </c>
      <c r="F331">
        <v>1332042.9509999999</v>
      </c>
      <c r="G331">
        <v>194.20599999999999</v>
      </c>
      <c r="H331">
        <v>411</v>
      </c>
      <c r="I331" t="str">
        <f t="shared" si="21"/>
        <v>YES</v>
      </c>
      <c r="J331" t="s">
        <v>340</v>
      </c>
      <c r="K331">
        <v>298564.44738700002</v>
      </c>
      <c r="L331" s="1">
        <f t="shared" si="22"/>
        <v>0</v>
      </c>
      <c r="M331" s="1">
        <f t="shared" si="23"/>
        <v>0</v>
      </c>
      <c r="N331" s="1">
        <f t="shared" si="24"/>
        <v>295713.33605312259</v>
      </c>
      <c r="O331" s="1"/>
    </row>
    <row r="332" spans="1:15" x14ac:dyDescent="0.25">
      <c r="A332">
        <v>412</v>
      </c>
      <c r="B332">
        <v>63091.424509999997</v>
      </c>
      <c r="C332">
        <v>0</v>
      </c>
      <c r="D332">
        <v>445178.91830000002</v>
      </c>
      <c r="E332">
        <v>1098.3288</v>
      </c>
      <c r="F332">
        <v>903907.15209999995</v>
      </c>
      <c r="G332">
        <v>0</v>
      </c>
      <c r="H332">
        <v>412</v>
      </c>
      <c r="I332" t="str">
        <f t="shared" si="21"/>
        <v>YES</v>
      </c>
      <c r="J332" t="s">
        <v>341</v>
      </c>
      <c r="K332">
        <v>460963.41911299998</v>
      </c>
      <c r="L332" s="1">
        <f t="shared" si="22"/>
        <v>0</v>
      </c>
      <c r="M332" s="1">
        <f t="shared" si="23"/>
        <v>5518554.4486452341</v>
      </c>
      <c r="N332" s="1">
        <f t="shared" si="24"/>
        <v>0</v>
      </c>
      <c r="O332" s="1"/>
    </row>
    <row r="333" spans="1:15" x14ac:dyDescent="0.25">
      <c r="A333">
        <v>413</v>
      </c>
      <c r="B333">
        <v>24383.035260000001</v>
      </c>
      <c r="C333">
        <v>0</v>
      </c>
      <c r="D333">
        <v>206215.35740000001</v>
      </c>
      <c r="E333">
        <v>0</v>
      </c>
      <c r="F333">
        <v>767494.17189999996</v>
      </c>
      <c r="G333">
        <v>194.20670000000001</v>
      </c>
      <c r="H333">
        <v>413</v>
      </c>
      <c r="I333" t="str">
        <f t="shared" si="21"/>
        <v>YES</v>
      </c>
      <c r="J333" t="s">
        <v>342</v>
      </c>
      <c r="K333">
        <v>383147.386895</v>
      </c>
      <c r="L333" s="1">
        <f t="shared" si="22"/>
        <v>0</v>
      </c>
      <c r="M333" s="1">
        <f t="shared" si="23"/>
        <v>0</v>
      </c>
      <c r="N333" s="1">
        <f t="shared" si="24"/>
        <v>379489.92707475618</v>
      </c>
      <c r="O333" s="1"/>
    </row>
    <row r="334" spans="1:15" x14ac:dyDescent="0.25">
      <c r="A334">
        <v>414</v>
      </c>
      <c r="B334">
        <v>63715.914400000001</v>
      </c>
      <c r="C334">
        <v>0</v>
      </c>
      <c r="D334">
        <v>557503.99179999996</v>
      </c>
      <c r="E334">
        <v>1098.3288</v>
      </c>
      <c r="F334">
        <v>949689.50730000006</v>
      </c>
      <c r="G334">
        <v>0</v>
      </c>
      <c r="H334">
        <v>414</v>
      </c>
      <c r="I334" t="str">
        <f t="shared" si="21"/>
        <v>YES</v>
      </c>
      <c r="J334" t="s">
        <v>343</v>
      </c>
      <c r="K334">
        <v>583161.68332800001</v>
      </c>
      <c r="L334" s="1">
        <f t="shared" si="22"/>
        <v>0</v>
      </c>
      <c r="M334" s="1">
        <f t="shared" si="23"/>
        <v>6981485.6632262832</v>
      </c>
      <c r="N334" s="1">
        <f t="shared" si="24"/>
        <v>0</v>
      </c>
      <c r="O334" s="1"/>
    </row>
    <row r="335" spans="1:15" x14ac:dyDescent="0.25">
      <c r="A335">
        <v>415</v>
      </c>
      <c r="B335">
        <v>18086.19138</v>
      </c>
      <c r="C335">
        <v>0</v>
      </c>
      <c r="D335">
        <v>154224.30239999999</v>
      </c>
      <c r="E335">
        <v>1098.3288</v>
      </c>
      <c r="F335">
        <v>714032.27049999998</v>
      </c>
      <c r="G335">
        <v>0</v>
      </c>
      <c r="H335">
        <v>415</v>
      </c>
      <c r="I335" t="str">
        <f t="shared" si="21"/>
        <v>YES</v>
      </c>
      <c r="J335" t="s">
        <v>344</v>
      </c>
      <c r="K335">
        <v>327414.41865599999</v>
      </c>
      <c r="L335" s="1">
        <f t="shared" si="22"/>
        <v>0</v>
      </c>
      <c r="M335" s="1">
        <f t="shared" si="23"/>
        <v>3919734.6724420488</v>
      </c>
      <c r="N335" s="1">
        <f t="shared" si="24"/>
        <v>0</v>
      </c>
      <c r="O335" s="1"/>
    </row>
    <row r="336" spans="1:15" x14ac:dyDescent="0.25">
      <c r="A336">
        <v>416</v>
      </c>
      <c r="B336">
        <v>37056.131050000004</v>
      </c>
      <c r="C336">
        <v>0</v>
      </c>
      <c r="D336">
        <v>178038.61970000001</v>
      </c>
      <c r="E336">
        <v>0</v>
      </c>
      <c r="F336">
        <v>757062.46869999997</v>
      </c>
      <c r="G336">
        <v>194.20660000000001</v>
      </c>
      <c r="H336">
        <v>416</v>
      </c>
      <c r="I336" t="str">
        <f t="shared" si="21"/>
        <v>YES</v>
      </c>
      <c r="J336" t="s">
        <v>345</v>
      </c>
      <c r="K336">
        <v>466210.43894399999</v>
      </c>
      <c r="L336" s="1">
        <f t="shared" si="22"/>
        <v>0</v>
      </c>
      <c r="M336" s="1">
        <f t="shared" si="23"/>
        <v>0</v>
      </c>
      <c r="N336" s="1">
        <f t="shared" si="24"/>
        <v>461759.83558229142</v>
      </c>
      <c r="O336" s="1"/>
    </row>
    <row r="337" spans="1:15" x14ac:dyDescent="0.25">
      <c r="A337">
        <v>417</v>
      </c>
      <c r="B337">
        <v>10342.41337</v>
      </c>
      <c r="C337">
        <v>0</v>
      </c>
      <c r="D337">
        <v>131403.2599</v>
      </c>
      <c r="E337">
        <v>1103.8649</v>
      </c>
      <c r="F337">
        <v>662995.1605</v>
      </c>
      <c r="G337">
        <v>473.10410000000002</v>
      </c>
      <c r="H337">
        <v>417</v>
      </c>
      <c r="I337" t="str">
        <f t="shared" si="21"/>
        <v>YES</v>
      </c>
      <c r="J337" t="s">
        <v>346</v>
      </c>
      <c r="K337">
        <v>2675453.3536999999</v>
      </c>
      <c r="L337" s="1">
        <f t="shared" si="22"/>
        <v>0</v>
      </c>
      <c r="M337" s="1">
        <f t="shared" si="23"/>
        <v>32191395.631230194</v>
      </c>
      <c r="N337" s="1">
        <f t="shared" si="24"/>
        <v>6455416.5500705233</v>
      </c>
      <c r="O337" s="1"/>
    </row>
    <row r="338" spans="1:15" x14ac:dyDescent="0.25">
      <c r="A338">
        <v>418</v>
      </c>
      <c r="B338">
        <v>89858.504159999997</v>
      </c>
      <c r="C338">
        <v>0</v>
      </c>
      <c r="D338">
        <v>666642.77650000004</v>
      </c>
      <c r="E338">
        <v>0</v>
      </c>
      <c r="F338">
        <v>1058916.5</v>
      </c>
      <c r="G338">
        <v>194.20599999999999</v>
      </c>
      <c r="H338">
        <v>418</v>
      </c>
      <c r="I338" t="str">
        <f t="shared" si="21"/>
        <v>YES</v>
      </c>
      <c r="J338" t="s">
        <v>347</v>
      </c>
      <c r="K338">
        <v>199624.37128200001</v>
      </c>
      <c r="L338" s="1">
        <f t="shared" si="22"/>
        <v>0</v>
      </c>
      <c r="M338" s="1">
        <f t="shared" si="23"/>
        <v>0</v>
      </c>
      <c r="N338" s="1">
        <f t="shared" si="24"/>
        <v>197718.07831087967</v>
      </c>
      <c r="O338" s="1"/>
    </row>
    <row r="339" spans="1:15" x14ac:dyDescent="0.25">
      <c r="A339">
        <v>420</v>
      </c>
      <c r="B339">
        <v>44315.055289999997</v>
      </c>
      <c r="C339">
        <v>935.10391000000004</v>
      </c>
      <c r="D339">
        <v>474478.38459999999</v>
      </c>
      <c r="E339">
        <v>677.98099999999999</v>
      </c>
      <c r="F339">
        <v>844819.72320000001</v>
      </c>
      <c r="G339">
        <v>0</v>
      </c>
      <c r="H339">
        <v>420</v>
      </c>
      <c r="I339" t="str">
        <f t="shared" si="21"/>
        <v>YES</v>
      </c>
      <c r="J339" t="s">
        <v>348</v>
      </c>
      <c r="K339">
        <v>487078.36313000001</v>
      </c>
      <c r="L339" s="1">
        <f t="shared" si="22"/>
        <v>14802738.659776043</v>
      </c>
      <c r="M339" s="1">
        <f t="shared" si="23"/>
        <v>3599505.645274322</v>
      </c>
      <c r="N339" s="1">
        <f t="shared" si="24"/>
        <v>0</v>
      </c>
      <c r="O339" s="1"/>
    </row>
    <row r="340" spans="1:15" x14ac:dyDescent="0.25">
      <c r="A340">
        <v>421</v>
      </c>
      <c r="B340">
        <v>14957.6157</v>
      </c>
      <c r="C340">
        <v>0</v>
      </c>
      <c r="D340">
        <v>91518.671340000001</v>
      </c>
      <c r="E340">
        <v>0</v>
      </c>
      <c r="F340">
        <v>585551.13190000004</v>
      </c>
      <c r="G340">
        <v>0</v>
      </c>
      <c r="H340">
        <v>421</v>
      </c>
      <c r="I340" t="str">
        <f t="shared" si="21"/>
        <v>YES</v>
      </c>
      <c r="J340" t="s">
        <v>349</v>
      </c>
      <c r="K340">
        <v>939991.74122199998</v>
      </c>
      <c r="L340" s="1">
        <f t="shared" si="22"/>
        <v>0</v>
      </c>
      <c r="M340" s="1">
        <f t="shared" si="23"/>
        <v>0</v>
      </c>
      <c r="N340" s="1">
        <f t="shared" si="24"/>
        <v>0</v>
      </c>
      <c r="O340" s="1"/>
    </row>
    <row r="341" spans="1:15" x14ac:dyDescent="0.25">
      <c r="A341">
        <v>422</v>
      </c>
      <c r="B341">
        <v>15834.492550000001</v>
      </c>
      <c r="C341">
        <v>0</v>
      </c>
      <c r="D341">
        <v>103114.2077</v>
      </c>
      <c r="E341">
        <v>446.31830000000002</v>
      </c>
      <c r="F341">
        <v>549963.11750000005</v>
      </c>
      <c r="G341">
        <v>0</v>
      </c>
      <c r="H341">
        <v>422</v>
      </c>
      <c r="I341" t="str">
        <f t="shared" si="21"/>
        <v>YES</v>
      </c>
      <c r="J341" t="s">
        <v>350</v>
      </c>
      <c r="K341">
        <v>604707.96445900004</v>
      </c>
      <c r="L341" s="1">
        <f t="shared" si="22"/>
        <v>0</v>
      </c>
      <c r="M341" s="1">
        <f t="shared" si="23"/>
        <v>2941825.3145624343</v>
      </c>
      <c r="N341" s="1">
        <f t="shared" si="24"/>
        <v>0</v>
      </c>
      <c r="O341" s="1"/>
    </row>
    <row r="342" spans="1:15" x14ac:dyDescent="0.25">
      <c r="A342">
        <v>423</v>
      </c>
      <c r="B342">
        <v>13591.739740000001</v>
      </c>
      <c r="C342">
        <v>0</v>
      </c>
      <c r="D342">
        <v>85964.703349999996</v>
      </c>
      <c r="E342">
        <v>194.20661999999999</v>
      </c>
      <c r="F342">
        <v>563220.57660000003</v>
      </c>
      <c r="G342">
        <v>2070.8157000000001</v>
      </c>
      <c r="H342">
        <v>423</v>
      </c>
      <c r="I342" t="str">
        <f t="shared" si="21"/>
        <v>YES</v>
      </c>
      <c r="J342" t="s">
        <v>351</v>
      </c>
      <c r="K342">
        <v>112150.752058</v>
      </c>
      <c r="L342" s="1">
        <f t="shared" si="22"/>
        <v>0</v>
      </c>
      <c r="M342" s="1">
        <f t="shared" si="23"/>
        <v>237406.56151530021</v>
      </c>
      <c r="N342" s="1">
        <f t="shared" si="24"/>
        <v>1184442.04445542</v>
      </c>
      <c r="O342" s="1"/>
    </row>
    <row r="343" spans="1:15" x14ac:dyDescent="0.25">
      <c r="A343">
        <v>424</v>
      </c>
      <c r="B343">
        <v>14954.6988</v>
      </c>
      <c r="C343">
        <v>0</v>
      </c>
      <c r="D343">
        <v>78252.284390000001</v>
      </c>
      <c r="E343">
        <v>194.20662999999999</v>
      </c>
      <c r="F343">
        <v>522965.44500000001</v>
      </c>
      <c r="G343">
        <v>3226.8271</v>
      </c>
      <c r="H343">
        <v>424</v>
      </c>
      <c r="I343" t="str">
        <f t="shared" si="21"/>
        <v>YES</v>
      </c>
      <c r="J343" t="s">
        <v>352</v>
      </c>
      <c r="K343">
        <v>512005.40729399998</v>
      </c>
      <c r="L343" s="1">
        <f t="shared" si="22"/>
        <v>0</v>
      </c>
      <c r="M343" s="1">
        <f t="shared" si="23"/>
        <v>1083839.8071465623</v>
      </c>
      <c r="N343" s="1">
        <f t="shared" si="24"/>
        <v>8425979.9103743657</v>
      </c>
      <c r="O343" s="1"/>
    </row>
    <row r="344" spans="1:15" x14ac:dyDescent="0.25">
      <c r="A344">
        <v>425</v>
      </c>
      <c r="B344">
        <v>14279.8513</v>
      </c>
      <c r="C344">
        <v>0</v>
      </c>
      <c r="D344">
        <v>63420.363669999999</v>
      </c>
      <c r="E344">
        <v>0</v>
      </c>
      <c r="F344">
        <v>432077.54300000001</v>
      </c>
      <c r="G344">
        <v>0</v>
      </c>
      <c r="H344">
        <v>425</v>
      </c>
      <c r="I344" t="str">
        <f t="shared" si="21"/>
        <v>YES</v>
      </c>
      <c r="J344" t="s">
        <v>353</v>
      </c>
      <c r="K344">
        <v>269583.886023</v>
      </c>
      <c r="L344" s="1">
        <f t="shared" si="22"/>
        <v>0</v>
      </c>
      <c r="M344" s="1">
        <f t="shared" si="23"/>
        <v>0</v>
      </c>
      <c r="N344" s="1">
        <f t="shared" si="24"/>
        <v>0</v>
      </c>
      <c r="O344" s="1"/>
    </row>
    <row r="345" spans="1:15" x14ac:dyDescent="0.25">
      <c r="A345">
        <v>426</v>
      </c>
      <c r="B345">
        <v>15190.869699999999</v>
      </c>
      <c r="C345">
        <v>0</v>
      </c>
      <c r="D345">
        <v>108573.0958</v>
      </c>
      <c r="E345">
        <v>0</v>
      </c>
      <c r="F345">
        <v>626506.73400000005</v>
      </c>
      <c r="G345">
        <v>0</v>
      </c>
      <c r="H345">
        <v>426</v>
      </c>
      <c r="I345" t="str">
        <f t="shared" si="21"/>
        <v>YES</v>
      </c>
      <c r="J345" t="s">
        <v>354</v>
      </c>
      <c r="K345">
        <v>188026.465287</v>
      </c>
      <c r="L345" s="1">
        <f t="shared" si="22"/>
        <v>0</v>
      </c>
      <c r="M345" s="1">
        <f t="shared" si="23"/>
        <v>0</v>
      </c>
      <c r="N345" s="1">
        <f t="shared" si="24"/>
        <v>0</v>
      </c>
      <c r="O345" s="1"/>
    </row>
    <row r="346" spans="1:15" x14ac:dyDescent="0.25">
      <c r="A346">
        <v>428</v>
      </c>
      <c r="B346">
        <v>9693.8143080000009</v>
      </c>
      <c r="C346">
        <v>0</v>
      </c>
      <c r="D346">
        <v>35035.338309999999</v>
      </c>
      <c r="E346">
        <v>0</v>
      </c>
      <c r="F346">
        <v>118137.9721</v>
      </c>
      <c r="G346">
        <v>0</v>
      </c>
      <c r="H346" s="5">
        <v>428</v>
      </c>
      <c r="I346" t="str">
        <f t="shared" si="21"/>
        <v>YES</v>
      </c>
      <c r="J346" s="5" t="s">
        <v>355</v>
      </c>
      <c r="K346" s="5">
        <v>347360.44341399998</v>
      </c>
      <c r="L346" s="1">
        <f t="shared" si="22"/>
        <v>0</v>
      </c>
      <c r="M346" s="1">
        <f t="shared" si="23"/>
        <v>0</v>
      </c>
      <c r="N346" s="1">
        <f t="shared" si="24"/>
        <v>0</v>
      </c>
      <c r="O346" s="1"/>
    </row>
    <row r="347" spans="1:15" x14ac:dyDescent="0.25">
      <c r="A347">
        <v>429</v>
      </c>
      <c r="B347">
        <v>8396.6571010000007</v>
      </c>
      <c r="C347">
        <v>0</v>
      </c>
      <c r="D347">
        <v>35565.386380000004</v>
      </c>
      <c r="E347">
        <v>0</v>
      </c>
      <c r="F347">
        <v>108000.21799999999</v>
      </c>
      <c r="G347">
        <v>0</v>
      </c>
      <c r="H347" s="5">
        <v>429</v>
      </c>
      <c r="I347" t="str">
        <f t="shared" si="21"/>
        <v>YES</v>
      </c>
      <c r="J347" s="5" t="s">
        <v>356</v>
      </c>
      <c r="K347" s="5">
        <v>1273071.43554</v>
      </c>
      <c r="L347" s="1">
        <f t="shared" si="22"/>
        <v>0</v>
      </c>
      <c r="M347" s="1">
        <f t="shared" si="23"/>
        <v>0</v>
      </c>
      <c r="N347" s="1">
        <f t="shared" si="24"/>
        <v>0</v>
      </c>
      <c r="O347" s="1"/>
    </row>
    <row r="348" spans="1:15" x14ac:dyDescent="0.25">
      <c r="A348">
        <v>430</v>
      </c>
      <c r="B348">
        <v>4668.5314689999996</v>
      </c>
      <c r="C348">
        <v>0</v>
      </c>
      <c r="D348">
        <v>11826.654790000001</v>
      </c>
      <c r="E348">
        <v>0</v>
      </c>
      <c r="F348">
        <v>39602.283539999997</v>
      </c>
      <c r="G348">
        <v>0</v>
      </c>
      <c r="H348" s="5">
        <v>430</v>
      </c>
      <c r="I348" t="str">
        <f t="shared" si="21"/>
        <v>YES</v>
      </c>
      <c r="J348" s="5" t="s">
        <v>357</v>
      </c>
      <c r="K348" s="5">
        <v>1178896.1943600001</v>
      </c>
      <c r="L348" s="1">
        <f t="shared" si="22"/>
        <v>0</v>
      </c>
      <c r="M348" s="1">
        <f t="shared" si="23"/>
        <v>0</v>
      </c>
      <c r="N348" s="1">
        <f t="shared" si="24"/>
        <v>0</v>
      </c>
      <c r="O348" s="1"/>
    </row>
    <row r="349" spans="1:15" x14ac:dyDescent="0.25">
      <c r="A349">
        <v>433</v>
      </c>
      <c r="B349">
        <v>109995.30220000001</v>
      </c>
      <c r="C349">
        <v>0</v>
      </c>
      <c r="D349">
        <v>742311.3885</v>
      </c>
      <c r="E349">
        <v>0</v>
      </c>
      <c r="F349">
        <v>1153027.202</v>
      </c>
      <c r="G349">
        <v>0</v>
      </c>
      <c r="H349">
        <v>433</v>
      </c>
      <c r="I349" t="str">
        <f t="shared" si="21"/>
        <v>YES</v>
      </c>
      <c r="J349" t="s">
        <v>358</v>
      </c>
      <c r="K349">
        <v>3301122.9986899998</v>
      </c>
      <c r="L349" s="1">
        <f t="shared" si="22"/>
        <v>0</v>
      </c>
      <c r="M349" s="1">
        <f t="shared" si="23"/>
        <v>0</v>
      </c>
      <c r="N349" s="1">
        <f t="shared" si="24"/>
        <v>0</v>
      </c>
      <c r="O349" s="1"/>
    </row>
    <row r="350" spans="1:15" x14ac:dyDescent="0.25">
      <c r="A350">
        <v>434</v>
      </c>
      <c r="B350">
        <v>22853.95664</v>
      </c>
      <c r="C350">
        <v>0</v>
      </c>
      <c r="D350">
        <v>484806.43640000001</v>
      </c>
      <c r="E350">
        <v>0</v>
      </c>
      <c r="F350">
        <v>959593.20319999999</v>
      </c>
      <c r="G350">
        <v>1103.8649</v>
      </c>
      <c r="H350">
        <v>434</v>
      </c>
      <c r="I350" t="str">
        <f t="shared" si="21"/>
        <v>YES</v>
      </c>
      <c r="J350" t="s">
        <v>359</v>
      </c>
      <c r="K350">
        <v>2217937.1612999998</v>
      </c>
      <c r="L350" s="1">
        <f t="shared" si="22"/>
        <v>0</v>
      </c>
      <c r="M350" s="1">
        <f t="shared" si="23"/>
        <v>0</v>
      </c>
      <c r="N350" s="1">
        <f t="shared" si="24"/>
        <v>12486345.212100012</v>
      </c>
      <c r="O350" s="1"/>
    </row>
    <row r="351" spans="1:15" x14ac:dyDescent="0.25">
      <c r="A351">
        <v>435</v>
      </c>
      <c r="B351">
        <v>3402.1453019999999</v>
      </c>
      <c r="C351">
        <v>0</v>
      </c>
      <c r="D351">
        <v>9499.0545469999997</v>
      </c>
      <c r="E351">
        <v>0</v>
      </c>
      <c r="F351">
        <v>51075.495110000003</v>
      </c>
      <c r="G351">
        <v>0</v>
      </c>
      <c r="H351">
        <v>435</v>
      </c>
      <c r="I351" t="str">
        <f t="shared" si="21"/>
        <v>YES</v>
      </c>
      <c r="J351" t="s">
        <v>360</v>
      </c>
      <c r="K351">
        <v>3375902.1535</v>
      </c>
      <c r="L351" s="1">
        <f t="shared" si="22"/>
        <v>0</v>
      </c>
      <c r="M351" s="1">
        <f t="shared" si="23"/>
        <v>0</v>
      </c>
      <c r="N351" s="1">
        <f t="shared" si="24"/>
        <v>0</v>
      </c>
      <c r="O351" s="1"/>
    </row>
    <row r="352" spans="1:15" x14ac:dyDescent="0.25">
      <c r="A352">
        <v>500</v>
      </c>
      <c r="B352">
        <v>64866.161979999997</v>
      </c>
      <c r="C352">
        <v>0</v>
      </c>
      <c r="D352">
        <v>542329.84180000005</v>
      </c>
      <c r="E352">
        <v>0</v>
      </c>
      <c r="F352">
        <v>889524.22100000002</v>
      </c>
      <c r="G352">
        <v>0</v>
      </c>
      <c r="H352">
        <v>500</v>
      </c>
      <c r="I352" t="str">
        <f t="shared" si="21"/>
        <v>YES</v>
      </c>
      <c r="J352" s="5" t="s">
        <v>361</v>
      </c>
      <c r="K352" s="5">
        <v>138326.994833</v>
      </c>
      <c r="L352" s="1">
        <f t="shared" si="22"/>
        <v>0</v>
      </c>
      <c r="M352" s="1">
        <f t="shared" si="23"/>
        <v>0</v>
      </c>
      <c r="N352" s="1">
        <f t="shared" si="24"/>
        <v>0</v>
      </c>
      <c r="O352" s="1"/>
    </row>
    <row r="353" spans="1:15" x14ac:dyDescent="0.25">
      <c r="A353">
        <v>501</v>
      </c>
      <c r="B353">
        <v>30413.220290000001</v>
      </c>
      <c r="C353">
        <v>0</v>
      </c>
      <c r="D353">
        <v>443977.61609999998</v>
      </c>
      <c r="E353">
        <v>0</v>
      </c>
      <c r="F353">
        <v>802580.66070000001</v>
      </c>
      <c r="G353">
        <v>0</v>
      </c>
      <c r="H353">
        <v>501</v>
      </c>
      <c r="I353" t="str">
        <f t="shared" si="21"/>
        <v>YES</v>
      </c>
      <c r="J353" s="5" t="s">
        <v>362</v>
      </c>
      <c r="K353" s="5">
        <v>287445.80340799998</v>
      </c>
      <c r="L353" s="1">
        <f t="shared" si="22"/>
        <v>0</v>
      </c>
      <c r="M353" s="1">
        <f t="shared" si="23"/>
        <v>0</v>
      </c>
      <c r="N353" s="1">
        <f t="shared" si="24"/>
        <v>0</v>
      </c>
      <c r="O353" s="1"/>
    </row>
    <row r="354" spans="1:15" x14ac:dyDescent="0.25">
      <c r="A354">
        <v>502</v>
      </c>
      <c r="B354">
        <v>36334.551469999999</v>
      </c>
      <c r="C354">
        <v>0</v>
      </c>
      <c r="D354">
        <v>503379.44270000001</v>
      </c>
      <c r="E354">
        <v>0</v>
      </c>
      <c r="F354">
        <v>824355.30610000005</v>
      </c>
      <c r="G354">
        <v>0</v>
      </c>
      <c r="H354">
        <v>502</v>
      </c>
      <c r="I354" t="str">
        <f t="shared" si="21"/>
        <v>YES</v>
      </c>
      <c r="J354" s="5" t="s">
        <v>363</v>
      </c>
      <c r="K354" s="5">
        <v>289010.78857500001</v>
      </c>
      <c r="L354" s="1">
        <f t="shared" si="22"/>
        <v>0</v>
      </c>
      <c r="M354" s="1">
        <f t="shared" si="23"/>
        <v>0</v>
      </c>
      <c r="N354" s="1">
        <f t="shared" si="24"/>
        <v>0</v>
      </c>
      <c r="O354" s="1"/>
    </row>
    <row r="355" spans="1:15" x14ac:dyDescent="0.25">
      <c r="A355">
        <v>503</v>
      </c>
      <c r="B355">
        <v>26050.398499999999</v>
      </c>
      <c r="C355">
        <v>0</v>
      </c>
      <c r="D355">
        <v>309658.23700000002</v>
      </c>
      <c r="E355">
        <v>0</v>
      </c>
      <c r="F355">
        <v>691648.99060000002</v>
      </c>
      <c r="G355">
        <v>0</v>
      </c>
      <c r="H355">
        <v>503</v>
      </c>
      <c r="I355" t="str">
        <f t="shared" si="21"/>
        <v>YES</v>
      </c>
      <c r="J355" s="5" t="s">
        <v>364</v>
      </c>
      <c r="K355" s="5">
        <v>410357.25002699997</v>
      </c>
      <c r="L355" s="1">
        <f t="shared" si="22"/>
        <v>0</v>
      </c>
      <c r="M355" s="1">
        <f t="shared" si="23"/>
        <v>0</v>
      </c>
      <c r="N355" s="1">
        <f t="shared" si="24"/>
        <v>0</v>
      </c>
      <c r="O355" s="1"/>
    </row>
    <row r="356" spans="1:15" x14ac:dyDescent="0.25">
      <c r="A356">
        <v>504</v>
      </c>
      <c r="B356">
        <v>25701.549470000002</v>
      </c>
      <c r="C356">
        <v>0</v>
      </c>
      <c r="D356">
        <v>300424.92950000003</v>
      </c>
      <c r="E356">
        <v>0</v>
      </c>
      <c r="F356">
        <v>704952.58929999999</v>
      </c>
      <c r="G356">
        <v>0</v>
      </c>
      <c r="H356">
        <v>504</v>
      </c>
      <c r="I356" t="str">
        <f t="shared" si="21"/>
        <v>YES</v>
      </c>
      <c r="J356" s="5" t="s">
        <v>365</v>
      </c>
      <c r="K356" s="5">
        <v>630732.86394199997</v>
      </c>
      <c r="L356" s="1">
        <f t="shared" si="22"/>
        <v>0</v>
      </c>
      <c r="M356" s="1">
        <f t="shared" si="23"/>
        <v>0</v>
      </c>
      <c r="N356" s="1">
        <f t="shared" si="24"/>
        <v>0</v>
      </c>
      <c r="O356" s="1"/>
    </row>
    <row r="357" spans="1:15" x14ac:dyDescent="0.25">
      <c r="A357">
        <v>505</v>
      </c>
      <c r="B357">
        <v>31763.556059999999</v>
      </c>
      <c r="C357">
        <v>0</v>
      </c>
      <c r="D357">
        <v>331986.72769999999</v>
      </c>
      <c r="E357">
        <v>0</v>
      </c>
      <c r="F357">
        <v>723507.41489999997</v>
      </c>
      <c r="G357">
        <v>0</v>
      </c>
      <c r="H357">
        <v>505</v>
      </c>
      <c r="I357" t="str">
        <f t="shared" si="21"/>
        <v>YES</v>
      </c>
      <c r="J357" s="5" t="s">
        <v>366</v>
      </c>
      <c r="K357" s="5">
        <v>736183.57658899995</v>
      </c>
      <c r="L357" s="1">
        <f t="shared" si="22"/>
        <v>0</v>
      </c>
      <c r="M357" s="1">
        <f t="shared" si="23"/>
        <v>0</v>
      </c>
      <c r="N357" s="1">
        <f t="shared" si="24"/>
        <v>0</v>
      </c>
      <c r="O357" s="1"/>
    </row>
    <row r="358" spans="1:15" x14ac:dyDescent="0.25">
      <c r="A358">
        <v>508</v>
      </c>
      <c r="B358">
        <v>18431.461050000002</v>
      </c>
      <c r="C358">
        <v>0</v>
      </c>
      <c r="D358">
        <v>176196.9308</v>
      </c>
      <c r="E358">
        <v>0</v>
      </c>
      <c r="F358">
        <v>631804.61739999999</v>
      </c>
      <c r="G358">
        <v>0</v>
      </c>
      <c r="H358">
        <v>508</v>
      </c>
      <c r="I358" t="str">
        <f t="shared" si="21"/>
        <v>YES</v>
      </c>
      <c r="J358" s="5" t="s">
        <v>367</v>
      </c>
      <c r="K358" s="5">
        <v>474658.80682699999</v>
      </c>
      <c r="L358" s="1">
        <f t="shared" si="22"/>
        <v>0</v>
      </c>
      <c r="M358" s="1">
        <f t="shared" si="23"/>
        <v>0</v>
      </c>
      <c r="N358" s="1">
        <f t="shared" si="24"/>
        <v>0</v>
      </c>
      <c r="O358" s="1"/>
    </row>
    <row r="359" spans="1:15" x14ac:dyDescent="0.25">
      <c r="A359">
        <v>509</v>
      </c>
      <c r="B359">
        <v>18845.249370000001</v>
      </c>
      <c r="C359">
        <v>0</v>
      </c>
      <c r="D359">
        <v>93961.703670000003</v>
      </c>
      <c r="E359">
        <v>0</v>
      </c>
      <c r="F359">
        <v>586817.66379999998</v>
      </c>
      <c r="G359">
        <v>0</v>
      </c>
      <c r="H359">
        <v>509</v>
      </c>
      <c r="I359" t="str">
        <f t="shared" si="21"/>
        <v>YES</v>
      </c>
      <c r="J359" s="5" t="s">
        <v>368</v>
      </c>
      <c r="K359" s="5">
        <v>446994.321406</v>
      </c>
      <c r="L359" s="1">
        <f t="shared" si="22"/>
        <v>0</v>
      </c>
      <c r="M359" s="1">
        <f t="shared" si="23"/>
        <v>0</v>
      </c>
      <c r="N359" s="1">
        <f t="shared" si="24"/>
        <v>0</v>
      </c>
      <c r="O359" s="1"/>
    </row>
    <row r="360" spans="1:15" x14ac:dyDescent="0.25">
      <c r="A360">
        <v>510</v>
      </c>
      <c r="B360">
        <v>18570.2611</v>
      </c>
      <c r="C360">
        <v>0</v>
      </c>
      <c r="D360">
        <v>92394.706980000003</v>
      </c>
      <c r="E360">
        <v>0</v>
      </c>
      <c r="F360">
        <v>588645.64549999998</v>
      </c>
      <c r="G360">
        <v>0</v>
      </c>
      <c r="H360">
        <v>510</v>
      </c>
      <c r="I360" t="str">
        <f t="shared" si="21"/>
        <v>YES</v>
      </c>
      <c r="J360" s="5" t="s">
        <v>369</v>
      </c>
      <c r="K360" s="5">
        <v>449851.28232200001</v>
      </c>
      <c r="L360" s="1">
        <f t="shared" si="22"/>
        <v>0</v>
      </c>
      <c r="M360" s="1">
        <f t="shared" si="23"/>
        <v>0</v>
      </c>
      <c r="N360" s="1">
        <f t="shared" si="24"/>
        <v>0</v>
      </c>
      <c r="O360" s="1"/>
    </row>
    <row r="361" spans="1:15" x14ac:dyDescent="0.25">
      <c r="A361">
        <v>511</v>
      </c>
      <c r="B361">
        <v>27598.16689</v>
      </c>
      <c r="C361">
        <v>0</v>
      </c>
      <c r="D361">
        <v>431173.48460000003</v>
      </c>
      <c r="E361">
        <v>0</v>
      </c>
      <c r="F361">
        <v>788134.65850000002</v>
      </c>
      <c r="G361">
        <v>0</v>
      </c>
      <c r="H361">
        <v>511</v>
      </c>
      <c r="I361" t="str">
        <f t="shared" si="21"/>
        <v>YES</v>
      </c>
      <c r="J361" s="5" t="s">
        <v>370</v>
      </c>
      <c r="K361" s="5">
        <v>369154.31645500002</v>
      </c>
      <c r="L361" s="1">
        <f t="shared" si="22"/>
        <v>0</v>
      </c>
      <c r="M361" s="1">
        <f t="shared" si="23"/>
        <v>0</v>
      </c>
      <c r="N361" s="1">
        <f t="shared" si="24"/>
        <v>0</v>
      </c>
      <c r="O361" s="1"/>
    </row>
    <row r="362" spans="1:15" x14ac:dyDescent="0.25">
      <c r="A362">
        <v>512</v>
      </c>
      <c r="B362">
        <v>24975.755130000001</v>
      </c>
      <c r="C362">
        <v>0</v>
      </c>
      <c r="D362">
        <v>316544.6471</v>
      </c>
      <c r="E362">
        <v>0</v>
      </c>
      <c r="F362">
        <v>706326.17009999999</v>
      </c>
      <c r="G362">
        <v>0</v>
      </c>
      <c r="H362">
        <v>512</v>
      </c>
      <c r="I362" t="str">
        <f t="shared" si="21"/>
        <v>YES</v>
      </c>
      <c r="J362" s="5" t="s">
        <v>371</v>
      </c>
      <c r="K362" s="5">
        <v>158848.85263499999</v>
      </c>
      <c r="L362" s="1">
        <f t="shared" si="22"/>
        <v>0</v>
      </c>
      <c r="M362" s="1">
        <f t="shared" si="23"/>
        <v>0</v>
      </c>
      <c r="N362" s="1">
        <f t="shared" si="24"/>
        <v>0</v>
      </c>
      <c r="O362" s="1"/>
    </row>
    <row r="363" spans="1:15" x14ac:dyDescent="0.25">
      <c r="A363">
        <v>513</v>
      </c>
      <c r="B363">
        <v>22105.32417</v>
      </c>
      <c r="C363">
        <v>0</v>
      </c>
      <c r="D363">
        <v>172899.4762</v>
      </c>
      <c r="E363">
        <v>0</v>
      </c>
      <c r="F363">
        <v>629597.8885</v>
      </c>
      <c r="G363">
        <v>0</v>
      </c>
      <c r="H363">
        <v>513</v>
      </c>
      <c r="I363" t="str">
        <f t="shared" si="21"/>
        <v>YES</v>
      </c>
      <c r="J363" s="5" t="s">
        <v>372</v>
      </c>
      <c r="K363" s="5">
        <v>381822.5123</v>
      </c>
      <c r="L363" s="1">
        <f t="shared" si="22"/>
        <v>0</v>
      </c>
      <c r="M363" s="1">
        <f t="shared" si="23"/>
        <v>0</v>
      </c>
      <c r="N363" s="1">
        <f t="shared" si="24"/>
        <v>0</v>
      </c>
      <c r="O363" s="1"/>
    </row>
    <row r="364" spans="1:15" x14ac:dyDescent="0.25">
      <c r="A364">
        <v>514</v>
      </c>
      <c r="B364">
        <v>23988.756819999999</v>
      </c>
      <c r="C364">
        <v>0</v>
      </c>
      <c r="D364">
        <v>281840.24690000003</v>
      </c>
      <c r="E364">
        <v>0</v>
      </c>
      <c r="F364">
        <v>673586.57330000005</v>
      </c>
      <c r="G364">
        <v>0</v>
      </c>
      <c r="H364">
        <v>514</v>
      </c>
      <c r="I364" t="str">
        <f t="shared" si="21"/>
        <v>YES</v>
      </c>
      <c r="J364" s="5" t="s">
        <v>373</v>
      </c>
      <c r="K364" s="5">
        <v>174774.06849800001</v>
      </c>
      <c r="L364" s="1">
        <f t="shared" si="22"/>
        <v>0</v>
      </c>
      <c r="M364" s="1">
        <f t="shared" si="23"/>
        <v>0</v>
      </c>
      <c r="N364" s="1">
        <f t="shared" si="24"/>
        <v>0</v>
      </c>
      <c r="O364" s="1"/>
    </row>
    <row r="365" spans="1:15" x14ac:dyDescent="0.25">
      <c r="A365">
        <v>517</v>
      </c>
      <c r="B365">
        <v>505109.76089999999</v>
      </c>
      <c r="C365">
        <v>0</v>
      </c>
      <c r="D365">
        <v>844767.02650000004</v>
      </c>
      <c r="E365">
        <v>0</v>
      </c>
      <c r="F365">
        <v>1242305.476</v>
      </c>
      <c r="G365">
        <v>446.31799999999998</v>
      </c>
      <c r="H365">
        <v>517</v>
      </c>
      <c r="I365" t="str">
        <f t="shared" si="21"/>
        <v>YES</v>
      </c>
      <c r="J365" s="5" t="s">
        <v>374</v>
      </c>
      <c r="K365" s="5">
        <v>70930.923352500002</v>
      </c>
      <c r="L365" s="1">
        <f t="shared" si="22"/>
        <v>0</v>
      </c>
      <c r="M365" s="1">
        <f t="shared" si="23"/>
        <v>0</v>
      </c>
      <c r="N365" s="1">
        <f t="shared" si="24"/>
        <v>161454.51402908959</v>
      </c>
      <c r="O365" s="1"/>
    </row>
    <row r="366" spans="1:15" x14ac:dyDescent="0.25">
      <c r="A366">
        <v>518</v>
      </c>
      <c r="B366">
        <v>305243.80800000002</v>
      </c>
      <c r="C366">
        <v>0</v>
      </c>
      <c r="D366">
        <v>713471.58929999999</v>
      </c>
      <c r="E366">
        <v>0</v>
      </c>
      <c r="F366">
        <v>1087121.534</v>
      </c>
      <c r="G366">
        <v>0</v>
      </c>
      <c r="H366">
        <v>518</v>
      </c>
      <c r="I366" t="str">
        <f t="shared" si="21"/>
        <v>YES</v>
      </c>
      <c r="J366" s="5" t="s">
        <v>375</v>
      </c>
      <c r="K366" s="5">
        <v>131667.27494900001</v>
      </c>
      <c r="L366" s="1">
        <f t="shared" si="22"/>
        <v>0</v>
      </c>
      <c r="M366" s="1">
        <f t="shared" si="23"/>
        <v>0</v>
      </c>
      <c r="N366" s="1">
        <f t="shared" si="24"/>
        <v>0</v>
      </c>
      <c r="O366" s="1"/>
    </row>
    <row r="367" spans="1:15" x14ac:dyDescent="0.25">
      <c r="A367">
        <v>519</v>
      </c>
      <c r="B367">
        <v>168017.5343</v>
      </c>
      <c r="C367">
        <v>0</v>
      </c>
      <c r="D367">
        <v>633013.34120000002</v>
      </c>
      <c r="E367">
        <v>0</v>
      </c>
      <c r="F367">
        <v>984017.64969999995</v>
      </c>
      <c r="G367">
        <v>0</v>
      </c>
      <c r="H367">
        <v>519</v>
      </c>
      <c r="I367" t="str">
        <f t="shared" si="21"/>
        <v>YES</v>
      </c>
      <c r="J367" s="5" t="s">
        <v>376</v>
      </c>
      <c r="K367" s="5">
        <v>178178.08342499999</v>
      </c>
      <c r="L367" s="1">
        <f t="shared" si="22"/>
        <v>0</v>
      </c>
      <c r="M367" s="1">
        <f t="shared" si="23"/>
        <v>0</v>
      </c>
      <c r="N367" s="1">
        <f t="shared" si="24"/>
        <v>0</v>
      </c>
      <c r="O367" s="1"/>
    </row>
    <row r="368" spans="1:15" x14ac:dyDescent="0.25">
      <c r="A368">
        <v>520</v>
      </c>
      <c r="B368">
        <v>215741.15539999999</v>
      </c>
      <c r="C368">
        <v>0</v>
      </c>
      <c r="D368">
        <v>667620.09450000001</v>
      </c>
      <c r="E368">
        <v>0</v>
      </c>
      <c r="F368">
        <v>1033573.341</v>
      </c>
      <c r="G368">
        <v>0</v>
      </c>
      <c r="H368">
        <v>520</v>
      </c>
      <c r="I368" t="str">
        <f t="shared" si="21"/>
        <v>YES</v>
      </c>
      <c r="J368" s="5" t="s">
        <v>377</v>
      </c>
      <c r="K368" s="5">
        <v>270139.73694600002</v>
      </c>
      <c r="L368" s="1">
        <f t="shared" si="22"/>
        <v>0</v>
      </c>
      <c r="M368" s="1">
        <f t="shared" si="23"/>
        <v>0</v>
      </c>
      <c r="N368" s="1">
        <f t="shared" si="24"/>
        <v>0</v>
      </c>
      <c r="O368" s="1"/>
    </row>
    <row r="369" spans="1:15" x14ac:dyDescent="0.25">
      <c r="A369">
        <v>521</v>
      </c>
      <c r="B369">
        <v>110364.02650000001</v>
      </c>
      <c r="C369">
        <v>0</v>
      </c>
      <c r="D369">
        <v>603252.91819999996</v>
      </c>
      <c r="E369">
        <v>0</v>
      </c>
      <c r="F369">
        <v>958816.42550000001</v>
      </c>
      <c r="G369">
        <v>0</v>
      </c>
      <c r="H369">
        <v>521</v>
      </c>
      <c r="I369" t="str">
        <f t="shared" si="21"/>
        <v>YES</v>
      </c>
      <c r="J369" s="5" t="s">
        <v>378</v>
      </c>
      <c r="K369" s="5">
        <v>311784.35954600002</v>
      </c>
      <c r="L369" s="1">
        <f t="shared" si="22"/>
        <v>0</v>
      </c>
      <c r="M369" s="1">
        <f t="shared" si="23"/>
        <v>0</v>
      </c>
      <c r="N369" s="1">
        <f t="shared" si="24"/>
        <v>0</v>
      </c>
      <c r="O369" s="1"/>
    </row>
    <row r="370" spans="1:15" x14ac:dyDescent="0.25">
      <c r="A370">
        <v>522</v>
      </c>
      <c r="B370">
        <v>47779.049429999999</v>
      </c>
      <c r="C370">
        <v>0</v>
      </c>
      <c r="D370">
        <v>529601.34730000002</v>
      </c>
      <c r="E370">
        <v>0</v>
      </c>
      <c r="F370">
        <v>844952.8101</v>
      </c>
      <c r="G370">
        <v>473.10410000000002</v>
      </c>
      <c r="H370">
        <v>522</v>
      </c>
      <c r="I370" t="str">
        <f t="shared" si="21"/>
        <v>YES</v>
      </c>
      <c r="J370" s="5" t="s">
        <v>379</v>
      </c>
      <c r="K370" s="5">
        <v>279092.887506</v>
      </c>
      <c r="L370" s="1">
        <f t="shared" si="22"/>
        <v>0</v>
      </c>
      <c r="M370" s="1">
        <f t="shared" si="23"/>
        <v>0</v>
      </c>
      <c r="N370" s="1">
        <f t="shared" si="24"/>
        <v>673403.94573562965</v>
      </c>
      <c r="O370" s="1"/>
    </row>
    <row r="371" spans="1:15" x14ac:dyDescent="0.25">
      <c r="A371">
        <v>523</v>
      </c>
      <c r="B371">
        <v>56643.795940000004</v>
      </c>
      <c r="C371">
        <v>0</v>
      </c>
      <c r="D371">
        <v>552725.96959999995</v>
      </c>
      <c r="E371">
        <v>0</v>
      </c>
      <c r="F371">
        <v>906475.28469999996</v>
      </c>
      <c r="G371">
        <v>0</v>
      </c>
      <c r="H371">
        <v>523</v>
      </c>
      <c r="I371" t="str">
        <f t="shared" si="21"/>
        <v>YES</v>
      </c>
      <c r="J371" s="5" t="s">
        <v>380</v>
      </c>
      <c r="K371" s="5">
        <v>852690.67176099995</v>
      </c>
      <c r="L371" s="1">
        <f t="shared" si="22"/>
        <v>0</v>
      </c>
      <c r="M371" s="1">
        <f t="shared" si="23"/>
        <v>0</v>
      </c>
      <c r="N371" s="1">
        <f t="shared" si="24"/>
        <v>0</v>
      </c>
      <c r="O371" s="1"/>
    </row>
    <row r="372" spans="1:15" x14ac:dyDescent="0.25">
      <c r="A372">
        <v>524</v>
      </c>
      <c r="B372">
        <v>34616.190430000002</v>
      </c>
      <c r="C372">
        <v>0</v>
      </c>
      <c r="D372">
        <v>361121.76559999998</v>
      </c>
      <c r="E372">
        <v>0</v>
      </c>
      <c r="F372">
        <v>739122.36349999998</v>
      </c>
      <c r="G372">
        <v>0</v>
      </c>
      <c r="H372">
        <v>524</v>
      </c>
      <c r="I372" t="str">
        <f t="shared" si="21"/>
        <v>YES</v>
      </c>
      <c r="J372" s="5" t="s">
        <v>8</v>
      </c>
      <c r="K372" s="5">
        <v>310109.163092</v>
      </c>
      <c r="L372" s="1">
        <f t="shared" si="22"/>
        <v>0</v>
      </c>
      <c r="M372" s="1">
        <f t="shared" si="23"/>
        <v>0</v>
      </c>
      <c r="N372" s="1">
        <f t="shared" si="24"/>
        <v>0</v>
      </c>
      <c r="O372" s="1"/>
    </row>
    <row r="373" spans="1:15" x14ac:dyDescent="0.25">
      <c r="A373">
        <v>525</v>
      </c>
      <c r="B373">
        <v>396580.56969999999</v>
      </c>
      <c r="C373">
        <v>0</v>
      </c>
      <c r="D373">
        <v>766297.9094</v>
      </c>
      <c r="E373">
        <v>0</v>
      </c>
      <c r="F373">
        <v>1160834.8370000001</v>
      </c>
      <c r="G373">
        <v>0</v>
      </c>
      <c r="H373">
        <v>525</v>
      </c>
      <c r="I373" t="str">
        <f t="shared" si="21"/>
        <v>YES</v>
      </c>
      <c r="J373" s="5" t="s">
        <v>381</v>
      </c>
      <c r="K373" s="5">
        <v>114421.779922</v>
      </c>
      <c r="L373" s="1">
        <f t="shared" si="22"/>
        <v>0</v>
      </c>
      <c r="M373" s="1">
        <f t="shared" si="23"/>
        <v>0</v>
      </c>
      <c r="N373" s="1">
        <f t="shared" si="24"/>
        <v>0</v>
      </c>
      <c r="O373" s="1"/>
    </row>
    <row r="374" spans="1:15" x14ac:dyDescent="0.25">
      <c r="A374">
        <v>527</v>
      </c>
      <c r="B374">
        <v>16785.715209999998</v>
      </c>
      <c r="C374">
        <v>0</v>
      </c>
      <c r="D374">
        <v>291962.02480000001</v>
      </c>
      <c r="E374">
        <v>0</v>
      </c>
      <c r="F374">
        <v>755623.93110000005</v>
      </c>
      <c r="G374">
        <v>1098.3288</v>
      </c>
      <c r="H374">
        <v>527</v>
      </c>
      <c r="I374" t="str">
        <f t="shared" si="21"/>
        <v>YES</v>
      </c>
      <c r="J374" s="5" t="s">
        <v>382</v>
      </c>
      <c r="K374" s="5">
        <v>1975068.0403400001</v>
      </c>
      <c r="L374" s="1">
        <f t="shared" si="22"/>
        <v>0</v>
      </c>
      <c r="M374" s="1">
        <f t="shared" si="23"/>
        <v>0</v>
      </c>
      <c r="N374" s="1">
        <f t="shared" si="24"/>
        <v>11063297.96439142</v>
      </c>
      <c r="O374" s="1"/>
    </row>
    <row r="375" spans="1:15" x14ac:dyDescent="0.25">
      <c r="A375">
        <v>530</v>
      </c>
      <c r="B375">
        <v>14753.635469999999</v>
      </c>
      <c r="C375">
        <v>0</v>
      </c>
      <c r="D375">
        <v>485692.22110000002</v>
      </c>
      <c r="E375">
        <v>0</v>
      </c>
      <c r="F375">
        <v>832003.87340000004</v>
      </c>
      <c r="G375">
        <v>0</v>
      </c>
      <c r="H375">
        <v>530</v>
      </c>
      <c r="I375" t="str">
        <f t="shared" si="21"/>
        <v>YES</v>
      </c>
      <c r="J375" s="5" t="s">
        <v>383</v>
      </c>
      <c r="K375" s="5">
        <v>241004.722244</v>
      </c>
      <c r="L375" s="1">
        <f t="shared" si="22"/>
        <v>0</v>
      </c>
      <c r="M375" s="1">
        <f t="shared" si="23"/>
        <v>0</v>
      </c>
      <c r="N375" s="1">
        <f t="shared" si="24"/>
        <v>0</v>
      </c>
      <c r="O375" s="1"/>
    </row>
    <row r="376" spans="1:15" x14ac:dyDescent="0.25">
      <c r="A376">
        <v>531</v>
      </c>
      <c r="B376">
        <v>120796.7447</v>
      </c>
      <c r="C376">
        <v>0</v>
      </c>
      <c r="D376">
        <v>600001.22199999995</v>
      </c>
      <c r="E376">
        <v>0</v>
      </c>
      <c r="F376">
        <v>966621.36049999995</v>
      </c>
      <c r="G376">
        <v>0</v>
      </c>
      <c r="H376">
        <v>531</v>
      </c>
      <c r="I376" t="str">
        <f t="shared" si="21"/>
        <v>YES</v>
      </c>
      <c r="J376" s="5" t="s">
        <v>384</v>
      </c>
      <c r="K376" s="5">
        <v>250751.41913699999</v>
      </c>
      <c r="L376" s="1">
        <f t="shared" si="22"/>
        <v>0</v>
      </c>
      <c r="M376" s="1">
        <f t="shared" si="23"/>
        <v>0</v>
      </c>
      <c r="N376" s="1">
        <f t="shared" si="24"/>
        <v>0</v>
      </c>
      <c r="O376" s="1"/>
    </row>
    <row r="377" spans="1:15" x14ac:dyDescent="0.25">
      <c r="A377">
        <v>532</v>
      </c>
      <c r="B377">
        <v>33297.340640000002</v>
      </c>
      <c r="C377">
        <v>0</v>
      </c>
      <c r="D377">
        <v>505881.69329999998</v>
      </c>
      <c r="E377">
        <v>0</v>
      </c>
      <c r="F377">
        <v>855764.68830000004</v>
      </c>
      <c r="G377">
        <v>0</v>
      </c>
      <c r="H377">
        <v>532</v>
      </c>
      <c r="I377" t="str">
        <f t="shared" si="21"/>
        <v>YES</v>
      </c>
      <c r="J377" s="5" t="s">
        <v>385</v>
      </c>
      <c r="K377" s="5">
        <v>610371.30581399996</v>
      </c>
      <c r="L377" s="1">
        <f t="shared" si="22"/>
        <v>0</v>
      </c>
      <c r="M377" s="1">
        <f t="shared" si="23"/>
        <v>0</v>
      </c>
      <c r="N377" s="1">
        <f t="shared" si="24"/>
        <v>0</v>
      </c>
      <c r="O377" s="1"/>
    </row>
    <row r="378" spans="1:15" x14ac:dyDescent="0.25">
      <c r="A378">
        <v>533</v>
      </c>
      <c r="B378">
        <v>18253.937809999999</v>
      </c>
      <c r="C378">
        <v>0</v>
      </c>
      <c r="D378">
        <v>409675.53649999999</v>
      </c>
      <c r="E378">
        <v>0</v>
      </c>
      <c r="F378">
        <v>767721.87670000002</v>
      </c>
      <c r="G378">
        <v>0</v>
      </c>
      <c r="H378">
        <v>533</v>
      </c>
      <c r="I378" t="str">
        <f t="shared" si="21"/>
        <v>YES</v>
      </c>
      <c r="J378" s="5" t="s">
        <v>386</v>
      </c>
      <c r="K378" s="5">
        <v>369763.728787</v>
      </c>
      <c r="L378" s="1">
        <f t="shared" si="22"/>
        <v>0</v>
      </c>
      <c r="M378" s="1">
        <f t="shared" si="23"/>
        <v>0</v>
      </c>
      <c r="N378" s="1">
        <f t="shared" si="24"/>
        <v>0</v>
      </c>
      <c r="O378" s="1"/>
    </row>
    <row r="379" spans="1:15" x14ac:dyDescent="0.25">
      <c r="A379">
        <v>534</v>
      </c>
      <c r="B379">
        <v>343835.80829999998</v>
      </c>
      <c r="C379">
        <v>0</v>
      </c>
      <c r="D379">
        <v>731962.8689</v>
      </c>
      <c r="E379">
        <v>0</v>
      </c>
      <c r="F379">
        <v>1141921.3770000001</v>
      </c>
      <c r="G379">
        <v>0</v>
      </c>
      <c r="H379">
        <v>534</v>
      </c>
      <c r="I379" t="str">
        <f t="shared" si="21"/>
        <v>YES</v>
      </c>
      <c r="J379" s="5" t="s">
        <v>387</v>
      </c>
      <c r="K379" s="5">
        <v>245114.403276</v>
      </c>
      <c r="L379" s="1">
        <f t="shared" si="22"/>
        <v>0</v>
      </c>
      <c r="M379" s="1">
        <f t="shared" si="23"/>
        <v>0</v>
      </c>
      <c r="N379" s="1">
        <f t="shared" si="24"/>
        <v>0</v>
      </c>
      <c r="O379" s="1"/>
    </row>
    <row r="380" spans="1:15" x14ac:dyDescent="0.25">
      <c r="A380">
        <v>535</v>
      </c>
      <c r="B380">
        <v>94243.148839999994</v>
      </c>
      <c r="C380">
        <v>0</v>
      </c>
      <c r="D380">
        <v>590101.62470000004</v>
      </c>
      <c r="E380">
        <v>0</v>
      </c>
      <c r="F380">
        <v>950995.43259999994</v>
      </c>
      <c r="G380">
        <v>0</v>
      </c>
      <c r="H380">
        <v>535</v>
      </c>
      <c r="I380" t="str">
        <f t="shared" si="21"/>
        <v>YES</v>
      </c>
      <c r="J380" s="5" t="s">
        <v>388</v>
      </c>
      <c r="K380" s="5">
        <v>146327.702139</v>
      </c>
      <c r="L380" s="1">
        <f t="shared" si="22"/>
        <v>0</v>
      </c>
      <c r="M380" s="1">
        <f t="shared" si="23"/>
        <v>0</v>
      </c>
      <c r="N380" s="1">
        <f t="shared" si="24"/>
        <v>0</v>
      </c>
      <c r="O380" s="1"/>
    </row>
    <row r="381" spans="1:15" x14ac:dyDescent="0.25">
      <c r="A381">
        <v>536</v>
      </c>
      <c r="B381">
        <v>200645.52729999999</v>
      </c>
      <c r="C381">
        <v>0</v>
      </c>
      <c r="D381">
        <v>639738.95779999997</v>
      </c>
      <c r="E381">
        <v>0</v>
      </c>
      <c r="F381">
        <v>1024634.566</v>
      </c>
      <c r="G381">
        <v>1127.162</v>
      </c>
      <c r="H381">
        <v>536</v>
      </c>
      <c r="I381" t="str">
        <f t="shared" si="21"/>
        <v>YES</v>
      </c>
      <c r="J381" s="5" t="s">
        <v>389</v>
      </c>
      <c r="K381" s="5">
        <v>101894.002824</v>
      </c>
      <c r="L381" s="1">
        <f t="shared" si="22"/>
        <v>0</v>
      </c>
      <c r="M381" s="1">
        <f t="shared" si="23"/>
        <v>0</v>
      </c>
      <c r="N381" s="1">
        <f t="shared" si="24"/>
        <v>585740.344856638</v>
      </c>
      <c r="O381" s="1"/>
    </row>
    <row r="382" spans="1:15" x14ac:dyDescent="0.25">
      <c r="A382">
        <v>537</v>
      </c>
      <c r="B382">
        <v>444844.63760000002</v>
      </c>
      <c r="C382">
        <v>0</v>
      </c>
      <c r="D382">
        <v>802409.20279999997</v>
      </c>
      <c r="E382">
        <v>0</v>
      </c>
      <c r="F382">
        <v>1219656.855</v>
      </c>
      <c r="G382">
        <v>1098.329</v>
      </c>
      <c r="H382">
        <v>537</v>
      </c>
      <c r="I382" t="str">
        <f t="shared" si="21"/>
        <v>YES</v>
      </c>
      <c r="J382" s="5" t="s">
        <v>390</v>
      </c>
      <c r="K382" s="5">
        <v>106703.729847</v>
      </c>
      <c r="L382" s="1">
        <f t="shared" si="22"/>
        <v>0</v>
      </c>
      <c r="M382" s="1">
        <f t="shared" si="23"/>
        <v>0</v>
      </c>
      <c r="N382" s="1">
        <f t="shared" si="24"/>
        <v>597698.58458554093</v>
      </c>
      <c r="O382" s="1"/>
    </row>
    <row r="383" spans="1:15" x14ac:dyDescent="0.25">
      <c r="A383">
        <v>538</v>
      </c>
      <c r="B383">
        <v>15733.547689999999</v>
      </c>
      <c r="C383">
        <v>0</v>
      </c>
      <c r="D383">
        <v>408210.96669999999</v>
      </c>
      <c r="E383">
        <v>0</v>
      </c>
      <c r="F383">
        <v>771253.88320000004</v>
      </c>
      <c r="G383">
        <v>0</v>
      </c>
      <c r="H383">
        <v>538</v>
      </c>
      <c r="I383" t="str">
        <f t="shared" si="21"/>
        <v>YES</v>
      </c>
      <c r="J383" s="5" t="s">
        <v>391</v>
      </c>
      <c r="K383" s="5">
        <v>466235.22775199998</v>
      </c>
      <c r="L383" s="1">
        <f t="shared" si="22"/>
        <v>0</v>
      </c>
      <c r="M383" s="1">
        <f t="shared" si="23"/>
        <v>0</v>
      </c>
      <c r="N383" s="1">
        <f t="shared" si="24"/>
        <v>0</v>
      </c>
      <c r="O383" s="1"/>
    </row>
    <row r="384" spans="1:15" x14ac:dyDescent="0.25">
      <c r="A384">
        <v>539</v>
      </c>
      <c r="B384">
        <v>503027.81449999998</v>
      </c>
      <c r="C384">
        <v>0</v>
      </c>
      <c r="D384">
        <v>884773.91429999995</v>
      </c>
      <c r="E384">
        <v>0</v>
      </c>
      <c r="F384">
        <v>1272131.2849999999</v>
      </c>
      <c r="G384">
        <v>1098.328</v>
      </c>
      <c r="H384">
        <v>539</v>
      </c>
      <c r="I384" t="str">
        <f t="shared" si="21"/>
        <v>YES</v>
      </c>
      <c r="J384" s="5" t="s">
        <v>392</v>
      </c>
      <c r="K384" s="5">
        <v>158550.29369600001</v>
      </c>
      <c r="L384" s="1">
        <f t="shared" si="22"/>
        <v>0</v>
      </c>
      <c r="M384" s="1">
        <f t="shared" si="23"/>
        <v>0</v>
      </c>
      <c r="N384" s="1">
        <f t="shared" si="24"/>
        <v>888115.15757015557</v>
      </c>
      <c r="O384" s="1"/>
    </row>
    <row r="385" spans="1:15" x14ac:dyDescent="0.25">
      <c r="A385">
        <v>540</v>
      </c>
      <c r="B385">
        <v>10752.94736</v>
      </c>
      <c r="C385">
        <v>0</v>
      </c>
      <c r="D385">
        <v>222554.19519999999</v>
      </c>
      <c r="E385">
        <v>0</v>
      </c>
      <c r="F385">
        <v>653720.53989999997</v>
      </c>
      <c r="G385">
        <v>0</v>
      </c>
      <c r="H385">
        <v>540</v>
      </c>
      <c r="I385" t="str">
        <f t="shared" si="21"/>
        <v>YES</v>
      </c>
      <c r="J385" s="5" t="s">
        <v>393</v>
      </c>
      <c r="K385" s="5">
        <v>499799.23625800002</v>
      </c>
      <c r="L385" s="1">
        <f t="shared" si="22"/>
        <v>0</v>
      </c>
      <c r="M385" s="1">
        <f t="shared" si="23"/>
        <v>0</v>
      </c>
      <c r="N385" s="1">
        <f t="shared" si="24"/>
        <v>0</v>
      </c>
      <c r="O385" s="1"/>
    </row>
    <row r="386" spans="1:15" x14ac:dyDescent="0.25">
      <c r="A386">
        <v>541</v>
      </c>
      <c r="B386">
        <v>288456.43430000002</v>
      </c>
      <c r="C386">
        <v>0</v>
      </c>
      <c r="D386">
        <v>694681.9719</v>
      </c>
      <c r="E386">
        <v>0</v>
      </c>
      <c r="F386">
        <v>1100117.1980000001</v>
      </c>
      <c r="G386">
        <v>0</v>
      </c>
      <c r="H386">
        <v>541</v>
      </c>
      <c r="I386" t="str">
        <f t="shared" ref="I386:I449" si="25">IF(A386=H386,"YES","NO")</f>
        <v>YES</v>
      </c>
      <c r="J386" s="5" t="s">
        <v>394</v>
      </c>
      <c r="K386" s="5">
        <v>183763.25498100001</v>
      </c>
      <c r="L386" s="1">
        <f t="shared" si="22"/>
        <v>0</v>
      </c>
      <c r="M386" s="1">
        <f t="shared" si="23"/>
        <v>0</v>
      </c>
      <c r="N386" s="1">
        <f t="shared" si="24"/>
        <v>0</v>
      </c>
      <c r="O386" s="1"/>
    </row>
    <row r="387" spans="1:15" x14ac:dyDescent="0.25">
      <c r="A387">
        <v>542</v>
      </c>
      <c r="B387">
        <v>31867.563119999999</v>
      </c>
      <c r="C387">
        <v>0</v>
      </c>
      <c r="D387">
        <v>474020.46289999998</v>
      </c>
      <c r="E387">
        <v>0</v>
      </c>
      <c r="F387">
        <v>806393.81310000003</v>
      </c>
      <c r="G387">
        <v>0</v>
      </c>
      <c r="H387">
        <v>542</v>
      </c>
      <c r="I387" t="str">
        <f t="shared" si="25"/>
        <v>YES</v>
      </c>
      <c r="J387" s="5" t="s">
        <v>395</v>
      </c>
      <c r="K387" s="5">
        <v>303154.62166499998</v>
      </c>
      <c r="L387" s="1">
        <f t="shared" ref="L387:L450" si="26">$U$2*$K387*C387</f>
        <v>0</v>
      </c>
      <c r="M387" s="1">
        <f t="shared" ref="M387:M450" si="27">$U$3*$K387*E387</f>
        <v>0</v>
      </c>
      <c r="N387" s="1">
        <f t="shared" ref="N387:N450" si="28">$U$4*$K387*G387</f>
        <v>0</v>
      </c>
      <c r="O387" s="1"/>
    </row>
    <row r="388" spans="1:15" x14ac:dyDescent="0.25">
      <c r="A388">
        <v>543</v>
      </c>
      <c r="B388">
        <v>24679.214970000001</v>
      </c>
      <c r="C388">
        <v>0</v>
      </c>
      <c r="D388">
        <v>313964.08809999999</v>
      </c>
      <c r="E388">
        <v>0</v>
      </c>
      <c r="F388">
        <v>711747.63520000002</v>
      </c>
      <c r="G388">
        <v>0</v>
      </c>
      <c r="H388">
        <v>543</v>
      </c>
      <c r="I388" t="str">
        <f t="shared" si="25"/>
        <v>YES</v>
      </c>
      <c r="J388" s="5" t="s">
        <v>396</v>
      </c>
      <c r="K388" s="5">
        <v>248536.15888199999</v>
      </c>
      <c r="L388" s="1">
        <f t="shared" si="26"/>
        <v>0</v>
      </c>
      <c r="M388" s="1">
        <f t="shared" si="27"/>
        <v>0</v>
      </c>
      <c r="N388" s="1">
        <f t="shared" si="28"/>
        <v>0</v>
      </c>
      <c r="O388" s="1"/>
    </row>
    <row r="389" spans="1:15" x14ac:dyDescent="0.25">
      <c r="A389">
        <v>544</v>
      </c>
      <c r="B389">
        <v>24217.011689999999</v>
      </c>
      <c r="C389">
        <v>0</v>
      </c>
      <c r="D389">
        <v>310253.00689999998</v>
      </c>
      <c r="E389">
        <v>0</v>
      </c>
      <c r="F389">
        <v>701348.4105</v>
      </c>
      <c r="G389">
        <v>0</v>
      </c>
      <c r="H389">
        <v>544</v>
      </c>
      <c r="I389" t="str">
        <f t="shared" si="25"/>
        <v>YES</v>
      </c>
      <c r="J389" s="5" t="s">
        <v>397</v>
      </c>
      <c r="K389" s="5">
        <v>351842.60576200002</v>
      </c>
      <c r="L389" s="1">
        <f t="shared" si="26"/>
        <v>0</v>
      </c>
      <c r="M389" s="1">
        <f t="shared" si="27"/>
        <v>0</v>
      </c>
      <c r="N389" s="1">
        <f t="shared" si="28"/>
        <v>0</v>
      </c>
      <c r="O389" s="1"/>
    </row>
    <row r="390" spans="1:15" x14ac:dyDescent="0.25">
      <c r="A390">
        <v>545</v>
      </c>
      <c r="B390">
        <v>36291.227480000001</v>
      </c>
      <c r="C390">
        <v>0</v>
      </c>
      <c r="D390">
        <v>504315.61359999998</v>
      </c>
      <c r="E390">
        <v>0</v>
      </c>
      <c r="F390">
        <v>826451.88659999997</v>
      </c>
      <c r="G390">
        <v>0</v>
      </c>
      <c r="H390">
        <v>545</v>
      </c>
      <c r="I390" t="str">
        <f t="shared" si="25"/>
        <v>YES</v>
      </c>
      <c r="J390" s="5" t="s">
        <v>398</v>
      </c>
      <c r="K390" s="5">
        <v>420914.779912</v>
      </c>
      <c r="L390" s="1">
        <f t="shared" si="26"/>
        <v>0</v>
      </c>
      <c r="M390" s="1">
        <f t="shared" si="27"/>
        <v>0</v>
      </c>
      <c r="N390" s="1">
        <f t="shared" si="28"/>
        <v>0</v>
      </c>
      <c r="O390" s="1"/>
    </row>
    <row r="391" spans="1:15" x14ac:dyDescent="0.25">
      <c r="A391">
        <v>548</v>
      </c>
      <c r="B391">
        <v>6632.596415</v>
      </c>
      <c r="C391">
        <v>0</v>
      </c>
      <c r="D391">
        <v>34289.275399999999</v>
      </c>
      <c r="E391">
        <v>0</v>
      </c>
      <c r="F391">
        <v>240745.09789999999</v>
      </c>
      <c r="G391">
        <v>0</v>
      </c>
      <c r="H391">
        <v>548</v>
      </c>
      <c r="I391" t="str">
        <f t="shared" si="25"/>
        <v>YES</v>
      </c>
      <c r="J391" s="5" t="s">
        <v>399</v>
      </c>
      <c r="K391" s="5">
        <v>406087.36606600002</v>
      </c>
      <c r="L391" s="1">
        <f t="shared" si="26"/>
        <v>0</v>
      </c>
      <c r="M391" s="1">
        <f t="shared" si="27"/>
        <v>0</v>
      </c>
      <c r="N391" s="1">
        <f t="shared" si="28"/>
        <v>0</v>
      </c>
      <c r="O391" s="1"/>
    </row>
    <row r="392" spans="1:15" x14ac:dyDescent="0.25">
      <c r="A392">
        <v>549</v>
      </c>
      <c r="B392">
        <v>6319.2327670000004</v>
      </c>
      <c r="C392">
        <v>0</v>
      </c>
      <c r="D392">
        <v>36004.943140000003</v>
      </c>
      <c r="E392">
        <v>0</v>
      </c>
      <c r="F392">
        <v>330597.53779999999</v>
      </c>
      <c r="G392">
        <v>0</v>
      </c>
      <c r="H392">
        <v>549</v>
      </c>
      <c r="I392" t="str">
        <f t="shared" si="25"/>
        <v>YES</v>
      </c>
      <c r="J392" s="5" t="s">
        <v>400</v>
      </c>
      <c r="K392" s="5">
        <v>571988.22317000001</v>
      </c>
      <c r="L392" s="1">
        <f t="shared" si="26"/>
        <v>0</v>
      </c>
      <c r="M392" s="1">
        <f t="shared" si="27"/>
        <v>0</v>
      </c>
      <c r="N392" s="1">
        <f t="shared" si="28"/>
        <v>0</v>
      </c>
      <c r="O392" s="1"/>
    </row>
    <row r="393" spans="1:15" x14ac:dyDescent="0.25">
      <c r="A393">
        <v>550</v>
      </c>
      <c r="B393">
        <v>19062.927169999999</v>
      </c>
      <c r="C393">
        <v>0</v>
      </c>
      <c r="D393">
        <v>96180.548880000002</v>
      </c>
      <c r="E393">
        <v>0</v>
      </c>
      <c r="F393">
        <v>585143.9817</v>
      </c>
      <c r="G393">
        <v>0</v>
      </c>
      <c r="H393">
        <v>550</v>
      </c>
      <c r="I393" t="str">
        <f t="shared" si="25"/>
        <v>YES</v>
      </c>
      <c r="J393" s="5" t="s">
        <v>401</v>
      </c>
      <c r="K393" s="5">
        <v>361923.99520399998</v>
      </c>
      <c r="L393" s="1">
        <f t="shared" si="26"/>
        <v>0</v>
      </c>
      <c r="M393" s="1">
        <f t="shared" si="27"/>
        <v>0</v>
      </c>
      <c r="N393" s="1">
        <f t="shared" si="28"/>
        <v>0</v>
      </c>
      <c r="O393" s="1"/>
    </row>
    <row r="394" spans="1:15" x14ac:dyDescent="0.25">
      <c r="A394">
        <v>551</v>
      </c>
      <c r="B394">
        <v>8137.5718539999998</v>
      </c>
      <c r="C394">
        <v>0</v>
      </c>
      <c r="D394">
        <v>34025.320449999999</v>
      </c>
      <c r="E394">
        <v>0</v>
      </c>
      <c r="F394">
        <v>327992.00209999998</v>
      </c>
      <c r="G394">
        <v>0</v>
      </c>
      <c r="H394">
        <v>551</v>
      </c>
      <c r="I394" t="str">
        <f t="shared" si="25"/>
        <v>YES</v>
      </c>
      <c r="J394" s="5" t="s">
        <v>402</v>
      </c>
      <c r="K394" s="5">
        <v>526869.68992000003</v>
      </c>
      <c r="L394" s="1">
        <f t="shared" si="26"/>
        <v>0</v>
      </c>
      <c r="M394" s="1">
        <f t="shared" si="27"/>
        <v>0</v>
      </c>
      <c r="N394" s="1">
        <f t="shared" si="28"/>
        <v>0</v>
      </c>
      <c r="O394" s="1"/>
    </row>
    <row r="395" spans="1:15" x14ac:dyDescent="0.25">
      <c r="A395">
        <v>554</v>
      </c>
      <c r="B395">
        <v>178435.11730000001</v>
      </c>
      <c r="C395">
        <v>0</v>
      </c>
      <c r="D395">
        <v>611141.28489999997</v>
      </c>
      <c r="E395">
        <v>0</v>
      </c>
      <c r="F395">
        <v>978622.99529999995</v>
      </c>
      <c r="G395">
        <v>0</v>
      </c>
      <c r="H395">
        <v>554</v>
      </c>
      <c r="I395" t="str">
        <f t="shared" si="25"/>
        <v>YES</v>
      </c>
      <c r="J395" s="5" t="s">
        <v>403</v>
      </c>
      <c r="K395" s="5">
        <v>110978.18109899999</v>
      </c>
      <c r="L395" s="1">
        <f t="shared" si="26"/>
        <v>0</v>
      </c>
      <c r="M395" s="1">
        <f t="shared" si="27"/>
        <v>0</v>
      </c>
      <c r="N395" s="1">
        <f t="shared" si="28"/>
        <v>0</v>
      </c>
      <c r="O395" s="1"/>
    </row>
    <row r="396" spans="1:15" x14ac:dyDescent="0.25">
      <c r="A396">
        <v>555</v>
      </c>
      <c r="B396">
        <v>297712.71620000002</v>
      </c>
      <c r="C396">
        <v>0</v>
      </c>
      <c r="D396">
        <v>687591.76800000004</v>
      </c>
      <c r="E396">
        <v>0</v>
      </c>
      <c r="F396">
        <v>1064275.1880000001</v>
      </c>
      <c r="G396">
        <v>0</v>
      </c>
      <c r="H396">
        <v>555</v>
      </c>
      <c r="I396" t="str">
        <f t="shared" si="25"/>
        <v>YES</v>
      </c>
      <c r="J396" s="5" t="s">
        <v>404</v>
      </c>
      <c r="K396" s="5">
        <v>170257.593762</v>
      </c>
      <c r="L396" s="1">
        <f t="shared" si="26"/>
        <v>0</v>
      </c>
      <c r="M396" s="1">
        <f t="shared" si="27"/>
        <v>0</v>
      </c>
      <c r="N396" s="1">
        <f t="shared" si="28"/>
        <v>0</v>
      </c>
      <c r="O396" s="1"/>
    </row>
    <row r="397" spans="1:15" x14ac:dyDescent="0.25">
      <c r="A397">
        <v>556</v>
      </c>
      <c r="B397">
        <v>402571.59789999999</v>
      </c>
      <c r="C397">
        <v>0</v>
      </c>
      <c r="D397">
        <v>779965.09959999996</v>
      </c>
      <c r="E397">
        <v>0</v>
      </c>
      <c r="F397">
        <v>1167884.6040000001</v>
      </c>
      <c r="G397">
        <v>0</v>
      </c>
      <c r="H397">
        <v>556</v>
      </c>
      <c r="I397" t="str">
        <f t="shared" si="25"/>
        <v>YES</v>
      </c>
      <c r="J397" s="5" t="s">
        <v>405</v>
      </c>
      <c r="K397" s="5">
        <v>148291.283138</v>
      </c>
      <c r="L397" s="1">
        <f t="shared" si="26"/>
        <v>0</v>
      </c>
      <c r="M397" s="1">
        <f t="shared" si="27"/>
        <v>0</v>
      </c>
      <c r="N397" s="1">
        <f t="shared" si="28"/>
        <v>0</v>
      </c>
      <c r="O397" s="1"/>
    </row>
    <row r="398" spans="1:15" x14ac:dyDescent="0.25">
      <c r="A398">
        <v>557</v>
      </c>
      <c r="B398">
        <v>227066.4277</v>
      </c>
      <c r="C398">
        <v>0</v>
      </c>
      <c r="D398">
        <v>660022.7182</v>
      </c>
      <c r="E398">
        <v>0</v>
      </c>
      <c r="F398">
        <v>1002102.949</v>
      </c>
      <c r="G398">
        <v>0</v>
      </c>
      <c r="H398">
        <v>557</v>
      </c>
      <c r="I398" t="str">
        <f t="shared" si="25"/>
        <v>YES</v>
      </c>
      <c r="J398" s="5" t="s">
        <v>406</v>
      </c>
      <c r="K398" s="5">
        <v>252131.16286899999</v>
      </c>
      <c r="L398" s="1">
        <f t="shared" si="26"/>
        <v>0</v>
      </c>
      <c r="M398" s="1">
        <f t="shared" si="27"/>
        <v>0</v>
      </c>
      <c r="N398" s="1">
        <f t="shared" si="28"/>
        <v>0</v>
      </c>
      <c r="O398" s="1"/>
    </row>
    <row r="399" spans="1:15" x14ac:dyDescent="0.25">
      <c r="A399">
        <v>558</v>
      </c>
      <c r="B399">
        <v>303165.2181</v>
      </c>
      <c r="C399">
        <v>0</v>
      </c>
      <c r="D399">
        <v>699025.64450000005</v>
      </c>
      <c r="E399">
        <v>0</v>
      </c>
      <c r="F399">
        <v>1078378.4380000001</v>
      </c>
      <c r="G399">
        <v>0</v>
      </c>
      <c r="H399">
        <v>558</v>
      </c>
      <c r="I399" t="str">
        <f t="shared" si="25"/>
        <v>YES</v>
      </c>
      <c r="J399" s="5" t="s">
        <v>407</v>
      </c>
      <c r="K399" s="5">
        <v>315197.58829500002</v>
      </c>
      <c r="L399" s="1">
        <f t="shared" si="26"/>
        <v>0</v>
      </c>
      <c r="M399" s="1">
        <f t="shared" si="27"/>
        <v>0</v>
      </c>
      <c r="N399" s="1">
        <f t="shared" si="28"/>
        <v>0</v>
      </c>
      <c r="O399" s="1"/>
    </row>
    <row r="400" spans="1:15" x14ac:dyDescent="0.25">
      <c r="A400">
        <v>559</v>
      </c>
      <c r="B400">
        <v>394301.38130000001</v>
      </c>
      <c r="C400">
        <v>0</v>
      </c>
      <c r="D400">
        <v>779948.71719999996</v>
      </c>
      <c r="E400">
        <v>0</v>
      </c>
      <c r="F400">
        <v>1175393.912</v>
      </c>
      <c r="G400">
        <v>194.20699999999999</v>
      </c>
      <c r="H400">
        <v>559</v>
      </c>
      <c r="I400" t="str">
        <f t="shared" si="25"/>
        <v>YES</v>
      </c>
      <c r="J400" t="s">
        <v>408</v>
      </c>
      <c r="K400">
        <v>98502.788325999994</v>
      </c>
      <c r="L400" s="1">
        <f t="shared" si="26"/>
        <v>0</v>
      </c>
      <c r="M400" s="1">
        <f t="shared" si="27"/>
        <v>0</v>
      </c>
      <c r="N400" s="1">
        <f t="shared" si="28"/>
        <v>97562.64816338016</v>
      </c>
      <c r="O400" s="1"/>
    </row>
    <row r="401" spans="1:15" x14ac:dyDescent="0.25">
      <c r="A401">
        <v>560</v>
      </c>
      <c r="B401">
        <v>206737.09779999999</v>
      </c>
      <c r="C401">
        <v>0</v>
      </c>
      <c r="D401">
        <v>634570.81019999995</v>
      </c>
      <c r="E401">
        <v>0</v>
      </c>
      <c r="F401">
        <v>968361.94510000001</v>
      </c>
      <c r="G401">
        <v>0</v>
      </c>
      <c r="H401">
        <v>560</v>
      </c>
      <c r="I401" t="str">
        <f t="shared" si="25"/>
        <v>YES</v>
      </c>
      <c r="J401" t="s">
        <v>409</v>
      </c>
      <c r="K401">
        <v>158442.63007700001</v>
      </c>
      <c r="L401" s="1">
        <f t="shared" si="26"/>
        <v>0</v>
      </c>
      <c r="M401" s="1">
        <f t="shared" si="27"/>
        <v>0</v>
      </c>
      <c r="N401" s="1">
        <f t="shared" si="28"/>
        <v>0</v>
      </c>
      <c r="O401" s="1"/>
    </row>
    <row r="402" spans="1:15" x14ac:dyDescent="0.25">
      <c r="A402">
        <v>561</v>
      </c>
      <c r="B402">
        <v>242560.97409999999</v>
      </c>
      <c r="C402">
        <v>0</v>
      </c>
      <c r="D402">
        <v>659407.01540000003</v>
      </c>
      <c r="E402">
        <v>0</v>
      </c>
      <c r="F402">
        <v>1000601.844</v>
      </c>
      <c r="G402">
        <v>0</v>
      </c>
      <c r="H402">
        <v>561</v>
      </c>
      <c r="I402" t="str">
        <f t="shared" si="25"/>
        <v>YES</v>
      </c>
      <c r="J402" s="5" t="s">
        <v>410</v>
      </c>
      <c r="K402" s="5">
        <v>147485.254659</v>
      </c>
      <c r="L402" s="1">
        <f t="shared" si="26"/>
        <v>0</v>
      </c>
      <c r="M402" s="1">
        <f t="shared" si="27"/>
        <v>0</v>
      </c>
      <c r="N402" s="1">
        <f t="shared" si="28"/>
        <v>0</v>
      </c>
      <c r="O402" s="1"/>
    </row>
    <row r="403" spans="1:15" x14ac:dyDescent="0.25">
      <c r="A403">
        <v>562</v>
      </c>
      <c r="B403">
        <v>283675.45159999997</v>
      </c>
      <c r="C403">
        <v>0</v>
      </c>
      <c r="D403">
        <v>697337.67090000003</v>
      </c>
      <c r="E403">
        <v>0</v>
      </c>
      <c r="F403">
        <v>1030261.588</v>
      </c>
      <c r="G403">
        <v>1098.329</v>
      </c>
      <c r="H403">
        <v>562</v>
      </c>
      <c r="I403" t="str">
        <f t="shared" si="25"/>
        <v>YES</v>
      </c>
      <c r="J403" t="s">
        <v>411</v>
      </c>
      <c r="K403">
        <v>127589.18627999999</v>
      </c>
      <c r="L403" s="1">
        <f t="shared" si="26"/>
        <v>0</v>
      </c>
      <c r="M403" s="1">
        <f t="shared" si="27"/>
        <v>0</v>
      </c>
      <c r="N403" s="1">
        <f t="shared" si="28"/>
        <v>714688.00722640322</v>
      </c>
      <c r="O403" s="1"/>
    </row>
    <row r="404" spans="1:15" x14ac:dyDescent="0.25">
      <c r="A404">
        <v>563</v>
      </c>
      <c r="B404">
        <v>340554.25020000001</v>
      </c>
      <c r="C404">
        <v>0</v>
      </c>
      <c r="D404">
        <v>748919.65910000005</v>
      </c>
      <c r="E404">
        <v>0</v>
      </c>
      <c r="F404">
        <v>1090556.433</v>
      </c>
      <c r="G404">
        <v>1098.329</v>
      </c>
      <c r="H404">
        <v>563</v>
      </c>
      <c r="I404" t="str">
        <f t="shared" si="25"/>
        <v>YES</v>
      </c>
      <c r="J404" t="s">
        <v>412</v>
      </c>
      <c r="K404">
        <v>73325.691857400001</v>
      </c>
      <c r="L404" s="1">
        <f t="shared" si="26"/>
        <v>0</v>
      </c>
      <c r="M404" s="1">
        <f t="shared" si="27"/>
        <v>0</v>
      </c>
      <c r="N404" s="1">
        <f t="shared" si="28"/>
        <v>410732.2424414361</v>
      </c>
      <c r="O404" s="1"/>
    </row>
    <row r="405" spans="1:15" x14ac:dyDescent="0.25">
      <c r="A405">
        <v>564</v>
      </c>
      <c r="B405">
        <v>84255.662590000007</v>
      </c>
      <c r="C405">
        <v>0</v>
      </c>
      <c r="D405">
        <v>603815.84680000006</v>
      </c>
      <c r="E405">
        <v>0</v>
      </c>
      <c r="F405">
        <v>981813.47979999997</v>
      </c>
      <c r="G405">
        <v>1414.269</v>
      </c>
      <c r="H405">
        <v>564</v>
      </c>
      <c r="I405" t="str">
        <f t="shared" si="25"/>
        <v>YES</v>
      </c>
      <c r="J405" t="s">
        <v>413</v>
      </c>
      <c r="K405">
        <v>250452.879869</v>
      </c>
      <c r="L405" s="1">
        <f t="shared" si="26"/>
        <v>0</v>
      </c>
      <c r="M405" s="1">
        <f t="shared" si="27"/>
        <v>0</v>
      </c>
      <c r="N405" s="1">
        <f t="shared" si="28"/>
        <v>1806459.4941931989</v>
      </c>
      <c r="O405" s="1"/>
    </row>
    <row r="406" spans="1:15" x14ac:dyDescent="0.25">
      <c r="A406">
        <v>565</v>
      </c>
      <c r="B406">
        <v>142798.01029999999</v>
      </c>
      <c r="C406">
        <v>0</v>
      </c>
      <c r="D406">
        <v>680613.81810000003</v>
      </c>
      <c r="E406">
        <v>2033.4327000000001</v>
      </c>
      <c r="F406">
        <v>1034483.255</v>
      </c>
      <c r="G406">
        <v>194.20699999999999</v>
      </c>
      <c r="H406">
        <v>565</v>
      </c>
      <c r="I406" t="str">
        <f t="shared" si="25"/>
        <v>YES</v>
      </c>
      <c r="J406" t="s">
        <v>414</v>
      </c>
      <c r="K406">
        <v>855654.20608899998</v>
      </c>
      <c r="L406" s="1">
        <f t="shared" si="26"/>
        <v>0</v>
      </c>
      <c r="M406" s="1">
        <f t="shared" si="27"/>
        <v>18965076.143837638</v>
      </c>
      <c r="N406" s="1">
        <f t="shared" si="28"/>
        <v>847487.58564982482</v>
      </c>
      <c r="O406" s="1"/>
    </row>
    <row r="407" spans="1:15" x14ac:dyDescent="0.25">
      <c r="A407">
        <v>566</v>
      </c>
      <c r="B407">
        <v>168280.97080000001</v>
      </c>
      <c r="C407">
        <v>0</v>
      </c>
      <c r="D407">
        <v>707490.83629999997</v>
      </c>
      <c r="E407">
        <v>1925.8675000000001</v>
      </c>
      <c r="F407">
        <v>1077620.0260000001</v>
      </c>
      <c r="G407">
        <v>194.20599999999999</v>
      </c>
      <c r="H407">
        <v>566</v>
      </c>
      <c r="I407" t="str">
        <f t="shared" si="25"/>
        <v>YES</v>
      </c>
      <c r="J407" t="s">
        <v>415</v>
      </c>
      <c r="K407">
        <v>730212.98466099997</v>
      </c>
      <c r="L407" s="1">
        <f t="shared" si="26"/>
        <v>0</v>
      </c>
      <c r="M407" s="1">
        <f t="shared" si="27"/>
        <v>15328598.662079141</v>
      </c>
      <c r="N407" s="1">
        <f t="shared" si="28"/>
        <v>723239.88878527819</v>
      </c>
      <c r="O407" s="1"/>
    </row>
    <row r="408" spans="1:15" x14ac:dyDescent="0.25">
      <c r="A408">
        <v>567</v>
      </c>
      <c r="B408">
        <v>88993.969620000003</v>
      </c>
      <c r="C408">
        <v>0</v>
      </c>
      <c r="D408">
        <v>583463.18779999996</v>
      </c>
      <c r="E408">
        <v>1198.5672</v>
      </c>
      <c r="F408">
        <v>954962.74289999995</v>
      </c>
      <c r="G408">
        <v>194.20670000000001</v>
      </c>
      <c r="H408">
        <v>567</v>
      </c>
      <c r="I408" t="str">
        <f t="shared" si="25"/>
        <v>YES</v>
      </c>
      <c r="J408" t="s">
        <v>416</v>
      </c>
      <c r="K408">
        <v>279379.75765799999</v>
      </c>
      <c r="L408" s="1">
        <f t="shared" si="26"/>
        <v>0</v>
      </c>
      <c r="M408" s="1">
        <f t="shared" si="27"/>
        <v>3649924.0112138209</v>
      </c>
      <c r="N408" s="1">
        <f t="shared" si="28"/>
        <v>276712.84598595556</v>
      </c>
      <c r="O408" s="1"/>
    </row>
    <row r="409" spans="1:15" x14ac:dyDescent="0.25">
      <c r="A409">
        <v>570</v>
      </c>
      <c r="B409">
        <v>1746.533132</v>
      </c>
      <c r="C409">
        <v>0</v>
      </c>
      <c r="D409">
        <v>10352.75193</v>
      </c>
      <c r="E409">
        <v>0</v>
      </c>
      <c r="F409">
        <v>124340.0808</v>
      </c>
      <c r="G409">
        <v>0</v>
      </c>
      <c r="H409">
        <v>570</v>
      </c>
      <c r="I409" t="str">
        <f t="shared" si="25"/>
        <v>YES</v>
      </c>
      <c r="J409" s="5" t="s">
        <v>417</v>
      </c>
      <c r="K409" s="5">
        <v>606436.412732</v>
      </c>
      <c r="L409" s="1">
        <f t="shared" si="26"/>
        <v>0</v>
      </c>
      <c r="M409" s="1">
        <f t="shared" si="27"/>
        <v>0</v>
      </c>
      <c r="N409" s="1">
        <f t="shared" si="28"/>
        <v>0</v>
      </c>
      <c r="O409" s="1"/>
    </row>
    <row r="410" spans="1:15" x14ac:dyDescent="0.25">
      <c r="A410">
        <v>571</v>
      </c>
      <c r="B410">
        <v>4219.4067370000002</v>
      </c>
      <c r="C410">
        <v>0</v>
      </c>
      <c r="D410">
        <v>32003.196240000001</v>
      </c>
      <c r="E410">
        <v>0</v>
      </c>
      <c r="F410">
        <v>298894.8357</v>
      </c>
      <c r="G410">
        <v>0</v>
      </c>
      <c r="H410">
        <v>571</v>
      </c>
      <c r="I410" t="str">
        <f t="shared" si="25"/>
        <v>YES</v>
      </c>
      <c r="J410" s="5" t="s">
        <v>418</v>
      </c>
      <c r="K410" s="5">
        <v>621630.39249400003</v>
      </c>
      <c r="L410" s="1">
        <f t="shared" si="26"/>
        <v>0</v>
      </c>
      <c r="M410" s="1">
        <f t="shared" si="27"/>
        <v>0</v>
      </c>
      <c r="N410" s="1">
        <f t="shared" si="28"/>
        <v>0</v>
      </c>
      <c r="O410" s="1"/>
    </row>
    <row r="411" spans="1:15" x14ac:dyDescent="0.25">
      <c r="A411">
        <v>572</v>
      </c>
      <c r="B411">
        <v>5662.1937090000001</v>
      </c>
      <c r="C411">
        <v>0</v>
      </c>
      <c r="D411">
        <v>33929.631329999997</v>
      </c>
      <c r="E411">
        <v>0</v>
      </c>
      <c r="F411">
        <v>367027.41840000002</v>
      </c>
      <c r="G411">
        <v>0</v>
      </c>
      <c r="H411">
        <v>572</v>
      </c>
      <c r="I411" t="str">
        <f t="shared" si="25"/>
        <v>YES</v>
      </c>
      <c r="J411" s="5" t="s">
        <v>419</v>
      </c>
      <c r="K411" s="5">
        <v>1104113.26183</v>
      </c>
      <c r="L411" s="1">
        <f t="shared" si="26"/>
        <v>0</v>
      </c>
      <c r="M411" s="1">
        <f t="shared" si="27"/>
        <v>0</v>
      </c>
      <c r="N411" s="1">
        <f t="shared" si="28"/>
        <v>0</v>
      </c>
      <c r="O411" s="1"/>
    </row>
    <row r="412" spans="1:15" x14ac:dyDescent="0.25">
      <c r="A412">
        <v>573</v>
      </c>
      <c r="B412">
        <v>9370.5683229999995</v>
      </c>
      <c r="C412">
        <v>0</v>
      </c>
      <c r="D412">
        <v>53973.093560000001</v>
      </c>
      <c r="E412">
        <v>0</v>
      </c>
      <c r="F412">
        <v>509767.67469999997</v>
      </c>
      <c r="G412">
        <v>0</v>
      </c>
      <c r="H412">
        <v>573</v>
      </c>
      <c r="I412" t="str">
        <f t="shared" si="25"/>
        <v>YES</v>
      </c>
      <c r="J412" s="5" t="s">
        <v>420</v>
      </c>
      <c r="K412" s="5">
        <v>519201.62673199998</v>
      </c>
      <c r="L412" s="1">
        <f t="shared" si="26"/>
        <v>0</v>
      </c>
      <c r="M412" s="1">
        <f t="shared" si="27"/>
        <v>0</v>
      </c>
      <c r="N412" s="1">
        <f t="shared" si="28"/>
        <v>0</v>
      </c>
      <c r="O412" s="1"/>
    </row>
    <row r="413" spans="1:15" x14ac:dyDescent="0.25">
      <c r="A413">
        <v>574</v>
      </c>
      <c r="B413">
        <v>10147.71408</v>
      </c>
      <c r="C413">
        <v>0</v>
      </c>
      <c r="D413">
        <v>146466.77989999999</v>
      </c>
      <c r="E413">
        <v>0</v>
      </c>
      <c r="F413">
        <v>588063.48190000001</v>
      </c>
      <c r="G413">
        <v>0</v>
      </c>
      <c r="H413">
        <v>574</v>
      </c>
      <c r="I413" t="str">
        <f t="shared" si="25"/>
        <v>YES</v>
      </c>
      <c r="J413" s="5" t="s">
        <v>421</v>
      </c>
      <c r="K413" s="5">
        <v>1497776.8209800001</v>
      </c>
      <c r="L413" s="1">
        <f t="shared" si="26"/>
        <v>0</v>
      </c>
      <c r="M413" s="1">
        <f t="shared" si="27"/>
        <v>0</v>
      </c>
      <c r="N413" s="1">
        <f t="shared" si="28"/>
        <v>0</v>
      </c>
      <c r="O413" s="1"/>
    </row>
    <row r="414" spans="1:15" x14ac:dyDescent="0.25">
      <c r="A414">
        <v>575</v>
      </c>
      <c r="B414">
        <v>3235.7220419999999</v>
      </c>
      <c r="C414">
        <v>0</v>
      </c>
      <c r="D414">
        <v>15778.73962</v>
      </c>
      <c r="E414">
        <v>0</v>
      </c>
      <c r="F414">
        <v>127784.98540000001</v>
      </c>
      <c r="G414">
        <v>0</v>
      </c>
      <c r="H414">
        <v>575</v>
      </c>
      <c r="I414" t="str">
        <f t="shared" si="25"/>
        <v>YES</v>
      </c>
      <c r="J414" s="5" t="s">
        <v>422</v>
      </c>
      <c r="K414" s="5">
        <v>777348.13166099996</v>
      </c>
      <c r="L414" s="1">
        <f t="shared" si="26"/>
        <v>0</v>
      </c>
      <c r="M414" s="1">
        <f t="shared" si="27"/>
        <v>0</v>
      </c>
      <c r="N414" s="1">
        <f t="shared" si="28"/>
        <v>0</v>
      </c>
      <c r="O414" s="1"/>
    </row>
    <row r="415" spans="1:15" x14ac:dyDescent="0.25">
      <c r="A415">
        <v>577</v>
      </c>
      <c r="B415">
        <v>100875.2743</v>
      </c>
      <c r="C415">
        <v>0</v>
      </c>
      <c r="D415">
        <v>583245.87049999996</v>
      </c>
      <c r="E415">
        <v>0</v>
      </c>
      <c r="F415">
        <v>945346.68830000004</v>
      </c>
      <c r="G415">
        <v>1103.8649</v>
      </c>
      <c r="H415">
        <v>577</v>
      </c>
      <c r="I415" t="str">
        <f t="shared" si="25"/>
        <v>YES</v>
      </c>
      <c r="J415" s="5" t="s">
        <v>423</v>
      </c>
      <c r="K415" s="5">
        <v>402151.381758</v>
      </c>
      <c r="L415" s="1">
        <f t="shared" si="26"/>
        <v>0</v>
      </c>
      <c r="M415" s="1">
        <f t="shared" si="27"/>
        <v>0</v>
      </c>
      <c r="N415" s="1">
        <f t="shared" si="28"/>
        <v>2263996.0535266981</v>
      </c>
      <c r="O415" s="1"/>
    </row>
    <row r="416" spans="1:15" x14ac:dyDescent="0.25">
      <c r="A416">
        <v>578</v>
      </c>
      <c r="B416">
        <v>180165.15100000001</v>
      </c>
      <c r="C416">
        <v>0</v>
      </c>
      <c r="D416">
        <v>633523.53249999997</v>
      </c>
      <c r="E416">
        <v>0</v>
      </c>
      <c r="F416">
        <v>979334.48360000004</v>
      </c>
      <c r="G416">
        <v>0</v>
      </c>
      <c r="H416">
        <v>578</v>
      </c>
      <c r="I416" t="str">
        <f t="shared" si="25"/>
        <v>YES</v>
      </c>
      <c r="J416" s="5" t="s">
        <v>424</v>
      </c>
      <c r="K416" s="5">
        <v>446630.075266</v>
      </c>
      <c r="L416" s="1">
        <f t="shared" si="26"/>
        <v>0</v>
      </c>
      <c r="M416" s="1">
        <f t="shared" si="27"/>
        <v>0</v>
      </c>
      <c r="N416" s="1">
        <f t="shared" si="28"/>
        <v>0</v>
      </c>
      <c r="O416" s="1"/>
    </row>
    <row r="417" spans="1:15" x14ac:dyDescent="0.25">
      <c r="A417">
        <v>579</v>
      </c>
      <c r="B417">
        <v>340741.16680000001</v>
      </c>
      <c r="C417">
        <v>0</v>
      </c>
      <c r="D417">
        <v>725873.68980000005</v>
      </c>
      <c r="E417">
        <v>0</v>
      </c>
      <c r="F417">
        <v>1137053.7250000001</v>
      </c>
      <c r="G417">
        <v>0</v>
      </c>
      <c r="H417">
        <v>579</v>
      </c>
      <c r="I417" t="str">
        <f t="shared" si="25"/>
        <v>YES</v>
      </c>
      <c r="J417" s="5" t="s">
        <v>7</v>
      </c>
      <c r="K417" s="5">
        <v>258314.25924000001</v>
      </c>
      <c r="L417" s="1">
        <f t="shared" si="26"/>
        <v>0</v>
      </c>
      <c r="M417" s="1">
        <f t="shared" si="27"/>
        <v>0</v>
      </c>
      <c r="N417" s="1">
        <f t="shared" si="28"/>
        <v>0</v>
      </c>
      <c r="O417" s="1"/>
    </row>
    <row r="418" spans="1:15" x14ac:dyDescent="0.25">
      <c r="A418">
        <v>580</v>
      </c>
      <c r="B418">
        <v>103161.03350000001</v>
      </c>
      <c r="C418">
        <v>0</v>
      </c>
      <c r="D418">
        <v>608110.09420000005</v>
      </c>
      <c r="E418">
        <v>0</v>
      </c>
      <c r="F418">
        <v>957039.66390000004</v>
      </c>
      <c r="G418">
        <v>0</v>
      </c>
      <c r="H418">
        <v>580</v>
      </c>
      <c r="I418" t="str">
        <f t="shared" si="25"/>
        <v>YES</v>
      </c>
      <c r="J418" s="5" t="s">
        <v>425</v>
      </c>
      <c r="K418" s="5">
        <v>171059.22847900001</v>
      </c>
      <c r="L418" s="1">
        <f t="shared" si="26"/>
        <v>0</v>
      </c>
      <c r="M418" s="1">
        <f t="shared" si="27"/>
        <v>0</v>
      </c>
      <c r="N418" s="1">
        <f t="shared" si="28"/>
        <v>0</v>
      </c>
      <c r="O418" s="1"/>
    </row>
    <row r="419" spans="1:15" x14ac:dyDescent="0.25">
      <c r="A419">
        <v>600</v>
      </c>
      <c r="B419">
        <v>36623.220020000001</v>
      </c>
      <c r="C419">
        <v>0</v>
      </c>
      <c r="D419">
        <v>358476.56189999997</v>
      </c>
      <c r="E419">
        <v>0</v>
      </c>
      <c r="F419">
        <v>744860.34979999997</v>
      </c>
      <c r="G419">
        <v>0</v>
      </c>
      <c r="H419">
        <v>600</v>
      </c>
      <c r="I419" t="str">
        <f t="shared" si="25"/>
        <v>YES</v>
      </c>
      <c r="J419" s="5" t="s">
        <v>426</v>
      </c>
      <c r="K419" s="5">
        <v>211226.16104499999</v>
      </c>
      <c r="L419" s="1">
        <f t="shared" si="26"/>
        <v>0</v>
      </c>
      <c r="M419" s="1">
        <f t="shared" si="27"/>
        <v>0</v>
      </c>
      <c r="N419" s="1">
        <f t="shared" si="28"/>
        <v>0</v>
      </c>
      <c r="O419" s="1"/>
    </row>
    <row r="420" spans="1:15" x14ac:dyDescent="0.25">
      <c r="A420">
        <v>601</v>
      </c>
      <c r="B420">
        <v>19013.956699999999</v>
      </c>
      <c r="C420">
        <v>0</v>
      </c>
      <c r="D420">
        <v>154627.27530000001</v>
      </c>
      <c r="E420">
        <v>0</v>
      </c>
      <c r="F420">
        <v>644632.75529999996</v>
      </c>
      <c r="G420">
        <v>0</v>
      </c>
      <c r="H420">
        <v>601</v>
      </c>
      <c r="I420" t="str">
        <f t="shared" si="25"/>
        <v>YES</v>
      </c>
      <c r="J420" s="5" t="s">
        <v>427</v>
      </c>
      <c r="K420" s="5">
        <v>540224.55687099998</v>
      </c>
      <c r="L420" s="1">
        <f t="shared" si="26"/>
        <v>0</v>
      </c>
      <c r="M420" s="1">
        <f t="shared" si="27"/>
        <v>0</v>
      </c>
      <c r="N420" s="1">
        <f t="shared" si="28"/>
        <v>0</v>
      </c>
      <c r="O420" s="1"/>
    </row>
    <row r="421" spans="1:15" x14ac:dyDescent="0.25">
      <c r="A421">
        <v>602</v>
      </c>
      <c r="B421">
        <v>31121.914870000001</v>
      </c>
      <c r="C421">
        <v>0</v>
      </c>
      <c r="D421">
        <v>328399.35350000003</v>
      </c>
      <c r="E421">
        <v>0</v>
      </c>
      <c r="F421">
        <v>746517.67989999999</v>
      </c>
      <c r="G421">
        <v>1720.5028</v>
      </c>
      <c r="H421">
        <v>602</v>
      </c>
      <c r="I421" t="str">
        <f t="shared" si="25"/>
        <v>YES</v>
      </c>
      <c r="J421" s="5" t="s">
        <v>428</v>
      </c>
      <c r="K421" s="5">
        <v>462768.02923799999</v>
      </c>
      <c r="L421" s="1">
        <f t="shared" si="26"/>
        <v>0</v>
      </c>
      <c r="M421" s="1">
        <f t="shared" si="27"/>
        <v>0</v>
      </c>
      <c r="N421" s="1">
        <f t="shared" si="28"/>
        <v>4060587.8192777508</v>
      </c>
      <c r="O421" s="1"/>
    </row>
    <row r="422" spans="1:15" x14ac:dyDescent="0.25">
      <c r="A422">
        <v>603</v>
      </c>
      <c r="B422">
        <v>17824.366429999998</v>
      </c>
      <c r="C422">
        <v>13821.66899</v>
      </c>
      <c r="D422">
        <v>149384.2029</v>
      </c>
      <c r="E422">
        <v>151788.14799999999</v>
      </c>
      <c r="F422">
        <v>647929.93649999995</v>
      </c>
      <c r="G422">
        <v>159108.89850000001</v>
      </c>
      <c r="H422">
        <v>603</v>
      </c>
      <c r="I422" t="str">
        <f t="shared" si="25"/>
        <v>YES</v>
      </c>
      <c r="J422" s="5" t="s">
        <v>429</v>
      </c>
      <c r="K422" s="5">
        <v>429383.94459500001</v>
      </c>
      <c r="L422" s="1">
        <f t="shared" si="26"/>
        <v>192881089.43390918</v>
      </c>
      <c r="M422" s="1">
        <f t="shared" si="27"/>
        <v>710411791.66800523</v>
      </c>
      <c r="N422" s="1">
        <f t="shared" si="28"/>
        <v>348425912.93628705</v>
      </c>
      <c r="O422" s="1"/>
    </row>
    <row r="423" spans="1:15" x14ac:dyDescent="0.25">
      <c r="A423">
        <v>604</v>
      </c>
      <c r="B423">
        <v>31793.696479999999</v>
      </c>
      <c r="C423">
        <v>0</v>
      </c>
      <c r="D423">
        <v>184477.13579999999</v>
      </c>
      <c r="E423">
        <v>38951.528700000003</v>
      </c>
      <c r="F423">
        <v>707446.59510000004</v>
      </c>
      <c r="G423">
        <v>36623.209699999999</v>
      </c>
      <c r="H423">
        <v>604</v>
      </c>
      <c r="I423" t="str">
        <f t="shared" si="25"/>
        <v>YES</v>
      </c>
      <c r="J423" s="5" t="s">
        <v>430</v>
      </c>
      <c r="K423" s="5">
        <v>418759.24745999998</v>
      </c>
      <c r="L423" s="1">
        <f t="shared" si="26"/>
        <v>0</v>
      </c>
      <c r="M423" s="1">
        <f t="shared" si="27"/>
        <v>177793310.01953164</v>
      </c>
      <c r="N423" s="1">
        <f t="shared" si="28"/>
        <v>78215169.441063046</v>
      </c>
      <c r="O423" s="1"/>
    </row>
    <row r="424" spans="1:15" x14ac:dyDescent="0.25">
      <c r="A424">
        <v>605</v>
      </c>
      <c r="B424">
        <v>33606.65756</v>
      </c>
      <c r="C424">
        <v>0</v>
      </c>
      <c r="D424">
        <v>192936.33300000001</v>
      </c>
      <c r="E424">
        <v>113480.25440000001</v>
      </c>
      <c r="F424">
        <v>715113.90009999997</v>
      </c>
      <c r="G424">
        <v>63680.134599999998</v>
      </c>
      <c r="H424">
        <v>605</v>
      </c>
      <c r="I424" t="str">
        <f t="shared" si="25"/>
        <v>YES</v>
      </c>
      <c r="J424" s="5" t="s">
        <v>431</v>
      </c>
      <c r="K424" s="5">
        <v>307450.28752700001</v>
      </c>
      <c r="L424" s="1">
        <f t="shared" si="26"/>
        <v>0</v>
      </c>
      <c r="M424" s="1">
        <f t="shared" si="27"/>
        <v>380295951.59869647</v>
      </c>
      <c r="N424" s="1">
        <f t="shared" si="28"/>
        <v>99850226.031893119</v>
      </c>
      <c r="O424" s="1"/>
    </row>
    <row r="425" spans="1:15" x14ac:dyDescent="0.25">
      <c r="A425">
        <v>606</v>
      </c>
      <c r="B425">
        <v>29044.149099999999</v>
      </c>
      <c r="C425">
        <v>0</v>
      </c>
      <c r="D425">
        <v>153207.4037</v>
      </c>
      <c r="E425">
        <v>16348.3495</v>
      </c>
      <c r="F425">
        <v>695182.20799999998</v>
      </c>
      <c r="G425">
        <v>26060.4804</v>
      </c>
      <c r="H425">
        <v>606</v>
      </c>
      <c r="I425" t="str">
        <f t="shared" si="25"/>
        <v>YES</v>
      </c>
      <c r="J425" s="5" t="s">
        <v>432</v>
      </c>
      <c r="K425" s="5">
        <v>329850.830074</v>
      </c>
      <c r="L425" s="1">
        <f t="shared" si="26"/>
        <v>0</v>
      </c>
      <c r="M425" s="1">
        <f t="shared" si="27"/>
        <v>58778431.516772009</v>
      </c>
      <c r="N425" s="1">
        <f t="shared" si="28"/>
        <v>43839962.569542758</v>
      </c>
      <c r="O425" s="1"/>
    </row>
    <row r="426" spans="1:15" x14ac:dyDescent="0.25">
      <c r="A426">
        <v>607</v>
      </c>
      <c r="B426">
        <v>17435.517540000001</v>
      </c>
      <c r="C426">
        <v>0</v>
      </c>
      <c r="D426">
        <v>72016.14748</v>
      </c>
      <c r="E426">
        <v>0</v>
      </c>
      <c r="F426">
        <v>535576.12309999997</v>
      </c>
      <c r="G426">
        <v>365.15210000000002</v>
      </c>
      <c r="H426">
        <v>607</v>
      </c>
      <c r="I426" t="str">
        <f t="shared" si="25"/>
        <v>YES</v>
      </c>
      <c r="J426" s="5" t="s">
        <v>433</v>
      </c>
      <c r="K426" s="5">
        <v>321746.5012</v>
      </c>
      <c r="L426" s="1">
        <f t="shared" si="26"/>
        <v>0</v>
      </c>
      <c r="M426" s="1">
        <f t="shared" si="27"/>
        <v>0</v>
      </c>
      <c r="N426" s="1">
        <f t="shared" si="28"/>
        <v>599180.69396224595</v>
      </c>
      <c r="O426" s="1"/>
    </row>
    <row r="427" spans="1:15" x14ac:dyDescent="0.25">
      <c r="A427">
        <v>608</v>
      </c>
      <c r="B427">
        <v>23136.888169999998</v>
      </c>
      <c r="C427">
        <v>0</v>
      </c>
      <c r="D427">
        <v>73123.369089999993</v>
      </c>
      <c r="E427">
        <v>952.71653000000003</v>
      </c>
      <c r="F427">
        <v>587367.99840000004</v>
      </c>
      <c r="G427">
        <v>8965.1682000000001</v>
      </c>
      <c r="H427">
        <v>608</v>
      </c>
      <c r="I427" t="str">
        <f t="shared" si="25"/>
        <v>YES</v>
      </c>
      <c r="J427" s="5" t="s">
        <v>434</v>
      </c>
      <c r="K427" s="5">
        <v>808431.73872699996</v>
      </c>
      <c r="L427" s="1">
        <f t="shared" si="26"/>
        <v>0</v>
      </c>
      <c r="M427" s="1">
        <f t="shared" si="27"/>
        <v>8395248.4613942094</v>
      </c>
      <c r="N427" s="1">
        <f t="shared" si="28"/>
        <v>36963405.231120646</v>
      </c>
      <c r="O427" s="1"/>
    </row>
    <row r="428" spans="1:15" x14ac:dyDescent="0.25">
      <c r="A428">
        <v>609</v>
      </c>
      <c r="B428">
        <v>75617.0236</v>
      </c>
      <c r="C428">
        <v>1098.32881</v>
      </c>
      <c r="D428">
        <v>625790.52910000004</v>
      </c>
      <c r="E428">
        <v>0</v>
      </c>
      <c r="F428">
        <v>952798.62450000003</v>
      </c>
      <c r="G428">
        <v>0</v>
      </c>
      <c r="H428">
        <v>609</v>
      </c>
      <c r="I428" t="str">
        <f t="shared" si="25"/>
        <v>YES</v>
      </c>
      <c r="J428" s="5" t="s">
        <v>435</v>
      </c>
      <c r="K428" s="5">
        <v>197602.531036</v>
      </c>
      <c r="L428" s="1">
        <f t="shared" si="26"/>
        <v>7053557.9648871338</v>
      </c>
      <c r="M428" s="1">
        <f t="shared" si="27"/>
        <v>0</v>
      </c>
      <c r="N428" s="1">
        <f t="shared" si="28"/>
        <v>0</v>
      </c>
      <c r="O428" s="1"/>
    </row>
    <row r="429" spans="1:15" x14ac:dyDescent="0.25">
      <c r="A429">
        <v>610</v>
      </c>
      <c r="B429">
        <v>38289.765299999999</v>
      </c>
      <c r="C429">
        <v>1103.8648800000001</v>
      </c>
      <c r="D429">
        <v>301541.87459999998</v>
      </c>
      <c r="E429">
        <v>0</v>
      </c>
      <c r="F429">
        <v>762655.40150000004</v>
      </c>
      <c r="G429">
        <v>0</v>
      </c>
      <c r="H429">
        <v>610</v>
      </c>
      <c r="I429" t="str">
        <f t="shared" si="25"/>
        <v>YES</v>
      </c>
      <c r="J429" s="5" t="s">
        <v>436</v>
      </c>
      <c r="K429" s="5">
        <v>274251.32787699997</v>
      </c>
      <c r="L429" s="1">
        <f t="shared" si="26"/>
        <v>9838933.2969455197</v>
      </c>
      <c r="M429" s="1">
        <f t="shared" si="27"/>
        <v>0</v>
      </c>
      <c r="N429" s="1">
        <f t="shared" si="28"/>
        <v>0</v>
      </c>
      <c r="O429" s="1"/>
    </row>
    <row r="430" spans="1:15" x14ac:dyDescent="0.25">
      <c r="A430">
        <v>611</v>
      </c>
      <c r="B430">
        <v>207488.09450000001</v>
      </c>
      <c r="C430">
        <v>0</v>
      </c>
      <c r="D430">
        <v>773021.14029999997</v>
      </c>
      <c r="E430">
        <v>1414.269</v>
      </c>
      <c r="F430">
        <v>1134748.328</v>
      </c>
      <c r="G430">
        <v>492.78500000000003</v>
      </c>
      <c r="H430">
        <v>611</v>
      </c>
      <c r="I430" t="str">
        <f t="shared" si="25"/>
        <v>YES</v>
      </c>
      <c r="J430" s="5" t="s">
        <v>437</v>
      </c>
      <c r="K430" s="5">
        <v>294725.88608800003</v>
      </c>
      <c r="L430" s="1">
        <f t="shared" si="26"/>
        <v>0</v>
      </c>
      <c r="M430" s="1">
        <f t="shared" si="27"/>
        <v>4543356.3576905075</v>
      </c>
      <c r="N430" s="1">
        <f t="shared" si="28"/>
        <v>740706.12845696311</v>
      </c>
      <c r="O430" s="1"/>
    </row>
    <row r="431" spans="1:15" x14ac:dyDescent="0.25">
      <c r="A431">
        <v>612</v>
      </c>
      <c r="B431">
        <v>37665.722500000003</v>
      </c>
      <c r="C431">
        <v>0</v>
      </c>
      <c r="D431">
        <v>542270.86239999998</v>
      </c>
      <c r="E431">
        <v>0</v>
      </c>
      <c r="F431">
        <v>911262.47840000002</v>
      </c>
      <c r="G431">
        <v>0</v>
      </c>
      <c r="H431">
        <v>612</v>
      </c>
      <c r="I431" t="str">
        <f t="shared" si="25"/>
        <v>YES</v>
      </c>
      <c r="J431" s="5" t="s">
        <v>438</v>
      </c>
      <c r="K431" s="5">
        <v>517066.74026300001</v>
      </c>
      <c r="L431" s="1">
        <f t="shared" si="26"/>
        <v>0</v>
      </c>
      <c r="M431" s="1">
        <f t="shared" si="27"/>
        <v>0</v>
      </c>
      <c r="N431" s="1">
        <f t="shared" si="28"/>
        <v>0</v>
      </c>
      <c r="O431" s="1"/>
    </row>
    <row r="432" spans="1:15" x14ac:dyDescent="0.25">
      <c r="A432">
        <v>613</v>
      </c>
      <c r="B432">
        <v>223122.3921</v>
      </c>
      <c r="C432">
        <v>2033.4328</v>
      </c>
      <c r="D432">
        <v>794252.72120000003</v>
      </c>
      <c r="E432">
        <v>941.16489999999999</v>
      </c>
      <c r="F432">
        <v>1140106.689</v>
      </c>
      <c r="G432">
        <v>492.78500000000003</v>
      </c>
      <c r="H432">
        <v>613</v>
      </c>
      <c r="I432" t="str">
        <f t="shared" si="25"/>
        <v>YES</v>
      </c>
      <c r="J432" s="5" t="s">
        <v>439</v>
      </c>
      <c r="K432" s="5">
        <v>225722.858829</v>
      </c>
      <c r="L432" s="1">
        <f t="shared" si="26"/>
        <v>14917248.607711393</v>
      </c>
      <c r="M432" s="1">
        <f t="shared" si="27"/>
        <v>2315622.507246858</v>
      </c>
      <c r="N432" s="1">
        <f t="shared" si="28"/>
        <v>567287.47883904877</v>
      </c>
      <c r="O432" s="1"/>
    </row>
    <row r="433" spans="1:15" x14ac:dyDescent="0.25">
      <c r="A433">
        <v>614</v>
      </c>
      <c r="B433">
        <v>36675.468849999997</v>
      </c>
      <c r="C433">
        <v>1103.8648800000001</v>
      </c>
      <c r="D433">
        <v>504259.97240000003</v>
      </c>
      <c r="E433">
        <v>97.092100000000002</v>
      </c>
      <c r="F433">
        <v>894085.15540000005</v>
      </c>
      <c r="G433">
        <v>0</v>
      </c>
      <c r="H433">
        <v>614</v>
      </c>
      <c r="I433" t="str">
        <f t="shared" si="25"/>
        <v>YES</v>
      </c>
      <c r="J433" s="5" t="s">
        <v>440</v>
      </c>
      <c r="K433" s="5">
        <v>392001.64136399998</v>
      </c>
      <c r="L433" s="1">
        <f t="shared" si="26"/>
        <v>14063297.456132434</v>
      </c>
      <c r="M433" s="1">
        <f t="shared" si="27"/>
        <v>414856.8619419061</v>
      </c>
      <c r="N433" s="1">
        <f t="shared" si="28"/>
        <v>0</v>
      </c>
      <c r="O433" s="1"/>
    </row>
    <row r="434" spans="1:15" x14ac:dyDescent="0.25">
      <c r="A434">
        <v>615</v>
      </c>
      <c r="B434">
        <v>60481.518580000004</v>
      </c>
      <c r="C434">
        <v>483.77443</v>
      </c>
      <c r="D434">
        <v>567068.78209999995</v>
      </c>
      <c r="E434">
        <v>194.20660000000001</v>
      </c>
      <c r="F434">
        <v>942035.95830000006</v>
      </c>
      <c r="G434">
        <v>0</v>
      </c>
      <c r="H434">
        <v>615</v>
      </c>
      <c r="I434" t="str">
        <f t="shared" si="25"/>
        <v>YES</v>
      </c>
      <c r="J434" s="5" t="s">
        <v>441</v>
      </c>
      <c r="K434" s="5">
        <v>420582.62326399999</v>
      </c>
      <c r="L434" s="1">
        <f t="shared" si="26"/>
        <v>6612681.3622170063</v>
      </c>
      <c r="M434" s="1">
        <f t="shared" si="27"/>
        <v>890311.14198668767</v>
      </c>
      <c r="N434" s="1">
        <f t="shared" si="28"/>
        <v>0</v>
      </c>
      <c r="O434" s="1"/>
    </row>
    <row r="435" spans="1:15" x14ac:dyDescent="0.25">
      <c r="A435">
        <v>616</v>
      </c>
      <c r="B435">
        <v>21173.518929999998</v>
      </c>
      <c r="C435">
        <v>0</v>
      </c>
      <c r="D435">
        <v>268451.01559999998</v>
      </c>
      <c r="E435">
        <v>1312.7207000000001</v>
      </c>
      <c r="F435">
        <v>780993.34169999999</v>
      </c>
      <c r="G435">
        <v>0</v>
      </c>
      <c r="H435">
        <v>616</v>
      </c>
      <c r="I435" t="str">
        <f t="shared" si="25"/>
        <v>YES</v>
      </c>
      <c r="J435" s="5" t="s">
        <v>442</v>
      </c>
      <c r="K435" s="5">
        <v>637441.91010900005</v>
      </c>
      <c r="L435" s="1">
        <f t="shared" si="26"/>
        <v>0</v>
      </c>
      <c r="M435" s="1">
        <f t="shared" si="27"/>
        <v>9120936.7758790981</v>
      </c>
      <c r="N435" s="1">
        <f t="shared" si="28"/>
        <v>0</v>
      </c>
      <c r="O435" s="1"/>
    </row>
    <row r="436" spans="1:15" x14ac:dyDescent="0.25">
      <c r="A436">
        <v>617</v>
      </c>
      <c r="B436">
        <v>36317.416360000003</v>
      </c>
      <c r="C436">
        <v>493.91674</v>
      </c>
      <c r="D436">
        <v>538125.93550000002</v>
      </c>
      <c r="E436">
        <v>194.20670000000001</v>
      </c>
      <c r="F436">
        <v>904031.57519999996</v>
      </c>
      <c r="G436">
        <v>0</v>
      </c>
      <c r="H436">
        <v>617</v>
      </c>
      <c r="I436" t="str">
        <f t="shared" si="25"/>
        <v>YES</v>
      </c>
      <c r="J436" s="5" t="s">
        <v>443</v>
      </c>
      <c r="K436" s="5">
        <v>150105.551446</v>
      </c>
      <c r="L436" s="1">
        <f t="shared" si="26"/>
        <v>2409538.4503485947</v>
      </c>
      <c r="M436" s="1">
        <f t="shared" si="27"/>
        <v>317751.39139828598</v>
      </c>
      <c r="N436" s="1">
        <f t="shared" si="28"/>
        <v>0</v>
      </c>
      <c r="O436" s="1"/>
    </row>
    <row r="437" spans="1:15" x14ac:dyDescent="0.25">
      <c r="A437">
        <v>618</v>
      </c>
      <c r="B437">
        <v>70816.307310000004</v>
      </c>
      <c r="C437">
        <v>1098.32882</v>
      </c>
      <c r="D437">
        <v>606883.22389999998</v>
      </c>
      <c r="E437">
        <v>0</v>
      </c>
      <c r="F437">
        <v>956780.28119999997</v>
      </c>
      <c r="G437">
        <v>0</v>
      </c>
      <c r="H437">
        <v>618</v>
      </c>
      <c r="I437" t="str">
        <f t="shared" si="25"/>
        <v>YES</v>
      </c>
      <c r="J437" s="5" t="s">
        <v>444</v>
      </c>
      <c r="K437" s="5">
        <v>163333.49665099999</v>
      </c>
      <c r="L437" s="1">
        <f t="shared" si="26"/>
        <v>5830301.3159029204</v>
      </c>
      <c r="M437" s="1">
        <f t="shared" si="27"/>
        <v>0</v>
      </c>
      <c r="N437" s="1">
        <f t="shared" si="28"/>
        <v>0</v>
      </c>
      <c r="O437" s="1"/>
    </row>
    <row r="438" spans="1:15" x14ac:dyDescent="0.25">
      <c r="A438">
        <v>619</v>
      </c>
      <c r="B438">
        <v>32321.082170000001</v>
      </c>
      <c r="C438">
        <v>0</v>
      </c>
      <c r="D438">
        <v>469484.61550000001</v>
      </c>
      <c r="E438">
        <v>194.20660000000001</v>
      </c>
      <c r="F438">
        <v>872674.35860000004</v>
      </c>
      <c r="G438">
        <v>0</v>
      </c>
      <c r="H438">
        <v>619</v>
      </c>
      <c r="I438" t="str">
        <f t="shared" si="25"/>
        <v>YES</v>
      </c>
      <c r="J438" s="5" t="s">
        <v>445</v>
      </c>
      <c r="K438" s="5">
        <v>266386.26060799998</v>
      </c>
      <c r="L438" s="1">
        <f t="shared" si="26"/>
        <v>0</v>
      </c>
      <c r="M438" s="1">
        <f t="shared" si="27"/>
        <v>563900.27255739039</v>
      </c>
      <c r="N438" s="1">
        <f t="shared" si="28"/>
        <v>0</v>
      </c>
      <c r="O438" s="1"/>
    </row>
    <row r="439" spans="1:15" x14ac:dyDescent="0.25">
      <c r="A439">
        <v>620</v>
      </c>
      <c r="B439">
        <v>38628.572840000001</v>
      </c>
      <c r="C439">
        <v>0</v>
      </c>
      <c r="D439">
        <v>512226.68040000001</v>
      </c>
      <c r="E439">
        <v>7850.4416000000001</v>
      </c>
      <c r="F439">
        <v>877329.43859999999</v>
      </c>
      <c r="G439">
        <v>5905.3489</v>
      </c>
      <c r="H439">
        <v>620</v>
      </c>
      <c r="I439" t="str">
        <f t="shared" si="25"/>
        <v>YES</v>
      </c>
      <c r="J439" s="5" t="s">
        <v>446</v>
      </c>
      <c r="K439" s="5">
        <v>354172.67484300002</v>
      </c>
      <c r="L439" s="1">
        <f t="shared" si="26"/>
        <v>0</v>
      </c>
      <c r="M439" s="1">
        <f t="shared" si="27"/>
        <v>30306489.711861294</v>
      </c>
      <c r="N439" s="1">
        <f t="shared" si="28"/>
        <v>10666717.400550257</v>
      </c>
      <c r="O439" s="1"/>
    </row>
    <row r="440" spans="1:15" x14ac:dyDescent="0.25">
      <c r="A440">
        <v>621</v>
      </c>
      <c r="B440">
        <v>39478.271959999998</v>
      </c>
      <c r="C440">
        <v>0</v>
      </c>
      <c r="D440">
        <v>536789.08400000003</v>
      </c>
      <c r="E440">
        <v>0</v>
      </c>
      <c r="F440">
        <v>888171.93460000004</v>
      </c>
      <c r="G440">
        <v>0</v>
      </c>
      <c r="H440">
        <v>621</v>
      </c>
      <c r="I440" t="str">
        <f t="shared" si="25"/>
        <v>YES</v>
      </c>
      <c r="J440" s="5" t="s">
        <v>447</v>
      </c>
      <c r="K440" s="5">
        <v>527864.87074799999</v>
      </c>
      <c r="L440" s="1">
        <f t="shared" si="26"/>
        <v>0</v>
      </c>
      <c r="M440" s="1">
        <f t="shared" si="27"/>
        <v>0</v>
      </c>
      <c r="N440" s="1">
        <f t="shared" si="28"/>
        <v>0</v>
      </c>
      <c r="O440" s="1"/>
    </row>
    <row r="441" spans="1:15" x14ac:dyDescent="0.25">
      <c r="A441">
        <v>622</v>
      </c>
      <c r="B441">
        <v>40987.505069999999</v>
      </c>
      <c r="C441">
        <v>0</v>
      </c>
      <c r="D441">
        <v>482049.50540000002</v>
      </c>
      <c r="E441">
        <v>746.95839999999998</v>
      </c>
      <c r="F441">
        <v>859972.71499999997</v>
      </c>
      <c r="G441">
        <v>492.78500000000003</v>
      </c>
      <c r="H441">
        <v>622</v>
      </c>
      <c r="I441" t="str">
        <f t="shared" si="25"/>
        <v>YES</v>
      </c>
      <c r="J441" s="5" t="s">
        <v>448</v>
      </c>
      <c r="K441" s="5">
        <v>226714.74114200001</v>
      </c>
      <c r="L441" s="1">
        <f t="shared" si="26"/>
        <v>0</v>
      </c>
      <c r="M441" s="1">
        <f t="shared" si="27"/>
        <v>1845876.6352682833</v>
      </c>
      <c r="N441" s="1">
        <f t="shared" si="28"/>
        <v>569780.28093966853</v>
      </c>
      <c r="O441" s="1"/>
    </row>
    <row r="442" spans="1:15" x14ac:dyDescent="0.25">
      <c r="A442">
        <v>624</v>
      </c>
      <c r="B442">
        <v>19080.807830000002</v>
      </c>
      <c r="C442">
        <v>0</v>
      </c>
      <c r="D442">
        <v>67832.263229999997</v>
      </c>
      <c r="E442">
        <v>0</v>
      </c>
      <c r="F442">
        <v>503871.57610000001</v>
      </c>
      <c r="G442">
        <v>31786.216899999999</v>
      </c>
      <c r="H442">
        <v>624</v>
      </c>
      <c r="I442" t="str">
        <f t="shared" si="25"/>
        <v>YES</v>
      </c>
      <c r="J442" s="5" t="s">
        <v>449</v>
      </c>
      <c r="K442" s="5">
        <v>525263.55310799996</v>
      </c>
      <c r="L442" s="1">
        <f t="shared" si="26"/>
        <v>0</v>
      </c>
      <c r="M442" s="1">
        <f t="shared" si="27"/>
        <v>0</v>
      </c>
      <c r="N442" s="1">
        <f t="shared" si="28"/>
        <v>85150320.266653344</v>
      </c>
      <c r="O442" s="1"/>
    </row>
    <row r="443" spans="1:15" x14ac:dyDescent="0.25">
      <c r="A443">
        <v>625</v>
      </c>
      <c r="B443">
        <v>17223.300879999999</v>
      </c>
      <c r="C443">
        <v>0</v>
      </c>
      <c r="D443">
        <v>61604.892339999999</v>
      </c>
      <c r="E443">
        <v>0</v>
      </c>
      <c r="F443">
        <v>454646.54100000003</v>
      </c>
      <c r="G443">
        <v>0</v>
      </c>
      <c r="H443">
        <v>625</v>
      </c>
      <c r="I443" t="str">
        <f t="shared" si="25"/>
        <v>YES</v>
      </c>
      <c r="J443" s="5" t="s">
        <v>450</v>
      </c>
      <c r="K443" s="5">
        <v>405074.08144400001</v>
      </c>
      <c r="L443" s="1">
        <f t="shared" si="26"/>
        <v>0</v>
      </c>
      <c r="M443" s="1">
        <f t="shared" si="27"/>
        <v>0</v>
      </c>
      <c r="N443" s="1">
        <f t="shared" si="28"/>
        <v>0</v>
      </c>
      <c r="O443" s="1"/>
    </row>
    <row r="444" spans="1:15" x14ac:dyDescent="0.25">
      <c r="A444">
        <v>626</v>
      </c>
      <c r="B444">
        <v>492.78501030000001</v>
      </c>
      <c r="C444">
        <v>0</v>
      </c>
      <c r="D444">
        <v>3835.5813520000002</v>
      </c>
      <c r="E444">
        <v>0</v>
      </c>
      <c r="F444">
        <v>24235.37775</v>
      </c>
      <c r="G444">
        <v>155.91296</v>
      </c>
      <c r="H444">
        <v>626</v>
      </c>
      <c r="I444" t="str">
        <f t="shared" si="25"/>
        <v>YES</v>
      </c>
      <c r="J444" s="5" t="s">
        <v>451</v>
      </c>
      <c r="K444" s="5">
        <v>2425211.8429</v>
      </c>
      <c r="L444" s="1">
        <f t="shared" si="26"/>
        <v>0</v>
      </c>
      <c r="M444" s="1">
        <f t="shared" si="27"/>
        <v>0</v>
      </c>
      <c r="N444" s="1">
        <f t="shared" si="28"/>
        <v>1928421.9809733296</v>
      </c>
      <c r="O444" s="1"/>
    </row>
    <row r="445" spans="1:15" x14ac:dyDescent="0.25">
      <c r="A445">
        <v>627</v>
      </c>
      <c r="B445">
        <v>14787.806500000001</v>
      </c>
      <c r="C445">
        <v>0</v>
      </c>
      <c r="D445">
        <v>50891.689230000004</v>
      </c>
      <c r="E445">
        <v>713.41887999999994</v>
      </c>
      <c r="F445">
        <v>431776.10930000001</v>
      </c>
      <c r="G445">
        <v>75944.566399999996</v>
      </c>
      <c r="H445">
        <v>627</v>
      </c>
      <c r="I445" t="str">
        <f t="shared" si="25"/>
        <v>YES</v>
      </c>
      <c r="J445" s="5" t="s">
        <v>452</v>
      </c>
      <c r="K445" s="5">
        <v>687136.57313499996</v>
      </c>
      <c r="L445" s="1">
        <f t="shared" si="26"/>
        <v>0</v>
      </c>
      <c r="M445" s="1">
        <f t="shared" si="27"/>
        <v>5343356.6281018062</v>
      </c>
      <c r="N445" s="1">
        <f t="shared" si="28"/>
        <v>266139874.43202928</v>
      </c>
      <c r="O445" s="1"/>
    </row>
    <row r="446" spans="1:15" x14ac:dyDescent="0.25">
      <c r="A446">
        <v>628</v>
      </c>
      <c r="B446">
        <v>14843.494489999999</v>
      </c>
      <c r="C446">
        <v>0</v>
      </c>
      <c r="D446">
        <v>49450.807869999997</v>
      </c>
      <c r="E446">
        <v>194.20661999999999</v>
      </c>
      <c r="F446">
        <v>260402.1256</v>
      </c>
      <c r="G446">
        <v>0</v>
      </c>
      <c r="H446">
        <v>628</v>
      </c>
      <c r="I446" t="str">
        <f t="shared" si="25"/>
        <v>YES</v>
      </c>
      <c r="J446" s="5" t="s">
        <v>453</v>
      </c>
      <c r="K446" s="5">
        <v>453949.03150099999</v>
      </c>
      <c r="L446" s="1">
        <f t="shared" si="26"/>
        <v>0</v>
      </c>
      <c r="M446" s="1">
        <f t="shared" si="27"/>
        <v>960942.98695490172</v>
      </c>
      <c r="N446" s="1">
        <f t="shared" si="28"/>
        <v>0</v>
      </c>
      <c r="O446" s="1"/>
    </row>
    <row r="447" spans="1:15" x14ac:dyDescent="0.25">
      <c r="A447">
        <v>629</v>
      </c>
      <c r="B447">
        <v>14805.54212</v>
      </c>
      <c r="C447">
        <v>0</v>
      </c>
      <c r="D447">
        <v>50523.227279999999</v>
      </c>
      <c r="E447">
        <v>603.90841999999998</v>
      </c>
      <c r="F447">
        <v>404636.86690000002</v>
      </c>
      <c r="G447">
        <v>31522.022000000001</v>
      </c>
      <c r="H447">
        <v>629</v>
      </c>
      <c r="I447" t="str">
        <f t="shared" si="25"/>
        <v>YES</v>
      </c>
      <c r="J447" s="5" t="s">
        <v>454</v>
      </c>
      <c r="K447" s="5">
        <v>1336944.5992099999</v>
      </c>
      <c r="L447" s="1">
        <f t="shared" si="26"/>
        <v>0</v>
      </c>
      <c r="M447" s="1">
        <f t="shared" si="27"/>
        <v>8800573.8958472423</v>
      </c>
      <c r="N447" s="1">
        <f t="shared" si="28"/>
        <v>214930305.05230188</v>
      </c>
      <c r="O447" s="1"/>
    </row>
    <row r="448" spans="1:15" x14ac:dyDescent="0.25">
      <c r="A448">
        <v>630</v>
      </c>
      <c r="B448">
        <v>14860.122069999999</v>
      </c>
      <c r="C448">
        <v>2916.9023200000001</v>
      </c>
      <c r="D448">
        <v>47515.13594</v>
      </c>
      <c r="E448">
        <v>45575.97496</v>
      </c>
      <c r="F448">
        <v>450944.23149999999</v>
      </c>
      <c r="G448">
        <v>213241.92629999999</v>
      </c>
      <c r="H448">
        <v>630</v>
      </c>
      <c r="I448" t="str">
        <f t="shared" si="25"/>
        <v>YES</v>
      </c>
      <c r="J448" s="5" t="s">
        <v>455</v>
      </c>
      <c r="K448" s="5">
        <v>421826.59905000002</v>
      </c>
      <c r="L448" s="1">
        <f t="shared" si="26"/>
        <v>39988877.025716282</v>
      </c>
      <c r="M448" s="1">
        <f t="shared" si="27"/>
        <v>209554227.82183591</v>
      </c>
      <c r="N448" s="1">
        <f t="shared" si="28"/>
        <v>458750694.38459873</v>
      </c>
      <c r="O448" s="1"/>
    </row>
    <row r="449" spans="1:15" x14ac:dyDescent="0.25">
      <c r="A449">
        <v>631</v>
      </c>
      <c r="B449">
        <v>8389.6977330000009</v>
      </c>
      <c r="C449">
        <v>0</v>
      </c>
      <c r="D449">
        <v>42536.300219999997</v>
      </c>
      <c r="E449">
        <v>0</v>
      </c>
      <c r="F449">
        <v>458714.64299999998</v>
      </c>
      <c r="G449">
        <v>43975.903700000003</v>
      </c>
      <c r="H449">
        <v>631</v>
      </c>
      <c r="I449" t="str">
        <f t="shared" si="25"/>
        <v>YES</v>
      </c>
      <c r="J449" s="5" t="s">
        <v>456</v>
      </c>
      <c r="K449" s="5">
        <v>720115.46834799997</v>
      </c>
      <c r="L449" s="1">
        <f t="shared" si="26"/>
        <v>0</v>
      </c>
      <c r="M449" s="1">
        <f t="shared" si="27"/>
        <v>0</v>
      </c>
      <c r="N449" s="1">
        <f t="shared" si="28"/>
        <v>161505415.29365546</v>
      </c>
      <c r="O449" s="1"/>
    </row>
    <row r="450" spans="1:15" x14ac:dyDescent="0.25">
      <c r="A450">
        <v>632</v>
      </c>
      <c r="B450">
        <v>4017.5058859999999</v>
      </c>
      <c r="C450">
        <v>0</v>
      </c>
      <c r="D450">
        <v>31227.07346</v>
      </c>
      <c r="E450">
        <v>690.95370000000003</v>
      </c>
      <c r="F450">
        <v>182262.26329999999</v>
      </c>
      <c r="G450">
        <v>56567.051500000001</v>
      </c>
      <c r="H450">
        <v>632</v>
      </c>
      <c r="I450" t="str">
        <f t="shared" ref="I450:I513" si="29">IF(A450=H450,"YES","NO")</f>
        <v>YES</v>
      </c>
      <c r="J450" s="5" t="s">
        <v>457</v>
      </c>
      <c r="K450" s="5">
        <v>1357189.2027</v>
      </c>
      <c r="L450" s="1">
        <f t="shared" si="26"/>
        <v>0</v>
      </c>
      <c r="M450" s="1">
        <f t="shared" si="27"/>
        <v>10221528.423141204</v>
      </c>
      <c r="N450" s="1">
        <f t="shared" si="28"/>
        <v>391538176.77431172</v>
      </c>
      <c r="O450" s="1"/>
    </row>
    <row r="451" spans="1:15" x14ac:dyDescent="0.25">
      <c r="A451">
        <v>633</v>
      </c>
      <c r="B451">
        <v>5557.3761029999996</v>
      </c>
      <c r="C451">
        <v>2672.214129</v>
      </c>
      <c r="D451">
        <v>33280.225680000003</v>
      </c>
      <c r="E451">
        <v>2117.0455200000001</v>
      </c>
      <c r="F451">
        <v>188164.80910000001</v>
      </c>
      <c r="G451">
        <v>161433.15969999999</v>
      </c>
      <c r="H451">
        <v>633</v>
      </c>
      <c r="I451" t="str">
        <f t="shared" si="29"/>
        <v>YES</v>
      </c>
      <c r="J451" s="5" t="s">
        <v>458</v>
      </c>
      <c r="K451" s="5">
        <v>1015243.23402</v>
      </c>
      <c r="L451" s="1">
        <f t="shared" ref="L451:L514" si="30">$U$2*$K451*C451</f>
        <v>88170787.715396672</v>
      </c>
      <c r="M451" s="1">
        <f t="shared" ref="M451:M514" si="31">$U$3*$K451*E451</f>
        <v>23427545.929186646</v>
      </c>
      <c r="N451" s="1">
        <f t="shared" ref="N451:N514" si="32">$U$4*$K451*G451</f>
        <v>835859007.97266519</v>
      </c>
      <c r="O451" s="1"/>
    </row>
    <row r="452" spans="1:15" x14ac:dyDescent="0.25">
      <c r="A452">
        <v>634</v>
      </c>
      <c r="B452">
        <v>3296.027619</v>
      </c>
      <c r="C452">
        <v>0</v>
      </c>
      <c r="D452">
        <v>20582.933079999999</v>
      </c>
      <c r="E452">
        <v>9438.5722399999995</v>
      </c>
      <c r="F452">
        <v>84572.685469999997</v>
      </c>
      <c r="G452">
        <v>68899.696230000001</v>
      </c>
      <c r="H452">
        <v>634</v>
      </c>
      <c r="I452" t="str">
        <f t="shared" si="29"/>
        <v>YES</v>
      </c>
      <c r="J452" s="5" t="s">
        <v>459</v>
      </c>
      <c r="K452" s="5">
        <v>681547.02685000002</v>
      </c>
      <c r="L452" s="1">
        <f t="shared" si="30"/>
        <v>0</v>
      </c>
      <c r="M452" s="1">
        <f t="shared" si="31"/>
        <v>70117856.241902292</v>
      </c>
      <c r="N452" s="1">
        <f t="shared" si="32"/>
        <v>239487753.89376578</v>
      </c>
      <c r="O452" s="1"/>
    </row>
    <row r="453" spans="1:15" x14ac:dyDescent="0.25">
      <c r="A453">
        <v>635</v>
      </c>
      <c r="B453">
        <v>240.5971844</v>
      </c>
      <c r="C453">
        <v>0</v>
      </c>
      <c r="D453">
        <v>2656.0804159999998</v>
      </c>
      <c r="E453">
        <v>0</v>
      </c>
      <c r="F453">
        <v>16009.738950000001</v>
      </c>
      <c r="G453">
        <v>1181.5082500000001</v>
      </c>
      <c r="H453">
        <v>635</v>
      </c>
      <c r="I453" t="str">
        <f t="shared" si="29"/>
        <v>YES</v>
      </c>
      <c r="J453" s="5" t="s">
        <v>460</v>
      </c>
      <c r="K453" s="5">
        <v>1775609.40472</v>
      </c>
      <c r="L453" s="1">
        <f t="shared" si="30"/>
        <v>0</v>
      </c>
      <c r="M453" s="1">
        <f t="shared" si="31"/>
        <v>0</v>
      </c>
      <c r="N453" s="1">
        <f t="shared" si="32"/>
        <v>10699275.518316772</v>
      </c>
      <c r="O453" s="1"/>
    </row>
    <row r="454" spans="1:15" x14ac:dyDescent="0.25">
      <c r="A454">
        <v>636</v>
      </c>
      <c r="B454">
        <v>33288.516130000004</v>
      </c>
      <c r="C454">
        <v>1370.27079</v>
      </c>
      <c r="D454">
        <v>407756.9253</v>
      </c>
      <c r="E454">
        <v>41008.6803</v>
      </c>
      <c r="F454">
        <v>813690.16090000002</v>
      </c>
      <c r="G454">
        <v>65758.340800000005</v>
      </c>
      <c r="H454">
        <v>636</v>
      </c>
      <c r="I454" t="str">
        <f t="shared" si="29"/>
        <v>YES</v>
      </c>
      <c r="J454" s="5" t="s">
        <v>461</v>
      </c>
      <c r="K454" s="5">
        <v>337262.12666499999</v>
      </c>
      <c r="L454" s="1">
        <f t="shared" si="30"/>
        <v>15019564.324125713</v>
      </c>
      <c r="M454" s="1">
        <f t="shared" si="31"/>
        <v>150754354.55376369</v>
      </c>
      <c r="N454" s="1">
        <f t="shared" si="32"/>
        <v>113106769.10726619</v>
      </c>
      <c r="O454" s="1"/>
    </row>
    <row r="455" spans="1:15" x14ac:dyDescent="0.25">
      <c r="A455">
        <v>637</v>
      </c>
      <c r="B455">
        <v>34250.602720000003</v>
      </c>
      <c r="C455">
        <v>603.90841999999998</v>
      </c>
      <c r="D455">
        <v>431063.75219999999</v>
      </c>
      <c r="E455">
        <v>32733.589899999999</v>
      </c>
      <c r="F455">
        <v>848985.83860000002</v>
      </c>
      <c r="G455">
        <v>23809.708900000001</v>
      </c>
      <c r="H455">
        <v>637</v>
      </c>
      <c r="I455" t="str">
        <f t="shared" si="29"/>
        <v>YES</v>
      </c>
      <c r="J455" s="5" t="s">
        <v>462</v>
      </c>
      <c r="K455" s="5">
        <v>230904.96950199999</v>
      </c>
      <c r="L455" s="1">
        <f t="shared" si="30"/>
        <v>4531977.2973182825</v>
      </c>
      <c r="M455" s="1">
        <f t="shared" si="31"/>
        <v>82385999.495300174</v>
      </c>
      <c r="N455" s="1">
        <f t="shared" si="32"/>
        <v>28038678.547770593</v>
      </c>
      <c r="O455" s="1"/>
    </row>
    <row r="456" spans="1:15" x14ac:dyDescent="0.25">
      <c r="A456">
        <v>638</v>
      </c>
      <c r="B456">
        <v>11018.893609999999</v>
      </c>
      <c r="C456">
        <v>632.16774999999996</v>
      </c>
      <c r="D456">
        <v>91931.688380000007</v>
      </c>
      <c r="E456">
        <v>40326.066420000003</v>
      </c>
      <c r="F456">
        <v>640522.61990000005</v>
      </c>
      <c r="G456">
        <v>64442.787900000003</v>
      </c>
      <c r="H456">
        <v>638</v>
      </c>
      <c r="I456" t="str">
        <f t="shared" si="29"/>
        <v>YES</v>
      </c>
      <c r="J456" s="5" t="s">
        <v>463</v>
      </c>
      <c r="K456" s="5">
        <v>484029.79142899998</v>
      </c>
      <c r="L456" s="1">
        <f t="shared" si="30"/>
        <v>9944610.7858708054</v>
      </c>
      <c r="M456" s="1">
        <f t="shared" si="31"/>
        <v>212757290.95082814</v>
      </c>
      <c r="N456" s="1">
        <f t="shared" si="32"/>
        <v>159080368.85033545</v>
      </c>
      <c r="O456" s="1"/>
    </row>
    <row r="457" spans="1:15" x14ac:dyDescent="0.25">
      <c r="A457">
        <v>639</v>
      </c>
      <c r="B457">
        <v>9939.0719950000002</v>
      </c>
      <c r="C457">
        <v>0</v>
      </c>
      <c r="D457">
        <v>58068.459139999999</v>
      </c>
      <c r="E457">
        <v>194.20662999999999</v>
      </c>
      <c r="F457">
        <v>536722.9264</v>
      </c>
      <c r="G457">
        <v>23336.8593</v>
      </c>
      <c r="H457">
        <v>639</v>
      </c>
      <c r="I457" t="str">
        <f t="shared" si="29"/>
        <v>YES</v>
      </c>
      <c r="J457" s="5" t="s">
        <v>464</v>
      </c>
      <c r="K457" s="5">
        <v>389079.53957299999</v>
      </c>
      <c r="L457" s="1">
        <f t="shared" si="30"/>
        <v>0</v>
      </c>
      <c r="M457" s="1">
        <f t="shared" si="31"/>
        <v>823623.90538842115</v>
      </c>
      <c r="N457" s="1">
        <f t="shared" si="32"/>
        <v>46307461.804771803</v>
      </c>
      <c r="O457" s="1"/>
    </row>
    <row r="458" spans="1:15" x14ac:dyDescent="0.25">
      <c r="A458">
        <v>640</v>
      </c>
      <c r="B458">
        <v>27721.051100000001</v>
      </c>
      <c r="C458">
        <v>0</v>
      </c>
      <c r="D458">
        <v>191680.34760000001</v>
      </c>
      <c r="E458">
        <v>25239.646199999999</v>
      </c>
      <c r="F458">
        <v>706479.13619999995</v>
      </c>
      <c r="G458">
        <v>23165.7255</v>
      </c>
      <c r="H458">
        <v>640</v>
      </c>
      <c r="I458" t="str">
        <f t="shared" si="29"/>
        <v>YES</v>
      </c>
      <c r="J458" s="5" t="s">
        <v>465</v>
      </c>
      <c r="K458" s="5">
        <v>850737.997783</v>
      </c>
      <c r="L458" s="1">
        <f t="shared" si="30"/>
        <v>0</v>
      </c>
      <c r="M458" s="1">
        <f t="shared" si="31"/>
        <v>234048354.19503844</v>
      </c>
      <c r="N458" s="1">
        <f t="shared" si="32"/>
        <v>100510610.93820901</v>
      </c>
      <c r="O458" s="1"/>
    </row>
    <row r="459" spans="1:15" x14ac:dyDescent="0.25">
      <c r="A459">
        <v>641</v>
      </c>
      <c r="B459">
        <v>18885.373950000001</v>
      </c>
      <c r="C459">
        <v>0</v>
      </c>
      <c r="D459">
        <v>75046.139169999995</v>
      </c>
      <c r="E459">
        <v>0</v>
      </c>
      <c r="F459">
        <v>548632.82539999997</v>
      </c>
      <c r="G459">
        <v>1701.7572</v>
      </c>
      <c r="H459">
        <v>641</v>
      </c>
      <c r="I459" t="str">
        <f t="shared" si="29"/>
        <v>YES</v>
      </c>
      <c r="J459" s="5" t="s">
        <v>466</v>
      </c>
      <c r="K459" s="5">
        <v>597927.85224399995</v>
      </c>
      <c r="L459" s="1">
        <f t="shared" si="30"/>
        <v>0</v>
      </c>
      <c r="M459" s="1">
        <f t="shared" si="31"/>
        <v>0</v>
      </c>
      <c r="N459" s="1">
        <f t="shared" si="32"/>
        <v>5189392.9409474917</v>
      </c>
      <c r="O459" s="1"/>
    </row>
    <row r="460" spans="1:15" x14ac:dyDescent="0.25">
      <c r="A460">
        <v>642</v>
      </c>
      <c r="B460">
        <v>16338.67324</v>
      </c>
      <c r="C460">
        <v>8450.6130099999991</v>
      </c>
      <c r="D460">
        <v>139304.74479999999</v>
      </c>
      <c r="E460">
        <v>44297.092700000001</v>
      </c>
      <c r="F460">
        <v>671484.39020000002</v>
      </c>
      <c r="G460">
        <v>44927.486100000002</v>
      </c>
      <c r="H460">
        <v>642</v>
      </c>
      <c r="I460" t="str">
        <f t="shared" si="29"/>
        <v>YES</v>
      </c>
      <c r="J460" s="5" t="s">
        <v>467</v>
      </c>
      <c r="K460" s="5">
        <v>315118.21292999998</v>
      </c>
      <c r="L460" s="1">
        <f t="shared" si="30"/>
        <v>86545617.270911753</v>
      </c>
      <c r="M460" s="1">
        <f t="shared" si="31"/>
        <v>152151145.51684216</v>
      </c>
      <c r="N460" s="1">
        <f t="shared" si="32"/>
        <v>72203092.569474027</v>
      </c>
      <c r="O460" s="1"/>
    </row>
    <row r="461" spans="1:15" x14ac:dyDescent="0.25">
      <c r="A461">
        <v>643</v>
      </c>
      <c r="B461">
        <v>12034.13349</v>
      </c>
      <c r="C461">
        <v>632.16773999999998</v>
      </c>
      <c r="D461">
        <v>73876.642080000005</v>
      </c>
      <c r="E461">
        <v>18134.392950000001</v>
      </c>
      <c r="F461">
        <v>639023.99419999996</v>
      </c>
      <c r="G461">
        <v>10133.594999999999</v>
      </c>
      <c r="H461">
        <v>643</v>
      </c>
      <c r="I461" t="str">
        <f t="shared" si="29"/>
        <v>YES</v>
      </c>
      <c r="J461" s="5" t="s">
        <v>468</v>
      </c>
      <c r="K461" s="5">
        <v>507125.28531399998</v>
      </c>
      <c r="L461" s="1">
        <f t="shared" si="30"/>
        <v>10419117.979198713</v>
      </c>
      <c r="M461" s="1">
        <f t="shared" si="31"/>
        <v>100240860.26653786</v>
      </c>
      <c r="N461" s="1">
        <f t="shared" si="32"/>
        <v>26208911.503720772</v>
      </c>
      <c r="O461" s="1"/>
    </row>
    <row r="462" spans="1:15" x14ac:dyDescent="0.25">
      <c r="A462">
        <v>644</v>
      </c>
      <c r="B462">
        <v>27329.85053</v>
      </c>
      <c r="C462">
        <v>0</v>
      </c>
      <c r="D462">
        <v>97428.536080000005</v>
      </c>
      <c r="E462">
        <v>2295.1988900000001</v>
      </c>
      <c r="F462">
        <v>623786.56149999995</v>
      </c>
      <c r="G462">
        <v>15283.6482</v>
      </c>
      <c r="H462">
        <v>644</v>
      </c>
      <c r="I462" t="str">
        <f t="shared" si="29"/>
        <v>YES</v>
      </c>
      <c r="J462" s="5" t="s">
        <v>469</v>
      </c>
      <c r="K462" s="5">
        <v>622258.04372700001</v>
      </c>
      <c r="L462" s="1">
        <f t="shared" si="30"/>
        <v>0</v>
      </c>
      <c r="M462" s="1">
        <f t="shared" si="31"/>
        <v>15567445.086688025</v>
      </c>
      <c r="N462" s="1">
        <f t="shared" si="32"/>
        <v>48502902.452712797</v>
      </c>
      <c r="O462" s="1"/>
    </row>
    <row r="463" spans="1:15" x14ac:dyDescent="0.25">
      <c r="A463">
        <v>645</v>
      </c>
      <c r="B463">
        <v>14236.28282</v>
      </c>
      <c r="C463">
        <v>0</v>
      </c>
      <c r="D463">
        <v>70807.954800000007</v>
      </c>
      <c r="E463">
        <v>626.17156</v>
      </c>
      <c r="F463">
        <v>598318.3382</v>
      </c>
      <c r="G463">
        <v>30528.4552</v>
      </c>
      <c r="H463">
        <v>645</v>
      </c>
      <c r="I463" t="str">
        <f t="shared" si="29"/>
        <v>YES</v>
      </c>
      <c r="J463" s="5" t="s">
        <v>470</v>
      </c>
      <c r="K463" s="5">
        <v>646452.83574600006</v>
      </c>
      <c r="L463" s="1">
        <f t="shared" si="30"/>
        <v>0</v>
      </c>
      <c r="M463" s="1">
        <f t="shared" si="31"/>
        <v>4412215.1488179136</v>
      </c>
      <c r="N463" s="1">
        <f t="shared" si="32"/>
        <v>100649552.81842208</v>
      </c>
      <c r="O463" s="1"/>
    </row>
    <row r="464" spans="1:15" x14ac:dyDescent="0.25">
      <c r="A464">
        <v>646</v>
      </c>
      <c r="B464">
        <v>12968.25432</v>
      </c>
      <c r="C464">
        <v>0</v>
      </c>
      <c r="D464">
        <v>54273.331489999997</v>
      </c>
      <c r="E464">
        <v>827.15506000000005</v>
      </c>
      <c r="F464">
        <v>564316.99639999995</v>
      </c>
      <c r="G464">
        <v>30585.5746</v>
      </c>
      <c r="H464">
        <v>646</v>
      </c>
      <c r="I464" t="str">
        <f t="shared" si="29"/>
        <v>YES</v>
      </c>
      <c r="J464" s="5" t="s">
        <v>471</v>
      </c>
      <c r="K464" s="5">
        <v>550035.07368100004</v>
      </c>
      <c r="L464" s="1">
        <f t="shared" si="30"/>
        <v>0</v>
      </c>
      <c r="M464" s="1">
        <f t="shared" si="31"/>
        <v>4959110.8086625608</v>
      </c>
      <c r="N464" s="1">
        <f t="shared" si="32"/>
        <v>85798007.771302298</v>
      </c>
      <c r="O464" s="1"/>
    </row>
    <row r="465" spans="1:15" x14ac:dyDescent="0.25">
      <c r="A465">
        <v>647</v>
      </c>
      <c r="B465">
        <v>12496.165069999999</v>
      </c>
      <c r="C465">
        <v>0</v>
      </c>
      <c r="D465">
        <v>55474.78196</v>
      </c>
      <c r="E465">
        <v>0</v>
      </c>
      <c r="F465">
        <v>519095.32740000001</v>
      </c>
      <c r="G465">
        <v>20911.4761</v>
      </c>
      <c r="H465">
        <v>647</v>
      </c>
      <c r="I465" t="str">
        <f t="shared" si="29"/>
        <v>YES</v>
      </c>
      <c r="J465" s="5" t="s">
        <v>472</v>
      </c>
      <c r="K465" s="5">
        <v>382200.20727200003</v>
      </c>
      <c r="L465" s="1">
        <f t="shared" si="30"/>
        <v>0</v>
      </c>
      <c r="M465" s="1">
        <f t="shared" si="31"/>
        <v>0</v>
      </c>
      <c r="N465" s="1">
        <f t="shared" si="32"/>
        <v>40761089.548895724</v>
      </c>
      <c r="O465" s="1"/>
    </row>
    <row r="466" spans="1:15" x14ac:dyDescent="0.25">
      <c r="A466">
        <v>650</v>
      </c>
      <c r="B466">
        <v>30705.845700000002</v>
      </c>
      <c r="C466">
        <v>0</v>
      </c>
      <c r="D466">
        <v>472798.94280000002</v>
      </c>
      <c r="E466">
        <v>0</v>
      </c>
      <c r="F466">
        <v>861827.21</v>
      </c>
      <c r="G466">
        <v>0</v>
      </c>
      <c r="H466">
        <v>650</v>
      </c>
      <c r="I466" t="str">
        <f t="shared" si="29"/>
        <v>YES</v>
      </c>
      <c r="J466" s="5" t="s">
        <v>473</v>
      </c>
      <c r="K466" s="5">
        <v>333322.29264</v>
      </c>
      <c r="L466" s="1">
        <f t="shared" si="30"/>
        <v>0</v>
      </c>
      <c r="M466" s="1">
        <f t="shared" si="31"/>
        <v>0</v>
      </c>
      <c r="N466" s="1">
        <f t="shared" si="32"/>
        <v>0</v>
      </c>
      <c r="O466" s="1"/>
    </row>
    <row r="467" spans="1:15" x14ac:dyDescent="0.25">
      <c r="A467">
        <v>651</v>
      </c>
      <c r="B467">
        <v>45071.268219999998</v>
      </c>
      <c r="C467">
        <v>0</v>
      </c>
      <c r="D467">
        <v>480779.71500000003</v>
      </c>
      <c r="E467">
        <v>0</v>
      </c>
      <c r="F467">
        <v>867778.02339999995</v>
      </c>
      <c r="G467">
        <v>194.20660000000001</v>
      </c>
      <c r="H467">
        <v>651</v>
      </c>
      <c r="I467" t="str">
        <f t="shared" si="29"/>
        <v>YES</v>
      </c>
      <c r="J467" s="5" t="s">
        <v>474</v>
      </c>
      <c r="K467" s="5">
        <v>400869.096059</v>
      </c>
      <c r="L467" s="1">
        <f t="shared" si="30"/>
        <v>0</v>
      </c>
      <c r="M467" s="1">
        <f t="shared" si="31"/>
        <v>0</v>
      </c>
      <c r="N467" s="1">
        <f t="shared" si="32"/>
        <v>397042.26337252819</v>
      </c>
      <c r="O467" s="1"/>
    </row>
    <row r="468" spans="1:15" x14ac:dyDescent="0.25">
      <c r="A468">
        <v>652</v>
      </c>
      <c r="B468">
        <v>27093.59722</v>
      </c>
      <c r="C468">
        <v>0</v>
      </c>
      <c r="D468">
        <v>495984.49949999998</v>
      </c>
      <c r="E468">
        <v>0</v>
      </c>
      <c r="F468">
        <v>885015.75560000003</v>
      </c>
      <c r="G468">
        <v>0</v>
      </c>
      <c r="H468">
        <v>652</v>
      </c>
      <c r="I468" t="str">
        <f t="shared" si="29"/>
        <v>YES</v>
      </c>
      <c r="J468" s="5" t="s">
        <v>475</v>
      </c>
      <c r="K468" s="5">
        <v>313533.065267</v>
      </c>
      <c r="L468" s="1">
        <f t="shared" si="30"/>
        <v>0</v>
      </c>
      <c r="M468" s="1">
        <f t="shared" si="31"/>
        <v>0</v>
      </c>
      <c r="N468" s="1">
        <f t="shared" si="32"/>
        <v>0</v>
      </c>
      <c r="O468" s="1"/>
    </row>
    <row r="469" spans="1:15" x14ac:dyDescent="0.25">
      <c r="A469">
        <v>653</v>
      </c>
      <c r="B469">
        <v>45654.624470000002</v>
      </c>
      <c r="C469">
        <v>0</v>
      </c>
      <c r="D469">
        <v>437161.72690000001</v>
      </c>
      <c r="E469">
        <v>0</v>
      </c>
      <c r="F469">
        <v>836965.28639999998</v>
      </c>
      <c r="G469">
        <v>194.20660000000001</v>
      </c>
      <c r="H469">
        <v>653</v>
      </c>
      <c r="I469" t="str">
        <f t="shared" si="29"/>
        <v>YES</v>
      </c>
      <c r="J469" s="5" t="s">
        <v>476</v>
      </c>
      <c r="K469" s="5">
        <v>167658.63504200001</v>
      </c>
      <c r="L469" s="1">
        <f t="shared" si="30"/>
        <v>0</v>
      </c>
      <c r="M469" s="1">
        <f t="shared" si="31"/>
        <v>0</v>
      </c>
      <c r="N469" s="1">
        <f t="shared" si="32"/>
        <v>166058.10870795319</v>
      </c>
      <c r="O469" s="1"/>
    </row>
    <row r="470" spans="1:15" x14ac:dyDescent="0.25">
      <c r="A470">
        <v>654</v>
      </c>
      <c r="B470">
        <v>162619.7028</v>
      </c>
      <c r="C470">
        <v>0</v>
      </c>
      <c r="D470">
        <v>639860.3358</v>
      </c>
      <c r="E470">
        <v>0</v>
      </c>
      <c r="F470">
        <v>992389.61679999996</v>
      </c>
      <c r="G470">
        <v>0</v>
      </c>
      <c r="H470">
        <v>654</v>
      </c>
      <c r="I470" t="str">
        <f t="shared" si="29"/>
        <v>YES</v>
      </c>
      <c r="J470" s="5" t="s">
        <v>477</v>
      </c>
      <c r="K470" s="5">
        <v>285675.56859899999</v>
      </c>
      <c r="L470" s="1">
        <f t="shared" si="30"/>
        <v>0</v>
      </c>
      <c r="M470" s="1">
        <f t="shared" si="31"/>
        <v>0</v>
      </c>
      <c r="N470" s="1">
        <f t="shared" si="32"/>
        <v>0</v>
      </c>
      <c r="O470" s="1"/>
    </row>
    <row r="471" spans="1:15" x14ac:dyDescent="0.25">
      <c r="A471">
        <v>655</v>
      </c>
      <c r="B471">
        <v>31310.227640000001</v>
      </c>
      <c r="C471">
        <v>0</v>
      </c>
      <c r="D471">
        <v>422992.3873</v>
      </c>
      <c r="E471">
        <v>0</v>
      </c>
      <c r="F471">
        <v>836755.81310000003</v>
      </c>
      <c r="G471">
        <v>194.20670000000001</v>
      </c>
      <c r="H471">
        <v>655</v>
      </c>
      <c r="I471" t="str">
        <f t="shared" si="29"/>
        <v>YES</v>
      </c>
      <c r="J471" s="5" t="s">
        <v>9</v>
      </c>
      <c r="K471" s="5">
        <v>431904.82660600002</v>
      </c>
      <c r="L471" s="1">
        <f t="shared" si="30"/>
        <v>0</v>
      </c>
      <c r="M471" s="1">
        <f t="shared" si="31"/>
        <v>0</v>
      </c>
      <c r="N471" s="1">
        <f t="shared" si="32"/>
        <v>427781.93655503972</v>
      </c>
      <c r="O471" s="1"/>
    </row>
    <row r="472" spans="1:15" x14ac:dyDescent="0.25">
      <c r="A472">
        <v>656</v>
      </c>
      <c r="B472">
        <v>220385.34830000001</v>
      </c>
      <c r="C472">
        <v>0</v>
      </c>
      <c r="D472">
        <v>744627.52049999998</v>
      </c>
      <c r="E472">
        <v>0</v>
      </c>
      <c r="F472">
        <v>1104564.1640000001</v>
      </c>
      <c r="G472">
        <v>0</v>
      </c>
      <c r="H472">
        <v>656</v>
      </c>
      <c r="I472" t="str">
        <f t="shared" si="29"/>
        <v>YES</v>
      </c>
      <c r="J472" s="5" t="s">
        <v>478</v>
      </c>
      <c r="K472" s="5">
        <v>871293.05357600003</v>
      </c>
      <c r="L472" s="1">
        <f t="shared" si="30"/>
        <v>0</v>
      </c>
      <c r="M472" s="1">
        <f t="shared" si="31"/>
        <v>0</v>
      </c>
      <c r="N472" s="1">
        <f t="shared" si="32"/>
        <v>0</v>
      </c>
      <c r="O472" s="1"/>
    </row>
    <row r="473" spans="1:15" x14ac:dyDescent="0.25">
      <c r="A473">
        <v>657</v>
      </c>
      <c r="B473">
        <v>50289.980539999997</v>
      </c>
      <c r="C473">
        <v>0</v>
      </c>
      <c r="D473">
        <v>549606.08510000003</v>
      </c>
      <c r="E473">
        <v>0</v>
      </c>
      <c r="F473">
        <v>922206.03929999995</v>
      </c>
      <c r="G473">
        <v>0</v>
      </c>
      <c r="H473">
        <v>657</v>
      </c>
      <c r="I473" t="str">
        <f t="shared" si="29"/>
        <v>YES</v>
      </c>
      <c r="J473" s="5" t="s">
        <v>479</v>
      </c>
      <c r="K473" s="5">
        <v>426259.27444900002</v>
      </c>
      <c r="L473" s="1">
        <f t="shared" si="30"/>
        <v>0</v>
      </c>
      <c r="M473" s="1">
        <f t="shared" si="31"/>
        <v>0</v>
      </c>
      <c r="N473" s="1">
        <f t="shared" si="32"/>
        <v>0</v>
      </c>
      <c r="O473" s="1"/>
    </row>
    <row r="474" spans="1:15" x14ac:dyDescent="0.25">
      <c r="A474">
        <v>658</v>
      </c>
      <c r="B474">
        <v>31434.613359999999</v>
      </c>
      <c r="C474">
        <v>0</v>
      </c>
      <c r="D474">
        <v>347926.40710000001</v>
      </c>
      <c r="E474">
        <v>0</v>
      </c>
      <c r="F474">
        <v>790822.29509999999</v>
      </c>
      <c r="G474">
        <v>0</v>
      </c>
      <c r="H474">
        <v>658</v>
      </c>
      <c r="I474" t="str">
        <f t="shared" si="29"/>
        <v>YES</v>
      </c>
      <c r="J474" s="5" t="s">
        <v>480</v>
      </c>
      <c r="K474" s="5">
        <v>243430.32448800001</v>
      </c>
      <c r="L474" s="1">
        <f t="shared" si="30"/>
        <v>0</v>
      </c>
      <c r="M474" s="1">
        <f t="shared" si="31"/>
        <v>0</v>
      </c>
      <c r="N474" s="1">
        <f t="shared" si="32"/>
        <v>0</v>
      </c>
      <c r="O474" s="1"/>
    </row>
    <row r="475" spans="1:15" x14ac:dyDescent="0.25">
      <c r="A475">
        <v>659</v>
      </c>
      <c r="B475">
        <v>29674.379949999999</v>
      </c>
      <c r="C475">
        <v>0</v>
      </c>
      <c r="D475">
        <v>291904.86139999999</v>
      </c>
      <c r="E475">
        <v>0</v>
      </c>
      <c r="F475">
        <v>797337.68480000005</v>
      </c>
      <c r="G475">
        <v>0</v>
      </c>
      <c r="H475">
        <v>659</v>
      </c>
      <c r="I475" t="str">
        <f t="shared" si="29"/>
        <v>YES</v>
      </c>
      <c r="J475" s="5" t="s">
        <v>481</v>
      </c>
      <c r="K475" s="5">
        <v>206269.20445799999</v>
      </c>
      <c r="L475" s="1">
        <f t="shared" si="30"/>
        <v>0</v>
      </c>
      <c r="M475" s="1">
        <f t="shared" si="31"/>
        <v>0</v>
      </c>
      <c r="N475" s="1">
        <f t="shared" si="32"/>
        <v>0</v>
      </c>
      <c r="O475" s="1"/>
    </row>
    <row r="476" spans="1:15" x14ac:dyDescent="0.25">
      <c r="A476">
        <v>660</v>
      </c>
      <c r="B476">
        <v>34998.118540000003</v>
      </c>
      <c r="C476">
        <v>293.15719999999999</v>
      </c>
      <c r="D476">
        <v>441757.5454</v>
      </c>
      <c r="E476">
        <v>54007.6374</v>
      </c>
      <c r="F476">
        <v>853986.71660000004</v>
      </c>
      <c r="G476">
        <v>39611.227599999998</v>
      </c>
      <c r="H476">
        <v>660</v>
      </c>
      <c r="I476" t="str">
        <f t="shared" si="29"/>
        <v>YES</v>
      </c>
      <c r="J476" s="5" t="s">
        <v>482</v>
      </c>
      <c r="K476" s="5">
        <v>381568.62238100002</v>
      </c>
      <c r="L476" s="1">
        <f t="shared" si="30"/>
        <v>3635436.6407148172</v>
      </c>
      <c r="M476" s="1">
        <f t="shared" si="31"/>
        <v>224623055.82839924</v>
      </c>
      <c r="N476" s="1">
        <f t="shared" si="32"/>
        <v>77083447.885376453</v>
      </c>
      <c r="O476" s="1"/>
    </row>
    <row r="477" spans="1:15" x14ac:dyDescent="0.25">
      <c r="A477">
        <v>661</v>
      </c>
      <c r="B477">
        <v>35998.752699999997</v>
      </c>
      <c r="C477">
        <v>409.62554</v>
      </c>
      <c r="D477">
        <v>298925.78000000003</v>
      </c>
      <c r="E477">
        <v>22587.846799999999</v>
      </c>
      <c r="F477">
        <v>773754.88329999999</v>
      </c>
      <c r="G477">
        <v>4801.1979000000001</v>
      </c>
      <c r="H477">
        <v>661</v>
      </c>
      <c r="I477" t="str">
        <f t="shared" si="29"/>
        <v>YES</v>
      </c>
      <c r="J477" s="5" t="s">
        <v>483</v>
      </c>
      <c r="K477" s="5">
        <v>326162.98734599998</v>
      </c>
      <c r="L477" s="1">
        <f t="shared" si="30"/>
        <v>4342152.419137598</v>
      </c>
      <c r="M477" s="1">
        <f t="shared" si="31"/>
        <v>80303783.531019464</v>
      </c>
      <c r="N477" s="1">
        <f t="shared" si="32"/>
        <v>7986462.5545070432</v>
      </c>
      <c r="O477" s="1"/>
    </row>
    <row r="478" spans="1:15" x14ac:dyDescent="0.25">
      <c r="A478">
        <v>662</v>
      </c>
      <c r="B478">
        <v>14784.060289999999</v>
      </c>
      <c r="C478">
        <v>0</v>
      </c>
      <c r="D478">
        <v>47690.085709999999</v>
      </c>
      <c r="E478">
        <v>919.42231000000004</v>
      </c>
      <c r="F478">
        <v>509482.50900000002</v>
      </c>
      <c r="G478">
        <v>19194.867300000002</v>
      </c>
      <c r="H478">
        <v>662</v>
      </c>
      <c r="I478" t="str">
        <f t="shared" si="29"/>
        <v>YES</v>
      </c>
      <c r="J478" s="5" t="s">
        <v>484</v>
      </c>
      <c r="K478" s="5">
        <v>691520.52652399999</v>
      </c>
      <c r="L478" s="1">
        <f t="shared" si="30"/>
        <v>0</v>
      </c>
      <c r="M478" s="1">
        <f t="shared" si="31"/>
        <v>6930213.4590093251</v>
      </c>
      <c r="N478" s="1">
        <f t="shared" si="32"/>
        <v>67695588.183457002</v>
      </c>
      <c r="O478" s="1"/>
    </row>
    <row r="479" spans="1:15" x14ac:dyDescent="0.25">
      <c r="A479">
        <v>663</v>
      </c>
      <c r="B479">
        <v>31694.657729999999</v>
      </c>
      <c r="C479">
        <v>0</v>
      </c>
      <c r="D479">
        <v>263689.72610000003</v>
      </c>
      <c r="E479">
        <v>0</v>
      </c>
      <c r="F479">
        <v>761800.27359999996</v>
      </c>
      <c r="G479">
        <v>0</v>
      </c>
      <c r="H479">
        <v>663</v>
      </c>
      <c r="I479" t="str">
        <f t="shared" si="29"/>
        <v>YES</v>
      </c>
      <c r="J479" s="5" t="s">
        <v>485</v>
      </c>
      <c r="K479" s="5">
        <v>220232.79694900001</v>
      </c>
      <c r="L479" s="1">
        <f t="shared" si="30"/>
        <v>0</v>
      </c>
      <c r="M479" s="1">
        <f t="shared" si="31"/>
        <v>0</v>
      </c>
      <c r="N479" s="1">
        <f t="shared" si="32"/>
        <v>0</v>
      </c>
      <c r="O479" s="1"/>
    </row>
    <row r="480" spans="1:15" x14ac:dyDescent="0.25">
      <c r="A480">
        <v>664</v>
      </c>
      <c r="B480">
        <v>8330.3015570000007</v>
      </c>
      <c r="C480">
        <v>0</v>
      </c>
      <c r="D480">
        <v>63716.938439999998</v>
      </c>
      <c r="E480">
        <v>0</v>
      </c>
      <c r="F480">
        <v>671864.20689999999</v>
      </c>
      <c r="G480">
        <v>0</v>
      </c>
      <c r="H480">
        <v>664</v>
      </c>
      <c r="I480" t="str">
        <f t="shared" si="29"/>
        <v>YES</v>
      </c>
      <c r="J480" t="s">
        <v>486</v>
      </c>
      <c r="K480">
        <v>271053.54430299997</v>
      </c>
      <c r="L480" s="1">
        <f t="shared" si="30"/>
        <v>0</v>
      </c>
      <c r="M480" s="1">
        <f t="shared" si="31"/>
        <v>0</v>
      </c>
      <c r="N480" s="1">
        <f t="shared" si="32"/>
        <v>0</v>
      </c>
      <c r="O480" s="1"/>
    </row>
    <row r="481" spans="1:15" x14ac:dyDescent="0.25">
      <c r="A481">
        <v>665</v>
      </c>
      <c r="B481">
        <v>30626.603370000001</v>
      </c>
      <c r="C481">
        <v>0</v>
      </c>
      <c r="D481">
        <v>560841.39269999997</v>
      </c>
      <c r="E481">
        <v>0</v>
      </c>
      <c r="F481">
        <v>1054766.544</v>
      </c>
      <c r="G481">
        <v>0</v>
      </c>
      <c r="H481">
        <v>665</v>
      </c>
      <c r="I481" t="str">
        <f t="shared" si="29"/>
        <v>YES</v>
      </c>
      <c r="J481" t="s">
        <v>487</v>
      </c>
      <c r="K481">
        <v>343129.371056</v>
      </c>
      <c r="L481" s="1">
        <f t="shared" si="30"/>
        <v>0</v>
      </c>
      <c r="M481" s="1">
        <f t="shared" si="31"/>
        <v>0</v>
      </c>
      <c r="N481" s="1">
        <f t="shared" si="32"/>
        <v>0</v>
      </c>
      <c r="O481" s="1"/>
    </row>
    <row r="482" spans="1:15" x14ac:dyDescent="0.25">
      <c r="A482">
        <v>666</v>
      </c>
      <c r="B482">
        <v>292110.3162</v>
      </c>
      <c r="C482">
        <v>0</v>
      </c>
      <c r="D482">
        <v>837432.28890000004</v>
      </c>
      <c r="E482">
        <v>0</v>
      </c>
      <c r="F482">
        <v>1425845.378</v>
      </c>
      <c r="G482">
        <v>0</v>
      </c>
      <c r="H482">
        <v>666</v>
      </c>
      <c r="I482" t="str">
        <f t="shared" si="29"/>
        <v>YES</v>
      </c>
      <c r="J482" t="s">
        <v>488</v>
      </c>
      <c r="K482">
        <v>169927.904802</v>
      </c>
      <c r="L482" s="1">
        <f t="shared" si="30"/>
        <v>0</v>
      </c>
      <c r="M482" s="1">
        <f t="shared" si="31"/>
        <v>0</v>
      </c>
      <c r="N482" s="1">
        <f t="shared" si="32"/>
        <v>0</v>
      </c>
      <c r="O482" s="1"/>
    </row>
    <row r="483" spans="1:15" x14ac:dyDescent="0.25">
      <c r="A483">
        <v>667</v>
      </c>
      <c r="B483">
        <v>39983.585500000001</v>
      </c>
      <c r="C483">
        <v>0</v>
      </c>
      <c r="D483">
        <v>201655.34580000001</v>
      </c>
      <c r="E483">
        <v>0</v>
      </c>
      <c r="F483">
        <v>1105269.828</v>
      </c>
      <c r="G483">
        <v>0</v>
      </c>
      <c r="H483">
        <v>667</v>
      </c>
      <c r="I483" t="str">
        <f t="shared" si="29"/>
        <v>YES</v>
      </c>
      <c r="J483" t="s">
        <v>489</v>
      </c>
      <c r="K483">
        <v>318140.20745300001</v>
      </c>
      <c r="L483" s="1">
        <f t="shared" si="30"/>
        <v>0</v>
      </c>
      <c r="M483" s="1">
        <f t="shared" si="31"/>
        <v>0</v>
      </c>
      <c r="N483" s="1">
        <f t="shared" si="32"/>
        <v>0</v>
      </c>
      <c r="O483" s="1"/>
    </row>
    <row r="484" spans="1:15" x14ac:dyDescent="0.25">
      <c r="A484">
        <v>668</v>
      </c>
      <c r="B484">
        <v>58212.035629999998</v>
      </c>
      <c r="C484">
        <v>0</v>
      </c>
      <c r="D484">
        <v>664039.70389999996</v>
      </c>
      <c r="E484">
        <v>0</v>
      </c>
      <c r="F484">
        <v>1396795.28</v>
      </c>
      <c r="G484">
        <v>0</v>
      </c>
      <c r="H484">
        <v>668</v>
      </c>
      <c r="I484" t="str">
        <f t="shared" si="29"/>
        <v>YES</v>
      </c>
      <c r="J484" t="s">
        <v>490</v>
      </c>
      <c r="K484">
        <v>113226.03176899999</v>
      </c>
      <c r="L484" s="1">
        <f t="shared" si="30"/>
        <v>0</v>
      </c>
      <c r="M484" s="1">
        <f t="shared" si="31"/>
        <v>0</v>
      </c>
      <c r="N484" s="1">
        <f t="shared" si="32"/>
        <v>0</v>
      </c>
      <c r="O484" s="1"/>
    </row>
    <row r="485" spans="1:15" x14ac:dyDescent="0.25">
      <c r="A485">
        <v>700</v>
      </c>
      <c r="B485">
        <v>8330.3015570000007</v>
      </c>
      <c r="C485">
        <v>0</v>
      </c>
      <c r="D485">
        <v>63716.938439999998</v>
      </c>
      <c r="E485">
        <v>0</v>
      </c>
      <c r="F485">
        <v>656567.8371</v>
      </c>
      <c r="G485">
        <v>0</v>
      </c>
      <c r="H485">
        <v>700</v>
      </c>
      <c r="I485" t="str">
        <f t="shared" si="29"/>
        <v>YES</v>
      </c>
      <c r="J485" t="s">
        <v>491</v>
      </c>
      <c r="K485">
        <v>276720.60133400001</v>
      </c>
      <c r="L485" s="1">
        <f t="shared" si="30"/>
        <v>0</v>
      </c>
      <c r="M485" s="1">
        <f t="shared" si="31"/>
        <v>0</v>
      </c>
      <c r="N485" s="1">
        <f t="shared" si="32"/>
        <v>0</v>
      </c>
      <c r="O485" s="1"/>
    </row>
    <row r="486" spans="1:15" x14ac:dyDescent="0.25">
      <c r="A486">
        <v>701</v>
      </c>
      <c r="B486">
        <v>3446.3236339999999</v>
      </c>
      <c r="C486">
        <v>0</v>
      </c>
      <c r="D486">
        <v>30224.029790000001</v>
      </c>
      <c r="E486">
        <v>0</v>
      </c>
      <c r="F486">
        <v>467385.46779999998</v>
      </c>
      <c r="G486">
        <v>0</v>
      </c>
      <c r="H486">
        <v>701</v>
      </c>
      <c r="I486" t="str">
        <f t="shared" si="29"/>
        <v>YES</v>
      </c>
      <c r="J486" t="s">
        <v>492</v>
      </c>
      <c r="K486">
        <v>712007.23987100006</v>
      </c>
      <c r="L486" s="1">
        <f t="shared" si="30"/>
        <v>0</v>
      </c>
      <c r="M486" s="1">
        <f t="shared" si="31"/>
        <v>0</v>
      </c>
      <c r="N486" s="1">
        <f t="shared" si="32"/>
        <v>0</v>
      </c>
      <c r="O486" s="1"/>
    </row>
    <row r="487" spans="1:15" x14ac:dyDescent="0.25">
      <c r="A487">
        <v>702</v>
      </c>
      <c r="B487">
        <v>13560.35079</v>
      </c>
      <c r="C487">
        <v>0</v>
      </c>
      <c r="D487">
        <v>172019.2556</v>
      </c>
      <c r="E487">
        <v>0</v>
      </c>
      <c r="F487">
        <v>799764.56469999999</v>
      </c>
      <c r="G487">
        <v>0</v>
      </c>
      <c r="H487">
        <v>702</v>
      </c>
      <c r="I487" t="str">
        <f t="shared" si="29"/>
        <v>YES</v>
      </c>
      <c r="J487" t="s">
        <v>493</v>
      </c>
      <c r="K487">
        <v>857375.82786099997</v>
      </c>
      <c r="L487" s="1">
        <f t="shared" si="30"/>
        <v>0</v>
      </c>
      <c r="M487" s="1">
        <f t="shared" si="31"/>
        <v>0</v>
      </c>
      <c r="N487" s="1">
        <f t="shared" si="32"/>
        <v>0</v>
      </c>
      <c r="O487" s="1"/>
    </row>
    <row r="488" spans="1:15" x14ac:dyDescent="0.25">
      <c r="A488">
        <v>703</v>
      </c>
      <c r="B488">
        <v>11459.47284</v>
      </c>
      <c r="C488">
        <v>0</v>
      </c>
      <c r="D488">
        <v>130732.89810000001</v>
      </c>
      <c r="E488">
        <v>0</v>
      </c>
      <c r="F488">
        <v>733438.21030000004</v>
      </c>
      <c r="G488">
        <v>0</v>
      </c>
      <c r="H488">
        <v>703</v>
      </c>
      <c r="I488" t="str">
        <f t="shared" si="29"/>
        <v>YES</v>
      </c>
      <c r="J488" t="s">
        <v>494</v>
      </c>
      <c r="K488">
        <v>1184309.53795</v>
      </c>
      <c r="L488" s="1">
        <f t="shared" si="30"/>
        <v>0</v>
      </c>
      <c r="M488" s="1">
        <f t="shared" si="31"/>
        <v>0</v>
      </c>
      <c r="N488" s="1">
        <f t="shared" si="32"/>
        <v>0</v>
      </c>
      <c r="O488" s="1"/>
    </row>
    <row r="489" spans="1:15" x14ac:dyDescent="0.25">
      <c r="A489">
        <v>704</v>
      </c>
      <c r="B489">
        <v>9695.1674669999993</v>
      </c>
      <c r="C489">
        <v>0</v>
      </c>
      <c r="D489">
        <v>95485.63046</v>
      </c>
      <c r="E489">
        <v>0</v>
      </c>
      <c r="F489">
        <v>718207.58649999998</v>
      </c>
      <c r="G489">
        <v>0</v>
      </c>
      <c r="H489">
        <v>704</v>
      </c>
      <c r="I489" t="str">
        <f t="shared" si="29"/>
        <v>YES</v>
      </c>
      <c r="J489" t="s">
        <v>495</v>
      </c>
      <c r="K489">
        <v>809045.92725199996</v>
      </c>
      <c r="L489" s="1">
        <f t="shared" si="30"/>
        <v>0</v>
      </c>
      <c r="M489" s="1">
        <f t="shared" si="31"/>
        <v>0</v>
      </c>
      <c r="N489" s="1">
        <f t="shared" si="32"/>
        <v>0</v>
      </c>
      <c r="O489" s="1"/>
    </row>
    <row r="490" spans="1:15" x14ac:dyDescent="0.25">
      <c r="A490">
        <v>705</v>
      </c>
      <c r="B490">
        <v>55727.411160000003</v>
      </c>
      <c r="C490">
        <v>0</v>
      </c>
      <c r="D490">
        <v>588835.69739999995</v>
      </c>
      <c r="E490">
        <v>0</v>
      </c>
      <c r="F490">
        <v>1182686.344</v>
      </c>
      <c r="G490">
        <v>0</v>
      </c>
      <c r="H490">
        <v>705</v>
      </c>
      <c r="I490" t="str">
        <f t="shared" si="29"/>
        <v>YES</v>
      </c>
      <c r="J490" t="s">
        <v>496</v>
      </c>
      <c r="K490">
        <v>580439.27816400002</v>
      </c>
      <c r="L490" s="1">
        <f t="shared" si="30"/>
        <v>0</v>
      </c>
      <c r="M490" s="1">
        <f t="shared" si="31"/>
        <v>0</v>
      </c>
      <c r="N490" s="1">
        <f t="shared" si="32"/>
        <v>0</v>
      </c>
      <c r="O490" s="1"/>
    </row>
    <row r="491" spans="1:15" x14ac:dyDescent="0.25">
      <c r="A491">
        <v>706</v>
      </c>
      <c r="B491">
        <v>54658.289069999999</v>
      </c>
      <c r="C491">
        <v>0</v>
      </c>
      <c r="D491">
        <v>618718.5416</v>
      </c>
      <c r="E491">
        <v>0</v>
      </c>
      <c r="F491">
        <v>1125994.219</v>
      </c>
      <c r="G491">
        <v>0</v>
      </c>
      <c r="H491">
        <v>706</v>
      </c>
      <c r="I491" t="str">
        <f t="shared" si="29"/>
        <v>YES</v>
      </c>
      <c r="J491" t="s">
        <v>497</v>
      </c>
      <c r="K491">
        <v>645827.26095400006</v>
      </c>
      <c r="L491" s="1">
        <f t="shared" si="30"/>
        <v>0</v>
      </c>
      <c r="M491" s="1">
        <f t="shared" si="31"/>
        <v>0</v>
      </c>
      <c r="N491" s="1">
        <f t="shared" si="32"/>
        <v>0</v>
      </c>
      <c r="O491" s="1"/>
    </row>
    <row r="492" spans="1:15" x14ac:dyDescent="0.25">
      <c r="A492">
        <v>707</v>
      </c>
      <c r="B492">
        <v>29504.423640000001</v>
      </c>
      <c r="C492">
        <v>0</v>
      </c>
      <c r="D492">
        <v>538324.22710000002</v>
      </c>
      <c r="E492">
        <v>0</v>
      </c>
      <c r="F492">
        <v>1133504.2379999999</v>
      </c>
      <c r="G492">
        <v>0</v>
      </c>
      <c r="H492">
        <v>707</v>
      </c>
      <c r="I492" t="str">
        <f t="shared" si="29"/>
        <v>YES</v>
      </c>
      <c r="J492" t="s">
        <v>498</v>
      </c>
      <c r="K492">
        <v>628152.10441399994</v>
      </c>
      <c r="L492" s="1">
        <f t="shared" si="30"/>
        <v>0</v>
      </c>
      <c r="M492" s="1">
        <f t="shared" si="31"/>
        <v>0</v>
      </c>
      <c r="N492" s="1">
        <f t="shared" si="32"/>
        <v>0</v>
      </c>
      <c r="O492" s="1"/>
    </row>
    <row r="493" spans="1:15" x14ac:dyDescent="0.25">
      <c r="A493">
        <v>710</v>
      </c>
      <c r="B493">
        <v>38506.50258</v>
      </c>
      <c r="C493">
        <v>0</v>
      </c>
      <c r="D493">
        <v>208977.67800000001</v>
      </c>
      <c r="E493">
        <v>0</v>
      </c>
      <c r="F493">
        <v>1155837.2819999999</v>
      </c>
      <c r="G493">
        <v>0</v>
      </c>
      <c r="H493">
        <v>710</v>
      </c>
      <c r="I493" t="str">
        <f t="shared" si="29"/>
        <v>YES</v>
      </c>
      <c r="J493" t="s">
        <v>499</v>
      </c>
      <c r="K493">
        <v>163556.362719</v>
      </c>
      <c r="L493" s="1">
        <f t="shared" si="30"/>
        <v>0</v>
      </c>
      <c r="M493" s="1">
        <f t="shared" si="31"/>
        <v>0</v>
      </c>
      <c r="N493" s="1">
        <f t="shared" si="32"/>
        <v>0</v>
      </c>
      <c r="O493" s="1"/>
    </row>
    <row r="494" spans="1:15" x14ac:dyDescent="0.25">
      <c r="A494">
        <v>711</v>
      </c>
      <c r="B494">
        <v>61727.294580000002</v>
      </c>
      <c r="C494">
        <v>0</v>
      </c>
      <c r="D494">
        <v>719435.81050000002</v>
      </c>
      <c r="E494">
        <v>0</v>
      </c>
      <c r="F494">
        <v>1414763.8640000001</v>
      </c>
      <c r="G494">
        <v>0</v>
      </c>
      <c r="H494">
        <v>711</v>
      </c>
      <c r="I494" t="str">
        <f t="shared" si="29"/>
        <v>YES</v>
      </c>
      <c r="J494" t="s">
        <v>500</v>
      </c>
      <c r="K494">
        <v>221686.02766399999</v>
      </c>
      <c r="L494" s="1">
        <f t="shared" si="30"/>
        <v>0</v>
      </c>
      <c r="M494" s="1">
        <f t="shared" si="31"/>
        <v>0</v>
      </c>
      <c r="N494" s="1">
        <f t="shared" si="32"/>
        <v>0</v>
      </c>
      <c r="O494" s="1"/>
    </row>
    <row r="495" spans="1:15" x14ac:dyDescent="0.25">
      <c r="A495">
        <v>712</v>
      </c>
      <c r="B495">
        <v>44955.68677</v>
      </c>
      <c r="C495">
        <v>0</v>
      </c>
      <c r="D495">
        <v>303729.89</v>
      </c>
      <c r="E495">
        <v>0</v>
      </c>
      <c r="F495">
        <v>1220735.7209999999</v>
      </c>
      <c r="G495">
        <v>0</v>
      </c>
      <c r="H495">
        <v>712</v>
      </c>
      <c r="I495" t="str">
        <f t="shared" si="29"/>
        <v>YES</v>
      </c>
      <c r="J495" t="s">
        <v>501</v>
      </c>
      <c r="K495">
        <v>187827.81667100001</v>
      </c>
      <c r="L495" s="1">
        <f t="shared" si="30"/>
        <v>0</v>
      </c>
      <c r="M495" s="1">
        <f t="shared" si="31"/>
        <v>0</v>
      </c>
      <c r="N495" s="1">
        <f t="shared" si="32"/>
        <v>0</v>
      </c>
      <c r="O495" s="1"/>
    </row>
    <row r="496" spans="1:15" x14ac:dyDescent="0.25">
      <c r="A496">
        <v>713</v>
      </c>
      <c r="B496">
        <v>25325.915499999999</v>
      </c>
      <c r="C496">
        <v>0</v>
      </c>
      <c r="D496">
        <v>179082.48989999999</v>
      </c>
      <c r="E496">
        <v>0</v>
      </c>
      <c r="F496">
        <v>986783.28559999994</v>
      </c>
      <c r="G496">
        <v>0</v>
      </c>
      <c r="H496">
        <v>713</v>
      </c>
      <c r="I496" t="str">
        <f t="shared" si="29"/>
        <v>YES</v>
      </c>
      <c r="J496" t="s">
        <v>502</v>
      </c>
      <c r="K496">
        <v>484794.41557800001</v>
      </c>
      <c r="L496" s="1">
        <f t="shared" si="30"/>
        <v>0</v>
      </c>
      <c r="M496" s="1">
        <f t="shared" si="31"/>
        <v>0</v>
      </c>
      <c r="N496" s="1">
        <f t="shared" si="32"/>
        <v>0</v>
      </c>
      <c r="O496" s="1"/>
    </row>
    <row r="497" spans="1:15" x14ac:dyDescent="0.25">
      <c r="A497">
        <v>714</v>
      </c>
      <c r="B497">
        <v>20072.935509999999</v>
      </c>
      <c r="C497">
        <v>0</v>
      </c>
      <c r="D497">
        <v>83507.193119999996</v>
      </c>
      <c r="E497">
        <v>0</v>
      </c>
      <c r="F497">
        <v>796301.72459999996</v>
      </c>
      <c r="G497">
        <v>0</v>
      </c>
      <c r="H497">
        <v>714</v>
      </c>
      <c r="I497" t="str">
        <f t="shared" si="29"/>
        <v>YES</v>
      </c>
      <c r="J497" t="s">
        <v>503</v>
      </c>
      <c r="K497">
        <v>227720.82711899999</v>
      </c>
      <c r="L497" s="1">
        <f t="shared" si="30"/>
        <v>0</v>
      </c>
      <c r="M497" s="1">
        <f t="shared" si="31"/>
        <v>0</v>
      </c>
      <c r="N497" s="1">
        <f t="shared" si="32"/>
        <v>0</v>
      </c>
      <c r="O497" s="1"/>
    </row>
    <row r="498" spans="1:15" x14ac:dyDescent="0.25">
      <c r="A498">
        <v>715</v>
      </c>
      <c r="B498">
        <v>17729.659749999999</v>
      </c>
      <c r="C498">
        <v>0</v>
      </c>
      <c r="D498">
        <v>61653.925260000004</v>
      </c>
      <c r="E498">
        <v>0</v>
      </c>
      <c r="F498">
        <v>511907.77140000003</v>
      </c>
      <c r="G498">
        <v>0</v>
      </c>
      <c r="H498">
        <v>715</v>
      </c>
      <c r="I498" t="str">
        <f t="shared" si="29"/>
        <v>YES</v>
      </c>
      <c r="J498" t="s">
        <v>504</v>
      </c>
      <c r="K498">
        <v>794976.09127400001</v>
      </c>
      <c r="L498" s="1">
        <f t="shared" si="30"/>
        <v>0</v>
      </c>
      <c r="M498" s="1">
        <f t="shared" si="31"/>
        <v>0</v>
      </c>
      <c r="N498" s="1">
        <f t="shared" si="32"/>
        <v>0</v>
      </c>
      <c r="O498" s="1"/>
    </row>
    <row r="499" spans="1:15" x14ac:dyDescent="0.25">
      <c r="A499">
        <v>716</v>
      </c>
      <c r="B499">
        <v>16584.69556</v>
      </c>
      <c r="C499">
        <v>0</v>
      </c>
      <c r="D499">
        <v>171493.98860000001</v>
      </c>
      <c r="E499">
        <v>0</v>
      </c>
      <c r="F499">
        <v>914289.54390000005</v>
      </c>
      <c r="G499">
        <v>0</v>
      </c>
      <c r="H499">
        <v>716</v>
      </c>
      <c r="I499" t="str">
        <f t="shared" si="29"/>
        <v>YES</v>
      </c>
      <c r="J499" t="s">
        <v>505</v>
      </c>
      <c r="K499">
        <v>501542.149951</v>
      </c>
      <c r="L499" s="1">
        <f t="shared" si="30"/>
        <v>0</v>
      </c>
      <c r="M499" s="1">
        <f t="shared" si="31"/>
        <v>0</v>
      </c>
      <c r="N499" s="1">
        <f t="shared" si="32"/>
        <v>0</v>
      </c>
      <c r="O499" s="1"/>
    </row>
    <row r="500" spans="1:15" x14ac:dyDescent="0.25">
      <c r="A500">
        <v>717</v>
      </c>
      <c r="B500">
        <v>10231.45579</v>
      </c>
      <c r="C500">
        <v>0</v>
      </c>
      <c r="D500">
        <v>46877.661549999997</v>
      </c>
      <c r="E500">
        <v>0</v>
      </c>
      <c r="F500">
        <v>247892.68969999999</v>
      </c>
      <c r="G500">
        <v>0</v>
      </c>
      <c r="H500">
        <v>717</v>
      </c>
      <c r="I500" t="str">
        <f t="shared" si="29"/>
        <v>YES</v>
      </c>
      <c r="J500" t="s">
        <v>506</v>
      </c>
      <c r="K500">
        <v>641530.16813999997</v>
      </c>
      <c r="L500" s="1">
        <f t="shared" si="30"/>
        <v>0</v>
      </c>
      <c r="M500" s="1">
        <f t="shared" si="31"/>
        <v>0</v>
      </c>
      <c r="N500" s="1">
        <f t="shared" si="32"/>
        <v>0</v>
      </c>
      <c r="O500" s="1"/>
    </row>
    <row r="501" spans="1:15" x14ac:dyDescent="0.25">
      <c r="A501">
        <v>718</v>
      </c>
      <c r="B501">
        <v>30682.4195</v>
      </c>
      <c r="C501">
        <v>0</v>
      </c>
      <c r="D501">
        <v>403620.6655</v>
      </c>
      <c r="E501">
        <v>0</v>
      </c>
      <c r="F501">
        <v>1156202.5179999999</v>
      </c>
      <c r="G501">
        <v>0</v>
      </c>
      <c r="H501">
        <v>718</v>
      </c>
      <c r="I501" t="str">
        <f t="shared" si="29"/>
        <v>YES</v>
      </c>
      <c r="J501" t="s">
        <v>507</v>
      </c>
      <c r="K501">
        <v>595504.40092599997</v>
      </c>
      <c r="L501" s="1">
        <f t="shared" si="30"/>
        <v>0</v>
      </c>
      <c r="M501" s="1">
        <f t="shared" si="31"/>
        <v>0</v>
      </c>
      <c r="N501" s="1">
        <f t="shared" si="32"/>
        <v>0</v>
      </c>
      <c r="O501" s="1"/>
    </row>
    <row r="502" spans="1:15" x14ac:dyDescent="0.25">
      <c r="A502">
        <v>719</v>
      </c>
      <c r="B502">
        <v>233001.28570000001</v>
      </c>
      <c r="C502">
        <v>0</v>
      </c>
      <c r="D502">
        <v>843943.79909999995</v>
      </c>
      <c r="E502">
        <v>0</v>
      </c>
      <c r="F502">
        <v>1478434.932</v>
      </c>
      <c r="G502">
        <v>0</v>
      </c>
      <c r="H502">
        <v>719</v>
      </c>
      <c r="I502" t="str">
        <f t="shared" si="29"/>
        <v>YES</v>
      </c>
      <c r="J502" t="s">
        <v>508</v>
      </c>
      <c r="K502">
        <v>165311.797987</v>
      </c>
      <c r="L502" s="1">
        <f t="shared" si="30"/>
        <v>0</v>
      </c>
      <c r="M502" s="1">
        <f t="shared" si="31"/>
        <v>0</v>
      </c>
      <c r="N502" s="1">
        <f t="shared" si="32"/>
        <v>0</v>
      </c>
      <c r="O502" s="1"/>
    </row>
    <row r="503" spans="1:15" x14ac:dyDescent="0.25">
      <c r="A503">
        <v>720</v>
      </c>
      <c r="B503">
        <v>35595.166590000001</v>
      </c>
      <c r="C503">
        <v>0</v>
      </c>
      <c r="D503">
        <v>559568.85930000001</v>
      </c>
      <c r="E503">
        <v>0</v>
      </c>
      <c r="F503">
        <v>1190381.48</v>
      </c>
      <c r="G503">
        <v>0</v>
      </c>
      <c r="H503">
        <v>720</v>
      </c>
      <c r="I503" t="str">
        <f t="shared" si="29"/>
        <v>YES</v>
      </c>
      <c r="J503" t="s">
        <v>509</v>
      </c>
      <c r="K503">
        <v>158518.11932699999</v>
      </c>
      <c r="L503" s="1">
        <f t="shared" si="30"/>
        <v>0</v>
      </c>
      <c r="M503" s="1">
        <f t="shared" si="31"/>
        <v>0</v>
      </c>
      <c r="N503" s="1">
        <f t="shared" si="32"/>
        <v>0</v>
      </c>
      <c r="O503" s="1"/>
    </row>
    <row r="504" spans="1:15" x14ac:dyDescent="0.25">
      <c r="A504">
        <v>723</v>
      </c>
      <c r="B504">
        <v>36384.605519999997</v>
      </c>
      <c r="C504">
        <v>0</v>
      </c>
      <c r="D504">
        <v>579893.08369999996</v>
      </c>
      <c r="E504">
        <v>0</v>
      </c>
      <c r="F504">
        <v>1094792.3230000001</v>
      </c>
      <c r="G504">
        <v>0</v>
      </c>
      <c r="H504">
        <v>723</v>
      </c>
      <c r="I504" t="str">
        <f t="shared" si="29"/>
        <v>YES</v>
      </c>
      <c r="J504" t="s">
        <v>510</v>
      </c>
      <c r="K504">
        <v>420127.085356</v>
      </c>
      <c r="L504" s="1">
        <f t="shared" si="30"/>
        <v>0</v>
      </c>
      <c r="M504" s="1">
        <f t="shared" si="31"/>
        <v>0</v>
      </c>
      <c r="N504" s="1">
        <f t="shared" si="32"/>
        <v>0</v>
      </c>
      <c r="O504" s="1"/>
    </row>
    <row r="505" spans="1:15" x14ac:dyDescent="0.25">
      <c r="A505">
        <v>724</v>
      </c>
      <c r="B505">
        <v>12836.695970000001</v>
      </c>
      <c r="C505">
        <v>0</v>
      </c>
      <c r="D505">
        <v>459213.609</v>
      </c>
      <c r="E505">
        <v>0</v>
      </c>
      <c r="F505">
        <v>919138.26280000003</v>
      </c>
      <c r="G505">
        <v>0</v>
      </c>
      <c r="H505">
        <v>724</v>
      </c>
      <c r="I505" t="str">
        <f t="shared" si="29"/>
        <v>YES</v>
      </c>
      <c r="J505" t="s">
        <v>511</v>
      </c>
      <c r="K505">
        <v>288756.28217100003</v>
      </c>
      <c r="L505" s="1">
        <f t="shared" si="30"/>
        <v>0</v>
      </c>
      <c r="M505" s="1">
        <f t="shared" si="31"/>
        <v>0</v>
      </c>
      <c r="N505" s="1">
        <f t="shared" si="32"/>
        <v>0</v>
      </c>
      <c r="O505" s="1"/>
    </row>
    <row r="506" spans="1:15" x14ac:dyDescent="0.25">
      <c r="A506">
        <v>725</v>
      </c>
      <c r="B506">
        <v>123856.0983</v>
      </c>
      <c r="C506">
        <v>0</v>
      </c>
      <c r="D506">
        <v>629308.99159999995</v>
      </c>
      <c r="E506">
        <v>0</v>
      </c>
      <c r="F506">
        <v>1113954.3810000001</v>
      </c>
      <c r="G506">
        <v>0</v>
      </c>
      <c r="H506">
        <v>725</v>
      </c>
      <c r="I506" t="str">
        <f t="shared" si="29"/>
        <v>YES</v>
      </c>
      <c r="J506" t="s">
        <v>512</v>
      </c>
      <c r="K506">
        <v>725957.94801199995</v>
      </c>
      <c r="L506" s="1">
        <f t="shared" si="30"/>
        <v>0</v>
      </c>
      <c r="M506" s="1">
        <f t="shared" si="31"/>
        <v>0</v>
      </c>
      <c r="N506" s="1">
        <f t="shared" si="32"/>
        <v>0</v>
      </c>
      <c r="O506" s="1"/>
    </row>
    <row r="507" spans="1:15" x14ac:dyDescent="0.25">
      <c r="A507">
        <v>726</v>
      </c>
      <c r="B507">
        <v>9338.9612359999992</v>
      </c>
      <c r="C507">
        <v>0</v>
      </c>
      <c r="D507">
        <v>335287.24680000002</v>
      </c>
      <c r="E507">
        <v>0</v>
      </c>
      <c r="F507">
        <v>819309.12410000002</v>
      </c>
      <c r="G507">
        <v>0</v>
      </c>
      <c r="H507">
        <v>726</v>
      </c>
      <c r="I507" t="str">
        <f t="shared" si="29"/>
        <v>YES</v>
      </c>
      <c r="J507" t="s">
        <v>513</v>
      </c>
      <c r="K507">
        <v>646772.109987</v>
      </c>
      <c r="L507" s="1">
        <f t="shared" si="30"/>
        <v>0</v>
      </c>
      <c r="M507" s="1">
        <f t="shared" si="31"/>
        <v>0</v>
      </c>
      <c r="N507" s="1">
        <f t="shared" si="32"/>
        <v>0</v>
      </c>
      <c r="O507" s="1"/>
    </row>
    <row r="508" spans="1:15" x14ac:dyDescent="0.25">
      <c r="A508">
        <v>727</v>
      </c>
      <c r="B508">
        <v>12736.415360000001</v>
      </c>
      <c r="C508">
        <v>0</v>
      </c>
      <c r="D508">
        <v>432270.07030000002</v>
      </c>
      <c r="E508">
        <v>0</v>
      </c>
      <c r="F508">
        <v>880030.08790000004</v>
      </c>
      <c r="G508">
        <v>0</v>
      </c>
      <c r="H508">
        <v>727</v>
      </c>
      <c r="I508" t="str">
        <f t="shared" si="29"/>
        <v>YES</v>
      </c>
      <c r="J508" t="s">
        <v>514</v>
      </c>
      <c r="K508">
        <v>527363.46965500002</v>
      </c>
      <c r="L508" s="1">
        <f t="shared" si="30"/>
        <v>0</v>
      </c>
      <c r="M508" s="1">
        <f t="shared" si="31"/>
        <v>0</v>
      </c>
      <c r="N508" s="1">
        <f t="shared" si="32"/>
        <v>0</v>
      </c>
      <c r="O508" s="1"/>
    </row>
    <row r="509" spans="1:15" x14ac:dyDescent="0.25">
      <c r="A509">
        <v>728</v>
      </c>
      <c r="B509">
        <v>10960.74065</v>
      </c>
      <c r="C509">
        <v>0</v>
      </c>
      <c r="D509">
        <v>413801.50510000001</v>
      </c>
      <c r="E509">
        <v>0</v>
      </c>
      <c r="F509">
        <v>870999.06740000006</v>
      </c>
      <c r="G509">
        <v>0</v>
      </c>
      <c r="H509">
        <v>728</v>
      </c>
      <c r="I509" t="str">
        <f t="shared" si="29"/>
        <v>YES</v>
      </c>
      <c r="J509" t="s">
        <v>515</v>
      </c>
      <c r="K509">
        <v>745212.95248800004</v>
      </c>
      <c r="L509" s="1">
        <f t="shared" si="30"/>
        <v>0</v>
      </c>
      <c r="M509" s="1">
        <f t="shared" si="31"/>
        <v>0</v>
      </c>
      <c r="N509" s="1">
        <f t="shared" si="32"/>
        <v>0</v>
      </c>
      <c r="O509" s="1"/>
    </row>
    <row r="510" spans="1:15" x14ac:dyDescent="0.25">
      <c r="A510">
        <v>731</v>
      </c>
      <c r="B510">
        <v>7708.3923649999997</v>
      </c>
      <c r="C510">
        <v>0</v>
      </c>
      <c r="D510">
        <v>497472.8089</v>
      </c>
      <c r="E510">
        <v>0</v>
      </c>
      <c r="F510">
        <v>941581.09640000004</v>
      </c>
      <c r="G510">
        <v>0</v>
      </c>
      <c r="H510">
        <v>731</v>
      </c>
      <c r="I510" t="str">
        <f t="shared" si="29"/>
        <v>YES</v>
      </c>
      <c r="J510" t="s">
        <v>516</v>
      </c>
      <c r="K510">
        <v>434541.07242600003</v>
      </c>
      <c r="L510" s="1">
        <f t="shared" si="30"/>
        <v>0</v>
      </c>
      <c r="M510" s="1">
        <f t="shared" si="31"/>
        <v>0</v>
      </c>
      <c r="N510" s="1">
        <f t="shared" si="32"/>
        <v>0</v>
      </c>
      <c r="O510" s="1"/>
    </row>
    <row r="511" spans="1:15" x14ac:dyDescent="0.25">
      <c r="A511">
        <v>732</v>
      </c>
      <c r="B511">
        <v>9750.1300100000008</v>
      </c>
      <c r="C511">
        <v>0</v>
      </c>
      <c r="D511">
        <v>340770.99550000002</v>
      </c>
      <c r="E511">
        <v>0</v>
      </c>
      <c r="F511">
        <v>806528.34299999999</v>
      </c>
      <c r="G511">
        <v>0</v>
      </c>
      <c r="H511">
        <v>732</v>
      </c>
      <c r="I511" t="str">
        <f t="shared" si="29"/>
        <v>YES</v>
      </c>
      <c r="J511" t="s">
        <v>517</v>
      </c>
      <c r="K511">
        <v>478491.57460599998</v>
      </c>
      <c r="L511" s="1">
        <f t="shared" si="30"/>
        <v>0</v>
      </c>
      <c r="M511" s="1">
        <f t="shared" si="31"/>
        <v>0</v>
      </c>
      <c r="N511" s="1">
        <f t="shared" si="32"/>
        <v>0</v>
      </c>
      <c r="O511" s="1"/>
    </row>
    <row r="512" spans="1:15" x14ac:dyDescent="0.25">
      <c r="A512">
        <v>733</v>
      </c>
      <c r="B512">
        <v>60076.389109999996</v>
      </c>
      <c r="C512">
        <v>0</v>
      </c>
      <c r="D512">
        <v>600620.83459999994</v>
      </c>
      <c r="E512">
        <v>0</v>
      </c>
      <c r="F512">
        <v>1059884.294</v>
      </c>
      <c r="G512">
        <v>0</v>
      </c>
      <c r="H512">
        <v>733</v>
      </c>
      <c r="I512" t="str">
        <f t="shared" si="29"/>
        <v>YES</v>
      </c>
      <c r="J512" t="s">
        <v>518</v>
      </c>
      <c r="K512">
        <v>531786.79008099996</v>
      </c>
      <c r="L512" s="1">
        <f t="shared" si="30"/>
        <v>0</v>
      </c>
      <c r="M512" s="1">
        <f t="shared" si="31"/>
        <v>0</v>
      </c>
      <c r="N512" s="1">
        <f t="shared" si="32"/>
        <v>0</v>
      </c>
      <c r="O512" s="1"/>
    </row>
    <row r="513" spans="1:15" x14ac:dyDescent="0.25">
      <c r="A513">
        <v>734</v>
      </c>
      <c r="B513">
        <v>96731.795029999994</v>
      </c>
      <c r="C513">
        <v>0</v>
      </c>
      <c r="D513">
        <v>642789.57620000001</v>
      </c>
      <c r="E513">
        <v>0</v>
      </c>
      <c r="F513">
        <v>1100479.395</v>
      </c>
      <c r="G513">
        <v>0</v>
      </c>
      <c r="H513">
        <v>734</v>
      </c>
      <c r="I513" t="str">
        <f t="shared" si="29"/>
        <v>YES</v>
      </c>
      <c r="J513" t="s">
        <v>519</v>
      </c>
      <c r="K513">
        <v>664692.25810800004</v>
      </c>
      <c r="L513" s="1">
        <f t="shared" si="30"/>
        <v>0</v>
      </c>
      <c r="M513" s="1">
        <f t="shared" si="31"/>
        <v>0</v>
      </c>
      <c r="N513" s="1">
        <f t="shared" si="32"/>
        <v>0</v>
      </c>
      <c r="O513" s="1"/>
    </row>
    <row r="514" spans="1:15" x14ac:dyDescent="0.25">
      <c r="A514">
        <v>735</v>
      </c>
      <c r="B514">
        <v>19869.147120000001</v>
      </c>
      <c r="C514">
        <v>0</v>
      </c>
      <c r="D514">
        <v>360184.26179999998</v>
      </c>
      <c r="E514">
        <v>0</v>
      </c>
      <c r="F514">
        <v>888504.04229999997</v>
      </c>
      <c r="G514">
        <v>0</v>
      </c>
      <c r="H514">
        <v>735</v>
      </c>
      <c r="I514" t="str">
        <f t="shared" ref="I514:I577" si="33">IF(A514=H514,"YES","NO")</f>
        <v>YES</v>
      </c>
      <c r="J514" t="s">
        <v>520</v>
      </c>
      <c r="K514">
        <v>813245.35306400002</v>
      </c>
      <c r="L514" s="1">
        <f t="shared" si="30"/>
        <v>0</v>
      </c>
      <c r="M514" s="1">
        <f t="shared" si="31"/>
        <v>0</v>
      </c>
      <c r="N514" s="1">
        <f t="shared" si="32"/>
        <v>0</v>
      </c>
      <c r="O514" s="1"/>
    </row>
    <row r="515" spans="1:15" x14ac:dyDescent="0.25">
      <c r="A515">
        <v>736</v>
      </c>
      <c r="B515">
        <v>527613.74470000004</v>
      </c>
      <c r="C515">
        <v>0</v>
      </c>
      <c r="D515">
        <v>973510.88419999997</v>
      </c>
      <c r="E515">
        <v>0</v>
      </c>
      <c r="F515">
        <v>1494061.423</v>
      </c>
      <c r="G515">
        <v>0</v>
      </c>
      <c r="H515">
        <v>736</v>
      </c>
      <c r="I515" t="str">
        <f t="shared" si="33"/>
        <v>YES</v>
      </c>
      <c r="J515" t="s">
        <v>521</v>
      </c>
      <c r="K515">
        <v>37890.827234299999</v>
      </c>
      <c r="L515" s="1">
        <f t="shared" ref="L515:L578" si="34">$U$2*$K515*C515</f>
        <v>0</v>
      </c>
      <c r="M515" s="1">
        <f t="shared" ref="M515:M578" si="35">$U$3*$K515*E515</f>
        <v>0</v>
      </c>
      <c r="N515" s="1">
        <f t="shared" ref="N515:N578" si="36">$U$4*$K515*G515</f>
        <v>0</v>
      </c>
      <c r="O515" s="1"/>
    </row>
    <row r="516" spans="1:15" x14ac:dyDescent="0.25">
      <c r="A516">
        <v>737</v>
      </c>
      <c r="B516">
        <v>164880.4981</v>
      </c>
      <c r="C516">
        <v>0</v>
      </c>
      <c r="D516">
        <v>706906.34169999999</v>
      </c>
      <c r="E516">
        <v>0</v>
      </c>
      <c r="F516">
        <v>1161913.196</v>
      </c>
      <c r="G516">
        <v>0</v>
      </c>
      <c r="H516">
        <v>737</v>
      </c>
      <c r="I516" t="str">
        <f t="shared" si="33"/>
        <v>YES</v>
      </c>
      <c r="J516" t="s">
        <v>522</v>
      </c>
      <c r="K516">
        <v>868277.26583799999</v>
      </c>
      <c r="L516" s="1">
        <f t="shared" si="34"/>
        <v>0</v>
      </c>
      <c r="M516" s="1">
        <f t="shared" si="35"/>
        <v>0</v>
      </c>
      <c r="N516" s="1">
        <f t="shared" si="36"/>
        <v>0</v>
      </c>
      <c r="O516" s="1"/>
    </row>
    <row r="517" spans="1:15" x14ac:dyDescent="0.25">
      <c r="A517">
        <v>738</v>
      </c>
      <c r="B517">
        <v>327384.52409999998</v>
      </c>
      <c r="C517">
        <v>0</v>
      </c>
      <c r="D517">
        <v>766954.16480000003</v>
      </c>
      <c r="E517">
        <v>0</v>
      </c>
      <c r="F517">
        <v>1296339.426</v>
      </c>
      <c r="G517">
        <v>0</v>
      </c>
      <c r="H517">
        <v>738</v>
      </c>
      <c r="I517" t="str">
        <f t="shared" si="33"/>
        <v>YES</v>
      </c>
      <c r="J517" t="s">
        <v>523</v>
      </c>
      <c r="K517">
        <v>333086.329425</v>
      </c>
      <c r="L517" s="1">
        <f t="shared" si="34"/>
        <v>0</v>
      </c>
      <c r="M517" s="1">
        <f t="shared" si="35"/>
        <v>0</v>
      </c>
      <c r="N517" s="1">
        <f t="shared" si="36"/>
        <v>0</v>
      </c>
      <c r="O517" s="1"/>
    </row>
    <row r="518" spans="1:15" x14ac:dyDescent="0.25">
      <c r="A518">
        <v>739</v>
      </c>
      <c r="B518">
        <v>104718.4164</v>
      </c>
      <c r="C518">
        <v>0</v>
      </c>
      <c r="D518">
        <v>688364.78870000003</v>
      </c>
      <c r="E518">
        <v>0</v>
      </c>
      <c r="F518">
        <v>1285517.7239999999</v>
      </c>
      <c r="G518">
        <v>0</v>
      </c>
      <c r="H518">
        <v>739</v>
      </c>
      <c r="I518" t="str">
        <f t="shared" si="33"/>
        <v>YES</v>
      </c>
      <c r="J518" t="s">
        <v>524</v>
      </c>
      <c r="K518">
        <v>143706.842924</v>
      </c>
      <c r="L518" s="1">
        <f t="shared" si="34"/>
        <v>0</v>
      </c>
      <c r="M518" s="1">
        <f t="shared" si="35"/>
        <v>0</v>
      </c>
      <c r="N518" s="1">
        <f t="shared" si="36"/>
        <v>0</v>
      </c>
      <c r="O518" s="1"/>
    </row>
    <row r="519" spans="1:15" x14ac:dyDescent="0.25">
      <c r="A519">
        <v>740</v>
      </c>
      <c r="B519">
        <v>59704.7189</v>
      </c>
      <c r="C519">
        <v>0</v>
      </c>
      <c r="D519">
        <v>675324.30310000002</v>
      </c>
      <c r="E519">
        <v>0</v>
      </c>
      <c r="F519">
        <v>1314005.852</v>
      </c>
      <c r="G519">
        <v>0</v>
      </c>
      <c r="H519">
        <v>740</v>
      </c>
      <c r="I519" t="str">
        <f t="shared" si="33"/>
        <v>YES</v>
      </c>
      <c r="J519" t="s">
        <v>525</v>
      </c>
      <c r="K519">
        <v>105820.064464</v>
      </c>
      <c r="L519" s="1">
        <f t="shared" si="34"/>
        <v>0</v>
      </c>
      <c r="M519" s="1">
        <f t="shared" si="35"/>
        <v>0</v>
      </c>
      <c r="N519" s="1">
        <f t="shared" si="36"/>
        <v>0</v>
      </c>
      <c r="O519" s="1"/>
    </row>
    <row r="520" spans="1:15" x14ac:dyDescent="0.25">
      <c r="A520">
        <v>741</v>
      </c>
      <c r="B520">
        <v>137649.59950000001</v>
      </c>
      <c r="C520">
        <v>0</v>
      </c>
      <c r="D520">
        <v>758052.65540000005</v>
      </c>
      <c r="E520">
        <v>0</v>
      </c>
      <c r="F520">
        <v>1369110.0449999999</v>
      </c>
      <c r="G520">
        <v>0</v>
      </c>
      <c r="H520">
        <v>741</v>
      </c>
      <c r="I520" t="str">
        <f t="shared" si="33"/>
        <v>YES</v>
      </c>
      <c r="J520" t="s">
        <v>526</v>
      </c>
      <c r="K520">
        <v>134621.152481</v>
      </c>
      <c r="L520" s="1">
        <f t="shared" si="34"/>
        <v>0</v>
      </c>
      <c r="M520" s="1">
        <f t="shared" si="35"/>
        <v>0</v>
      </c>
      <c r="N520" s="1">
        <f t="shared" si="36"/>
        <v>0</v>
      </c>
      <c r="O520" s="1"/>
    </row>
    <row r="521" spans="1:15" x14ac:dyDescent="0.25">
      <c r="A521">
        <v>742</v>
      </c>
      <c r="B521">
        <v>136749.69459999999</v>
      </c>
      <c r="C521">
        <v>0</v>
      </c>
      <c r="D521">
        <v>760184.36360000004</v>
      </c>
      <c r="E521">
        <v>0</v>
      </c>
      <c r="F521">
        <v>1372938.9569999999</v>
      </c>
      <c r="G521">
        <v>0</v>
      </c>
      <c r="H521">
        <v>742</v>
      </c>
      <c r="I521" t="str">
        <f t="shared" si="33"/>
        <v>YES</v>
      </c>
      <c r="J521" t="s">
        <v>527</v>
      </c>
      <c r="K521">
        <v>135116.71825500001</v>
      </c>
      <c r="L521" s="1">
        <f t="shared" si="34"/>
        <v>0</v>
      </c>
      <c r="M521" s="1">
        <f t="shared" si="35"/>
        <v>0</v>
      </c>
      <c r="N521" s="1">
        <f t="shared" si="36"/>
        <v>0</v>
      </c>
      <c r="O521" s="1"/>
    </row>
    <row r="522" spans="1:15" x14ac:dyDescent="0.25">
      <c r="A522">
        <v>743</v>
      </c>
      <c r="B522">
        <v>21123.377649999999</v>
      </c>
      <c r="C522">
        <v>0</v>
      </c>
      <c r="D522">
        <v>505841.22570000001</v>
      </c>
      <c r="E522">
        <v>0</v>
      </c>
      <c r="F522">
        <v>1017598.987</v>
      </c>
      <c r="G522">
        <v>0</v>
      </c>
      <c r="H522">
        <v>743</v>
      </c>
      <c r="I522" t="str">
        <f t="shared" si="33"/>
        <v>YES</v>
      </c>
      <c r="J522" t="s">
        <v>528</v>
      </c>
      <c r="K522">
        <v>343977.33050699998</v>
      </c>
      <c r="L522" s="1">
        <f t="shared" si="34"/>
        <v>0</v>
      </c>
      <c r="M522" s="1">
        <f t="shared" si="35"/>
        <v>0</v>
      </c>
      <c r="N522" s="1">
        <f t="shared" si="36"/>
        <v>0</v>
      </c>
      <c r="O522" s="1"/>
    </row>
    <row r="523" spans="1:15" x14ac:dyDescent="0.25">
      <c r="A523">
        <v>744</v>
      </c>
      <c r="B523">
        <v>202444.2567</v>
      </c>
      <c r="C523">
        <v>0</v>
      </c>
      <c r="D523">
        <v>742707.62789999996</v>
      </c>
      <c r="E523">
        <v>0</v>
      </c>
      <c r="F523">
        <v>1203552.3219999999</v>
      </c>
      <c r="G523">
        <v>0</v>
      </c>
      <c r="H523">
        <v>744</v>
      </c>
      <c r="I523" t="str">
        <f t="shared" si="33"/>
        <v>YES</v>
      </c>
      <c r="J523" t="s">
        <v>529</v>
      </c>
      <c r="K523">
        <v>448842.32790700003</v>
      </c>
      <c r="L523" s="1">
        <f t="shared" si="34"/>
        <v>0</v>
      </c>
      <c r="M523" s="1">
        <f t="shared" si="35"/>
        <v>0</v>
      </c>
      <c r="N523" s="1">
        <f t="shared" si="36"/>
        <v>0</v>
      </c>
      <c r="O523" s="1"/>
    </row>
    <row r="524" spans="1:15" x14ac:dyDescent="0.25">
      <c r="A524">
        <v>745</v>
      </c>
      <c r="B524">
        <v>49689.949919999999</v>
      </c>
      <c r="C524">
        <v>0</v>
      </c>
      <c r="D524">
        <v>529637.23959999997</v>
      </c>
      <c r="E524">
        <v>0</v>
      </c>
      <c r="F524">
        <v>959678.84439999994</v>
      </c>
      <c r="G524">
        <v>0</v>
      </c>
      <c r="H524">
        <v>745</v>
      </c>
      <c r="I524" t="str">
        <f t="shared" si="33"/>
        <v>YES</v>
      </c>
      <c r="J524" t="s">
        <v>530</v>
      </c>
      <c r="K524">
        <v>163889.338797</v>
      </c>
      <c r="L524" s="1">
        <f t="shared" si="34"/>
        <v>0</v>
      </c>
      <c r="M524" s="1">
        <f t="shared" si="35"/>
        <v>0</v>
      </c>
      <c r="N524" s="1">
        <f t="shared" si="36"/>
        <v>0</v>
      </c>
      <c r="O524" s="1"/>
    </row>
    <row r="525" spans="1:15" x14ac:dyDescent="0.25">
      <c r="A525">
        <v>800</v>
      </c>
      <c r="B525">
        <v>32.681546330000003</v>
      </c>
      <c r="C525">
        <v>0</v>
      </c>
      <c r="D525">
        <v>18880.83454</v>
      </c>
      <c r="E525">
        <v>0</v>
      </c>
      <c r="F525">
        <v>428586.30359999998</v>
      </c>
      <c r="G525">
        <v>0</v>
      </c>
      <c r="H525">
        <v>800</v>
      </c>
      <c r="I525" t="str">
        <f t="shared" si="33"/>
        <v>YES</v>
      </c>
      <c r="J525" t="s">
        <v>531</v>
      </c>
      <c r="K525">
        <v>178832.13600900001</v>
      </c>
      <c r="L525" s="1">
        <f t="shared" si="34"/>
        <v>0</v>
      </c>
      <c r="M525" s="1">
        <f t="shared" si="35"/>
        <v>0</v>
      </c>
      <c r="N525" s="1">
        <f t="shared" si="36"/>
        <v>0</v>
      </c>
      <c r="O525" s="1"/>
    </row>
    <row r="526" spans="1:15" x14ac:dyDescent="0.25">
      <c r="A526">
        <v>801</v>
      </c>
      <c r="B526">
        <v>10011.517400000001</v>
      </c>
      <c r="C526">
        <v>0</v>
      </c>
      <c r="D526">
        <v>506488.41570000001</v>
      </c>
      <c r="E526">
        <v>0</v>
      </c>
      <c r="F526">
        <v>890066.26139999996</v>
      </c>
      <c r="G526">
        <v>0</v>
      </c>
      <c r="H526">
        <v>801</v>
      </c>
      <c r="I526" t="str">
        <f t="shared" si="33"/>
        <v>YES</v>
      </c>
      <c r="J526" t="s">
        <v>532</v>
      </c>
      <c r="K526">
        <v>574672.13607200002</v>
      </c>
      <c r="L526" s="1">
        <f t="shared" si="34"/>
        <v>0</v>
      </c>
      <c r="M526" s="1">
        <f t="shared" si="35"/>
        <v>0</v>
      </c>
      <c r="N526" s="1">
        <f t="shared" si="36"/>
        <v>0</v>
      </c>
      <c r="O526" s="1"/>
    </row>
    <row r="527" spans="1:15" x14ac:dyDescent="0.25">
      <c r="A527">
        <v>802</v>
      </c>
      <c r="B527">
        <v>44413.053189999999</v>
      </c>
      <c r="C527">
        <v>0</v>
      </c>
      <c r="D527">
        <v>557138.28810000001</v>
      </c>
      <c r="E527">
        <v>0</v>
      </c>
      <c r="F527">
        <v>992475.56449999998</v>
      </c>
      <c r="G527">
        <v>0</v>
      </c>
      <c r="H527">
        <v>802</v>
      </c>
      <c r="I527" t="str">
        <f t="shared" si="33"/>
        <v>YES</v>
      </c>
      <c r="J527" t="s">
        <v>533</v>
      </c>
      <c r="K527">
        <v>244694.76590299999</v>
      </c>
      <c r="L527" s="1">
        <f t="shared" si="34"/>
        <v>0</v>
      </c>
      <c r="M527" s="1">
        <f t="shared" si="35"/>
        <v>0</v>
      </c>
      <c r="N527" s="1">
        <f t="shared" si="36"/>
        <v>0</v>
      </c>
      <c r="O527" s="1"/>
    </row>
    <row r="528" spans="1:15" x14ac:dyDescent="0.25">
      <c r="A528">
        <v>803</v>
      </c>
      <c r="B528">
        <v>11687.333350000001</v>
      </c>
      <c r="C528">
        <v>0</v>
      </c>
      <c r="D528">
        <v>548387.43570000003</v>
      </c>
      <c r="E528">
        <v>0</v>
      </c>
      <c r="F528">
        <v>946680.06319999998</v>
      </c>
      <c r="G528">
        <v>0</v>
      </c>
      <c r="H528">
        <v>803</v>
      </c>
      <c r="I528" t="str">
        <f t="shared" si="33"/>
        <v>YES</v>
      </c>
      <c r="J528" t="s">
        <v>534</v>
      </c>
      <c r="K528">
        <v>227909.994935</v>
      </c>
      <c r="L528" s="1">
        <f t="shared" si="34"/>
        <v>0</v>
      </c>
      <c r="M528" s="1">
        <f t="shared" si="35"/>
        <v>0</v>
      </c>
      <c r="N528" s="1">
        <f t="shared" si="36"/>
        <v>0</v>
      </c>
      <c r="O528" s="1"/>
    </row>
    <row r="529" spans="1:15" x14ac:dyDescent="0.25">
      <c r="A529">
        <v>804</v>
      </c>
      <c r="B529">
        <v>206007.8714</v>
      </c>
      <c r="C529">
        <v>0</v>
      </c>
      <c r="D529">
        <v>663782.93119999999</v>
      </c>
      <c r="E529">
        <v>0</v>
      </c>
      <c r="F529">
        <v>1101459.385</v>
      </c>
      <c r="G529">
        <v>0</v>
      </c>
      <c r="H529">
        <v>804</v>
      </c>
      <c r="I529" t="str">
        <f t="shared" si="33"/>
        <v>YES</v>
      </c>
      <c r="J529" t="s">
        <v>535</v>
      </c>
      <c r="K529">
        <v>341951.85772099998</v>
      </c>
      <c r="L529" s="1">
        <f t="shared" si="34"/>
        <v>0</v>
      </c>
      <c r="M529" s="1">
        <f t="shared" si="35"/>
        <v>0</v>
      </c>
      <c r="N529" s="1">
        <f t="shared" si="36"/>
        <v>0</v>
      </c>
      <c r="O529" s="1"/>
    </row>
    <row r="530" spans="1:15" x14ac:dyDescent="0.25">
      <c r="A530">
        <v>805</v>
      </c>
      <c r="B530">
        <v>18919.337360000001</v>
      </c>
      <c r="C530">
        <v>0</v>
      </c>
      <c r="D530">
        <v>488229.261</v>
      </c>
      <c r="E530">
        <v>0</v>
      </c>
      <c r="F530">
        <v>850004.07279999997</v>
      </c>
      <c r="G530">
        <v>0</v>
      </c>
      <c r="H530">
        <v>805</v>
      </c>
      <c r="I530" t="str">
        <f t="shared" si="33"/>
        <v>YES</v>
      </c>
      <c r="J530" t="s">
        <v>536</v>
      </c>
      <c r="K530">
        <v>293610.08754799998</v>
      </c>
      <c r="L530" s="1">
        <f t="shared" si="34"/>
        <v>0</v>
      </c>
      <c r="M530" s="1">
        <f t="shared" si="35"/>
        <v>0</v>
      </c>
      <c r="N530" s="1">
        <f t="shared" si="36"/>
        <v>0</v>
      </c>
      <c r="O530" s="1"/>
    </row>
    <row r="531" spans="1:15" x14ac:dyDescent="0.25">
      <c r="A531">
        <v>806</v>
      </c>
      <c r="B531">
        <v>24284.550329999998</v>
      </c>
      <c r="C531">
        <v>0</v>
      </c>
      <c r="D531">
        <v>564537.66709999996</v>
      </c>
      <c r="E531">
        <v>0</v>
      </c>
      <c r="F531">
        <v>974089.47149999999</v>
      </c>
      <c r="G531">
        <v>0</v>
      </c>
      <c r="H531">
        <v>806</v>
      </c>
      <c r="I531" t="str">
        <f t="shared" si="33"/>
        <v>YES</v>
      </c>
      <c r="J531" t="s">
        <v>537</v>
      </c>
      <c r="K531">
        <v>246299.46908400001</v>
      </c>
      <c r="L531" s="1">
        <f t="shared" si="34"/>
        <v>0</v>
      </c>
      <c r="M531" s="1">
        <f t="shared" si="35"/>
        <v>0</v>
      </c>
      <c r="N531" s="1">
        <f t="shared" si="36"/>
        <v>0</v>
      </c>
      <c r="O531" s="1"/>
    </row>
    <row r="532" spans="1:15" x14ac:dyDescent="0.25">
      <c r="A532">
        <v>807</v>
      </c>
      <c r="B532">
        <v>387054.18469999998</v>
      </c>
      <c r="C532">
        <v>0</v>
      </c>
      <c r="D532">
        <v>762026.59909999999</v>
      </c>
      <c r="E532">
        <v>0</v>
      </c>
      <c r="F532">
        <v>1270614.585</v>
      </c>
      <c r="G532">
        <v>0</v>
      </c>
      <c r="H532">
        <v>807</v>
      </c>
      <c r="I532" t="str">
        <f t="shared" si="33"/>
        <v>YES</v>
      </c>
      <c r="J532" t="s">
        <v>538</v>
      </c>
      <c r="K532">
        <v>216037.229043</v>
      </c>
      <c r="L532" s="1">
        <f t="shared" si="34"/>
        <v>0</v>
      </c>
      <c r="M532" s="1">
        <f t="shared" si="35"/>
        <v>0</v>
      </c>
      <c r="N532" s="1">
        <f t="shared" si="36"/>
        <v>0</v>
      </c>
      <c r="O532" s="1"/>
    </row>
    <row r="533" spans="1:15" x14ac:dyDescent="0.25">
      <c r="A533">
        <v>808</v>
      </c>
      <c r="B533">
        <v>270232.13260000001</v>
      </c>
      <c r="C533">
        <v>0</v>
      </c>
      <c r="D533">
        <v>696350.03390000004</v>
      </c>
      <c r="E533">
        <v>0</v>
      </c>
      <c r="F533">
        <v>1193933.8729999999</v>
      </c>
      <c r="G533">
        <v>0</v>
      </c>
      <c r="H533">
        <v>808</v>
      </c>
      <c r="I533" t="str">
        <f t="shared" si="33"/>
        <v>YES</v>
      </c>
      <c r="J533" t="s">
        <v>539</v>
      </c>
      <c r="K533">
        <v>88476.087532999998</v>
      </c>
      <c r="L533" s="1">
        <f t="shared" si="34"/>
        <v>0</v>
      </c>
      <c r="M533" s="1">
        <f t="shared" si="35"/>
        <v>0</v>
      </c>
      <c r="N533" s="1">
        <f t="shared" si="36"/>
        <v>0</v>
      </c>
      <c r="O533" s="1"/>
    </row>
    <row r="534" spans="1:15" x14ac:dyDescent="0.25">
      <c r="A534">
        <v>812</v>
      </c>
      <c r="B534">
        <v>67269.361120000001</v>
      </c>
      <c r="C534">
        <v>0</v>
      </c>
      <c r="D534">
        <v>543548.98340000003</v>
      </c>
      <c r="E534">
        <v>0</v>
      </c>
      <c r="F534">
        <v>947210.98380000005</v>
      </c>
      <c r="G534">
        <v>0</v>
      </c>
      <c r="H534">
        <v>812</v>
      </c>
      <c r="I534" t="str">
        <f t="shared" si="33"/>
        <v>YES</v>
      </c>
      <c r="J534" t="s">
        <v>540</v>
      </c>
      <c r="K534">
        <v>511553.96606300003</v>
      </c>
      <c r="L534" s="1">
        <f t="shared" si="34"/>
        <v>0</v>
      </c>
      <c r="M534" s="1">
        <f t="shared" si="35"/>
        <v>0</v>
      </c>
      <c r="N534" s="1">
        <f t="shared" si="36"/>
        <v>0</v>
      </c>
      <c r="O534" s="1"/>
    </row>
    <row r="535" spans="1:15" x14ac:dyDescent="0.25">
      <c r="A535">
        <v>813</v>
      </c>
      <c r="B535">
        <v>66916.768939999994</v>
      </c>
      <c r="C535">
        <v>0</v>
      </c>
      <c r="D535">
        <v>534861.18570000003</v>
      </c>
      <c r="E535">
        <v>0</v>
      </c>
      <c r="F535">
        <v>890907.67879999999</v>
      </c>
      <c r="G535">
        <v>0</v>
      </c>
      <c r="H535">
        <v>813</v>
      </c>
      <c r="I535" t="str">
        <f t="shared" si="33"/>
        <v>YES</v>
      </c>
      <c r="J535" t="s">
        <v>541</v>
      </c>
      <c r="K535">
        <v>600564.79259900004</v>
      </c>
      <c r="L535" s="1">
        <f t="shared" si="34"/>
        <v>0</v>
      </c>
      <c r="M535" s="1">
        <f t="shared" si="35"/>
        <v>0</v>
      </c>
      <c r="N535" s="1">
        <f t="shared" si="36"/>
        <v>0</v>
      </c>
      <c r="O535" s="1"/>
    </row>
    <row r="536" spans="1:15" x14ac:dyDescent="0.25">
      <c r="A536">
        <v>814</v>
      </c>
      <c r="B536">
        <v>48221.89748</v>
      </c>
      <c r="C536">
        <v>0</v>
      </c>
      <c r="D536">
        <v>491428.41830000002</v>
      </c>
      <c r="E536">
        <v>0</v>
      </c>
      <c r="F536">
        <v>824462.60309999995</v>
      </c>
      <c r="G536">
        <v>0</v>
      </c>
      <c r="H536">
        <v>814</v>
      </c>
      <c r="I536" t="str">
        <f t="shared" si="33"/>
        <v>YES</v>
      </c>
      <c r="J536" t="s">
        <v>542</v>
      </c>
      <c r="K536">
        <v>523392.03129999997</v>
      </c>
      <c r="L536" s="1">
        <f t="shared" si="34"/>
        <v>0</v>
      </c>
      <c r="M536" s="1">
        <f t="shared" si="35"/>
        <v>0</v>
      </c>
      <c r="N536" s="1">
        <f t="shared" si="36"/>
        <v>0</v>
      </c>
      <c r="O536" s="1"/>
    </row>
    <row r="537" spans="1:15" x14ac:dyDescent="0.25">
      <c r="A537">
        <v>815</v>
      </c>
      <c r="B537">
        <v>28302.54594</v>
      </c>
      <c r="C537">
        <v>0</v>
      </c>
      <c r="D537">
        <v>464595.00089999998</v>
      </c>
      <c r="E537">
        <v>0</v>
      </c>
      <c r="F537">
        <v>765344.65289999999</v>
      </c>
      <c r="G537">
        <v>0</v>
      </c>
      <c r="H537">
        <v>815</v>
      </c>
      <c r="I537" t="str">
        <f t="shared" si="33"/>
        <v>YES</v>
      </c>
      <c r="J537" t="s">
        <v>543</v>
      </c>
      <c r="K537">
        <v>284237.47723900003</v>
      </c>
      <c r="L537" s="1">
        <f t="shared" si="34"/>
        <v>0</v>
      </c>
      <c r="M537" s="1">
        <f t="shared" si="35"/>
        <v>0</v>
      </c>
      <c r="N537" s="1">
        <f t="shared" si="36"/>
        <v>0</v>
      </c>
      <c r="O537" s="1"/>
    </row>
    <row r="538" spans="1:15" x14ac:dyDescent="0.25">
      <c r="A538">
        <v>816</v>
      </c>
      <c r="B538">
        <v>55523.49267</v>
      </c>
      <c r="C538">
        <v>0</v>
      </c>
      <c r="D538">
        <v>542196.21959999995</v>
      </c>
      <c r="E538">
        <v>0</v>
      </c>
      <c r="F538">
        <v>934704.92079999996</v>
      </c>
      <c r="G538">
        <v>0</v>
      </c>
      <c r="H538">
        <v>816</v>
      </c>
      <c r="I538" t="str">
        <f t="shared" si="33"/>
        <v>YES</v>
      </c>
      <c r="J538" t="s">
        <v>544</v>
      </c>
      <c r="K538">
        <v>355258.75339799997</v>
      </c>
      <c r="L538" s="1">
        <f t="shared" si="34"/>
        <v>0</v>
      </c>
      <c r="M538" s="1">
        <f t="shared" si="35"/>
        <v>0</v>
      </c>
      <c r="N538" s="1">
        <f t="shared" si="36"/>
        <v>0</v>
      </c>
      <c r="O538" s="1"/>
    </row>
    <row r="539" spans="1:15" x14ac:dyDescent="0.25">
      <c r="A539">
        <v>817</v>
      </c>
      <c r="B539">
        <v>74550.887390000004</v>
      </c>
      <c r="C539">
        <v>0</v>
      </c>
      <c r="D539">
        <v>560852.57490000001</v>
      </c>
      <c r="E539">
        <v>0</v>
      </c>
      <c r="F539">
        <v>968497.2635</v>
      </c>
      <c r="G539">
        <v>0</v>
      </c>
      <c r="H539">
        <v>817</v>
      </c>
      <c r="I539" t="str">
        <f t="shared" si="33"/>
        <v>YES</v>
      </c>
      <c r="J539" t="s">
        <v>545</v>
      </c>
      <c r="K539">
        <v>211166.85266999999</v>
      </c>
      <c r="L539" s="1">
        <f t="shared" si="34"/>
        <v>0</v>
      </c>
      <c r="M539" s="1">
        <f t="shared" si="35"/>
        <v>0</v>
      </c>
      <c r="N539" s="1">
        <f t="shared" si="36"/>
        <v>0</v>
      </c>
      <c r="O539" s="1"/>
    </row>
    <row r="540" spans="1:15" x14ac:dyDescent="0.25">
      <c r="A540">
        <v>818</v>
      </c>
      <c r="B540">
        <v>69928.525129999995</v>
      </c>
      <c r="C540">
        <v>0</v>
      </c>
      <c r="D540">
        <v>489725.35460000002</v>
      </c>
      <c r="E540">
        <v>0</v>
      </c>
      <c r="F540">
        <v>865398.9693</v>
      </c>
      <c r="G540">
        <v>5856.1823999999997</v>
      </c>
      <c r="H540">
        <v>818</v>
      </c>
      <c r="I540" t="str">
        <f t="shared" si="33"/>
        <v>YES</v>
      </c>
      <c r="J540" t="s">
        <v>546</v>
      </c>
      <c r="K540">
        <v>437341.81640800001</v>
      </c>
      <c r="L540" s="1">
        <f t="shared" si="34"/>
        <v>0</v>
      </c>
      <c r="M540" s="1">
        <f t="shared" si="35"/>
        <v>0</v>
      </c>
      <c r="N540" s="1">
        <f t="shared" si="36"/>
        <v>13061882.58496606</v>
      </c>
      <c r="O540" s="1"/>
    </row>
    <row r="541" spans="1:15" x14ac:dyDescent="0.25">
      <c r="A541">
        <v>819</v>
      </c>
      <c r="B541">
        <v>73984.874679999994</v>
      </c>
      <c r="C541">
        <v>0</v>
      </c>
      <c r="D541">
        <v>522863.5969</v>
      </c>
      <c r="E541">
        <v>0</v>
      </c>
      <c r="F541">
        <v>950898.42379999999</v>
      </c>
      <c r="G541">
        <v>0</v>
      </c>
      <c r="H541">
        <v>819</v>
      </c>
      <c r="I541" t="str">
        <f t="shared" si="33"/>
        <v>YES</v>
      </c>
      <c r="J541" t="s">
        <v>547</v>
      </c>
      <c r="K541">
        <v>365859.49930899998</v>
      </c>
      <c r="L541" s="1">
        <f t="shared" si="34"/>
        <v>0</v>
      </c>
      <c r="M541" s="1">
        <f t="shared" si="35"/>
        <v>0</v>
      </c>
      <c r="N541" s="1">
        <f t="shared" si="36"/>
        <v>0</v>
      </c>
      <c r="O541" s="1"/>
    </row>
    <row r="542" spans="1:15" x14ac:dyDescent="0.25">
      <c r="A542">
        <v>820</v>
      </c>
      <c r="B542">
        <v>79883.119390000007</v>
      </c>
      <c r="C542">
        <v>0</v>
      </c>
      <c r="D542">
        <v>560586.45120000001</v>
      </c>
      <c r="E542">
        <v>0</v>
      </c>
      <c r="F542">
        <v>939738.55390000006</v>
      </c>
      <c r="G542">
        <v>1513.9093</v>
      </c>
      <c r="H542">
        <v>820</v>
      </c>
      <c r="I542" t="str">
        <f t="shared" si="33"/>
        <v>YES</v>
      </c>
      <c r="J542" t="s">
        <v>548</v>
      </c>
      <c r="K542">
        <v>537083.96748899994</v>
      </c>
      <c r="L542" s="1">
        <f t="shared" si="34"/>
        <v>0</v>
      </c>
      <c r="M542" s="1">
        <f t="shared" si="35"/>
        <v>0</v>
      </c>
      <c r="N542" s="1">
        <f t="shared" si="36"/>
        <v>4146791.7076387233</v>
      </c>
      <c r="O542" s="1"/>
    </row>
    <row r="543" spans="1:15" x14ac:dyDescent="0.25">
      <c r="A543">
        <v>821</v>
      </c>
      <c r="B543">
        <v>36934.174120000003</v>
      </c>
      <c r="C543">
        <v>0</v>
      </c>
      <c r="D543">
        <v>565422.48479999998</v>
      </c>
      <c r="E543">
        <v>0</v>
      </c>
      <c r="F543">
        <v>992707.06449999998</v>
      </c>
      <c r="G543">
        <v>0</v>
      </c>
      <c r="H543">
        <v>821</v>
      </c>
      <c r="I543" t="str">
        <f t="shared" si="33"/>
        <v>YES</v>
      </c>
      <c r="J543" t="s">
        <v>549</v>
      </c>
      <c r="K543">
        <v>637957.84811400005</v>
      </c>
      <c r="L543" s="1">
        <f t="shared" si="34"/>
        <v>0</v>
      </c>
      <c r="M543" s="1">
        <f t="shared" si="35"/>
        <v>0</v>
      </c>
      <c r="N543" s="1">
        <f t="shared" si="36"/>
        <v>0</v>
      </c>
      <c r="O543" s="1"/>
    </row>
    <row r="544" spans="1:15" x14ac:dyDescent="0.25">
      <c r="A544">
        <v>824</v>
      </c>
      <c r="B544">
        <v>275614.56390000001</v>
      </c>
      <c r="C544">
        <v>0</v>
      </c>
      <c r="D544">
        <v>711584.32310000004</v>
      </c>
      <c r="E544">
        <v>0</v>
      </c>
      <c r="F544">
        <v>1172868.523</v>
      </c>
      <c r="G544">
        <v>0</v>
      </c>
      <c r="H544">
        <v>824</v>
      </c>
      <c r="I544" t="str">
        <f t="shared" si="33"/>
        <v>YES</v>
      </c>
      <c r="J544" t="s">
        <v>550</v>
      </c>
      <c r="K544">
        <v>254781.353745</v>
      </c>
      <c r="L544" s="1">
        <f t="shared" si="34"/>
        <v>0</v>
      </c>
      <c r="M544" s="1">
        <f t="shared" si="35"/>
        <v>0</v>
      </c>
      <c r="N544" s="1">
        <f t="shared" si="36"/>
        <v>0</v>
      </c>
      <c r="O544" s="1"/>
    </row>
    <row r="545" spans="1:15" x14ac:dyDescent="0.25">
      <c r="A545">
        <v>825</v>
      </c>
      <c r="B545">
        <v>282809.29830000002</v>
      </c>
      <c r="C545">
        <v>0</v>
      </c>
      <c r="D545">
        <v>726990.39569999999</v>
      </c>
      <c r="E545">
        <v>0</v>
      </c>
      <c r="F545">
        <v>1189934.2879999999</v>
      </c>
      <c r="G545">
        <v>0</v>
      </c>
      <c r="H545">
        <v>825</v>
      </c>
      <c r="I545" t="str">
        <f t="shared" si="33"/>
        <v>YES</v>
      </c>
      <c r="J545" t="s">
        <v>551</v>
      </c>
      <c r="K545">
        <v>226087.88637299999</v>
      </c>
      <c r="L545" s="1">
        <f t="shared" si="34"/>
        <v>0</v>
      </c>
      <c r="M545" s="1">
        <f t="shared" si="35"/>
        <v>0</v>
      </c>
      <c r="N545" s="1">
        <f t="shared" si="36"/>
        <v>0</v>
      </c>
      <c r="O545" s="1"/>
    </row>
    <row r="546" spans="1:15" x14ac:dyDescent="0.25">
      <c r="A546">
        <v>826</v>
      </c>
      <c r="B546">
        <v>439768.94699999999</v>
      </c>
      <c r="C546">
        <v>0</v>
      </c>
      <c r="D546">
        <v>839954.20750000002</v>
      </c>
      <c r="E546">
        <v>0</v>
      </c>
      <c r="F546">
        <v>1302781.389</v>
      </c>
      <c r="G546">
        <v>0</v>
      </c>
      <c r="H546">
        <v>826</v>
      </c>
      <c r="I546" t="str">
        <f t="shared" si="33"/>
        <v>YES</v>
      </c>
      <c r="J546" t="s">
        <v>552</v>
      </c>
      <c r="K546">
        <v>317184.52701299998</v>
      </c>
      <c r="L546" s="1">
        <f t="shared" si="34"/>
        <v>0</v>
      </c>
      <c r="M546" s="1">
        <f t="shared" si="35"/>
        <v>0</v>
      </c>
      <c r="N546" s="1">
        <f t="shared" si="36"/>
        <v>0</v>
      </c>
      <c r="O546" s="1"/>
    </row>
    <row r="547" spans="1:15" x14ac:dyDescent="0.25">
      <c r="A547">
        <v>827</v>
      </c>
      <c r="B547">
        <v>384295.02720000001</v>
      </c>
      <c r="C547">
        <v>0</v>
      </c>
      <c r="D547">
        <v>771764.36120000004</v>
      </c>
      <c r="E547">
        <v>0</v>
      </c>
      <c r="F547">
        <v>1281372.4620000001</v>
      </c>
      <c r="G547">
        <v>483.774</v>
      </c>
      <c r="H547">
        <v>827</v>
      </c>
      <c r="I547" t="str">
        <f t="shared" si="33"/>
        <v>YES</v>
      </c>
      <c r="J547" t="s">
        <v>553</v>
      </c>
      <c r="K547">
        <v>51562.209551799999</v>
      </c>
      <c r="L547" s="1">
        <f t="shared" si="34"/>
        <v>0</v>
      </c>
      <c r="M547" s="1">
        <f t="shared" si="35"/>
        <v>0</v>
      </c>
      <c r="N547" s="1">
        <f t="shared" si="36"/>
        <v>127216.72745493373</v>
      </c>
      <c r="O547" s="1"/>
    </row>
    <row r="548" spans="1:15" x14ac:dyDescent="0.25">
      <c r="A548">
        <v>828</v>
      </c>
      <c r="B548">
        <v>509968.62050000002</v>
      </c>
      <c r="C548">
        <v>0</v>
      </c>
      <c r="D548">
        <v>946018.53989999997</v>
      </c>
      <c r="E548">
        <v>0</v>
      </c>
      <c r="F548">
        <v>1408322.97</v>
      </c>
      <c r="G548">
        <v>5057.0469999999996</v>
      </c>
      <c r="H548">
        <v>828</v>
      </c>
      <c r="I548" t="str">
        <f t="shared" si="33"/>
        <v>YES</v>
      </c>
      <c r="J548" t="s">
        <v>554</v>
      </c>
      <c r="K548">
        <v>81327.835862099993</v>
      </c>
      <c r="L548" s="1">
        <f t="shared" si="34"/>
        <v>0</v>
      </c>
      <c r="M548" s="1">
        <f t="shared" si="35"/>
        <v>0</v>
      </c>
      <c r="N548" s="1">
        <f t="shared" si="36"/>
        <v>2097521.3106509186</v>
      </c>
      <c r="O548" s="1"/>
    </row>
    <row r="549" spans="1:15" x14ac:dyDescent="0.25">
      <c r="A549">
        <v>829</v>
      </c>
      <c r="B549">
        <v>10935.07163</v>
      </c>
      <c r="C549">
        <v>0</v>
      </c>
      <c r="D549">
        <v>395610.9608</v>
      </c>
      <c r="E549">
        <v>0</v>
      </c>
      <c r="F549">
        <v>774910.73129999998</v>
      </c>
      <c r="G549">
        <v>0</v>
      </c>
      <c r="H549">
        <v>829</v>
      </c>
      <c r="I549" t="str">
        <f t="shared" si="33"/>
        <v>YES</v>
      </c>
      <c r="J549" t="s">
        <v>555</v>
      </c>
      <c r="K549">
        <v>648767.30776600004</v>
      </c>
      <c r="L549" s="1">
        <f t="shared" si="34"/>
        <v>0</v>
      </c>
      <c r="M549" s="1">
        <f t="shared" si="35"/>
        <v>0</v>
      </c>
      <c r="N549" s="1">
        <f t="shared" si="36"/>
        <v>0</v>
      </c>
      <c r="O549" s="1"/>
    </row>
    <row r="550" spans="1:15" x14ac:dyDescent="0.25">
      <c r="A550">
        <v>830</v>
      </c>
      <c r="B550">
        <v>11038.609619999999</v>
      </c>
      <c r="C550">
        <v>0</v>
      </c>
      <c r="D550">
        <v>465255.15139999997</v>
      </c>
      <c r="E550">
        <v>0</v>
      </c>
      <c r="F550">
        <v>886091.98490000004</v>
      </c>
      <c r="G550">
        <v>0</v>
      </c>
      <c r="H550">
        <v>830</v>
      </c>
      <c r="I550" t="str">
        <f t="shared" si="33"/>
        <v>YES</v>
      </c>
      <c r="J550" t="s">
        <v>556</v>
      </c>
      <c r="K550">
        <v>266972.27116499998</v>
      </c>
      <c r="L550" s="1">
        <f t="shared" si="34"/>
        <v>0</v>
      </c>
      <c r="M550" s="1">
        <f t="shared" si="35"/>
        <v>0</v>
      </c>
      <c r="N550" s="1">
        <f t="shared" si="36"/>
        <v>0</v>
      </c>
      <c r="O550" s="1"/>
    </row>
    <row r="551" spans="1:15" x14ac:dyDescent="0.25">
      <c r="A551">
        <v>831</v>
      </c>
      <c r="B551">
        <v>357179.94919999997</v>
      </c>
      <c r="C551">
        <v>0</v>
      </c>
      <c r="D551">
        <v>781191.27930000005</v>
      </c>
      <c r="E551">
        <v>0</v>
      </c>
      <c r="F551">
        <v>1227997.4469999999</v>
      </c>
      <c r="G551">
        <v>1850.5530000000001</v>
      </c>
      <c r="H551">
        <v>831</v>
      </c>
      <c r="I551" t="str">
        <f t="shared" si="33"/>
        <v>YES</v>
      </c>
      <c r="J551" t="s">
        <v>557</v>
      </c>
      <c r="K551">
        <v>365015.47454700002</v>
      </c>
      <c r="L551" s="1">
        <f t="shared" si="34"/>
        <v>0</v>
      </c>
      <c r="M551" s="1">
        <f t="shared" si="35"/>
        <v>0</v>
      </c>
      <c r="N551" s="1">
        <f t="shared" si="36"/>
        <v>3444950.4554938106</v>
      </c>
      <c r="O551" s="1"/>
    </row>
    <row r="552" spans="1:15" x14ac:dyDescent="0.25">
      <c r="A552">
        <v>832</v>
      </c>
      <c r="B552">
        <v>199618.22039999999</v>
      </c>
      <c r="C552">
        <v>0</v>
      </c>
      <c r="D552">
        <v>645232.32550000004</v>
      </c>
      <c r="E552">
        <v>0</v>
      </c>
      <c r="F552">
        <v>1077406.531</v>
      </c>
      <c r="G552">
        <v>0</v>
      </c>
      <c r="H552">
        <v>832</v>
      </c>
      <c r="I552" t="str">
        <f t="shared" si="33"/>
        <v>YES</v>
      </c>
      <c r="J552" t="s">
        <v>558</v>
      </c>
      <c r="K552">
        <v>96978.974082300003</v>
      </c>
      <c r="L552" s="1">
        <f t="shared" si="34"/>
        <v>0</v>
      </c>
      <c r="M552" s="1">
        <f t="shared" si="35"/>
        <v>0</v>
      </c>
      <c r="N552" s="1">
        <f t="shared" si="36"/>
        <v>0</v>
      </c>
      <c r="O552" s="1"/>
    </row>
    <row r="553" spans="1:15" x14ac:dyDescent="0.25">
      <c r="A553">
        <v>833</v>
      </c>
      <c r="B553">
        <v>103592.7975</v>
      </c>
      <c r="C553">
        <v>0</v>
      </c>
      <c r="D553">
        <v>571484.60190000001</v>
      </c>
      <c r="E553">
        <v>0</v>
      </c>
      <c r="F553">
        <v>977630.06909999996</v>
      </c>
      <c r="G553">
        <v>0</v>
      </c>
      <c r="H553">
        <v>833</v>
      </c>
      <c r="I553" t="str">
        <f t="shared" si="33"/>
        <v>YES</v>
      </c>
      <c r="J553" t="s">
        <v>559</v>
      </c>
      <c r="K553">
        <v>401654.87824200001</v>
      </c>
      <c r="L553" s="1">
        <f t="shared" si="34"/>
        <v>0</v>
      </c>
      <c r="M553" s="1">
        <f t="shared" si="35"/>
        <v>0</v>
      </c>
      <c r="N553" s="1">
        <f t="shared" si="36"/>
        <v>0</v>
      </c>
      <c r="O553" s="1"/>
    </row>
    <row r="554" spans="1:15" x14ac:dyDescent="0.25">
      <c r="A554">
        <v>834</v>
      </c>
      <c r="B554">
        <v>63069.551800000001</v>
      </c>
      <c r="C554">
        <v>0</v>
      </c>
      <c r="D554">
        <v>568798.6764</v>
      </c>
      <c r="E554">
        <v>0</v>
      </c>
      <c r="F554">
        <v>971616.03079999995</v>
      </c>
      <c r="G554">
        <v>0</v>
      </c>
      <c r="H554">
        <v>834</v>
      </c>
      <c r="I554" t="str">
        <f t="shared" si="33"/>
        <v>YES</v>
      </c>
      <c r="J554" t="s">
        <v>560</v>
      </c>
      <c r="K554">
        <v>555436.29555399995</v>
      </c>
      <c r="L554" s="1">
        <f t="shared" si="34"/>
        <v>0</v>
      </c>
      <c r="M554" s="1">
        <f t="shared" si="35"/>
        <v>0</v>
      </c>
      <c r="N554" s="1">
        <f t="shared" si="36"/>
        <v>0</v>
      </c>
      <c r="O554" s="1"/>
    </row>
    <row r="555" spans="1:15" x14ac:dyDescent="0.25">
      <c r="A555">
        <v>835</v>
      </c>
      <c r="B555">
        <v>89477.869160000002</v>
      </c>
      <c r="C555">
        <v>0</v>
      </c>
      <c r="D555">
        <v>552964.49809999997</v>
      </c>
      <c r="E555">
        <v>0</v>
      </c>
      <c r="F555">
        <v>921653.97140000004</v>
      </c>
      <c r="G555">
        <v>0</v>
      </c>
      <c r="H555">
        <v>835</v>
      </c>
      <c r="I555" t="str">
        <f t="shared" si="33"/>
        <v>YES</v>
      </c>
      <c r="J555" t="s">
        <v>561</v>
      </c>
      <c r="K555">
        <v>161148.675987</v>
      </c>
      <c r="L555" s="1">
        <f t="shared" si="34"/>
        <v>0</v>
      </c>
      <c r="M555" s="1">
        <f t="shared" si="35"/>
        <v>0</v>
      </c>
      <c r="N555" s="1">
        <f t="shared" si="36"/>
        <v>0</v>
      </c>
      <c r="O555" s="1"/>
    </row>
    <row r="556" spans="1:15" x14ac:dyDescent="0.25">
      <c r="A556">
        <v>836</v>
      </c>
      <c r="B556">
        <v>518818.85230000003</v>
      </c>
      <c r="C556">
        <v>0</v>
      </c>
      <c r="D556">
        <v>979112.55900000001</v>
      </c>
      <c r="E556">
        <v>0</v>
      </c>
      <c r="F556">
        <v>1414478.6910000001</v>
      </c>
      <c r="G556">
        <v>0</v>
      </c>
      <c r="H556">
        <v>836</v>
      </c>
      <c r="I556" t="str">
        <f t="shared" si="33"/>
        <v>YES</v>
      </c>
      <c r="J556" t="s">
        <v>562</v>
      </c>
      <c r="K556">
        <v>37850.176833999998</v>
      </c>
      <c r="L556" s="1">
        <f t="shared" si="34"/>
        <v>0</v>
      </c>
      <c r="M556" s="1">
        <f t="shared" si="35"/>
        <v>0</v>
      </c>
      <c r="N556" s="1">
        <f t="shared" si="36"/>
        <v>0</v>
      </c>
      <c r="O556" s="1"/>
    </row>
    <row r="557" spans="1:15" x14ac:dyDescent="0.25">
      <c r="A557">
        <v>837</v>
      </c>
      <c r="B557">
        <v>321856.37209999998</v>
      </c>
      <c r="C557">
        <v>0</v>
      </c>
      <c r="D557">
        <v>748248.54429999995</v>
      </c>
      <c r="E557">
        <v>0</v>
      </c>
      <c r="F557">
        <v>1178496.3529999999</v>
      </c>
      <c r="G557">
        <v>1850.5530000000001</v>
      </c>
      <c r="H557">
        <v>837</v>
      </c>
      <c r="I557" t="str">
        <f t="shared" si="33"/>
        <v>YES</v>
      </c>
      <c r="J557" t="s">
        <v>563</v>
      </c>
      <c r="K557">
        <v>132878.85669399999</v>
      </c>
      <c r="L557" s="1">
        <f t="shared" si="34"/>
        <v>0</v>
      </c>
      <c r="M557" s="1">
        <f t="shared" si="35"/>
        <v>0</v>
      </c>
      <c r="N557" s="1">
        <f t="shared" si="36"/>
        <v>1254086.7711474241</v>
      </c>
      <c r="O557" s="1"/>
    </row>
    <row r="558" spans="1:15" x14ac:dyDescent="0.25">
      <c r="A558">
        <v>894</v>
      </c>
      <c r="B558">
        <v>51928.881329999997</v>
      </c>
      <c r="C558">
        <v>0</v>
      </c>
      <c r="D558">
        <v>705302.03130000003</v>
      </c>
      <c r="E558">
        <v>0</v>
      </c>
      <c r="F558">
        <v>1377564.1869999999</v>
      </c>
      <c r="G558">
        <v>0</v>
      </c>
      <c r="H558">
        <v>894</v>
      </c>
      <c r="I558" t="str">
        <f t="shared" si="33"/>
        <v>YES</v>
      </c>
      <c r="J558" t="s">
        <v>564</v>
      </c>
      <c r="K558">
        <v>72964.198485100002</v>
      </c>
      <c r="L558" s="1">
        <f t="shared" si="34"/>
        <v>0</v>
      </c>
      <c r="M558" s="1">
        <f t="shared" si="35"/>
        <v>0</v>
      </c>
      <c r="N558" s="1">
        <f t="shared" si="36"/>
        <v>0</v>
      </c>
      <c r="O558" s="1"/>
    </row>
    <row r="559" spans="1:15" x14ac:dyDescent="0.25">
      <c r="A559">
        <v>895</v>
      </c>
      <c r="B559">
        <v>145127.78599999999</v>
      </c>
      <c r="C559">
        <v>0</v>
      </c>
      <c r="D559">
        <v>857636.65709999995</v>
      </c>
      <c r="E559">
        <v>0</v>
      </c>
      <c r="F559">
        <v>1467284.923</v>
      </c>
      <c r="G559">
        <v>0</v>
      </c>
      <c r="H559">
        <v>895</v>
      </c>
      <c r="I559" t="str">
        <f t="shared" si="33"/>
        <v>YES</v>
      </c>
      <c r="J559" t="s">
        <v>565</v>
      </c>
      <c r="K559">
        <v>105403.071582</v>
      </c>
      <c r="L559" s="1">
        <f t="shared" si="34"/>
        <v>0</v>
      </c>
      <c r="M559" s="1">
        <f t="shared" si="35"/>
        <v>0</v>
      </c>
      <c r="N559" s="1">
        <f t="shared" si="36"/>
        <v>0</v>
      </c>
      <c r="O559" s="1"/>
    </row>
    <row r="560" spans="1:15" x14ac:dyDescent="0.25">
      <c r="A560">
        <v>896</v>
      </c>
      <c r="B560">
        <v>176718.43460000001</v>
      </c>
      <c r="C560">
        <v>0</v>
      </c>
      <c r="D560">
        <v>952114.31940000004</v>
      </c>
      <c r="E560">
        <v>0</v>
      </c>
      <c r="F560">
        <v>1531125.3060000001</v>
      </c>
      <c r="G560">
        <v>2231.027</v>
      </c>
      <c r="H560">
        <v>896</v>
      </c>
      <c r="I560" t="str">
        <f t="shared" si="33"/>
        <v>YES</v>
      </c>
      <c r="J560" t="s">
        <v>566</v>
      </c>
      <c r="K560">
        <v>69837.560424800002</v>
      </c>
      <c r="L560" s="1">
        <f t="shared" si="34"/>
        <v>0</v>
      </c>
      <c r="M560" s="1">
        <f t="shared" si="35"/>
        <v>0</v>
      </c>
      <c r="N560" s="1">
        <f t="shared" si="36"/>
        <v>794628.3629014875</v>
      </c>
      <c r="O560" s="1"/>
    </row>
    <row r="561" spans="1:15" x14ac:dyDescent="0.25">
      <c r="A561">
        <v>897</v>
      </c>
      <c r="B561">
        <v>23169.80687</v>
      </c>
      <c r="C561">
        <v>0</v>
      </c>
      <c r="D561">
        <v>300402.0147</v>
      </c>
      <c r="E561">
        <v>0</v>
      </c>
      <c r="F561">
        <v>982613.30339999998</v>
      </c>
      <c r="G561">
        <v>0</v>
      </c>
      <c r="H561">
        <v>897</v>
      </c>
      <c r="I561" t="str">
        <f t="shared" si="33"/>
        <v>YES</v>
      </c>
      <c r="J561" t="s">
        <v>567</v>
      </c>
      <c r="K561">
        <v>351661.508653</v>
      </c>
      <c r="L561" s="1">
        <f t="shared" si="34"/>
        <v>0</v>
      </c>
      <c r="M561" s="1">
        <f t="shared" si="35"/>
        <v>0</v>
      </c>
      <c r="N561" s="1">
        <f t="shared" si="36"/>
        <v>0</v>
      </c>
      <c r="O561" s="1"/>
    </row>
    <row r="562" spans="1:15" x14ac:dyDescent="0.25">
      <c r="A562">
        <v>898</v>
      </c>
      <c r="B562">
        <v>41809.860119999998</v>
      </c>
      <c r="C562">
        <v>0</v>
      </c>
      <c r="D562">
        <v>591808.18949999998</v>
      </c>
      <c r="E562">
        <v>0</v>
      </c>
      <c r="F562">
        <v>1170011.639</v>
      </c>
      <c r="G562">
        <v>0</v>
      </c>
      <c r="H562">
        <v>898</v>
      </c>
      <c r="I562" t="str">
        <f t="shared" si="33"/>
        <v>YES</v>
      </c>
      <c r="J562" t="s">
        <v>568</v>
      </c>
      <c r="K562">
        <v>237934.846536</v>
      </c>
      <c r="L562" s="1">
        <f t="shared" si="34"/>
        <v>0</v>
      </c>
      <c r="M562" s="1">
        <f t="shared" si="35"/>
        <v>0</v>
      </c>
      <c r="N562" s="1">
        <f t="shared" si="36"/>
        <v>0</v>
      </c>
      <c r="O562" s="1"/>
    </row>
    <row r="563" spans="1:15" x14ac:dyDescent="0.25">
      <c r="A563">
        <v>899</v>
      </c>
      <c r="B563">
        <v>12857.48746</v>
      </c>
      <c r="C563">
        <v>0</v>
      </c>
      <c r="D563">
        <v>174504.90150000001</v>
      </c>
      <c r="E563">
        <v>0</v>
      </c>
      <c r="F563">
        <v>910148.93819999998</v>
      </c>
      <c r="G563">
        <v>0</v>
      </c>
      <c r="H563">
        <v>899</v>
      </c>
      <c r="I563" t="str">
        <f t="shared" si="33"/>
        <v>YES</v>
      </c>
      <c r="J563" t="s">
        <v>569</v>
      </c>
      <c r="K563">
        <v>394826.95767600002</v>
      </c>
      <c r="L563" s="1">
        <f t="shared" si="34"/>
        <v>0</v>
      </c>
      <c r="M563" s="1">
        <f t="shared" si="35"/>
        <v>0</v>
      </c>
      <c r="N563" s="1">
        <f t="shared" si="36"/>
        <v>0</v>
      </c>
      <c r="O563" s="1"/>
    </row>
    <row r="564" spans="1:15" x14ac:dyDescent="0.25">
      <c r="A564">
        <v>900</v>
      </c>
      <c r="B564">
        <v>27785.457729999998</v>
      </c>
      <c r="C564">
        <v>0</v>
      </c>
      <c r="D564">
        <v>390847.68280000001</v>
      </c>
      <c r="E564">
        <v>0</v>
      </c>
      <c r="F564">
        <v>921892.33779999998</v>
      </c>
      <c r="G564">
        <v>0</v>
      </c>
      <c r="H564">
        <v>900</v>
      </c>
      <c r="I564" t="str">
        <f t="shared" si="33"/>
        <v>YES</v>
      </c>
      <c r="J564" t="s">
        <v>570</v>
      </c>
      <c r="K564">
        <v>488695.41323499999</v>
      </c>
      <c r="L564" s="1">
        <f t="shared" si="34"/>
        <v>0</v>
      </c>
      <c r="M564" s="1">
        <f t="shared" si="35"/>
        <v>0</v>
      </c>
      <c r="N564" s="1">
        <f t="shared" si="36"/>
        <v>0</v>
      </c>
      <c r="O564" s="1"/>
    </row>
    <row r="565" spans="1:15" x14ac:dyDescent="0.25">
      <c r="A565">
        <v>901</v>
      </c>
      <c r="B565">
        <v>29041.807290000001</v>
      </c>
      <c r="C565">
        <v>0</v>
      </c>
      <c r="D565">
        <v>444396.93300000002</v>
      </c>
      <c r="E565">
        <v>0</v>
      </c>
      <c r="F565">
        <v>1013672.794</v>
      </c>
      <c r="G565">
        <v>0</v>
      </c>
      <c r="H565">
        <v>901</v>
      </c>
      <c r="I565" t="str">
        <f t="shared" si="33"/>
        <v>YES</v>
      </c>
      <c r="J565" t="s">
        <v>571</v>
      </c>
      <c r="K565">
        <v>299709.62196700001</v>
      </c>
      <c r="L565" s="1">
        <f t="shared" si="34"/>
        <v>0</v>
      </c>
      <c r="M565" s="1">
        <f t="shared" si="35"/>
        <v>0</v>
      </c>
      <c r="N565" s="1">
        <f t="shared" si="36"/>
        <v>0</v>
      </c>
      <c r="O565" s="1"/>
    </row>
    <row r="566" spans="1:15" x14ac:dyDescent="0.25">
      <c r="A566">
        <v>902</v>
      </c>
      <c r="B566">
        <v>26317.490300000001</v>
      </c>
      <c r="C566">
        <v>0</v>
      </c>
      <c r="D566">
        <v>413901.30820000003</v>
      </c>
      <c r="E566">
        <v>0</v>
      </c>
      <c r="F566">
        <v>1030705.001</v>
      </c>
      <c r="G566">
        <v>0</v>
      </c>
      <c r="H566">
        <v>902</v>
      </c>
      <c r="I566" t="str">
        <f t="shared" si="33"/>
        <v>YES</v>
      </c>
      <c r="J566" t="s">
        <v>572</v>
      </c>
      <c r="K566">
        <v>480600.465524</v>
      </c>
      <c r="L566" s="1">
        <f t="shared" si="34"/>
        <v>0</v>
      </c>
      <c r="M566" s="1">
        <f t="shared" si="35"/>
        <v>0</v>
      </c>
      <c r="N566" s="1">
        <f t="shared" si="36"/>
        <v>0</v>
      </c>
      <c r="O566" s="1"/>
    </row>
    <row r="567" spans="1:15" x14ac:dyDescent="0.25">
      <c r="A567">
        <v>903</v>
      </c>
      <c r="B567">
        <v>38538.358639999999</v>
      </c>
      <c r="C567">
        <v>0</v>
      </c>
      <c r="D567">
        <v>529953.41500000004</v>
      </c>
      <c r="E567">
        <v>0</v>
      </c>
      <c r="F567">
        <v>1031875.76</v>
      </c>
      <c r="G567">
        <v>0</v>
      </c>
      <c r="H567">
        <v>903</v>
      </c>
      <c r="I567" t="str">
        <f t="shared" si="33"/>
        <v>YES</v>
      </c>
      <c r="J567" t="s">
        <v>573</v>
      </c>
      <c r="K567">
        <v>300307.49969800003</v>
      </c>
      <c r="L567" s="1">
        <f t="shared" si="34"/>
        <v>0</v>
      </c>
      <c r="M567" s="1">
        <f t="shared" si="35"/>
        <v>0</v>
      </c>
      <c r="N567" s="1">
        <f t="shared" si="36"/>
        <v>0</v>
      </c>
      <c r="O567" s="1"/>
    </row>
    <row r="568" spans="1:15" x14ac:dyDescent="0.25">
      <c r="A568">
        <v>904</v>
      </c>
      <c r="B568">
        <v>83543.235440000004</v>
      </c>
      <c r="C568">
        <v>0</v>
      </c>
      <c r="D568">
        <v>802869.48160000006</v>
      </c>
      <c r="E568">
        <v>0</v>
      </c>
      <c r="F568">
        <v>1337769.4569999999</v>
      </c>
      <c r="G568">
        <v>2714.8020000000001</v>
      </c>
      <c r="H568">
        <v>904</v>
      </c>
      <c r="I568" t="str">
        <f t="shared" si="33"/>
        <v>YES</v>
      </c>
      <c r="J568" t="s">
        <v>574</v>
      </c>
      <c r="K568">
        <v>205511.60307700001</v>
      </c>
      <c r="L568" s="1">
        <f t="shared" si="34"/>
        <v>0</v>
      </c>
      <c r="M568" s="1">
        <f t="shared" si="35"/>
        <v>0</v>
      </c>
      <c r="N568" s="1">
        <f t="shared" si="36"/>
        <v>2845408.8863888937</v>
      </c>
      <c r="O568" s="1"/>
    </row>
    <row r="569" spans="1:15" x14ac:dyDescent="0.25">
      <c r="A569">
        <v>905</v>
      </c>
      <c r="B569">
        <v>17920.701150000001</v>
      </c>
      <c r="C569">
        <v>0</v>
      </c>
      <c r="D569">
        <v>166631.2083</v>
      </c>
      <c r="E569">
        <v>0</v>
      </c>
      <c r="F569">
        <v>938368.72149999999</v>
      </c>
      <c r="G569">
        <v>0</v>
      </c>
      <c r="H569">
        <v>905</v>
      </c>
      <c r="I569" t="str">
        <f t="shared" si="33"/>
        <v>YES</v>
      </c>
      <c r="J569" t="s">
        <v>575</v>
      </c>
      <c r="K569">
        <v>508461.79392199998</v>
      </c>
      <c r="L569" s="1">
        <f t="shared" si="34"/>
        <v>0</v>
      </c>
      <c r="M569" s="1">
        <f t="shared" si="35"/>
        <v>0</v>
      </c>
      <c r="N569" s="1">
        <f t="shared" si="36"/>
        <v>0</v>
      </c>
      <c r="O569" s="1"/>
    </row>
    <row r="570" spans="1:15" x14ac:dyDescent="0.25">
      <c r="A570">
        <v>906</v>
      </c>
      <c r="B570">
        <v>20968.1374</v>
      </c>
      <c r="C570">
        <v>0</v>
      </c>
      <c r="D570">
        <v>200650.47080000001</v>
      </c>
      <c r="E570">
        <v>0</v>
      </c>
      <c r="F570">
        <v>948332.64099999995</v>
      </c>
      <c r="G570">
        <v>0</v>
      </c>
      <c r="H570">
        <v>906</v>
      </c>
      <c r="I570" t="str">
        <f t="shared" si="33"/>
        <v>YES</v>
      </c>
      <c r="J570" t="s">
        <v>576</v>
      </c>
      <c r="K570">
        <v>531286.06374400004</v>
      </c>
      <c r="L570" s="1">
        <f t="shared" si="34"/>
        <v>0</v>
      </c>
      <c r="M570" s="1">
        <f t="shared" si="35"/>
        <v>0</v>
      </c>
      <c r="N570" s="1">
        <f t="shared" si="36"/>
        <v>0</v>
      </c>
      <c r="O570" s="1"/>
    </row>
    <row r="571" spans="1:15" x14ac:dyDescent="0.25">
      <c r="A571">
        <v>907</v>
      </c>
      <c r="B571">
        <v>16153.59611</v>
      </c>
      <c r="C571">
        <v>0</v>
      </c>
      <c r="D571">
        <v>131280.02069999999</v>
      </c>
      <c r="E571">
        <v>0</v>
      </c>
      <c r="F571">
        <v>847171.78570000001</v>
      </c>
      <c r="G571">
        <v>0</v>
      </c>
      <c r="H571">
        <v>907</v>
      </c>
      <c r="I571" t="str">
        <f t="shared" si="33"/>
        <v>YES</v>
      </c>
      <c r="J571" t="s">
        <v>577</v>
      </c>
      <c r="K571">
        <v>610289.00420800003</v>
      </c>
      <c r="L571" s="1">
        <f t="shared" si="34"/>
        <v>0</v>
      </c>
      <c r="M571" s="1">
        <f t="shared" si="35"/>
        <v>0</v>
      </c>
      <c r="N571" s="1">
        <f t="shared" si="36"/>
        <v>0</v>
      </c>
      <c r="O571" s="1"/>
    </row>
    <row r="572" spans="1:15" x14ac:dyDescent="0.25">
      <c r="A572">
        <v>910</v>
      </c>
      <c r="B572">
        <v>114709.05379999999</v>
      </c>
      <c r="C572">
        <v>0</v>
      </c>
      <c r="D572">
        <v>781465.2439</v>
      </c>
      <c r="E572">
        <v>0</v>
      </c>
      <c r="F572">
        <v>1404221.4480000001</v>
      </c>
      <c r="G572">
        <v>5856.183</v>
      </c>
      <c r="H572">
        <v>910</v>
      </c>
      <c r="I572" t="str">
        <f t="shared" si="33"/>
        <v>YES</v>
      </c>
      <c r="J572" t="s">
        <v>578</v>
      </c>
      <c r="K572">
        <v>353991.46098999999</v>
      </c>
      <c r="L572" s="1">
        <f t="shared" si="34"/>
        <v>0</v>
      </c>
      <c r="M572" s="1">
        <f t="shared" si="35"/>
        <v>0</v>
      </c>
      <c r="N572" s="1">
        <f t="shared" si="36"/>
        <v>10572497.757573485</v>
      </c>
      <c r="O572" s="1"/>
    </row>
    <row r="573" spans="1:15" x14ac:dyDescent="0.25">
      <c r="A573">
        <v>911</v>
      </c>
      <c r="B573">
        <v>28281.780429999999</v>
      </c>
      <c r="C573">
        <v>0</v>
      </c>
      <c r="D573">
        <v>560803.66229999997</v>
      </c>
      <c r="E573">
        <v>0</v>
      </c>
      <c r="F573">
        <v>1085209.325</v>
      </c>
      <c r="G573">
        <v>0</v>
      </c>
      <c r="H573">
        <v>911</v>
      </c>
      <c r="I573" t="str">
        <f t="shared" si="33"/>
        <v>YES</v>
      </c>
      <c r="J573" t="s">
        <v>579</v>
      </c>
      <c r="K573">
        <v>567651.635794</v>
      </c>
      <c r="L573" s="1">
        <f t="shared" si="34"/>
        <v>0</v>
      </c>
      <c r="M573" s="1">
        <f t="shared" si="35"/>
        <v>0</v>
      </c>
      <c r="N573" s="1">
        <f t="shared" si="36"/>
        <v>0</v>
      </c>
      <c r="O573" s="1"/>
    </row>
    <row r="574" spans="1:15" x14ac:dyDescent="0.25">
      <c r="A574">
        <v>912</v>
      </c>
      <c r="B574">
        <v>23326.955580000002</v>
      </c>
      <c r="C574">
        <v>0</v>
      </c>
      <c r="D574">
        <v>447675.0527</v>
      </c>
      <c r="E574">
        <v>0</v>
      </c>
      <c r="F574">
        <v>951361.49140000006</v>
      </c>
      <c r="G574">
        <v>0</v>
      </c>
      <c r="H574">
        <v>912</v>
      </c>
      <c r="I574" t="str">
        <f t="shared" si="33"/>
        <v>YES</v>
      </c>
      <c r="J574" t="s">
        <v>580</v>
      </c>
      <c r="K574">
        <v>410270.456114</v>
      </c>
      <c r="L574" s="1">
        <f t="shared" si="34"/>
        <v>0</v>
      </c>
      <c r="M574" s="1">
        <f t="shared" si="35"/>
        <v>0</v>
      </c>
      <c r="N574" s="1">
        <f t="shared" si="36"/>
        <v>0</v>
      </c>
      <c r="O574" s="1"/>
    </row>
    <row r="575" spans="1:15" x14ac:dyDescent="0.25">
      <c r="A575">
        <v>913</v>
      </c>
      <c r="B575">
        <v>196519.514</v>
      </c>
      <c r="C575">
        <v>0</v>
      </c>
      <c r="D575">
        <v>907269.33</v>
      </c>
      <c r="E575">
        <v>0</v>
      </c>
      <c r="F575">
        <v>1503592.9110000001</v>
      </c>
      <c r="G575">
        <v>2977.7139999999999</v>
      </c>
      <c r="H575">
        <v>913</v>
      </c>
      <c r="I575" t="str">
        <f t="shared" si="33"/>
        <v>YES</v>
      </c>
      <c r="J575" t="s">
        <v>581</v>
      </c>
      <c r="K575">
        <v>86057.717091500002</v>
      </c>
      <c r="L575" s="1">
        <f t="shared" si="34"/>
        <v>0</v>
      </c>
      <c r="M575" s="1">
        <f t="shared" si="35"/>
        <v>0</v>
      </c>
      <c r="N575" s="1">
        <f t="shared" si="36"/>
        <v>1306901.8718561342</v>
      </c>
      <c r="O575" s="1"/>
    </row>
    <row r="576" spans="1:15" x14ac:dyDescent="0.25">
      <c r="A576">
        <v>914</v>
      </c>
      <c r="B576">
        <v>29271.68993</v>
      </c>
      <c r="C576">
        <v>0</v>
      </c>
      <c r="D576">
        <v>514215.85230000003</v>
      </c>
      <c r="E576">
        <v>0</v>
      </c>
      <c r="F576">
        <v>1078164.527</v>
      </c>
      <c r="G576">
        <v>0</v>
      </c>
      <c r="H576">
        <v>914</v>
      </c>
      <c r="I576" t="str">
        <f t="shared" si="33"/>
        <v>YES</v>
      </c>
      <c r="J576" t="s">
        <v>582</v>
      </c>
      <c r="K576">
        <v>325008.59599300002</v>
      </c>
      <c r="L576" s="1">
        <f t="shared" si="34"/>
        <v>0</v>
      </c>
      <c r="M576" s="1">
        <f t="shared" si="35"/>
        <v>0</v>
      </c>
      <c r="N576" s="1">
        <f t="shared" si="36"/>
        <v>0</v>
      </c>
      <c r="O576" s="1"/>
    </row>
    <row r="577" spans="1:15" x14ac:dyDescent="0.25">
      <c r="A577">
        <v>915</v>
      </c>
      <c r="B577">
        <v>99848.960269999996</v>
      </c>
      <c r="C577">
        <v>0</v>
      </c>
      <c r="D577">
        <v>808533.88439999998</v>
      </c>
      <c r="E577">
        <v>0</v>
      </c>
      <c r="F577">
        <v>1437621.0390000001</v>
      </c>
      <c r="G577">
        <v>0</v>
      </c>
      <c r="H577">
        <v>915</v>
      </c>
      <c r="I577" t="str">
        <f t="shared" si="33"/>
        <v>YES</v>
      </c>
      <c r="J577" t="s">
        <v>583</v>
      </c>
      <c r="K577">
        <v>124940.111041</v>
      </c>
      <c r="L577" s="1">
        <f t="shared" si="34"/>
        <v>0</v>
      </c>
      <c r="M577" s="1">
        <f t="shared" si="35"/>
        <v>0</v>
      </c>
      <c r="N577" s="1">
        <f t="shared" si="36"/>
        <v>0</v>
      </c>
      <c r="O577" s="1"/>
    </row>
    <row r="578" spans="1:15" x14ac:dyDescent="0.25">
      <c r="A578">
        <v>916</v>
      </c>
      <c r="B578">
        <v>29655.646420000001</v>
      </c>
      <c r="C578">
        <v>0</v>
      </c>
      <c r="D578">
        <v>453141.84330000001</v>
      </c>
      <c r="E578">
        <v>0</v>
      </c>
      <c r="F578">
        <v>1086950.43</v>
      </c>
      <c r="G578">
        <v>0</v>
      </c>
      <c r="H578">
        <v>916</v>
      </c>
      <c r="I578" t="str">
        <f t="shared" ref="I578:I641" si="37">IF(A578=H578,"YES","NO")</f>
        <v>YES</v>
      </c>
      <c r="J578" t="s">
        <v>584</v>
      </c>
      <c r="K578">
        <v>332389.13864199998</v>
      </c>
      <c r="L578" s="1">
        <f t="shared" si="34"/>
        <v>0</v>
      </c>
      <c r="M578" s="1">
        <f t="shared" si="35"/>
        <v>0</v>
      </c>
      <c r="N578" s="1">
        <f t="shared" si="36"/>
        <v>0</v>
      </c>
      <c r="O578" s="1"/>
    </row>
    <row r="579" spans="1:15" x14ac:dyDescent="0.25">
      <c r="A579">
        <v>917</v>
      </c>
      <c r="B579">
        <v>64347.450060000003</v>
      </c>
      <c r="C579">
        <v>0</v>
      </c>
      <c r="D579">
        <v>767406.18550000002</v>
      </c>
      <c r="E579">
        <v>0</v>
      </c>
      <c r="F579">
        <v>1381109.7949999999</v>
      </c>
      <c r="G579">
        <v>0</v>
      </c>
      <c r="H579">
        <v>917</v>
      </c>
      <c r="I579" t="str">
        <f t="shared" si="37"/>
        <v>YES</v>
      </c>
      <c r="J579" t="s">
        <v>585</v>
      </c>
      <c r="K579">
        <v>250328.75534100001</v>
      </c>
      <c r="L579" s="1">
        <f t="shared" ref="L579:L642" si="38">$U$2*$K579*C579</f>
        <v>0</v>
      </c>
      <c r="M579" s="1">
        <f t="shared" ref="M579:M642" si="39">$U$3*$K579*E579</f>
        <v>0</v>
      </c>
      <c r="N579" s="1">
        <f t="shared" ref="N579:N642" si="40">$U$4*$K579*G579</f>
        <v>0</v>
      </c>
      <c r="O579" s="1"/>
    </row>
    <row r="580" spans="1:15" x14ac:dyDescent="0.25">
      <c r="A580">
        <v>918</v>
      </c>
      <c r="B580">
        <v>40422.176809999997</v>
      </c>
      <c r="C580">
        <v>0</v>
      </c>
      <c r="D580">
        <v>609807.63710000005</v>
      </c>
      <c r="E580">
        <v>0</v>
      </c>
      <c r="F580">
        <v>1238590.6000000001</v>
      </c>
      <c r="G580">
        <v>0</v>
      </c>
      <c r="H580">
        <v>918</v>
      </c>
      <c r="I580" t="str">
        <f t="shared" si="37"/>
        <v>YES</v>
      </c>
      <c r="J580" t="s">
        <v>586</v>
      </c>
      <c r="K580">
        <v>135314.35248199999</v>
      </c>
      <c r="L580" s="1">
        <f t="shared" si="38"/>
        <v>0</v>
      </c>
      <c r="M580" s="1">
        <f t="shared" si="39"/>
        <v>0</v>
      </c>
      <c r="N580" s="1">
        <f t="shared" si="40"/>
        <v>0</v>
      </c>
      <c r="O580" s="1"/>
    </row>
    <row r="581" spans="1:15" x14ac:dyDescent="0.25">
      <c r="A581">
        <v>919</v>
      </c>
      <c r="B581">
        <v>28514.249469999999</v>
      </c>
      <c r="C581">
        <v>0</v>
      </c>
      <c r="D581">
        <v>409162.00719999999</v>
      </c>
      <c r="E581">
        <v>0</v>
      </c>
      <c r="F581">
        <v>1064059.0930000001</v>
      </c>
      <c r="G581">
        <v>0</v>
      </c>
      <c r="H581">
        <v>919</v>
      </c>
      <c r="I581" t="str">
        <f t="shared" si="37"/>
        <v>YES</v>
      </c>
      <c r="J581" t="s">
        <v>587</v>
      </c>
      <c r="K581">
        <v>218232.302734</v>
      </c>
      <c r="L581" s="1">
        <f t="shared" si="38"/>
        <v>0</v>
      </c>
      <c r="M581" s="1">
        <f t="shared" si="39"/>
        <v>0</v>
      </c>
      <c r="N581" s="1">
        <f t="shared" si="40"/>
        <v>0</v>
      </c>
      <c r="O581" s="1"/>
    </row>
    <row r="582" spans="1:15" x14ac:dyDescent="0.25">
      <c r="A582">
        <v>920</v>
      </c>
      <c r="B582">
        <v>30809.144489999999</v>
      </c>
      <c r="C582">
        <v>0</v>
      </c>
      <c r="D582">
        <v>499685.68420000002</v>
      </c>
      <c r="E582">
        <v>0</v>
      </c>
      <c r="F582">
        <v>1131263.098</v>
      </c>
      <c r="G582">
        <v>0</v>
      </c>
      <c r="H582">
        <v>920</v>
      </c>
      <c r="I582" t="str">
        <f t="shared" si="37"/>
        <v>YES</v>
      </c>
      <c r="J582" t="s">
        <v>588</v>
      </c>
      <c r="K582">
        <v>420843.60493700003</v>
      </c>
      <c r="L582" s="1">
        <f t="shared" si="38"/>
        <v>0</v>
      </c>
      <c r="M582" s="1">
        <f t="shared" si="39"/>
        <v>0</v>
      </c>
      <c r="N582" s="1">
        <f t="shared" si="40"/>
        <v>0</v>
      </c>
      <c r="O582" s="1"/>
    </row>
    <row r="583" spans="1:15" x14ac:dyDescent="0.25">
      <c r="A583">
        <v>921</v>
      </c>
      <c r="B583">
        <v>46915.628530000002</v>
      </c>
      <c r="C583">
        <v>0</v>
      </c>
      <c r="D583">
        <v>711641.15410000004</v>
      </c>
      <c r="E583">
        <v>0</v>
      </c>
      <c r="F583">
        <v>1302510.075</v>
      </c>
      <c r="G583">
        <v>0</v>
      </c>
      <c r="H583">
        <v>921</v>
      </c>
      <c r="I583" t="str">
        <f t="shared" si="37"/>
        <v>YES</v>
      </c>
      <c r="J583" t="s">
        <v>589</v>
      </c>
      <c r="K583">
        <v>436689.52167699998</v>
      </c>
      <c r="L583" s="1">
        <f t="shared" si="38"/>
        <v>0</v>
      </c>
      <c r="M583" s="1">
        <f t="shared" si="39"/>
        <v>0</v>
      </c>
      <c r="N583" s="1">
        <f t="shared" si="40"/>
        <v>0</v>
      </c>
      <c r="O583" s="1"/>
    </row>
    <row r="584" spans="1:15" x14ac:dyDescent="0.25">
      <c r="A584">
        <v>922</v>
      </c>
      <c r="B584">
        <v>34691.907919999998</v>
      </c>
      <c r="C584">
        <v>0</v>
      </c>
      <c r="D584">
        <v>479364.7243</v>
      </c>
      <c r="E584">
        <v>0</v>
      </c>
      <c r="F584">
        <v>1125036.0109999999</v>
      </c>
      <c r="G584">
        <v>0</v>
      </c>
      <c r="H584">
        <v>922</v>
      </c>
      <c r="I584" t="str">
        <f t="shared" si="37"/>
        <v>YES</v>
      </c>
      <c r="J584" t="s">
        <v>590</v>
      </c>
      <c r="K584">
        <v>404860.906097</v>
      </c>
      <c r="L584" s="1">
        <f t="shared" si="38"/>
        <v>0</v>
      </c>
      <c r="M584" s="1">
        <f t="shared" si="39"/>
        <v>0</v>
      </c>
      <c r="N584" s="1">
        <f t="shared" si="40"/>
        <v>0</v>
      </c>
      <c r="O584" s="1"/>
    </row>
    <row r="585" spans="1:15" x14ac:dyDescent="0.25">
      <c r="A585">
        <v>924</v>
      </c>
      <c r="B585">
        <v>32575.109820000001</v>
      </c>
      <c r="C585">
        <v>0</v>
      </c>
      <c r="D585">
        <v>477987.04389999999</v>
      </c>
      <c r="E585">
        <v>0</v>
      </c>
      <c r="F585">
        <v>1053112.8759999999</v>
      </c>
      <c r="G585">
        <v>0</v>
      </c>
      <c r="H585">
        <v>924</v>
      </c>
      <c r="I585" t="str">
        <f t="shared" si="37"/>
        <v>YES</v>
      </c>
      <c r="J585" t="s">
        <v>591</v>
      </c>
      <c r="K585">
        <v>141384.12230799999</v>
      </c>
      <c r="L585" s="1">
        <f t="shared" si="38"/>
        <v>0</v>
      </c>
      <c r="M585" s="1">
        <f t="shared" si="39"/>
        <v>0</v>
      </c>
      <c r="N585" s="1">
        <f t="shared" si="40"/>
        <v>0</v>
      </c>
      <c r="O585" s="1"/>
    </row>
    <row r="586" spans="1:15" x14ac:dyDescent="0.25">
      <c r="A586">
        <v>925</v>
      </c>
      <c r="B586">
        <v>12529.0658</v>
      </c>
      <c r="C586">
        <v>0</v>
      </c>
      <c r="D586">
        <v>86046.128110000005</v>
      </c>
      <c r="E586">
        <v>0</v>
      </c>
      <c r="F586">
        <v>801252.99280000001</v>
      </c>
      <c r="G586">
        <v>0</v>
      </c>
      <c r="H586">
        <v>925</v>
      </c>
      <c r="I586" t="str">
        <f t="shared" si="37"/>
        <v>YES</v>
      </c>
      <c r="J586" t="s">
        <v>592</v>
      </c>
      <c r="K586">
        <v>967983.48661400005</v>
      </c>
      <c r="L586" s="1">
        <f t="shared" si="38"/>
        <v>0</v>
      </c>
      <c r="M586" s="1">
        <f t="shared" si="39"/>
        <v>0</v>
      </c>
      <c r="N586" s="1">
        <f t="shared" si="40"/>
        <v>0</v>
      </c>
      <c r="O586" s="1"/>
    </row>
    <row r="587" spans="1:15" x14ac:dyDescent="0.25">
      <c r="A587">
        <v>926</v>
      </c>
      <c r="B587">
        <v>15021.284970000001</v>
      </c>
      <c r="C587">
        <v>0</v>
      </c>
      <c r="D587">
        <v>112625.564</v>
      </c>
      <c r="E587">
        <v>0</v>
      </c>
      <c r="F587">
        <v>856359.63780000003</v>
      </c>
      <c r="G587">
        <v>0</v>
      </c>
      <c r="H587">
        <v>926</v>
      </c>
      <c r="I587" t="str">
        <f t="shared" si="37"/>
        <v>YES</v>
      </c>
      <c r="J587" t="s">
        <v>593</v>
      </c>
      <c r="K587">
        <v>475014.90169500001</v>
      </c>
      <c r="L587" s="1">
        <f t="shared" si="38"/>
        <v>0</v>
      </c>
      <c r="M587" s="1">
        <f t="shared" si="39"/>
        <v>0</v>
      </c>
      <c r="N587" s="1">
        <f t="shared" si="40"/>
        <v>0</v>
      </c>
      <c r="O587" s="1"/>
    </row>
    <row r="588" spans="1:15" x14ac:dyDescent="0.25">
      <c r="A588">
        <v>927</v>
      </c>
      <c r="B588">
        <v>24950.530879999998</v>
      </c>
      <c r="C588">
        <v>0</v>
      </c>
      <c r="D588">
        <v>396106.84659999999</v>
      </c>
      <c r="E588">
        <v>0</v>
      </c>
      <c r="F588">
        <v>988816.93350000004</v>
      </c>
      <c r="G588">
        <v>0</v>
      </c>
      <c r="H588">
        <v>927</v>
      </c>
      <c r="I588" t="str">
        <f t="shared" si="37"/>
        <v>YES</v>
      </c>
      <c r="J588" t="s">
        <v>594</v>
      </c>
      <c r="K588">
        <v>257560.78964599999</v>
      </c>
      <c r="L588" s="1">
        <f t="shared" si="38"/>
        <v>0</v>
      </c>
      <c r="M588" s="1">
        <f t="shared" si="39"/>
        <v>0</v>
      </c>
      <c r="N588" s="1">
        <f t="shared" si="40"/>
        <v>0</v>
      </c>
      <c r="O588" s="1"/>
    </row>
    <row r="589" spans="1:15" x14ac:dyDescent="0.25">
      <c r="A589">
        <v>928</v>
      </c>
      <c r="B589">
        <v>11503.207689999999</v>
      </c>
      <c r="C589">
        <v>0</v>
      </c>
      <c r="D589">
        <v>332586.44339999999</v>
      </c>
      <c r="E589">
        <v>0</v>
      </c>
      <c r="F589">
        <v>955232.77919999999</v>
      </c>
      <c r="G589">
        <v>0</v>
      </c>
      <c r="H589">
        <v>928</v>
      </c>
      <c r="I589" t="str">
        <f t="shared" si="37"/>
        <v>YES</v>
      </c>
      <c r="J589" t="s">
        <v>595</v>
      </c>
      <c r="K589">
        <v>433586.13212600001</v>
      </c>
      <c r="L589" s="1">
        <f t="shared" si="38"/>
        <v>0</v>
      </c>
      <c r="M589" s="1">
        <f t="shared" si="39"/>
        <v>0</v>
      </c>
      <c r="N589" s="1">
        <f t="shared" si="40"/>
        <v>0</v>
      </c>
      <c r="O589" s="1"/>
    </row>
    <row r="590" spans="1:15" x14ac:dyDescent="0.25">
      <c r="A590">
        <v>931</v>
      </c>
      <c r="B590">
        <v>26392.8796</v>
      </c>
      <c r="C590">
        <v>0</v>
      </c>
      <c r="D590">
        <v>171970.9933</v>
      </c>
      <c r="E590">
        <v>0</v>
      </c>
      <c r="F590">
        <v>953439.78480000002</v>
      </c>
      <c r="G590">
        <v>0</v>
      </c>
      <c r="H590">
        <v>931</v>
      </c>
      <c r="I590" t="str">
        <f t="shared" si="37"/>
        <v>YES</v>
      </c>
      <c r="J590" t="s">
        <v>596</v>
      </c>
      <c r="K590">
        <v>520970.11295500002</v>
      </c>
      <c r="L590" s="1">
        <f t="shared" si="38"/>
        <v>0</v>
      </c>
      <c r="M590" s="1">
        <f t="shared" si="39"/>
        <v>0</v>
      </c>
      <c r="N590" s="1">
        <f t="shared" si="40"/>
        <v>0</v>
      </c>
      <c r="O590" s="1"/>
    </row>
    <row r="591" spans="1:15" x14ac:dyDescent="0.25">
      <c r="A591">
        <v>932</v>
      </c>
      <c r="B591">
        <v>20695.098290000002</v>
      </c>
      <c r="C591">
        <v>0</v>
      </c>
      <c r="D591">
        <v>115037.8484</v>
      </c>
      <c r="E591">
        <v>0</v>
      </c>
      <c r="F591">
        <v>909519.73369999998</v>
      </c>
      <c r="G591">
        <v>0</v>
      </c>
      <c r="H591">
        <v>932</v>
      </c>
      <c r="I591" t="str">
        <f t="shared" si="37"/>
        <v>YES</v>
      </c>
      <c r="J591" t="s">
        <v>597</v>
      </c>
      <c r="K591">
        <v>725155.53879400005</v>
      </c>
      <c r="L591" s="1">
        <f t="shared" si="38"/>
        <v>0</v>
      </c>
      <c r="M591" s="1">
        <f t="shared" si="39"/>
        <v>0</v>
      </c>
      <c r="N591" s="1">
        <f t="shared" si="40"/>
        <v>0</v>
      </c>
      <c r="O591" s="1"/>
    </row>
    <row r="592" spans="1:15" x14ac:dyDescent="0.25">
      <c r="A592">
        <v>933</v>
      </c>
      <c r="B592">
        <v>25714.871719999999</v>
      </c>
      <c r="C592">
        <v>0</v>
      </c>
      <c r="D592">
        <v>162365.68489999999</v>
      </c>
      <c r="E592">
        <v>0</v>
      </c>
      <c r="F592">
        <v>968801.72580000001</v>
      </c>
      <c r="G592">
        <v>0</v>
      </c>
      <c r="H592">
        <v>933</v>
      </c>
      <c r="I592" t="str">
        <f t="shared" si="37"/>
        <v>YES</v>
      </c>
      <c r="J592" t="s">
        <v>598</v>
      </c>
      <c r="K592">
        <v>348468.75813500001</v>
      </c>
      <c r="L592" s="1">
        <f t="shared" si="38"/>
        <v>0</v>
      </c>
      <c r="M592" s="1">
        <f t="shared" si="39"/>
        <v>0</v>
      </c>
      <c r="N592" s="1">
        <f t="shared" si="40"/>
        <v>0</v>
      </c>
      <c r="O592" s="1"/>
    </row>
    <row r="593" spans="1:15" x14ac:dyDescent="0.25">
      <c r="A593">
        <v>934</v>
      </c>
      <c r="B593">
        <v>23296.070749999999</v>
      </c>
      <c r="C593">
        <v>0</v>
      </c>
      <c r="D593">
        <v>98402.988970000006</v>
      </c>
      <c r="E593">
        <v>0</v>
      </c>
      <c r="F593">
        <v>885476.05449999997</v>
      </c>
      <c r="G593">
        <v>0</v>
      </c>
      <c r="H593">
        <v>934</v>
      </c>
      <c r="I593" t="str">
        <f t="shared" si="37"/>
        <v>YES</v>
      </c>
      <c r="J593" t="s">
        <v>599</v>
      </c>
      <c r="K593">
        <v>554213.71558800002</v>
      </c>
      <c r="L593" s="1">
        <f t="shared" si="38"/>
        <v>0</v>
      </c>
      <c r="M593" s="1">
        <f t="shared" si="39"/>
        <v>0</v>
      </c>
      <c r="N593" s="1">
        <f t="shared" si="40"/>
        <v>0</v>
      </c>
      <c r="O593" s="1"/>
    </row>
    <row r="594" spans="1:15" x14ac:dyDescent="0.25">
      <c r="A594">
        <v>935</v>
      </c>
      <c r="B594">
        <v>22919.660609999999</v>
      </c>
      <c r="C594">
        <v>0</v>
      </c>
      <c r="D594">
        <v>93269.491850000006</v>
      </c>
      <c r="E594">
        <v>0</v>
      </c>
      <c r="F594">
        <v>889589.70070000004</v>
      </c>
      <c r="G594">
        <v>0</v>
      </c>
      <c r="H594">
        <v>935</v>
      </c>
      <c r="I594" t="str">
        <f t="shared" si="37"/>
        <v>YES</v>
      </c>
      <c r="J594" t="s">
        <v>600</v>
      </c>
      <c r="K594">
        <v>871352.31171899999</v>
      </c>
      <c r="L594" s="1">
        <f t="shared" si="38"/>
        <v>0</v>
      </c>
      <c r="M594" s="1">
        <f t="shared" si="39"/>
        <v>0</v>
      </c>
      <c r="N594" s="1">
        <f t="shared" si="40"/>
        <v>0</v>
      </c>
      <c r="O594" s="1"/>
    </row>
    <row r="595" spans="1:15" x14ac:dyDescent="0.25">
      <c r="A595">
        <v>936</v>
      </c>
      <c r="B595">
        <v>25618.95966</v>
      </c>
      <c r="C595">
        <v>0</v>
      </c>
      <c r="D595">
        <v>92543.582370000004</v>
      </c>
      <c r="E595">
        <v>0</v>
      </c>
      <c r="F595">
        <v>881063.02419999999</v>
      </c>
      <c r="G595">
        <v>0</v>
      </c>
      <c r="H595">
        <v>936</v>
      </c>
      <c r="I595" t="str">
        <f t="shared" si="37"/>
        <v>YES</v>
      </c>
      <c r="J595" t="s">
        <v>601</v>
      </c>
      <c r="K595">
        <v>943867.58776200004</v>
      </c>
      <c r="L595" s="1">
        <f t="shared" si="38"/>
        <v>0</v>
      </c>
      <c r="M595" s="1">
        <f t="shared" si="39"/>
        <v>0</v>
      </c>
      <c r="N595" s="1">
        <f t="shared" si="40"/>
        <v>0</v>
      </c>
      <c r="O595" s="1"/>
    </row>
    <row r="596" spans="1:15" x14ac:dyDescent="0.25">
      <c r="A596">
        <v>939</v>
      </c>
      <c r="B596">
        <v>189359.4944</v>
      </c>
      <c r="C596">
        <v>0</v>
      </c>
      <c r="D596">
        <v>818556.12939999998</v>
      </c>
      <c r="E596">
        <v>0</v>
      </c>
      <c r="F596">
        <v>1311662.7080000001</v>
      </c>
      <c r="G596">
        <v>644.87199999999996</v>
      </c>
      <c r="H596">
        <v>939</v>
      </c>
      <c r="I596" t="str">
        <f t="shared" si="37"/>
        <v>YES</v>
      </c>
      <c r="J596" t="s">
        <v>602</v>
      </c>
      <c r="K596">
        <v>511547.50096999999</v>
      </c>
      <c r="L596" s="1">
        <f t="shared" si="38"/>
        <v>0</v>
      </c>
      <c r="M596" s="1">
        <f t="shared" si="39"/>
        <v>0</v>
      </c>
      <c r="N596" s="1">
        <f t="shared" si="40"/>
        <v>1682401.5662321819</v>
      </c>
      <c r="O596" s="1"/>
    </row>
    <row r="597" spans="1:15" x14ac:dyDescent="0.25">
      <c r="A597">
        <v>940</v>
      </c>
      <c r="B597">
        <v>30557.731520000001</v>
      </c>
      <c r="C597">
        <v>0</v>
      </c>
      <c r="D597">
        <v>485873.73570000002</v>
      </c>
      <c r="E597">
        <v>0</v>
      </c>
      <c r="F597">
        <v>981646.17209999997</v>
      </c>
      <c r="G597">
        <v>0</v>
      </c>
      <c r="H597">
        <v>940</v>
      </c>
      <c r="I597" t="str">
        <f t="shared" si="37"/>
        <v>YES</v>
      </c>
      <c r="J597" t="s">
        <v>603</v>
      </c>
      <c r="K597">
        <v>327875.55789599998</v>
      </c>
      <c r="L597" s="1">
        <f t="shared" si="38"/>
        <v>0</v>
      </c>
      <c r="M597" s="1">
        <f t="shared" si="39"/>
        <v>0</v>
      </c>
      <c r="N597" s="1">
        <f t="shared" si="40"/>
        <v>0</v>
      </c>
      <c r="O597" s="1"/>
    </row>
    <row r="598" spans="1:15" x14ac:dyDescent="0.25">
      <c r="A598">
        <v>941</v>
      </c>
      <c r="B598">
        <v>32064.006539999998</v>
      </c>
      <c r="C598">
        <v>0</v>
      </c>
      <c r="D598">
        <v>483219.22639999999</v>
      </c>
      <c r="E598">
        <v>0</v>
      </c>
      <c r="F598">
        <v>988115.28220000002</v>
      </c>
      <c r="G598">
        <v>0</v>
      </c>
      <c r="H598">
        <v>941</v>
      </c>
      <c r="I598" t="str">
        <f t="shared" si="37"/>
        <v>YES</v>
      </c>
      <c r="J598" t="s">
        <v>604</v>
      </c>
      <c r="K598">
        <v>351866.773399</v>
      </c>
      <c r="L598" s="1">
        <f t="shared" si="38"/>
        <v>0</v>
      </c>
      <c r="M598" s="1">
        <f t="shared" si="39"/>
        <v>0</v>
      </c>
      <c r="N598" s="1">
        <f t="shared" si="40"/>
        <v>0</v>
      </c>
      <c r="O598" s="1"/>
    </row>
    <row r="599" spans="1:15" x14ac:dyDescent="0.25">
      <c r="A599">
        <v>942</v>
      </c>
      <c r="B599">
        <v>15466.043600000001</v>
      </c>
      <c r="C599">
        <v>0</v>
      </c>
      <c r="D599">
        <v>239318.22409999999</v>
      </c>
      <c r="E599">
        <v>0</v>
      </c>
      <c r="F599">
        <v>883248.21869999997</v>
      </c>
      <c r="G599">
        <v>0</v>
      </c>
      <c r="H599">
        <v>942</v>
      </c>
      <c r="I599" t="str">
        <f t="shared" si="37"/>
        <v>YES</v>
      </c>
      <c r="J599" t="s">
        <v>605</v>
      </c>
      <c r="K599">
        <v>375386.87634999998</v>
      </c>
      <c r="L599" s="1">
        <f t="shared" si="38"/>
        <v>0</v>
      </c>
      <c r="M599" s="1">
        <f t="shared" si="39"/>
        <v>0</v>
      </c>
      <c r="N599" s="1">
        <f t="shared" si="40"/>
        <v>0</v>
      </c>
      <c r="O599" s="1"/>
    </row>
    <row r="600" spans="1:15" x14ac:dyDescent="0.25">
      <c r="A600">
        <v>943</v>
      </c>
      <c r="B600">
        <v>18569.85785</v>
      </c>
      <c r="C600">
        <v>0</v>
      </c>
      <c r="D600">
        <v>164341.12469999999</v>
      </c>
      <c r="E600">
        <v>0</v>
      </c>
      <c r="F600">
        <v>860307.59069999994</v>
      </c>
      <c r="G600">
        <v>0</v>
      </c>
      <c r="H600">
        <v>943</v>
      </c>
      <c r="I600" t="str">
        <f t="shared" si="37"/>
        <v>YES</v>
      </c>
      <c r="J600" t="s">
        <v>606</v>
      </c>
      <c r="K600">
        <v>351426.77342400001</v>
      </c>
      <c r="L600" s="1">
        <f t="shared" si="38"/>
        <v>0</v>
      </c>
      <c r="M600" s="1">
        <f t="shared" si="39"/>
        <v>0</v>
      </c>
      <c r="N600" s="1">
        <f t="shared" si="40"/>
        <v>0</v>
      </c>
      <c r="O600" s="1"/>
    </row>
    <row r="601" spans="1:15" x14ac:dyDescent="0.25">
      <c r="A601">
        <v>944</v>
      </c>
      <c r="B601">
        <v>24252.207149999998</v>
      </c>
      <c r="C601">
        <v>0</v>
      </c>
      <c r="D601">
        <v>554512.91949999996</v>
      </c>
      <c r="E601">
        <v>0</v>
      </c>
      <c r="F601">
        <v>997943.18559999997</v>
      </c>
      <c r="G601">
        <v>0</v>
      </c>
      <c r="H601">
        <v>944</v>
      </c>
      <c r="I601" t="str">
        <f t="shared" si="37"/>
        <v>YES</v>
      </c>
      <c r="J601" t="s">
        <v>607</v>
      </c>
      <c r="K601">
        <v>350826.65915700002</v>
      </c>
      <c r="L601" s="1">
        <f t="shared" si="38"/>
        <v>0</v>
      </c>
      <c r="M601" s="1">
        <f t="shared" si="39"/>
        <v>0</v>
      </c>
      <c r="N601" s="1">
        <f t="shared" si="40"/>
        <v>0</v>
      </c>
      <c r="O601" s="1"/>
    </row>
    <row r="602" spans="1:15" x14ac:dyDescent="0.25">
      <c r="A602">
        <v>945</v>
      </c>
      <c r="B602">
        <v>28941.796880000002</v>
      </c>
      <c r="C602">
        <v>0</v>
      </c>
      <c r="D602">
        <v>529355.32160000002</v>
      </c>
      <c r="E602">
        <v>0</v>
      </c>
      <c r="F602">
        <v>994329.02309999999</v>
      </c>
      <c r="G602">
        <v>0</v>
      </c>
      <c r="H602">
        <v>945</v>
      </c>
      <c r="I602" t="str">
        <f t="shared" si="37"/>
        <v>YES</v>
      </c>
      <c r="J602" t="s">
        <v>608</v>
      </c>
      <c r="K602">
        <v>228642.668637</v>
      </c>
      <c r="L602" s="1">
        <f t="shared" si="38"/>
        <v>0</v>
      </c>
      <c r="M602" s="1">
        <f t="shared" si="39"/>
        <v>0</v>
      </c>
      <c r="N602" s="1">
        <f t="shared" si="40"/>
        <v>0</v>
      </c>
      <c r="O602" s="1"/>
    </row>
    <row r="603" spans="1:15" x14ac:dyDescent="0.25">
      <c r="A603">
        <v>946</v>
      </c>
      <c r="B603">
        <v>22446.759050000001</v>
      </c>
      <c r="C603">
        <v>0</v>
      </c>
      <c r="D603">
        <v>574668.86529999995</v>
      </c>
      <c r="E603">
        <v>0</v>
      </c>
      <c r="F603">
        <v>1008806.426</v>
      </c>
      <c r="G603">
        <v>5856.183</v>
      </c>
      <c r="H603">
        <v>946</v>
      </c>
      <c r="I603" t="str">
        <f t="shared" si="37"/>
        <v>YES</v>
      </c>
      <c r="J603" t="s">
        <v>609</v>
      </c>
      <c r="K603">
        <v>199292.36973599999</v>
      </c>
      <c r="L603" s="1">
        <f t="shared" si="38"/>
        <v>0</v>
      </c>
      <c r="M603" s="1">
        <f t="shared" si="39"/>
        <v>0</v>
      </c>
      <c r="N603" s="1">
        <f t="shared" si="40"/>
        <v>5952172.1971561564</v>
      </c>
      <c r="O603" s="1"/>
    </row>
    <row r="604" spans="1:15" x14ac:dyDescent="0.25">
      <c r="A604">
        <v>949</v>
      </c>
      <c r="B604">
        <v>13925.48949</v>
      </c>
      <c r="C604">
        <v>0</v>
      </c>
      <c r="D604">
        <v>410469.69939999998</v>
      </c>
      <c r="E604">
        <v>0</v>
      </c>
      <c r="F604">
        <v>827276.49080000003</v>
      </c>
      <c r="G604">
        <v>0</v>
      </c>
      <c r="H604">
        <v>949</v>
      </c>
      <c r="I604" t="str">
        <f t="shared" si="37"/>
        <v>YES</v>
      </c>
      <c r="J604" t="s">
        <v>610</v>
      </c>
      <c r="K604">
        <v>652429.91200100002</v>
      </c>
      <c r="L604" s="1">
        <f t="shared" si="38"/>
        <v>0</v>
      </c>
      <c r="M604" s="1">
        <f t="shared" si="39"/>
        <v>0</v>
      </c>
      <c r="N604" s="1">
        <f t="shared" si="40"/>
        <v>0</v>
      </c>
      <c r="O604" s="1"/>
    </row>
    <row r="605" spans="1:15" x14ac:dyDescent="0.25">
      <c r="A605">
        <v>950</v>
      </c>
      <c r="B605">
        <v>86729.290500000003</v>
      </c>
      <c r="C605">
        <v>0</v>
      </c>
      <c r="D605">
        <v>670059.97569999995</v>
      </c>
      <c r="E605">
        <v>0</v>
      </c>
      <c r="F605">
        <v>1096811.7849999999</v>
      </c>
      <c r="G605">
        <v>0</v>
      </c>
      <c r="H605">
        <v>950</v>
      </c>
      <c r="I605" t="str">
        <f t="shared" si="37"/>
        <v>YES</v>
      </c>
      <c r="J605" t="s">
        <v>611</v>
      </c>
      <c r="K605">
        <v>929737.37769899995</v>
      </c>
      <c r="L605" s="1">
        <f t="shared" si="38"/>
        <v>0</v>
      </c>
      <c r="M605" s="1">
        <f t="shared" si="39"/>
        <v>0</v>
      </c>
      <c r="N605" s="1">
        <f t="shared" si="40"/>
        <v>0</v>
      </c>
      <c r="O605" s="1"/>
    </row>
    <row r="606" spans="1:15" x14ac:dyDescent="0.25">
      <c r="A606">
        <v>951</v>
      </c>
      <c r="B606">
        <v>36406.379240000002</v>
      </c>
      <c r="C606">
        <v>0</v>
      </c>
      <c r="D606">
        <v>560365.92449999996</v>
      </c>
      <c r="E606">
        <v>0</v>
      </c>
      <c r="F606">
        <v>978930.29150000005</v>
      </c>
      <c r="G606">
        <v>0</v>
      </c>
      <c r="H606">
        <v>951</v>
      </c>
      <c r="I606" t="str">
        <f t="shared" si="37"/>
        <v>YES</v>
      </c>
      <c r="J606" t="s">
        <v>612</v>
      </c>
      <c r="K606">
        <v>796042.158635</v>
      </c>
      <c r="L606" s="1">
        <f t="shared" si="38"/>
        <v>0</v>
      </c>
      <c r="M606" s="1">
        <f t="shared" si="39"/>
        <v>0</v>
      </c>
      <c r="N606" s="1">
        <f t="shared" si="40"/>
        <v>0</v>
      </c>
      <c r="O606" s="1"/>
    </row>
    <row r="607" spans="1:15" x14ac:dyDescent="0.25">
      <c r="A607">
        <v>952</v>
      </c>
      <c r="B607">
        <v>113352.9039</v>
      </c>
      <c r="C607">
        <v>0</v>
      </c>
      <c r="D607">
        <v>821006.4926</v>
      </c>
      <c r="E607">
        <v>0</v>
      </c>
      <c r="F607">
        <v>1295351.902</v>
      </c>
      <c r="G607">
        <v>2714.8009999999999</v>
      </c>
      <c r="H607">
        <v>952</v>
      </c>
      <c r="I607" t="str">
        <f t="shared" si="37"/>
        <v>YES</v>
      </c>
      <c r="J607" t="s">
        <v>613</v>
      </c>
      <c r="K607">
        <v>349592.876781</v>
      </c>
      <c r="L607" s="1">
        <f t="shared" si="38"/>
        <v>0</v>
      </c>
      <c r="M607" s="1">
        <f t="shared" si="39"/>
        <v>0</v>
      </c>
      <c r="N607" s="1">
        <f t="shared" si="40"/>
        <v>4840282.9665374719</v>
      </c>
      <c r="O607" s="1"/>
    </row>
    <row r="608" spans="1:15" x14ac:dyDescent="0.25">
      <c r="A608">
        <v>953</v>
      </c>
      <c r="B608">
        <v>124479.32889999999</v>
      </c>
      <c r="C608">
        <v>0</v>
      </c>
      <c r="D608">
        <v>832861.83570000005</v>
      </c>
      <c r="E608">
        <v>0</v>
      </c>
      <c r="F608">
        <v>1327212.416</v>
      </c>
      <c r="G608">
        <v>1748.7380000000001</v>
      </c>
      <c r="H608">
        <v>953</v>
      </c>
      <c r="I608" t="str">
        <f t="shared" si="37"/>
        <v>YES</v>
      </c>
      <c r="J608" t="s">
        <v>614</v>
      </c>
      <c r="K608">
        <v>109748.023652</v>
      </c>
      <c r="L608" s="1">
        <f t="shared" si="38"/>
        <v>0</v>
      </c>
      <c r="M608" s="1">
        <f t="shared" si="39"/>
        <v>0</v>
      </c>
      <c r="N608" s="1">
        <f t="shared" si="40"/>
        <v>978794.75086427119</v>
      </c>
      <c r="O608" s="1"/>
    </row>
    <row r="609" spans="1:15" x14ac:dyDescent="0.25">
      <c r="A609">
        <v>954</v>
      </c>
      <c r="B609">
        <v>41311.490330000001</v>
      </c>
      <c r="C609">
        <v>0</v>
      </c>
      <c r="D609">
        <v>635736.66119999997</v>
      </c>
      <c r="E609">
        <v>0</v>
      </c>
      <c r="F609">
        <v>1127839.7009999999</v>
      </c>
      <c r="G609">
        <v>0</v>
      </c>
      <c r="H609">
        <v>954</v>
      </c>
      <c r="I609" t="str">
        <f t="shared" si="37"/>
        <v>YES</v>
      </c>
      <c r="J609" t="s">
        <v>615</v>
      </c>
      <c r="K609">
        <v>248630.20559100001</v>
      </c>
      <c r="L609" s="1">
        <f t="shared" si="38"/>
        <v>0</v>
      </c>
      <c r="M609" s="1">
        <f t="shared" si="39"/>
        <v>0</v>
      </c>
      <c r="N609" s="1">
        <f t="shared" si="40"/>
        <v>0</v>
      </c>
      <c r="O609" s="1"/>
    </row>
    <row r="610" spans="1:15" x14ac:dyDescent="0.25">
      <c r="A610">
        <v>955</v>
      </c>
      <c r="B610">
        <v>22205.102139999999</v>
      </c>
      <c r="C610">
        <v>0</v>
      </c>
      <c r="D610">
        <v>334842.85330000002</v>
      </c>
      <c r="E610">
        <v>0</v>
      </c>
      <c r="F610">
        <v>973206.3689</v>
      </c>
      <c r="G610">
        <v>0</v>
      </c>
      <c r="H610">
        <v>955</v>
      </c>
      <c r="I610" t="str">
        <f t="shared" si="37"/>
        <v>YES</v>
      </c>
      <c r="J610" t="s">
        <v>616</v>
      </c>
      <c r="K610">
        <v>382112.26332799997</v>
      </c>
      <c r="L610" s="1">
        <f t="shared" si="38"/>
        <v>0</v>
      </c>
      <c r="M610" s="1">
        <f t="shared" si="39"/>
        <v>0</v>
      </c>
      <c r="N610" s="1">
        <f t="shared" si="40"/>
        <v>0</v>
      </c>
      <c r="O610" s="1"/>
    </row>
    <row r="611" spans="1:15" x14ac:dyDescent="0.25">
      <c r="A611">
        <v>958</v>
      </c>
      <c r="B611">
        <v>30960.744600000002</v>
      </c>
      <c r="C611">
        <v>0</v>
      </c>
      <c r="D611">
        <v>337385.59850000002</v>
      </c>
      <c r="E611">
        <v>0</v>
      </c>
      <c r="F611">
        <v>1059638.862</v>
      </c>
      <c r="G611">
        <v>0</v>
      </c>
      <c r="H611">
        <v>958</v>
      </c>
      <c r="I611" t="str">
        <f t="shared" si="37"/>
        <v>YES</v>
      </c>
      <c r="J611" t="s">
        <v>617</v>
      </c>
      <c r="K611">
        <v>944379.11451999994</v>
      </c>
      <c r="L611" s="1">
        <f t="shared" si="38"/>
        <v>0</v>
      </c>
      <c r="M611" s="1">
        <f t="shared" si="39"/>
        <v>0</v>
      </c>
      <c r="N611" s="1">
        <f t="shared" si="40"/>
        <v>0</v>
      </c>
      <c r="O611" s="1"/>
    </row>
    <row r="612" spans="1:15" x14ac:dyDescent="0.25">
      <c r="A612">
        <v>959</v>
      </c>
      <c r="B612">
        <v>9915.8390120000004</v>
      </c>
      <c r="C612">
        <v>0</v>
      </c>
      <c r="D612">
        <v>37987.788939999999</v>
      </c>
      <c r="E612">
        <v>0</v>
      </c>
      <c r="F612">
        <v>260117.7616</v>
      </c>
      <c r="G612">
        <v>0</v>
      </c>
      <c r="H612">
        <v>959</v>
      </c>
      <c r="I612" t="str">
        <f t="shared" si="37"/>
        <v>YES</v>
      </c>
      <c r="J612" t="s">
        <v>618</v>
      </c>
      <c r="K612">
        <v>294570.24300399999</v>
      </c>
      <c r="L612" s="1">
        <f t="shared" si="38"/>
        <v>0</v>
      </c>
      <c r="M612" s="1">
        <f t="shared" si="39"/>
        <v>0</v>
      </c>
      <c r="N612" s="1">
        <f t="shared" si="40"/>
        <v>0</v>
      </c>
      <c r="O612" s="1"/>
    </row>
    <row r="613" spans="1:15" x14ac:dyDescent="0.25">
      <c r="A613">
        <v>960</v>
      </c>
      <c r="B613">
        <v>13768.20939</v>
      </c>
      <c r="C613">
        <v>0</v>
      </c>
      <c r="D613">
        <v>103004.26489999999</v>
      </c>
      <c r="E613">
        <v>0</v>
      </c>
      <c r="F613">
        <v>732007.78</v>
      </c>
      <c r="G613">
        <v>0</v>
      </c>
      <c r="H613">
        <v>960</v>
      </c>
      <c r="I613" t="str">
        <f t="shared" si="37"/>
        <v>YES</v>
      </c>
      <c r="J613" t="s">
        <v>619</v>
      </c>
      <c r="K613">
        <v>185105.12960700001</v>
      </c>
      <c r="L613" s="1">
        <f t="shared" si="38"/>
        <v>0</v>
      </c>
      <c r="M613" s="1">
        <f t="shared" si="39"/>
        <v>0</v>
      </c>
      <c r="N613" s="1">
        <f t="shared" si="40"/>
        <v>0</v>
      </c>
      <c r="O613" s="1"/>
    </row>
    <row r="614" spans="1:15" x14ac:dyDescent="0.25">
      <c r="A614">
        <v>961</v>
      </c>
      <c r="B614">
        <v>28828.62887</v>
      </c>
      <c r="C614">
        <v>0</v>
      </c>
      <c r="D614">
        <v>212322.53779999999</v>
      </c>
      <c r="E614">
        <v>0</v>
      </c>
      <c r="F614">
        <v>1035014.44</v>
      </c>
      <c r="G614">
        <v>0</v>
      </c>
      <c r="H614">
        <v>961</v>
      </c>
      <c r="I614" t="str">
        <f t="shared" si="37"/>
        <v>YES</v>
      </c>
      <c r="J614" t="s">
        <v>620</v>
      </c>
      <c r="K614">
        <v>710720.043252</v>
      </c>
      <c r="L614" s="1">
        <f t="shared" si="38"/>
        <v>0</v>
      </c>
      <c r="M614" s="1">
        <f t="shared" si="39"/>
        <v>0</v>
      </c>
      <c r="N614" s="1">
        <f t="shared" si="40"/>
        <v>0</v>
      </c>
      <c r="O614" s="1"/>
    </row>
    <row r="615" spans="1:15" x14ac:dyDescent="0.25">
      <c r="A615">
        <v>962</v>
      </c>
      <c r="B615">
        <v>13431.31515</v>
      </c>
      <c r="C615">
        <v>0</v>
      </c>
      <c r="D615">
        <v>124561.98850000001</v>
      </c>
      <c r="E615">
        <v>0</v>
      </c>
      <c r="F615">
        <v>875961.70940000005</v>
      </c>
      <c r="G615">
        <v>0</v>
      </c>
      <c r="H615">
        <v>962</v>
      </c>
      <c r="I615" t="str">
        <f t="shared" si="37"/>
        <v>YES</v>
      </c>
      <c r="J615" t="s">
        <v>621</v>
      </c>
      <c r="K615">
        <v>220747.944602</v>
      </c>
      <c r="L615" s="1">
        <f t="shared" si="38"/>
        <v>0</v>
      </c>
      <c r="M615" s="1">
        <f t="shared" si="39"/>
        <v>0</v>
      </c>
      <c r="N615" s="1">
        <f t="shared" si="40"/>
        <v>0</v>
      </c>
      <c r="O615" s="1"/>
    </row>
    <row r="616" spans="1:15" x14ac:dyDescent="0.25">
      <c r="A616">
        <v>963</v>
      </c>
      <c r="B616">
        <v>59156.79148</v>
      </c>
      <c r="C616">
        <v>0</v>
      </c>
      <c r="D616">
        <v>619125.61410000001</v>
      </c>
      <c r="E616">
        <v>0</v>
      </c>
      <c r="F616">
        <v>1339829.706</v>
      </c>
      <c r="G616">
        <v>0</v>
      </c>
      <c r="H616">
        <v>963</v>
      </c>
      <c r="I616" t="str">
        <f t="shared" si="37"/>
        <v>YES</v>
      </c>
      <c r="J616" t="s">
        <v>622</v>
      </c>
      <c r="K616">
        <v>122450.185048</v>
      </c>
      <c r="L616" s="1">
        <f t="shared" si="38"/>
        <v>0</v>
      </c>
      <c r="M616" s="1">
        <f t="shared" si="39"/>
        <v>0</v>
      </c>
      <c r="N616" s="1">
        <f t="shared" si="40"/>
        <v>0</v>
      </c>
      <c r="O616" s="1"/>
    </row>
    <row r="617" spans="1:15" x14ac:dyDescent="0.25">
      <c r="A617">
        <v>964</v>
      </c>
      <c r="B617">
        <v>39832.541929999999</v>
      </c>
      <c r="C617">
        <v>0</v>
      </c>
      <c r="D617">
        <v>367446.44679999998</v>
      </c>
      <c r="E617">
        <v>0</v>
      </c>
      <c r="F617">
        <v>1229459.7050000001</v>
      </c>
      <c r="G617">
        <v>0</v>
      </c>
      <c r="H617">
        <v>964</v>
      </c>
      <c r="I617" t="str">
        <f t="shared" si="37"/>
        <v>YES</v>
      </c>
      <c r="J617" t="s">
        <v>623</v>
      </c>
      <c r="K617">
        <v>248440.54564699999</v>
      </c>
      <c r="L617" s="1">
        <f t="shared" si="38"/>
        <v>0</v>
      </c>
      <c r="M617" s="1">
        <f t="shared" si="39"/>
        <v>0</v>
      </c>
      <c r="N617" s="1">
        <f t="shared" si="40"/>
        <v>0</v>
      </c>
      <c r="O617" s="1"/>
    </row>
    <row r="618" spans="1:15" x14ac:dyDescent="0.25">
      <c r="A618">
        <v>965</v>
      </c>
      <c r="B618">
        <v>17946.223279999998</v>
      </c>
      <c r="C618">
        <v>0</v>
      </c>
      <c r="D618">
        <v>147829.48740000001</v>
      </c>
      <c r="E618">
        <v>0</v>
      </c>
      <c r="F618">
        <v>924957.81240000005</v>
      </c>
      <c r="G618">
        <v>0</v>
      </c>
      <c r="H618">
        <v>965</v>
      </c>
      <c r="I618" t="str">
        <f t="shared" si="37"/>
        <v>YES</v>
      </c>
      <c r="J618" t="s">
        <v>624</v>
      </c>
      <c r="K618">
        <v>382803.22037499998</v>
      </c>
      <c r="L618" s="1">
        <f t="shared" si="38"/>
        <v>0</v>
      </c>
      <c r="M618" s="1">
        <f t="shared" si="39"/>
        <v>0</v>
      </c>
      <c r="N618" s="1">
        <f t="shared" si="40"/>
        <v>0</v>
      </c>
      <c r="O618" s="1"/>
    </row>
    <row r="619" spans="1:15" x14ac:dyDescent="0.25">
      <c r="A619">
        <v>966</v>
      </c>
      <c r="B619">
        <v>26131.921320000001</v>
      </c>
      <c r="C619">
        <v>0</v>
      </c>
      <c r="D619">
        <v>188764.4045</v>
      </c>
      <c r="E619">
        <v>0</v>
      </c>
      <c r="F619">
        <v>1056219.1440000001</v>
      </c>
      <c r="G619">
        <v>0</v>
      </c>
      <c r="H619">
        <v>966</v>
      </c>
      <c r="I619" t="str">
        <f t="shared" si="37"/>
        <v>YES</v>
      </c>
      <c r="J619" t="s">
        <v>625</v>
      </c>
      <c r="K619">
        <v>446590.45392</v>
      </c>
      <c r="L619" s="1">
        <f t="shared" si="38"/>
        <v>0</v>
      </c>
      <c r="M619" s="1">
        <f t="shared" si="39"/>
        <v>0</v>
      </c>
      <c r="N619" s="1">
        <f t="shared" si="40"/>
        <v>0</v>
      </c>
      <c r="O619" s="1"/>
    </row>
    <row r="620" spans="1:15" x14ac:dyDescent="0.25">
      <c r="A620">
        <v>967</v>
      </c>
      <c r="B620">
        <v>35399.701130000001</v>
      </c>
      <c r="C620">
        <v>0</v>
      </c>
      <c r="D620">
        <v>283151.55209999997</v>
      </c>
      <c r="E620">
        <v>0</v>
      </c>
      <c r="F620">
        <v>1113002.7579999999</v>
      </c>
      <c r="G620">
        <v>0</v>
      </c>
      <c r="H620">
        <v>967</v>
      </c>
      <c r="I620" t="str">
        <f t="shared" si="37"/>
        <v>YES</v>
      </c>
      <c r="J620" t="s">
        <v>626</v>
      </c>
      <c r="K620">
        <v>139223.94046099999</v>
      </c>
      <c r="L620" s="1">
        <f t="shared" si="38"/>
        <v>0</v>
      </c>
      <c r="M620" s="1">
        <f t="shared" si="39"/>
        <v>0</v>
      </c>
      <c r="N620" s="1">
        <f t="shared" si="40"/>
        <v>0</v>
      </c>
      <c r="O620" s="1"/>
    </row>
    <row r="621" spans="1:15" x14ac:dyDescent="0.25">
      <c r="A621">
        <v>968</v>
      </c>
      <c r="B621">
        <v>39253.084779999997</v>
      </c>
      <c r="C621">
        <v>0</v>
      </c>
      <c r="D621">
        <v>491148.05349999998</v>
      </c>
      <c r="E621">
        <v>0</v>
      </c>
      <c r="F621">
        <v>1193329.1510000001</v>
      </c>
      <c r="G621">
        <v>0</v>
      </c>
      <c r="H621">
        <v>968</v>
      </c>
      <c r="I621" t="str">
        <f t="shared" si="37"/>
        <v>YES</v>
      </c>
      <c r="J621" t="s">
        <v>627</v>
      </c>
      <c r="K621">
        <v>141406.64768600001</v>
      </c>
      <c r="L621" s="1">
        <f t="shared" si="38"/>
        <v>0</v>
      </c>
      <c r="M621" s="1">
        <f t="shared" si="39"/>
        <v>0</v>
      </c>
      <c r="N621" s="1">
        <f t="shared" si="40"/>
        <v>0</v>
      </c>
      <c r="O621" s="1"/>
    </row>
    <row r="622" spans="1:15" x14ac:dyDescent="0.25">
      <c r="A622">
        <v>969</v>
      </c>
      <c r="B622">
        <v>93465.793579999998</v>
      </c>
      <c r="C622">
        <v>0</v>
      </c>
      <c r="D622">
        <v>841825.47569999995</v>
      </c>
      <c r="E622">
        <v>0</v>
      </c>
      <c r="F622">
        <v>1504763.4509999999</v>
      </c>
      <c r="G622">
        <v>1587.6389999999999</v>
      </c>
      <c r="H622">
        <v>969</v>
      </c>
      <c r="I622" t="str">
        <f t="shared" si="37"/>
        <v>YES</v>
      </c>
      <c r="J622" t="s">
        <v>628</v>
      </c>
      <c r="K622">
        <v>163878.67733999999</v>
      </c>
      <c r="L622" s="1">
        <f t="shared" si="38"/>
        <v>0</v>
      </c>
      <c r="M622" s="1">
        <f t="shared" si="39"/>
        <v>0</v>
      </c>
      <c r="N622" s="1">
        <f t="shared" si="40"/>
        <v>1326918.9150083414</v>
      </c>
      <c r="O622" s="1"/>
    </row>
    <row r="623" spans="1:15" x14ac:dyDescent="0.25">
      <c r="A623">
        <v>970</v>
      </c>
      <c r="B623">
        <v>150778.6139</v>
      </c>
      <c r="C623">
        <v>0</v>
      </c>
      <c r="D623">
        <v>963034.52190000005</v>
      </c>
      <c r="E623">
        <v>0</v>
      </c>
      <c r="F623">
        <v>1582930.62</v>
      </c>
      <c r="G623">
        <v>7055.7510000000002</v>
      </c>
      <c r="H623">
        <v>970</v>
      </c>
      <c r="I623" t="str">
        <f t="shared" si="37"/>
        <v>YES</v>
      </c>
      <c r="J623" t="s">
        <v>629</v>
      </c>
      <c r="K623">
        <v>235445.69877399999</v>
      </c>
      <c r="L623" s="1">
        <f t="shared" si="38"/>
        <v>0</v>
      </c>
      <c r="M623" s="1">
        <f t="shared" si="39"/>
        <v>0</v>
      </c>
      <c r="N623" s="1">
        <f t="shared" si="40"/>
        <v>8472355.7453087829</v>
      </c>
      <c r="O623" s="1"/>
    </row>
    <row r="624" spans="1:15" x14ac:dyDescent="0.25">
      <c r="A624">
        <v>971</v>
      </c>
      <c r="B624">
        <v>99679.657680000004</v>
      </c>
      <c r="C624">
        <v>0</v>
      </c>
      <c r="D624">
        <v>916183.58490000002</v>
      </c>
      <c r="E624">
        <v>0</v>
      </c>
      <c r="F624">
        <v>1558722.6540000001</v>
      </c>
      <c r="G624">
        <v>2231.027</v>
      </c>
      <c r="H624">
        <v>971</v>
      </c>
      <c r="I624" t="str">
        <f t="shared" si="37"/>
        <v>YES</v>
      </c>
      <c r="J624" t="s">
        <v>630</v>
      </c>
      <c r="K624">
        <v>70705.705098799997</v>
      </c>
      <c r="L624" s="1">
        <f t="shared" si="38"/>
        <v>0</v>
      </c>
      <c r="M624" s="1">
        <f t="shared" si="39"/>
        <v>0</v>
      </c>
      <c r="N624" s="1">
        <f t="shared" si="40"/>
        <v>804506.3193602484</v>
      </c>
      <c r="O624" s="1"/>
    </row>
    <row r="625" spans="1:15" x14ac:dyDescent="0.25">
      <c r="A625">
        <v>972</v>
      </c>
      <c r="B625">
        <v>10677.46171</v>
      </c>
      <c r="C625">
        <v>0</v>
      </c>
      <c r="D625">
        <v>72895.28443</v>
      </c>
      <c r="E625">
        <v>0</v>
      </c>
      <c r="F625">
        <v>699151.12879999995</v>
      </c>
      <c r="G625">
        <v>0</v>
      </c>
      <c r="H625">
        <v>972</v>
      </c>
      <c r="I625" t="str">
        <f t="shared" si="37"/>
        <v>YES</v>
      </c>
      <c r="J625" t="s">
        <v>631</v>
      </c>
      <c r="K625">
        <v>901608.22981199995</v>
      </c>
      <c r="L625" s="1">
        <f t="shared" si="38"/>
        <v>0</v>
      </c>
      <c r="M625" s="1">
        <f t="shared" si="39"/>
        <v>0</v>
      </c>
      <c r="N625" s="1">
        <f t="shared" si="40"/>
        <v>0</v>
      </c>
      <c r="O625" s="1"/>
    </row>
    <row r="626" spans="1:15" x14ac:dyDescent="0.25">
      <c r="A626">
        <v>973</v>
      </c>
      <c r="B626">
        <v>20651.81091</v>
      </c>
      <c r="C626">
        <v>0</v>
      </c>
      <c r="D626">
        <v>208951.47750000001</v>
      </c>
      <c r="E626">
        <v>0</v>
      </c>
      <c r="F626">
        <v>1096784.1939999999</v>
      </c>
      <c r="G626">
        <v>0</v>
      </c>
      <c r="H626">
        <v>973</v>
      </c>
      <c r="I626" t="str">
        <f t="shared" si="37"/>
        <v>YES</v>
      </c>
      <c r="J626" t="s">
        <v>632</v>
      </c>
      <c r="K626">
        <v>573541.84924200003</v>
      </c>
      <c r="L626" s="1">
        <f t="shared" si="38"/>
        <v>0</v>
      </c>
      <c r="M626" s="1">
        <f t="shared" si="39"/>
        <v>0</v>
      </c>
      <c r="N626" s="1">
        <f t="shared" si="40"/>
        <v>0</v>
      </c>
      <c r="O626" s="1"/>
    </row>
    <row r="627" spans="1:15" x14ac:dyDescent="0.25">
      <c r="A627">
        <v>974</v>
      </c>
      <c r="B627">
        <v>53872.163809999998</v>
      </c>
      <c r="C627">
        <v>0</v>
      </c>
      <c r="D627">
        <v>728534.63950000005</v>
      </c>
      <c r="E627">
        <v>0</v>
      </c>
      <c r="F627">
        <v>1431634.64</v>
      </c>
      <c r="G627">
        <v>0</v>
      </c>
      <c r="H627">
        <v>974</v>
      </c>
      <c r="I627" t="str">
        <f t="shared" si="37"/>
        <v>YES</v>
      </c>
      <c r="J627" t="s">
        <v>633</v>
      </c>
      <c r="K627">
        <v>581261.33409599995</v>
      </c>
      <c r="L627" s="1">
        <f t="shared" si="38"/>
        <v>0</v>
      </c>
      <c r="M627" s="1">
        <f t="shared" si="39"/>
        <v>0</v>
      </c>
      <c r="N627" s="1">
        <f t="shared" si="40"/>
        <v>0</v>
      </c>
      <c r="O627" s="1"/>
    </row>
    <row r="628" spans="1:15" x14ac:dyDescent="0.25">
      <c r="A628">
        <v>975</v>
      </c>
      <c r="B628">
        <v>29532.687290000002</v>
      </c>
      <c r="C628">
        <v>0</v>
      </c>
      <c r="D628">
        <v>534582.18359999999</v>
      </c>
      <c r="E628">
        <v>0</v>
      </c>
      <c r="F628">
        <v>1214880.43</v>
      </c>
      <c r="G628">
        <v>0</v>
      </c>
      <c r="H628">
        <v>975</v>
      </c>
      <c r="I628" t="str">
        <f t="shared" si="37"/>
        <v>YES</v>
      </c>
      <c r="J628" t="s">
        <v>634</v>
      </c>
      <c r="K628">
        <v>262502.59115300002</v>
      </c>
      <c r="L628" s="1">
        <f t="shared" si="38"/>
        <v>0</v>
      </c>
      <c r="M628" s="1">
        <f t="shared" si="39"/>
        <v>0</v>
      </c>
      <c r="N628" s="1">
        <f t="shared" si="40"/>
        <v>0</v>
      </c>
      <c r="O628" s="1"/>
    </row>
    <row r="629" spans="1:15" x14ac:dyDescent="0.25">
      <c r="A629">
        <v>976</v>
      </c>
      <c r="B629">
        <v>2113.3096019999998</v>
      </c>
      <c r="C629">
        <v>0</v>
      </c>
      <c r="D629">
        <v>13759.991249999999</v>
      </c>
      <c r="E629">
        <v>0</v>
      </c>
      <c r="F629">
        <v>74366.285369999998</v>
      </c>
      <c r="G629">
        <v>0</v>
      </c>
      <c r="H629">
        <v>976</v>
      </c>
      <c r="I629" t="str">
        <f t="shared" si="37"/>
        <v>YES</v>
      </c>
      <c r="J629" t="s">
        <v>635</v>
      </c>
      <c r="K629">
        <v>446873.191742</v>
      </c>
      <c r="L629" s="1">
        <f t="shared" si="38"/>
        <v>0</v>
      </c>
      <c r="M629" s="1">
        <f t="shared" si="39"/>
        <v>0</v>
      </c>
      <c r="N629" s="1">
        <f t="shared" si="40"/>
        <v>0</v>
      </c>
      <c r="O629" s="1"/>
    </row>
    <row r="630" spans="1:15" x14ac:dyDescent="0.25">
      <c r="A630">
        <v>977</v>
      </c>
      <c r="B630">
        <v>10954.87923</v>
      </c>
      <c r="C630">
        <v>0</v>
      </c>
      <c r="D630">
        <v>92666.541329999993</v>
      </c>
      <c r="E630">
        <v>0</v>
      </c>
      <c r="F630">
        <v>827430.60060000001</v>
      </c>
      <c r="G630">
        <v>0</v>
      </c>
      <c r="H630">
        <v>977</v>
      </c>
      <c r="I630" t="str">
        <f t="shared" si="37"/>
        <v>YES</v>
      </c>
      <c r="J630" t="s">
        <v>636</v>
      </c>
      <c r="K630">
        <v>518717.01106699998</v>
      </c>
      <c r="L630" s="1">
        <f t="shared" si="38"/>
        <v>0</v>
      </c>
      <c r="M630" s="1">
        <f t="shared" si="39"/>
        <v>0</v>
      </c>
      <c r="N630" s="1">
        <f t="shared" si="40"/>
        <v>0</v>
      </c>
      <c r="O630" s="1"/>
    </row>
    <row r="631" spans="1:15" x14ac:dyDescent="0.25">
      <c r="A631">
        <v>978</v>
      </c>
      <c r="B631">
        <v>3082.518626</v>
      </c>
      <c r="C631">
        <v>0</v>
      </c>
      <c r="D631">
        <v>47298.885349999997</v>
      </c>
      <c r="E631">
        <v>0</v>
      </c>
      <c r="F631">
        <v>441928.91629999998</v>
      </c>
      <c r="G631">
        <v>0</v>
      </c>
      <c r="H631">
        <v>978</v>
      </c>
      <c r="I631" t="str">
        <f t="shared" si="37"/>
        <v>YES</v>
      </c>
      <c r="J631" t="s">
        <v>637</v>
      </c>
      <c r="K631">
        <v>916381.34262100002</v>
      </c>
      <c r="L631" s="1">
        <f t="shared" si="38"/>
        <v>0</v>
      </c>
      <c r="M631" s="1">
        <f t="shared" si="39"/>
        <v>0</v>
      </c>
      <c r="N631" s="1">
        <f t="shared" si="40"/>
        <v>0</v>
      </c>
      <c r="O631" s="1"/>
    </row>
    <row r="632" spans="1:15" x14ac:dyDescent="0.25">
      <c r="A632">
        <v>979</v>
      </c>
      <c r="B632">
        <v>22360.274600000001</v>
      </c>
      <c r="C632">
        <v>0</v>
      </c>
      <c r="D632">
        <v>305439.67609999998</v>
      </c>
      <c r="E632">
        <v>0</v>
      </c>
      <c r="F632">
        <v>1114099.9990000001</v>
      </c>
      <c r="G632">
        <v>0</v>
      </c>
      <c r="H632">
        <v>979</v>
      </c>
      <c r="I632" t="str">
        <f t="shared" si="37"/>
        <v>YES</v>
      </c>
      <c r="J632" t="s">
        <v>638</v>
      </c>
      <c r="K632">
        <v>493280.17449499998</v>
      </c>
      <c r="L632" s="1">
        <f t="shared" si="38"/>
        <v>0</v>
      </c>
      <c r="M632" s="1">
        <f t="shared" si="39"/>
        <v>0</v>
      </c>
      <c r="N632" s="1">
        <f t="shared" si="40"/>
        <v>0</v>
      </c>
      <c r="O632" s="1"/>
    </row>
    <row r="633" spans="1:15" x14ac:dyDescent="0.25">
      <c r="A633">
        <v>980</v>
      </c>
      <c r="B633">
        <v>30688.757310000001</v>
      </c>
      <c r="C633">
        <v>0</v>
      </c>
      <c r="D633">
        <v>350625.09850000002</v>
      </c>
      <c r="E633">
        <v>0</v>
      </c>
      <c r="F633">
        <v>1137815.531</v>
      </c>
      <c r="G633">
        <v>0</v>
      </c>
      <c r="H633">
        <v>980</v>
      </c>
      <c r="I633" t="str">
        <f t="shared" si="37"/>
        <v>YES</v>
      </c>
      <c r="J633" t="s">
        <v>639</v>
      </c>
      <c r="K633">
        <v>249419.637525</v>
      </c>
      <c r="L633" s="1">
        <f t="shared" si="38"/>
        <v>0</v>
      </c>
      <c r="M633" s="1">
        <f t="shared" si="39"/>
        <v>0</v>
      </c>
      <c r="N633" s="1">
        <f t="shared" si="40"/>
        <v>0</v>
      </c>
      <c r="O633" s="1"/>
    </row>
    <row r="634" spans="1:15" x14ac:dyDescent="0.25">
      <c r="A634">
        <v>981</v>
      </c>
      <c r="B634">
        <v>9729.7194710000003</v>
      </c>
      <c r="C634">
        <v>0</v>
      </c>
      <c r="D634">
        <v>96835.998749999999</v>
      </c>
      <c r="E634">
        <v>0</v>
      </c>
      <c r="F634">
        <v>801889.15489999996</v>
      </c>
      <c r="G634">
        <v>0</v>
      </c>
      <c r="H634">
        <v>981</v>
      </c>
      <c r="I634" t="str">
        <f t="shared" si="37"/>
        <v>YES</v>
      </c>
      <c r="J634" t="s">
        <v>640</v>
      </c>
      <c r="K634">
        <v>555786.46935399994</v>
      </c>
      <c r="L634" s="1">
        <f t="shared" si="38"/>
        <v>0</v>
      </c>
      <c r="M634" s="1">
        <f t="shared" si="39"/>
        <v>0</v>
      </c>
      <c r="N634" s="1">
        <f t="shared" si="40"/>
        <v>0</v>
      </c>
      <c r="O634" s="1"/>
    </row>
    <row r="635" spans="1:15" x14ac:dyDescent="0.25">
      <c r="A635">
        <v>982</v>
      </c>
      <c r="B635">
        <v>23459.463159999999</v>
      </c>
      <c r="C635">
        <v>0</v>
      </c>
      <c r="D635">
        <v>169173.01089999999</v>
      </c>
      <c r="E635">
        <v>0</v>
      </c>
      <c r="F635">
        <v>1008634.853</v>
      </c>
      <c r="G635">
        <v>0</v>
      </c>
      <c r="H635">
        <v>982</v>
      </c>
      <c r="I635" t="str">
        <f t="shared" si="37"/>
        <v>YES</v>
      </c>
      <c r="J635" t="s">
        <v>641</v>
      </c>
      <c r="K635">
        <v>471142.047036</v>
      </c>
      <c r="L635" s="1">
        <f t="shared" si="38"/>
        <v>0</v>
      </c>
      <c r="M635" s="1">
        <f t="shared" si="39"/>
        <v>0</v>
      </c>
      <c r="N635" s="1">
        <f t="shared" si="40"/>
        <v>0</v>
      </c>
      <c r="O635" s="1"/>
    </row>
    <row r="636" spans="1:15" x14ac:dyDescent="0.25">
      <c r="A636">
        <v>983</v>
      </c>
      <c r="B636">
        <v>23665.963169999999</v>
      </c>
      <c r="C636">
        <v>0</v>
      </c>
      <c r="D636">
        <v>150244.77249999999</v>
      </c>
      <c r="E636">
        <v>0</v>
      </c>
      <c r="F636">
        <v>972884.66619999998</v>
      </c>
      <c r="G636">
        <v>0</v>
      </c>
      <c r="H636">
        <v>983</v>
      </c>
      <c r="I636" t="str">
        <f t="shared" si="37"/>
        <v>YES</v>
      </c>
      <c r="J636" t="s">
        <v>642</v>
      </c>
      <c r="K636">
        <v>889224.30799400003</v>
      </c>
      <c r="L636" s="1">
        <f t="shared" si="38"/>
        <v>0</v>
      </c>
      <c r="M636" s="1">
        <f t="shared" si="39"/>
        <v>0</v>
      </c>
      <c r="N636" s="1">
        <f t="shared" si="40"/>
        <v>0</v>
      </c>
      <c r="O636" s="1"/>
    </row>
    <row r="637" spans="1:15" x14ac:dyDescent="0.25">
      <c r="A637">
        <v>984</v>
      </c>
      <c r="B637">
        <v>3024.2682639999998</v>
      </c>
      <c r="C637">
        <v>0</v>
      </c>
      <c r="D637">
        <v>12855.521839999999</v>
      </c>
      <c r="E637">
        <v>0</v>
      </c>
      <c r="F637">
        <v>61473.068140000003</v>
      </c>
      <c r="G637">
        <v>0</v>
      </c>
      <c r="H637">
        <v>984</v>
      </c>
      <c r="I637" t="str">
        <f t="shared" si="37"/>
        <v>YES</v>
      </c>
      <c r="J637" t="s">
        <v>643</v>
      </c>
      <c r="K637">
        <v>1617298.5200499999</v>
      </c>
      <c r="L637" s="1">
        <f t="shared" si="38"/>
        <v>0</v>
      </c>
      <c r="M637" s="1">
        <f t="shared" si="39"/>
        <v>0</v>
      </c>
      <c r="N637" s="1">
        <f t="shared" si="40"/>
        <v>0</v>
      </c>
      <c r="O637" s="1"/>
    </row>
    <row r="638" spans="1:15" x14ac:dyDescent="0.25">
      <c r="A638">
        <v>999</v>
      </c>
      <c r="B638">
        <v>37481.171190000001</v>
      </c>
      <c r="C638">
        <v>0</v>
      </c>
      <c r="D638">
        <v>147152.35329999999</v>
      </c>
      <c r="E638">
        <v>0</v>
      </c>
      <c r="F638">
        <v>729847.50410000002</v>
      </c>
      <c r="G638">
        <v>0</v>
      </c>
      <c r="H638">
        <v>999</v>
      </c>
      <c r="I638" t="str">
        <f t="shared" si="37"/>
        <v>YES</v>
      </c>
      <c r="J638" t="s">
        <v>644</v>
      </c>
      <c r="K638">
        <v>239941.690745</v>
      </c>
      <c r="L638" s="1">
        <f t="shared" si="38"/>
        <v>0</v>
      </c>
      <c r="M638" s="1">
        <f t="shared" si="39"/>
        <v>0</v>
      </c>
      <c r="N638" s="1">
        <f t="shared" si="40"/>
        <v>0</v>
      </c>
      <c r="O638" s="1"/>
    </row>
    <row r="639" spans="1:15" x14ac:dyDescent="0.25">
      <c r="A639">
        <v>1000</v>
      </c>
      <c r="B639">
        <v>9102.3904789999997</v>
      </c>
      <c r="C639">
        <v>0</v>
      </c>
      <c r="D639">
        <v>56052.59302</v>
      </c>
      <c r="E639">
        <v>0</v>
      </c>
      <c r="F639">
        <v>200462.03820000001</v>
      </c>
      <c r="G639">
        <v>0</v>
      </c>
      <c r="H639">
        <v>1000</v>
      </c>
      <c r="I639" t="str">
        <f t="shared" si="37"/>
        <v>YES</v>
      </c>
      <c r="J639" t="s">
        <v>645</v>
      </c>
      <c r="K639">
        <v>883282.13539700001</v>
      </c>
      <c r="L639" s="1">
        <f t="shared" si="38"/>
        <v>0</v>
      </c>
      <c r="M639" s="1">
        <f t="shared" si="39"/>
        <v>0</v>
      </c>
      <c r="N639" s="1">
        <f t="shared" si="40"/>
        <v>0</v>
      </c>
      <c r="O639" s="1"/>
    </row>
    <row r="640" spans="1:15" x14ac:dyDescent="0.25">
      <c r="A640">
        <v>1001</v>
      </c>
      <c r="B640">
        <v>5976.3029880000004</v>
      </c>
      <c r="C640">
        <v>0</v>
      </c>
      <c r="D640">
        <v>30657.732250000001</v>
      </c>
      <c r="E640">
        <v>0</v>
      </c>
      <c r="F640">
        <v>149756.58350000001</v>
      </c>
      <c r="G640">
        <v>0</v>
      </c>
      <c r="H640">
        <v>1001</v>
      </c>
      <c r="I640" t="str">
        <f t="shared" si="37"/>
        <v>YES</v>
      </c>
      <c r="J640" t="s">
        <v>646</v>
      </c>
      <c r="K640">
        <v>1107355.4142799999</v>
      </c>
      <c r="L640" s="1">
        <f t="shared" si="38"/>
        <v>0</v>
      </c>
      <c r="M640" s="1">
        <f t="shared" si="39"/>
        <v>0</v>
      </c>
      <c r="N640" s="1">
        <f t="shared" si="40"/>
        <v>0</v>
      </c>
      <c r="O640" s="1"/>
    </row>
    <row r="641" spans="1:15" x14ac:dyDescent="0.25">
      <c r="A641">
        <v>1002</v>
      </c>
      <c r="B641">
        <v>10370.900030000001</v>
      </c>
      <c r="C641">
        <v>0</v>
      </c>
      <c r="D641">
        <v>63756.014289999999</v>
      </c>
      <c r="E641">
        <v>0</v>
      </c>
      <c r="F641">
        <v>198836.57949999999</v>
      </c>
      <c r="G641">
        <v>0</v>
      </c>
      <c r="H641">
        <v>1002</v>
      </c>
      <c r="I641" t="str">
        <f t="shared" si="37"/>
        <v>YES</v>
      </c>
      <c r="J641" t="s">
        <v>647</v>
      </c>
      <c r="K641">
        <v>752986.37013000005</v>
      </c>
      <c r="L641" s="1">
        <f t="shared" si="38"/>
        <v>0</v>
      </c>
      <c r="M641" s="1">
        <f t="shared" si="39"/>
        <v>0</v>
      </c>
      <c r="N641" s="1">
        <f t="shared" si="40"/>
        <v>0</v>
      </c>
      <c r="O641" s="1"/>
    </row>
    <row r="642" spans="1:15" x14ac:dyDescent="0.25">
      <c r="A642">
        <v>1003</v>
      </c>
      <c r="B642">
        <v>13588.61627</v>
      </c>
      <c r="C642">
        <v>0</v>
      </c>
      <c r="D642">
        <v>121235.4097</v>
      </c>
      <c r="E642">
        <v>0</v>
      </c>
      <c r="F642">
        <v>414755.84029999998</v>
      </c>
      <c r="G642">
        <v>0</v>
      </c>
      <c r="H642">
        <v>1003</v>
      </c>
      <c r="I642" t="str">
        <f t="shared" ref="I642:I705" si="41">IF(A642=H642,"YES","NO")</f>
        <v>YES</v>
      </c>
      <c r="J642" t="s">
        <v>648</v>
      </c>
      <c r="K642">
        <v>356557.22643500002</v>
      </c>
      <c r="L642" s="1">
        <f t="shared" si="38"/>
        <v>0</v>
      </c>
      <c r="M642" s="1">
        <f t="shared" si="39"/>
        <v>0</v>
      </c>
      <c r="N642" s="1">
        <f t="shared" si="40"/>
        <v>0</v>
      </c>
      <c r="O642" s="1"/>
    </row>
    <row r="643" spans="1:15" x14ac:dyDescent="0.25">
      <c r="A643">
        <v>1004</v>
      </c>
      <c r="B643">
        <v>3823.2045480000002</v>
      </c>
      <c r="C643">
        <v>0</v>
      </c>
      <c r="D643">
        <v>50348.806060000003</v>
      </c>
      <c r="E643">
        <v>0</v>
      </c>
      <c r="F643">
        <v>171188.28899999999</v>
      </c>
      <c r="G643">
        <v>0</v>
      </c>
      <c r="H643">
        <v>1004</v>
      </c>
      <c r="I643" t="str">
        <f t="shared" si="41"/>
        <v>YES</v>
      </c>
      <c r="J643" t="s">
        <v>649</v>
      </c>
      <c r="K643">
        <v>769744.54212</v>
      </c>
      <c r="L643" s="1">
        <f t="shared" ref="L643:L706" si="42">$U$2*$K643*C643</f>
        <v>0</v>
      </c>
      <c r="M643" s="1">
        <f t="shared" ref="M643:M706" si="43">$U$3*$K643*E643</f>
        <v>0</v>
      </c>
      <c r="N643" s="1">
        <f t="shared" ref="N643:N706" si="44">$U$4*$K643*G643</f>
        <v>0</v>
      </c>
      <c r="O643" s="1"/>
    </row>
    <row r="644" spans="1:15" x14ac:dyDescent="0.25">
      <c r="A644">
        <v>1005</v>
      </c>
      <c r="B644">
        <v>4097.4531889999998</v>
      </c>
      <c r="C644">
        <v>0</v>
      </c>
      <c r="D644">
        <v>98114.865969999999</v>
      </c>
      <c r="E644">
        <v>0</v>
      </c>
      <c r="F644">
        <v>240782.86960000001</v>
      </c>
      <c r="G644">
        <v>0</v>
      </c>
      <c r="H644">
        <v>1005</v>
      </c>
      <c r="I644" t="str">
        <f t="shared" si="41"/>
        <v>YES</v>
      </c>
      <c r="J644" t="s">
        <v>650</v>
      </c>
      <c r="K644">
        <v>751410.13378699997</v>
      </c>
      <c r="L644" s="1">
        <f t="shared" si="42"/>
        <v>0</v>
      </c>
      <c r="M644" s="1">
        <f t="shared" si="43"/>
        <v>0</v>
      </c>
      <c r="N644" s="1">
        <f t="shared" si="44"/>
        <v>0</v>
      </c>
      <c r="O644" s="1"/>
    </row>
    <row r="645" spans="1:15" x14ac:dyDescent="0.25">
      <c r="A645">
        <v>1006</v>
      </c>
      <c r="B645">
        <v>46838.221960000003</v>
      </c>
      <c r="C645">
        <v>0</v>
      </c>
      <c r="D645">
        <v>174437.3046</v>
      </c>
      <c r="E645">
        <v>0</v>
      </c>
      <c r="F645">
        <v>860006.26930000004</v>
      </c>
      <c r="G645">
        <v>0</v>
      </c>
      <c r="H645">
        <v>1006</v>
      </c>
      <c r="I645" t="str">
        <f t="shared" si="41"/>
        <v>YES</v>
      </c>
      <c r="J645" t="s">
        <v>651</v>
      </c>
      <c r="K645">
        <v>249561.513507</v>
      </c>
      <c r="L645" s="1">
        <f t="shared" si="42"/>
        <v>0</v>
      </c>
      <c r="M645" s="1">
        <f t="shared" si="43"/>
        <v>0</v>
      </c>
      <c r="N645" s="1">
        <f t="shared" si="44"/>
        <v>0</v>
      </c>
      <c r="O645" s="1"/>
    </row>
    <row r="646" spans="1:15" x14ac:dyDescent="0.25">
      <c r="A646">
        <v>1007</v>
      </c>
      <c r="B646">
        <v>103879.3089</v>
      </c>
      <c r="C646">
        <v>0</v>
      </c>
      <c r="D646">
        <v>637266.78570000001</v>
      </c>
      <c r="E646">
        <v>0</v>
      </c>
      <c r="F646">
        <v>1303767.1680000001</v>
      </c>
      <c r="G646">
        <v>0</v>
      </c>
      <c r="H646">
        <v>1007</v>
      </c>
      <c r="I646" t="str">
        <f t="shared" si="41"/>
        <v>YES</v>
      </c>
      <c r="J646" t="s">
        <v>652</v>
      </c>
      <c r="K646">
        <v>322920.266833</v>
      </c>
      <c r="L646" s="1">
        <f t="shared" si="42"/>
        <v>0</v>
      </c>
      <c r="M646" s="1">
        <f t="shared" si="43"/>
        <v>0</v>
      </c>
      <c r="N646" s="1">
        <f t="shared" si="44"/>
        <v>0</v>
      </c>
      <c r="O646" s="1"/>
    </row>
    <row r="647" spans="1:15" x14ac:dyDescent="0.25">
      <c r="A647">
        <v>1008</v>
      </c>
      <c r="B647">
        <v>4167.5393560000002</v>
      </c>
      <c r="C647">
        <v>0</v>
      </c>
      <c r="D647">
        <v>70266.258199999997</v>
      </c>
      <c r="E647">
        <v>0</v>
      </c>
      <c r="F647">
        <v>175314.4454</v>
      </c>
      <c r="G647">
        <v>0</v>
      </c>
      <c r="H647">
        <v>1008</v>
      </c>
      <c r="I647" t="str">
        <f t="shared" si="41"/>
        <v>YES</v>
      </c>
      <c r="J647" t="s">
        <v>653</v>
      </c>
      <c r="K647">
        <v>583631.76972400001</v>
      </c>
      <c r="L647" s="1">
        <f t="shared" si="42"/>
        <v>0</v>
      </c>
      <c r="M647" s="1">
        <f t="shared" si="43"/>
        <v>0</v>
      </c>
      <c r="N647" s="1">
        <f t="shared" si="44"/>
        <v>0</v>
      </c>
      <c r="O647" s="1"/>
    </row>
    <row r="648" spans="1:15" x14ac:dyDescent="0.25">
      <c r="A648">
        <v>1009</v>
      </c>
      <c r="B648">
        <v>76153.406050000005</v>
      </c>
      <c r="C648">
        <v>0</v>
      </c>
      <c r="D648">
        <v>371765.51819999999</v>
      </c>
      <c r="E648">
        <v>0</v>
      </c>
      <c r="F648">
        <v>1135935.004</v>
      </c>
      <c r="G648">
        <v>0</v>
      </c>
      <c r="H648">
        <v>1009</v>
      </c>
      <c r="I648" t="str">
        <f t="shared" si="41"/>
        <v>YES</v>
      </c>
      <c r="J648" t="s">
        <v>654</v>
      </c>
      <c r="K648">
        <v>461530.84427599999</v>
      </c>
      <c r="L648" s="1">
        <f t="shared" si="42"/>
        <v>0</v>
      </c>
      <c r="M648" s="1">
        <f t="shared" si="43"/>
        <v>0</v>
      </c>
      <c r="N648" s="1">
        <f t="shared" si="44"/>
        <v>0</v>
      </c>
      <c r="O648" s="1"/>
    </row>
    <row r="649" spans="1:15" x14ac:dyDescent="0.25">
      <c r="A649">
        <v>1010</v>
      </c>
      <c r="B649">
        <v>31374.42986</v>
      </c>
      <c r="C649">
        <v>0</v>
      </c>
      <c r="D649">
        <v>150772.27369999999</v>
      </c>
      <c r="E649">
        <v>0</v>
      </c>
      <c r="F649">
        <v>347676.27510000003</v>
      </c>
      <c r="G649">
        <v>0</v>
      </c>
      <c r="H649">
        <v>1010</v>
      </c>
      <c r="I649" t="str">
        <f t="shared" si="41"/>
        <v>YES</v>
      </c>
      <c r="J649" t="s">
        <v>655</v>
      </c>
      <c r="K649">
        <v>561106.99199300003</v>
      </c>
      <c r="L649" s="1">
        <f t="shared" si="42"/>
        <v>0</v>
      </c>
      <c r="M649" s="1">
        <f t="shared" si="43"/>
        <v>0</v>
      </c>
      <c r="N649" s="1">
        <f t="shared" si="44"/>
        <v>0</v>
      </c>
      <c r="O649" s="1"/>
    </row>
    <row r="650" spans="1:15" x14ac:dyDescent="0.25">
      <c r="A650">
        <v>1011</v>
      </c>
      <c r="B650">
        <v>50970.113790000003</v>
      </c>
      <c r="C650">
        <v>0</v>
      </c>
      <c r="D650">
        <v>172544.1</v>
      </c>
      <c r="E650">
        <v>0</v>
      </c>
      <c r="F650">
        <v>844267.11399999994</v>
      </c>
      <c r="G650">
        <v>0</v>
      </c>
      <c r="H650">
        <v>1011</v>
      </c>
      <c r="I650" t="str">
        <f t="shared" si="41"/>
        <v>YES</v>
      </c>
      <c r="J650" t="s">
        <v>656</v>
      </c>
      <c r="K650">
        <v>605146.94793100003</v>
      </c>
      <c r="L650" s="1">
        <f t="shared" si="42"/>
        <v>0</v>
      </c>
      <c r="M650" s="1">
        <f t="shared" si="43"/>
        <v>0</v>
      </c>
      <c r="N650" s="1">
        <f t="shared" si="44"/>
        <v>0</v>
      </c>
      <c r="O650" s="1"/>
    </row>
    <row r="651" spans="1:15" x14ac:dyDescent="0.25">
      <c r="A651">
        <v>1012</v>
      </c>
      <c r="B651">
        <v>22159.266019999999</v>
      </c>
      <c r="C651">
        <v>0</v>
      </c>
      <c r="D651">
        <v>126103.1185</v>
      </c>
      <c r="E651">
        <v>0</v>
      </c>
      <c r="F651">
        <v>319813.01380000002</v>
      </c>
      <c r="G651">
        <v>0</v>
      </c>
      <c r="H651">
        <v>1012</v>
      </c>
      <c r="I651" t="str">
        <f t="shared" si="41"/>
        <v>YES</v>
      </c>
      <c r="J651" t="s">
        <v>657</v>
      </c>
      <c r="K651">
        <v>381183.172012</v>
      </c>
      <c r="L651" s="1">
        <f t="shared" si="42"/>
        <v>0</v>
      </c>
      <c r="M651" s="1">
        <f t="shared" si="43"/>
        <v>0</v>
      </c>
      <c r="N651" s="1">
        <f t="shared" si="44"/>
        <v>0</v>
      </c>
      <c r="O651" s="1"/>
    </row>
    <row r="652" spans="1:15" x14ac:dyDescent="0.25">
      <c r="A652">
        <v>1013</v>
      </c>
      <c r="B652">
        <v>64062.242010000002</v>
      </c>
      <c r="C652">
        <v>0</v>
      </c>
      <c r="D652">
        <v>198821.93350000001</v>
      </c>
      <c r="E652">
        <v>0</v>
      </c>
      <c r="F652">
        <v>821857.69739999995</v>
      </c>
      <c r="G652">
        <v>0</v>
      </c>
      <c r="H652">
        <v>1013</v>
      </c>
      <c r="I652" t="str">
        <f t="shared" si="41"/>
        <v>YES</v>
      </c>
      <c r="J652" t="s">
        <v>658</v>
      </c>
      <c r="K652">
        <v>356026.50447500002</v>
      </c>
      <c r="L652" s="1">
        <f t="shared" si="42"/>
        <v>0</v>
      </c>
      <c r="M652" s="1">
        <f t="shared" si="43"/>
        <v>0</v>
      </c>
      <c r="N652" s="1">
        <f t="shared" si="44"/>
        <v>0</v>
      </c>
      <c r="O652" s="1"/>
    </row>
    <row r="653" spans="1:15" x14ac:dyDescent="0.25">
      <c r="A653">
        <v>1014</v>
      </c>
      <c r="B653">
        <v>898.89670639999997</v>
      </c>
      <c r="C653">
        <v>0</v>
      </c>
      <c r="D653">
        <v>61095.371489999998</v>
      </c>
      <c r="E653">
        <v>0</v>
      </c>
      <c r="F653">
        <v>130128.86169999999</v>
      </c>
      <c r="G653">
        <v>0</v>
      </c>
      <c r="H653">
        <v>1014</v>
      </c>
      <c r="I653" t="str">
        <f t="shared" si="41"/>
        <v>YES</v>
      </c>
      <c r="J653" t="s">
        <v>659</v>
      </c>
      <c r="K653">
        <v>2182612.9070899999</v>
      </c>
      <c r="L653" s="1">
        <f t="shared" si="42"/>
        <v>0</v>
      </c>
      <c r="M653" s="1">
        <f t="shared" si="43"/>
        <v>0</v>
      </c>
      <c r="N653" s="1">
        <f t="shared" si="44"/>
        <v>0</v>
      </c>
      <c r="O653" s="1"/>
    </row>
    <row r="654" spans="1:15" x14ac:dyDescent="0.25">
      <c r="A654">
        <v>1015</v>
      </c>
      <c r="B654">
        <v>58984.214469999999</v>
      </c>
      <c r="C654">
        <v>0</v>
      </c>
      <c r="D654">
        <v>148137.21049999999</v>
      </c>
      <c r="E654">
        <v>0</v>
      </c>
      <c r="F654">
        <v>496476.37650000001</v>
      </c>
      <c r="G654">
        <v>0</v>
      </c>
      <c r="H654">
        <v>1015</v>
      </c>
      <c r="I654" t="str">
        <f t="shared" si="41"/>
        <v>YES</v>
      </c>
      <c r="J654" t="s">
        <v>660</v>
      </c>
      <c r="K654">
        <v>261032.63891400001</v>
      </c>
      <c r="L654" s="1">
        <f t="shared" si="42"/>
        <v>0</v>
      </c>
      <c r="M654" s="1">
        <f t="shared" si="43"/>
        <v>0</v>
      </c>
      <c r="N654" s="1">
        <f t="shared" si="44"/>
        <v>0</v>
      </c>
      <c r="O654" s="1"/>
    </row>
    <row r="655" spans="1:15" x14ac:dyDescent="0.25">
      <c r="A655">
        <v>1016</v>
      </c>
      <c r="B655">
        <v>36750.033880000003</v>
      </c>
      <c r="C655">
        <v>0</v>
      </c>
      <c r="D655">
        <v>106351.9859</v>
      </c>
      <c r="E655">
        <v>0</v>
      </c>
      <c r="F655">
        <v>314171.85749999998</v>
      </c>
      <c r="G655">
        <v>0</v>
      </c>
      <c r="H655">
        <v>1016</v>
      </c>
      <c r="I655" t="str">
        <f t="shared" si="41"/>
        <v>YES</v>
      </c>
      <c r="J655" t="s">
        <v>661</v>
      </c>
      <c r="K655">
        <v>592381.60389999999</v>
      </c>
      <c r="L655" s="1">
        <f t="shared" si="42"/>
        <v>0</v>
      </c>
      <c r="M655" s="1">
        <f t="shared" si="43"/>
        <v>0</v>
      </c>
      <c r="N655" s="1">
        <f t="shared" si="44"/>
        <v>0</v>
      </c>
      <c r="O655" s="1"/>
    </row>
    <row r="656" spans="1:15" x14ac:dyDescent="0.25">
      <c r="A656">
        <v>1017</v>
      </c>
      <c r="B656">
        <v>49383.043189999997</v>
      </c>
      <c r="C656">
        <v>0</v>
      </c>
      <c r="D656">
        <v>107853.54429999999</v>
      </c>
      <c r="E656">
        <v>0</v>
      </c>
      <c r="F656">
        <v>322515.88890000002</v>
      </c>
      <c r="G656">
        <v>0</v>
      </c>
      <c r="H656">
        <v>1017</v>
      </c>
      <c r="I656" t="str">
        <f t="shared" si="41"/>
        <v>YES</v>
      </c>
      <c r="J656" t="s">
        <v>662</v>
      </c>
      <c r="K656">
        <v>271917.501774</v>
      </c>
      <c r="L656" s="1">
        <f t="shared" si="42"/>
        <v>0</v>
      </c>
      <c r="M656" s="1">
        <f t="shared" si="43"/>
        <v>0</v>
      </c>
      <c r="N656" s="1">
        <f t="shared" si="44"/>
        <v>0</v>
      </c>
      <c r="O656" s="1"/>
    </row>
    <row r="657" spans="1:15" x14ac:dyDescent="0.25">
      <c r="A657">
        <v>1018</v>
      </c>
      <c r="B657">
        <v>54884.157010000003</v>
      </c>
      <c r="C657">
        <v>0</v>
      </c>
      <c r="D657">
        <v>124455.74430000001</v>
      </c>
      <c r="E657">
        <v>0</v>
      </c>
      <c r="F657">
        <v>366546.26990000001</v>
      </c>
      <c r="G657">
        <v>0</v>
      </c>
      <c r="H657">
        <v>1018</v>
      </c>
      <c r="I657" t="str">
        <f t="shared" si="41"/>
        <v>YES</v>
      </c>
      <c r="J657" t="s">
        <v>663</v>
      </c>
      <c r="K657">
        <v>476675.28378400003</v>
      </c>
      <c r="L657" s="1">
        <f t="shared" si="42"/>
        <v>0</v>
      </c>
      <c r="M657" s="1">
        <f t="shared" si="43"/>
        <v>0</v>
      </c>
      <c r="N657" s="1">
        <f t="shared" si="44"/>
        <v>0</v>
      </c>
      <c r="O657" s="1"/>
    </row>
    <row r="658" spans="1:15" x14ac:dyDescent="0.25">
      <c r="A658">
        <v>1019</v>
      </c>
      <c r="B658">
        <v>81522.847380000007</v>
      </c>
      <c r="C658">
        <v>0</v>
      </c>
      <c r="D658">
        <v>201683.31450000001</v>
      </c>
      <c r="E658">
        <v>0</v>
      </c>
      <c r="F658">
        <v>951475.64480000001</v>
      </c>
      <c r="G658">
        <v>0</v>
      </c>
      <c r="H658">
        <v>1019</v>
      </c>
      <c r="I658" t="str">
        <f t="shared" si="41"/>
        <v>YES</v>
      </c>
      <c r="J658" t="s">
        <v>664</v>
      </c>
      <c r="K658">
        <v>227143.80128700001</v>
      </c>
      <c r="L658" s="1">
        <f t="shared" si="42"/>
        <v>0</v>
      </c>
      <c r="M658" s="1">
        <f t="shared" si="43"/>
        <v>0</v>
      </c>
      <c r="N658" s="1">
        <f t="shared" si="44"/>
        <v>0</v>
      </c>
      <c r="O658" s="1"/>
    </row>
    <row r="659" spans="1:15" x14ac:dyDescent="0.25">
      <c r="A659">
        <v>1020</v>
      </c>
      <c r="B659">
        <v>52767.192909999998</v>
      </c>
      <c r="C659">
        <v>0</v>
      </c>
      <c r="D659">
        <v>124634.1673</v>
      </c>
      <c r="E659">
        <v>0</v>
      </c>
      <c r="F659">
        <v>364288.27269999997</v>
      </c>
      <c r="G659">
        <v>0</v>
      </c>
      <c r="H659">
        <v>1020</v>
      </c>
      <c r="I659" t="str">
        <f t="shared" si="41"/>
        <v>YES</v>
      </c>
      <c r="J659" t="s">
        <v>665</v>
      </c>
      <c r="K659">
        <v>387460.26970599999</v>
      </c>
      <c r="L659" s="1">
        <f t="shared" si="42"/>
        <v>0</v>
      </c>
      <c r="M659" s="1">
        <f t="shared" si="43"/>
        <v>0</v>
      </c>
      <c r="N659" s="1">
        <f t="shared" si="44"/>
        <v>0</v>
      </c>
      <c r="O659" s="1"/>
    </row>
    <row r="660" spans="1:15" x14ac:dyDescent="0.25">
      <c r="A660">
        <v>1021</v>
      </c>
      <c r="B660">
        <v>60585.039340000003</v>
      </c>
      <c r="C660">
        <v>0</v>
      </c>
      <c r="D660">
        <v>146962.15460000001</v>
      </c>
      <c r="E660">
        <v>0</v>
      </c>
      <c r="F660">
        <v>697128.55929999996</v>
      </c>
      <c r="G660">
        <v>0</v>
      </c>
      <c r="H660">
        <v>1021</v>
      </c>
      <c r="I660" t="str">
        <f t="shared" si="41"/>
        <v>YES</v>
      </c>
      <c r="J660" t="s">
        <v>666</v>
      </c>
      <c r="K660">
        <v>144380.45243199999</v>
      </c>
      <c r="L660" s="1">
        <f t="shared" si="42"/>
        <v>0</v>
      </c>
      <c r="M660" s="1">
        <f t="shared" si="43"/>
        <v>0</v>
      </c>
      <c r="N660" s="1">
        <f t="shared" si="44"/>
        <v>0</v>
      </c>
      <c r="O660" s="1"/>
    </row>
    <row r="661" spans="1:15" x14ac:dyDescent="0.25">
      <c r="A661">
        <v>1022</v>
      </c>
      <c r="B661">
        <v>34607.632729999998</v>
      </c>
      <c r="C661">
        <v>0</v>
      </c>
      <c r="D661">
        <v>95643.970379999999</v>
      </c>
      <c r="E661">
        <v>0</v>
      </c>
      <c r="F661">
        <v>264136.69349999999</v>
      </c>
      <c r="G661">
        <v>0</v>
      </c>
      <c r="H661">
        <v>1022</v>
      </c>
      <c r="I661" t="str">
        <f t="shared" si="41"/>
        <v>YES</v>
      </c>
      <c r="J661" t="s">
        <v>667</v>
      </c>
      <c r="K661">
        <v>764352.71572700003</v>
      </c>
      <c r="L661" s="1">
        <f t="shared" si="42"/>
        <v>0</v>
      </c>
      <c r="M661" s="1">
        <f t="shared" si="43"/>
        <v>0</v>
      </c>
      <c r="N661" s="1">
        <f t="shared" si="44"/>
        <v>0</v>
      </c>
      <c r="O661" s="1"/>
    </row>
    <row r="662" spans="1:15" x14ac:dyDescent="0.25">
      <c r="A662">
        <v>1023</v>
      </c>
      <c r="B662">
        <v>81270.307560000001</v>
      </c>
      <c r="C662">
        <v>0</v>
      </c>
      <c r="D662">
        <v>205120.83850000001</v>
      </c>
      <c r="E662">
        <v>0</v>
      </c>
      <c r="F662">
        <v>935330.77879999997</v>
      </c>
      <c r="G662">
        <v>0</v>
      </c>
      <c r="H662">
        <v>1023</v>
      </c>
      <c r="I662" t="str">
        <f t="shared" si="41"/>
        <v>YES</v>
      </c>
      <c r="J662" t="s">
        <v>668</v>
      </c>
      <c r="K662">
        <v>118149.56097200001</v>
      </c>
      <c r="L662" s="1">
        <f t="shared" si="42"/>
        <v>0</v>
      </c>
      <c r="M662" s="1">
        <f t="shared" si="43"/>
        <v>0</v>
      </c>
      <c r="N662" s="1">
        <f t="shared" si="44"/>
        <v>0</v>
      </c>
      <c r="O662" s="1"/>
    </row>
    <row r="663" spans="1:15" x14ac:dyDescent="0.25">
      <c r="A663">
        <v>1024</v>
      </c>
      <c r="B663">
        <v>65851.116670000003</v>
      </c>
      <c r="C663">
        <v>0</v>
      </c>
      <c r="D663">
        <v>162874.2953</v>
      </c>
      <c r="E663">
        <v>0</v>
      </c>
      <c r="F663">
        <v>768423.6764</v>
      </c>
      <c r="G663">
        <v>0</v>
      </c>
      <c r="H663">
        <v>1024</v>
      </c>
      <c r="I663" t="str">
        <f t="shared" si="41"/>
        <v>YES</v>
      </c>
      <c r="J663" t="s">
        <v>669</v>
      </c>
      <c r="K663">
        <v>128574.52357799999</v>
      </c>
      <c r="L663" s="1">
        <f t="shared" si="42"/>
        <v>0</v>
      </c>
      <c r="M663" s="1">
        <f t="shared" si="43"/>
        <v>0</v>
      </c>
      <c r="N663" s="1">
        <f t="shared" si="44"/>
        <v>0</v>
      </c>
      <c r="O663" s="1"/>
    </row>
    <row r="664" spans="1:15" x14ac:dyDescent="0.25">
      <c r="A664">
        <v>1025</v>
      </c>
      <c r="B664">
        <v>89622.219870000001</v>
      </c>
      <c r="C664">
        <v>0</v>
      </c>
      <c r="D664">
        <v>251604.36919999999</v>
      </c>
      <c r="E664">
        <v>0</v>
      </c>
      <c r="F664">
        <v>1017261.339</v>
      </c>
      <c r="G664">
        <v>0</v>
      </c>
      <c r="H664">
        <v>1025</v>
      </c>
      <c r="I664" t="str">
        <f t="shared" si="41"/>
        <v>YES</v>
      </c>
      <c r="J664" t="s">
        <v>670</v>
      </c>
      <c r="K664">
        <v>342870.80199900002</v>
      </c>
      <c r="L664" s="1">
        <f t="shared" si="42"/>
        <v>0</v>
      </c>
      <c r="M664" s="1">
        <f t="shared" si="43"/>
        <v>0</v>
      </c>
      <c r="N664" s="1">
        <f t="shared" si="44"/>
        <v>0</v>
      </c>
      <c r="O664" s="1"/>
    </row>
    <row r="665" spans="1:15" x14ac:dyDescent="0.25">
      <c r="A665">
        <v>1026</v>
      </c>
      <c r="B665">
        <v>80045.717929999999</v>
      </c>
      <c r="C665">
        <v>0</v>
      </c>
      <c r="D665">
        <v>306247.59529999999</v>
      </c>
      <c r="E665">
        <v>0</v>
      </c>
      <c r="F665">
        <v>1029765.633</v>
      </c>
      <c r="G665">
        <v>0</v>
      </c>
      <c r="H665">
        <v>1026</v>
      </c>
      <c r="I665" t="str">
        <f t="shared" si="41"/>
        <v>YES</v>
      </c>
      <c r="J665" t="s">
        <v>671</v>
      </c>
      <c r="K665">
        <v>124479.952492</v>
      </c>
      <c r="L665" s="1">
        <f t="shared" si="42"/>
        <v>0</v>
      </c>
      <c r="M665" s="1">
        <f t="shared" si="43"/>
        <v>0</v>
      </c>
      <c r="N665" s="1">
        <f t="shared" si="44"/>
        <v>0</v>
      </c>
      <c r="O665" s="1"/>
    </row>
    <row r="666" spans="1:15" x14ac:dyDescent="0.25">
      <c r="A666">
        <v>1027</v>
      </c>
      <c r="B666">
        <v>70649.882819999999</v>
      </c>
      <c r="C666">
        <v>0</v>
      </c>
      <c r="D666">
        <v>204160.75839999999</v>
      </c>
      <c r="E666">
        <v>0</v>
      </c>
      <c r="F666">
        <v>929514.86029999994</v>
      </c>
      <c r="G666">
        <v>0</v>
      </c>
      <c r="H666">
        <v>1027</v>
      </c>
      <c r="I666" t="str">
        <f t="shared" si="41"/>
        <v>YES</v>
      </c>
      <c r="J666" t="s">
        <v>672</v>
      </c>
      <c r="K666">
        <v>380438.52920400002</v>
      </c>
      <c r="L666" s="1">
        <f t="shared" si="42"/>
        <v>0</v>
      </c>
      <c r="M666" s="1">
        <f t="shared" si="43"/>
        <v>0</v>
      </c>
      <c r="N666" s="1">
        <f t="shared" si="44"/>
        <v>0</v>
      </c>
      <c r="O666" s="1"/>
    </row>
    <row r="667" spans="1:15" x14ac:dyDescent="0.25">
      <c r="A667">
        <v>1028</v>
      </c>
      <c r="B667">
        <v>56813.14789</v>
      </c>
      <c r="C667">
        <v>0</v>
      </c>
      <c r="D667">
        <v>130031.89659999999</v>
      </c>
      <c r="E667">
        <v>0</v>
      </c>
      <c r="F667">
        <v>480998.68369999999</v>
      </c>
      <c r="G667">
        <v>0</v>
      </c>
      <c r="H667">
        <v>1028</v>
      </c>
      <c r="I667" t="str">
        <f t="shared" si="41"/>
        <v>YES</v>
      </c>
      <c r="J667" t="s">
        <v>673</v>
      </c>
      <c r="K667">
        <v>296580.84312999999</v>
      </c>
      <c r="L667" s="1">
        <f t="shared" si="42"/>
        <v>0</v>
      </c>
      <c r="M667" s="1">
        <f t="shared" si="43"/>
        <v>0</v>
      </c>
      <c r="N667" s="1">
        <f t="shared" si="44"/>
        <v>0</v>
      </c>
      <c r="O667" s="1"/>
    </row>
    <row r="668" spans="1:15" x14ac:dyDescent="0.25">
      <c r="A668">
        <v>1029</v>
      </c>
      <c r="B668">
        <v>66460.975879999998</v>
      </c>
      <c r="C668">
        <v>0</v>
      </c>
      <c r="D668">
        <v>144025.12899999999</v>
      </c>
      <c r="E668">
        <v>0</v>
      </c>
      <c r="F668">
        <v>523666.60639999999</v>
      </c>
      <c r="G668">
        <v>0</v>
      </c>
      <c r="H668">
        <v>1029</v>
      </c>
      <c r="I668" t="str">
        <f t="shared" si="41"/>
        <v>YES</v>
      </c>
      <c r="J668" t="s">
        <v>674</v>
      </c>
      <c r="K668">
        <v>348565.61296599999</v>
      </c>
      <c r="L668" s="1">
        <f t="shared" si="42"/>
        <v>0</v>
      </c>
      <c r="M668" s="1">
        <f t="shared" si="43"/>
        <v>0</v>
      </c>
      <c r="N668" s="1">
        <f t="shared" si="44"/>
        <v>0</v>
      </c>
      <c r="O668" s="1"/>
    </row>
    <row r="669" spans="1:15" x14ac:dyDescent="0.25">
      <c r="A669">
        <v>1030</v>
      </c>
      <c r="B669">
        <v>222862.4044</v>
      </c>
      <c r="C669">
        <v>0</v>
      </c>
      <c r="D669">
        <v>871196.48979999998</v>
      </c>
      <c r="E669">
        <v>0</v>
      </c>
      <c r="F669">
        <v>1527692.63</v>
      </c>
      <c r="G669">
        <v>0</v>
      </c>
      <c r="H669">
        <v>1030</v>
      </c>
      <c r="I669" t="str">
        <f t="shared" si="41"/>
        <v>YES</v>
      </c>
      <c r="J669" t="s">
        <v>675</v>
      </c>
      <c r="K669">
        <v>47906.337176699999</v>
      </c>
      <c r="L669" s="1">
        <f t="shared" si="42"/>
        <v>0</v>
      </c>
      <c r="M669" s="1">
        <f t="shared" si="43"/>
        <v>0</v>
      </c>
      <c r="N669" s="1">
        <f t="shared" si="44"/>
        <v>0</v>
      </c>
      <c r="O669" s="1"/>
    </row>
    <row r="670" spans="1:15" x14ac:dyDescent="0.25">
      <c r="A670">
        <v>1031</v>
      </c>
      <c r="B670">
        <v>17856.728429999999</v>
      </c>
      <c r="C670">
        <v>0</v>
      </c>
      <c r="D670">
        <v>311150.2268</v>
      </c>
      <c r="E670">
        <v>0</v>
      </c>
      <c r="F670">
        <v>914630.17799999996</v>
      </c>
      <c r="G670">
        <v>0</v>
      </c>
      <c r="H670">
        <v>1031</v>
      </c>
      <c r="I670" t="str">
        <f t="shared" si="41"/>
        <v>YES</v>
      </c>
      <c r="J670" t="s">
        <v>676</v>
      </c>
      <c r="K670">
        <v>1660079.01431</v>
      </c>
      <c r="L670" s="1">
        <f t="shared" si="42"/>
        <v>0</v>
      </c>
      <c r="M670" s="1">
        <f t="shared" si="43"/>
        <v>0</v>
      </c>
      <c r="N670" s="1">
        <f t="shared" si="44"/>
        <v>0</v>
      </c>
      <c r="O670" s="1"/>
    </row>
    <row r="671" spans="1:15" x14ac:dyDescent="0.25">
      <c r="A671">
        <v>1032</v>
      </c>
      <c r="B671">
        <v>2647.1760450000002</v>
      </c>
      <c r="C671">
        <v>0</v>
      </c>
      <c r="D671">
        <v>46887.900260000002</v>
      </c>
      <c r="E671">
        <v>0</v>
      </c>
      <c r="F671">
        <v>239977.7665</v>
      </c>
      <c r="G671">
        <v>0</v>
      </c>
      <c r="H671">
        <v>1032</v>
      </c>
      <c r="I671" t="str">
        <f t="shared" si="41"/>
        <v>YES</v>
      </c>
      <c r="J671" t="s">
        <v>677</v>
      </c>
      <c r="K671">
        <v>1198126.1544999999</v>
      </c>
      <c r="L671" s="1">
        <f t="shared" si="42"/>
        <v>0</v>
      </c>
      <c r="M671" s="1">
        <f t="shared" si="43"/>
        <v>0</v>
      </c>
      <c r="N671" s="1">
        <f t="shared" si="44"/>
        <v>0</v>
      </c>
      <c r="O671" s="1"/>
    </row>
    <row r="672" spans="1:15" x14ac:dyDescent="0.25">
      <c r="A672">
        <v>1033</v>
      </c>
      <c r="B672">
        <v>4836.4138839999996</v>
      </c>
      <c r="C672">
        <v>0</v>
      </c>
      <c r="D672">
        <v>35800.922209999997</v>
      </c>
      <c r="E672">
        <v>0</v>
      </c>
      <c r="F672">
        <v>211301.9186</v>
      </c>
      <c r="G672">
        <v>0</v>
      </c>
      <c r="H672">
        <v>1033</v>
      </c>
      <c r="I672" t="str">
        <f t="shared" si="41"/>
        <v>YES</v>
      </c>
      <c r="J672" t="s">
        <v>678</v>
      </c>
      <c r="K672">
        <v>937373.99994600005</v>
      </c>
      <c r="L672" s="1">
        <f t="shared" si="42"/>
        <v>0</v>
      </c>
      <c r="M672" s="1">
        <f t="shared" si="43"/>
        <v>0</v>
      </c>
      <c r="N672" s="1">
        <f t="shared" si="44"/>
        <v>0</v>
      </c>
      <c r="O672" s="1"/>
    </row>
    <row r="673" spans="1:15" x14ac:dyDescent="0.25">
      <c r="A673">
        <v>1034</v>
      </c>
      <c r="B673">
        <v>4410.5153760000003</v>
      </c>
      <c r="C673">
        <v>0</v>
      </c>
      <c r="D673">
        <v>17769.50635</v>
      </c>
      <c r="E673">
        <v>0</v>
      </c>
      <c r="F673">
        <v>89989.981150000007</v>
      </c>
      <c r="G673">
        <v>0</v>
      </c>
      <c r="H673">
        <v>1034</v>
      </c>
      <c r="I673" t="str">
        <f t="shared" si="41"/>
        <v>YES</v>
      </c>
      <c r="J673" t="s">
        <v>679</v>
      </c>
      <c r="K673">
        <v>1131453.9608499999</v>
      </c>
      <c r="L673" s="1">
        <f t="shared" si="42"/>
        <v>0</v>
      </c>
      <c r="M673" s="1">
        <f t="shared" si="43"/>
        <v>0</v>
      </c>
      <c r="N673" s="1">
        <f t="shared" si="44"/>
        <v>0</v>
      </c>
      <c r="O673" s="1"/>
    </row>
    <row r="674" spans="1:15" x14ac:dyDescent="0.25">
      <c r="A674">
        <v>1035</v>
      </c>
      <c r="B674">
        <v>8649.9054489999999</v>
      </c>
      <c r="C674">
        <v>0</v>
      </c>
      <c r="D674">
        <v>70540.975560000006</v>
      </c>
      <c r="E674">
        <v>0</v>
      </c>
      <c r="F674">
        <v>178840.24960000001</v>
      </c>
      <c r="G674">
        <v>0</v>
      </c>
      <c r="H674">
        <v>1035</v>
      </c>
      <c r="I674" t="str">
        <f t="shared" si="41"/>
        <v>YES</v>
      </c>
      <c r="J674" t="s">
        <v>680</v>
      </c>
      <c r="K674">
        <v>439774.61555799999</v>
      </c>
      <c r="L674" s="1">
        <f t="shared" si="42"/>
        <v>0</v>
      </c>
      <c r="M674" s="1">
        <f t="shared" si="43"/>
        <v>0</v>
      </c>
      <c r="N674" s="1">
        <f t="shared" si="44"/>
        <v>0</v>
      </c>
      <c r="O674" s="1"/>
    </row>
    <row r="675" spans="1:15" x14ac:dyDescent="0.25">
      <c r="A675">
        <v>1036</v>
      </c>
      <c r="B675">
        <v>81009.522089999999</v>
      </c>
      <c r="C675">
        <v>0</v>
      </c>
      <c r="D675">
        <v>260727.7579</v>
      </c>
      <c r="E675">
        <v>0</v>
      </c>
      <c r="F675">
        <v>1016788.807</v>
      </c>
      <c r="G675">
        <v>0</v>
      </c>
      <c r="H675">
        <v>1036</v>
      </c>
      <c r="I675" t="str">
        <f t="shared" si="41"/>
        <v>YES</v>
      </c>
      <c r="J675" t="s">
        <v>681</v>
      </c>
      <c r="K675">
        <v>181182.50581800001</v>
      </c>
      <c r="L675" s="1">
        <f t="shared" si="42"/>
        <v>0</v>
      </c>
      <c r="M675" s="1">
        <f t="shared" si="43"/>
        <v>0</v>
      </c>
      <c r="N675" s="1">
        <f t="shared" si="44"/>
        <v>0</v>
      </c>
      <c r="O675" s="1"/>
    </row>
    <row r="676" spans="1:15" x14ac:dyDescent="0.25">
      <c r="A676">
        <v>1037</v>
      </c>
      <c r="B676">
        <v>33645.215629999999</v>
      </c>
      <c r="C676">
        <v>0</v>
      </c>
      <c r="D676">
        <v>130475.24589999999</v>
      </c>
      <c r="E676">
        <v>0</v>
      </c>
      <c r="F676">
        <v>729601.71440000006</v>
      </c>
      <c r="G676">
        <v>0</v>
      </c>
      <c r="H676">
        <v>1037</v>
      </c>
      <c r="I676" t="str">
        <f t="shared" si="41"/>
        <v>YES</v>
      </c>
      <c r="J676" t="s">
        <v>682</v>
      </c>
      <c r="K676">
        <v>119639.748752</v>
      </c>
      <c r="L676" s="1">
        <f t="shared" si="42"/>
        <v>0</v>
      </c>
      <c r="M676" s="1">
        <f t="shared" si="43"/>
        <v>0</v>
      </c>
      <c r="N676" s="1">
        <f t="shared" si="44"/>
        <v>0</v>
      </c>
      <c r="O676" s="1"/>
    </row>
    <row r="677" spans="1:15" x14ac:dyDescent="0.25">
      <c r="A677">
        <v>1038</v>
      </c>
      <c r="B677">
        <v>14819.004569999999</v>
      </c>
      <c r="C677">
        <v>0</v>
      </c>
      <c r="D677">
        <v>131507.5955</v>
      </c>
      <c r="E677">
        <v>0</v>
      </c>
      <c r="F677">
        <v>708374.67130000005</v>
      </c>
      <c r="G677">
        <v>0</v>
      </c>
      <c r="H677">
        <v>1038</v>
      </c>
      <c r="I677" t="str">
        <f t="shared" si="41"/>
        <v>YES</v>
      </c>
      <c r="J677" t="s">
        <v>683</v>
      </c>
      <c r="K677">
        <v>538215.55614700005</v>
      </c>
      <c r="L677" s="1">
        <f t="shared" si="42"/>
        <v>0</v>
      </c>
      <c r="M677" s="1">
        <f t="shared" si="43"/>
        <v>0</v>
      </c>
      <c r="N677" s="1">
        <f t="shared" si="44"/>
        <v>0</v>
      </c>
      <c r="O677" s="1"/>
    </row>
    <row r="678" spans="1:15" x14ac:dyDescent="0.25">
      <c r="A678">
        <v>1039</v>
      </c>
      <c r="B678">
        <v>12740.14451</v>
      </c>
      <c r="C678">
        <v>0</v>
      </c>
      <c r="D678">
        <v>115160.86410000001</v>
      </c>
      <c r="E678">
        <v>0</v>
      </c>
      <c r="F678">
        <v>578421.05779999995</v>
      </c>
      <c r="G678">
        <v>0</v>
      </c>
      <c r="H678">
        <v>1039</v>
      </c>
      <c r="I678" t="str">
        <f t="shared" si="41"/>
        <v>YES</v>
      </c>
      <c r="J678" t="s">
        <v>684</v>
      </c>
      <c r="K678">
        <v>528877.22070599999</v>
      </c>
      <c r="L678" s="1">
        <f t="shared" si="42"/>
        <v>0</v>
      </c>
      <c r="M678" s="1">
        <f t="shared" si="43"/>
        <v>0</v>
      </c>
      <c r="N678" s="1">
        <f t="shared" si="44"/>
        <v>0</v>
      </c>
      <c r="O678" s="1"/>
    </row>
    <row r="679" spans="1:15" x14ac:dyDescent="0.25">
      <c r="A679">
        <v>1040</v>
      </c>
      <c r="B679">
        <v>7906.1433470000002</v>
      </c>
      <c r="C679">
        <v>0</v>
      </c>
      <c r="D679">
        <v>79300.099820000003</v>
      </c>
      <c r="E679">
        <v>0</v>
      </c>
      <c r="F679">
        <v>237299.10930000001</v>
      </c>
      <c r="G679">
        <v>0</v>
      </c>
      <c r="H679">
        <v>1040</v>
      </c>
      <c r="I679" t="str">
        <f t="shared" si="41"/>
        <v>YES</v>
      </c>
      <c r="J679" t="s">
        <v>685</v>
      </c>
      <c r="K679">
        <v>1254810.4649199999</v>
      </c>
      <c r="L679" s="1">
        <f t="shared" si="42"/>
        <v>0</v>
      </c>
      <c r="M679" s="1">
        <f t="shared" si="43"/>
        <v>0</v>
      </c>
      <c r="N679" s="1">
        <f t="shared" si="44"/>
        <v>0</v>
      </c>
      <c r="O679" s="1"/>
    </row>
    <row r="680" spans="1:15" x14ac:dyDescent="0.25">
      <c r="A680">
        <v>1041</v>
      </c>
      <c r="B680">
        <v>26806.848099999999</v>
      </c>
      <c r="C680">
        <v>0</v>
      </c>
      <c r="D680">
        <v>117548.4535</v>
      </c>
      <c r="E680">
        <v>0</v>
      </c>
      <c r="F680">
        <v>375155.75199999998</v>
      </c>
      <c r="G680">
        <v>0</v>
      </c>
      <c r="H680">
        <v>1041</v>
      </c>
      <c r="I680" t="str">
        <f t="shared" si="41"/>
        <v>YES</v>
      </c>
      <c r="J680" t="s">
        <v>686</v>
      </c>
      <c r="K680">
        <v>641214.19108400005</v>
      </c>
      <c r="L680" s="1">
        <f t="shared" si="42"/>
        <v>0</v>
      </c>
      <c r="M680" s="1">
        <f t="shared" si="43"/>
        <v>0</v>
      </c>
      <c r="N680" s="1">
        <f t="shared" si="44"/>
        <v>0</v>
      </c>
      <c r="O680" s="1"/>
    </row>
    <row r="681" spans="1:15" x14ac:dyDescent="0.25">
      <c r="A681">
        <v>1042</v>
      </c>
      <c r="B681">
        <v>26846.940699999999</v>
      </c>
      <c r="C681">
        <v>0</v>
      </c>
      <c r="D681">
        <v>111922.273</v>
      </c>
      <c r="E681">
        <v>0</v>
      </c>
      <c r="F681">
        <v>262767.86349999998</v>
      </c>
      <c r="G681">
        <v>0</v>
      </c>
      <c r="H681">
        <v>1042</v>
      </c>
      <c r="I681" t="str">
        <f t="shared" si="41"/>
        <v>YES</v>
      </c>
      <c r="J681" t="s">
        <v>687</v>
      </c>
      <c r="K681">
        <v>550905.87422999996</v>
      </c>
      <c r="L681" s="1">
        <f t="shared" si="42"/>
        <v>0</v>
      </c>
      <c r="M681" s="1">
        <f t="shared" si="43"/>
        <v>0</v>
      </c>
      <c r="N681" s="1">
        <f t="shared" si="44"/>
        <v>0</v>
      </c>
      <c r="O681" s="1"/>
    </row>
    <row r="682" spans="1:15" x14ac:dyDescent="0.25">
      <c r="A682">
        <v>1043</v>
      </c>
      <c r="B682">
        <v>51519.968059999999</v>
      </c>
      <c r="C682">
        <v>0</v>
      </c>
      <c r="D682">
        <v>118130.8026</v>
      </c>
      <c r="E682">
        <v>0</v>
      </c>
      <c r="F682">
        <v>308374.9534</v>
      </c>
      <c r="G682">
        <v>0</v>
      </c>
      <c r="H682">
        <v>1043</v>
      </c>
      <c r="I682" t="str">
        <f t="shared" si="41"/>
        <v>YES</v>
      </c>
      <c r="J682" t="s">
        <v>688</v>
      </c>
      <c r="K682">
        <v>186040.54394</v>
      </c>
      <c r="L682" s="1">
        <f t="shared" si="42"/>
        <v>0</v>
      </c>
      <c r="M682" s="1">
        <f t="shared" si="43"/>
        <v>0</v>
      </c>
      <c r="N682" s="1">
        <f t="shared" si="44"/>
        <v>0</v>
      </c>
      <c r="O682" s="1"/>
    </row>
    <row r="683" spans="1:15" x14ac:dyDescent="0.25">
      <c r="A683">
        <v>1044</v>
      </c>
      <c r="B683">
        <v>41989.398419999998</v>
      </c>
      <c r="C683">
        <v>0</v>
      </c>
      <c r="D683">
        <v>155265.70929999999</v>
      </c>
      <c r="E683">
        <v>0</v>
      </c>
      <c r="F683">
        <v>588826.24589999998</v>
      </c>
      <c r="G683">
        <v>0</v>
      </c>
      <c r="H683">
        <v>1044</v>
      </c>
      <c r="I683" t="str">
        <f t="shared" si="41"/>
        <v>YES</v>
      </c>
      <c r="J683" t="s">
        <v>689</v>
      </c>
      <c r="K683">
        <v>676133.65986699995</v>
      </c>
      <c r="L683" s="1">
        <f t="shared" si="42"/>
        <v>0</v>
      </c>
      <c r="M683" s="1">
        <f t="shared" si="43"/>
        <v>0</v>
      </c>
      <c r="N683" s="1">
        <f t="shared" si="44"/>
        <v>0</v>
      </c>
      <c r="O683" s="1"/>
    </row>
    <row r="684" spans="1:15" x14ac:dyDescent="0.25">
      <c r="A684">
        <v>1045</v>
      </c>
      <c r="B684">
        <v>54306.972479999997</v>
      </c>
      <c r="C684">
        <v>0</v>
      </c>
      <c r="D684">
        <v>165712.9216</v>
      </c>
      <c r="E684">
        <v>0</v>
      </c>
      <c r="F684">
        <v>855890.08550000004</v>
      </c>
      <c r="G684">
        <v>0</v>
      </c>
      <c r="H684">
        <v>1045</v>
      </c>
      <c r="I684" t="str">
        <f t="shared" si="41"/>
        <v>YES</v>
      </c>
      <c r="J684" t="s">
        <v>690</v>
      </c>
      <c r="K684">
        <v>649945.60513899999</v>
      </c>
      <c r="L684" s="1">
        <f t="shared" si="42"/>
        <v>0</v>
      </c>
      <c r="M684" s="1">
        <f t="shared" si="43"/>
        <v>0</v>
      </c>
      <c r="N684" s="1">
        <f t="shared" si="44"/>
        <v>0</v>
      </c>
      <c r="O684" s="1"/>
    </row>
    <row r="685" spans="1:15" x14ac:dyDescent="0.25">
      <c r="A685">
        <v>1046</v>
      </c>
      <c r="B685">
        <v>55578.427759999999</v>
      </c>
      <c r="C685">
        <v>0</v>
      </c>
      <c r="D685">
        <v>166334.21909999999</v>
      </c>
      <c r="E685">
        <v>0</v>
      </c>
      <c r="F685">
        <v>769574.49470000004</v>
      </c>
      <c r="G685">
        <v>0</v>
      </c>
      <c r="H685">
        <v>1046</v>
      </c>
      <c r="I685" t="str">
        <f t="shared" si="41"/>
        <v>YES</v>
      </c>
      <c r="J685" t="s">
        <v>691</v>
      </c>
      <c r="K685">
        <v>148187.14475499999</v>
      </c>
      <c r="L685" s="1">
        <f t="shared" si="42"/>
        <v>0</v>
      </c>
      <c r="M685" s="1">
        <f t="shared" si="43"/>
        <v>0</v>
      </c>
      <c r="N685" s="1">
        <f t="shared" si="44"/>
        <v>0</v>
      </c>
      <c r="O685" s="1"/>
    </row>
    <row r="686" spans="1:15" x14ac:dyDescent="0.25">
      <c r="A686">
        <v>1047</v>
      </c>
      <c r="B686">
        <v>38067.321709999997</v>
      </c>
      <c r="C686">
        <v>0</v>
      </c>
      <c r="D686">
        <v>131271.9087</v>
      </c>
      <c r="E686">
        <v>0</v>
      </c>
      <c r="F686">
        <v>720714.72600000002</v>
      </c>
      <c r="G686">
        <v>0</v>
      </c>
      <c r="H686">
        <v>1047</v>
      </c>
      <c r="I686" t="str">
        <f t="shared" si="41"/>
        <v>YES</v>
      </c>
      <c r="J686" t="s">
        <v>692</v>
      </c>
      <c r="K686">
        <v>181213.91159900001</v>
      </c>
      <c r="L686" s="1">
        <f t="shared" si="42"/>
        <v>0</v>
      </c>
      <c r="M686" s="1">
        <f t="shared" si="43"/>
        <v>0</v>
      </c>
      <c r="N686" s="1">
        <f t="shared" si="44"/>
        <v>0</v>
      </c>
      <c r="O686" s="1"/>
    </row>
    <row r="687" spans="1:15" x14ac:dyDescent="0.25">
      <c r="A687">
        <v>1048</v>
      </c>
      <c r="B687">
        <v>85503.28959</v>
      </c>
      <c r="C687">
        <v>0</v>
      </c>
      <c r="D687">
        <v>347186.61729999998</v>
      </c>
      <c r="E687">
        <v>0</v>
      </c>
      <c r="F687">
        <v>1084773.4720000001</v>
      </c>
      <c r="G687">
        <v>0</v>
      </c>
      <c r="H687">
        <v>1048</v>
      </c>
      <c r="I687" t="str">
        <f t="shared" si="41"/>
        <v>YES</v>
      </c>
      <c r="J687" t="s">
        <v>693</v>
      </c>
      <c r="K687">
        <v>266066.77250800002</v>
      </c>
      <c r="L687" s="1">
        <f t="shared" si="42"/>
        <v>0</v>
      </c>
      <c r="M687" s="1">
        <f t="shared" si="43"/>
        <v>0</v>
      </c>
      <c r="N687" s="1">
        <f t="shared" si="44"/>
        <v>0</v>
      </c>
      <c r="O687" s="1"/>
    </row>
    <row r="688" spans="1:15" x14ac:dyDescent="0.25">
      <c r="A688">
        <v>1049</v>
      </c>
      <c r="B688">
        <v>87658.835000000006</v>
      </c>
      <c r="C688">
        <v>0</v>
      </c>
      <c r="D688">
        <v>625785.75379999995</v>
      </c>
      <c r="E688">
        <v>0</v>
      </c>
      <c r="F688">
        <v>1252087.183</v>
      </c>
      <c r="G688">
        <v>0</v>
      </c>
      <c r="H688">
        <v>1049</v>
      </c>
      <c r="I688" t="str">
        <f t="shared" si="41"/>
        <v>YES</v>
      </c>
      <c r="J688" t="s">
        <v>694</v>
      </c>
      <c r="K688">
        <v>78983.364378500002</v>
      </c>
      <c r="L688" s="1">
        <f t="shared" si="42"/>
        <v>0</v>
      </c>
      <c r="M688" s="1">
        <f t="shared" si="43"/>
        <v>0</v>
      </c>
      <c r="N688" s="1">
        <f t="shared" si="44"/>
        <v>0</v>
      </c>
      <c r="O688" s="1"/>
    </row>
    <row r="689" spans="1:15" x14ac:dyDescent="0.25">
      <c r="A689">
        <v>1050</v>
      </c>
      <c r="B689">
        <v>116456.36079999999</v>
      </c>
      <c r="C689">
        <v>0</v>
      </c>
      <c r="D689">
        <v>703984.69220000005</v>
      </c>
      <c r="E689">
        <v>0</v>
      </c>
      <c r="F689">
        <v>1359188.3929999999</v>
      </c>
      <c r="G689">
        <v>0</v>
      </c>
      <c r="H689">
        <v>1050</v>
      </c>
      <c r="I689" t="str">
        <f t="shared" si="41"/>
        <v>YES</v>
      </c>
      <c r="J689" t="s">
        <v>695</v>
      </c>
      <c r="K689">
        <v>51132.117969899999</v>
      </c>
      <c r="L689" s="1">
        <f t="shared" si="42"/>
        <v>0</v>
      </c>
      <c r="M689" s="1">
        <f t="shared" si="43"/>
        <v>0</v>
      </c>
      <c r="N689" s="1">
        <f t="shared" si="44"/>
        <v>0</v>
      </c>
      <c r="O689" s="1"/>
    </row>
    <row r="690" spans="1:15" x14ac:dyDescent="0.25">
      <c r="A690">
        <v>1051</v>
      </c>
      <c r="B690">
        <v>66854.338399999993</v>
      </c>
      <c r="C690">
        <v>0</v>
      </c>
      <c r="D690">
        <v>162546.86429999999</v>
      </c>
      <c r="E690">
        <v>0</v>
      </c>
      <c r="F690">
        <v>823976.64720000001</v>
      </c>
      <c r="G690">
        <v>0</v>
      </c>
      <c r="H690">
        <v>1051</v>
      </c>
      <c r="I690" t="str">
        <f t="shared" si="41"/>
        <v>YES</v>
      </c>
      <c r="J690" t="s">
        <v>696</v>
      </c>
      <c r="K690">
        <v>547205.45352500002</v>
      </c>
      <c r="L690" s="1">
        <f t="shared" si="42"/>
        <v>0</v>
      </c>
      <c r="M690" s="1">
        <f t="shared" si="43"/>
        <v>0</v>
      </c>
      <c r="N690" s="1">
        <f t="shared" si="44"/>
        <v>0</v>
      </c>
      <c r="O690" s="1"/>
    </row>
    <row r="691" spans="1:15" x14ac:dyDescent="0.25">
      <c r="A691">
        <v>1052</v>
      </c>
      <c r="B691">
        <v>93658.881469999993</v>
      </c>
      <c r="C691">
        <v>0</v>
      </c>
      <c r="D691">
        <v>620315.1925</v>
      </c>
      <c r="E691">
        <v>0</v>
      </c>
      <c r="F691">
        <v>1286554.51</v>
      </c>
      <c r="G691">
        <v>0</v>
      </c>
      <c r="H691">
        <v>1052</v>
      </c>
      <c r="I691" t="str">
        <f t="shared" si="41"/>
        <v>YES</v>
      </c>
      <c r="J691" t="s">
        <v>697</v>
      </c>
      <c r="K691">
        <v>86733.725649900007</v>
      </c>
      <c r="L691" s="1">
        <f t="shared" si="42"/>
        <v>0</v>
      </c>
      <c r="M691" s="1">
        <f t="shared" si="43"/>
        <v>0</v>
      </c>
      <c r="N691" s="1">
        <f t="shared" si="44"/>
        <v>0</v>
      </c>
      <c r="O691" s="1"/>
    </row>
    <row r="692" spans="1:15" x14ac:dyDescent="0.25">
      <c r="A692">
        <v>1053</v>
      </c>
      <c r="B692">
        <v>108129.7316</v>
      </c>
      <c r="C692">
        <v>0</v>
      </c>
      <c r="D692">
        <v>608709.02450000006</v>
      </c>
      <c r="E692">
        <v>0</v>
      </c>
      <c r="F692">
        <v>1287319.922</v>
      </c>
      <c r="G692">
        <v>0</v>
      </c>
      <c r="H692">
        <v>1053</v>
      </c>
      <c r="I692" t="str">
        <f t="shared" si="41"/>
        <v>YES</v>
      </c>
      <c r="J692" t="s">
        <v>698</v>
      </c>
      <c r="K692">
        <v>85431.144726700004</v>
      </c>
      <c r="L692" s="1">
        <f t="shared" si="42"/>
        <v>0</v>
      </c>
      <c r="M692" s="1">
        <f t="shared" si="43"/>
        <v>0</v>
      </c>
      <c r="N692" s="1">
        <f t="shared" si="44"/>
        <v>0</v>
      </c>
      <c r="O692" s="1"/>
    </row>
    <row r="693" spans="1:15" x14ac:dyDescent="0.25">
      <c r="A693">
        <v>1054</v>
      </c>
      <c r="B693">
        <v>92655.147379999995</v>
      </c>
      <c r="C693">
        <v>0</v>
      </c>
      <c r="D693">
        <v>602755.85939999996</v>
      </c>
      <c r="E693">
        <v>0</v>
      </c>
      <c r="F693">
        <v>1275241.5759999999</v>
      </c>
      <c r="G693">
        <v>0</v>
      </c>
      <c r="H693">
        <v>1054</v>
      </c>
      <c r="I693" t="str">
        <f t="shared" si="41"/>
        <v>YES</v>
      </c>
      <c r="J693" t="s">
        <v>699</v>
      </c>
      <c r="K693">
        <v>67697.422721099996</v>
      </c>
      <c r="L693" s="1">
        <f t="shared" si="42"/>
        <v>0</v>
      </c>
      <c r="M693" s="1">
        <f t="shared" si="43"/>
        <v>0</v>
      </c>
      <c r="N693" s="1">
        <f t="shared" si="44"/>
        <v>0</v>
      </c>
      <c r="O693" s="1"/>
    </row>
    <row r="694" spans="1:15" x14ac:dyDescent="0.25">
      <c r="A694">
        <v>1055</v>
      </c>
      <c r="B694">
        <v>148631.08720000001</v>
      </c>
      <c r="C694">
        <v>0</v>
      </c>
      <c r="D694">
        <v>820261.23160000006</v>
      </c>
      <c r="E694">
        <v>0</v>
      </c>
      <c r="F694">
        <v>1544090.405</v>
      </c>
      <c r="G694">
        <v>0</v>
      </c>
      <c r="H694">
        <v>1055</v>
      </c>
      <c r="I694" t="str">
        <f t="shared" si="41"/>
        <v>YES</v>
      </c>
      <c r="J694" t="s">
        <v>700</v>
      </c>
      <c r="K694">
        <v>53897.191500300003</v>
      </c>
      <c r="L694" s="1">
        <f t="shared" si="42"/>
        <v>0</v>
      </c>
      <c r="M694" s="1">
        <f t="shared" si="43"/>
        <v>0</v>
      </c>
      <c r="N694" s="1">
        <f t="shared" si="44"/>
        <v>0</v>
      </c>
      <c r="O694" s="1"/>
    </row>
    <row r="695" spans="1:15" x14ac:dyDescent="0.25">
      <c r="A695">
        <v>1056</v>
      </c>
      <c r="B695">
        <v>95825.518819999998</v>
      </c>
      <c r="C695">
        <v>0</v>
      </c>
      <c r="D695">
        <v>418750.36570000002</v>
      </c>
      <c r="E695">
        <v>0</v>
      </c>
      <c r="F695">
        <v>1177859.8829999999</v>
      </c>
      <c r="G695">
        <v>0</v>
      </c>
      <c r="H695">
        <v>1056</v>
      </c>
      <c r="I695" t="str">
        <f t="shared" si="41"/>
        <v>YES</v>
      </c>
      <c r="J695" t="s">
        <v>701</v>
      </c>
      <c r="K695">
        <v>344678.40487899998</v>
      </c>
      <c r="L695" s="1">
        <f t="shared" si="42"/>
        <v>0</v>
      </c>
      <c r="M695" s="1">
        <f t="shared" si="43"/>
        <v>0</v>
      </c>
      <c r="N695" s="1">
        <f t="shared" si="44"/>
        <v>0</v>
      </c>
      <c r="O695" s="1"/>
    </row>
    <row r="696" spans="1:15" x14ac:dyDescent="0.25">
      <c r="A696">
        <v>1057</v>
      </c>
      <c r="B696">
        <v>126922.6238</v>
      </c>
      <c r="C696">
        <v>0</v>
      </c>
      <c r="D696">
        <v>522186.91159999999</v>
      </c>
      <c r="E696">
        <v>0</v>
      </c>
      <c r="F696">
        <v>1377311.9450000001</v>
      </c>
      <c r="G696">
        <v>0</v>
      </c>
      <c r="H696">
        <v>1057</v>
      </c>
      <c r="I696" t="str">
        <f t="shared" si="41"/>
        <v>YES</v>
      </c>
      <c r="J696" t="s">
        <v>702</v>
      </c>
      <c r="K696">
        <v>77315.706718300004</v>
      </c>
      <c r="L696" s="1">
        <f t="shared" si="42"/>
        <v>0</v>
      </c>
      <c r="M696" s="1">
        <f t="shared" si="43"/>
        <v>0</v>
      </c>
      <c r="N696" s="1">
        <f t="shared" si="44"/>
        <v>0</v>
      </c>
      <c r="O696" s="1"/>
    </row>
    <row r="697" spans="1:15" x14ac:dyDescent="0.25">
      <c r="A697">
        <v>1058</v>
      </c>
      <c r="B697">
        <v>110225.30070000001</v>
      </c>
      <c r="C697">
        <v>0</v>
      </c>
      <c r="D697">
        <v>563009.9301</v>
      </c>
      <c r="E697">
        <v>0</v>
      </c>
      <c r="F697">
        <v>1313881.5789999999</v>
      </c>
      <c r="G697">
        <v>0</v>
      </c>
      <c r="H697">
        <v>1058</v>
      </c>
      <c r="I697" t="str">
        <f t="shared" si="41"/>
        <v>YES</v>
      </c>
      <c r="J697" t="s">
        <v>703</v>
      </c>
      <c r="K697">
        <v>109789.448699</v>
      </c>
      <c r="L697" s="1">
        <f t="shared" si="42"/>
        <v>0</v>
      </c>
      <c r="M697" s="1">
        <f t="shared" si="43"/>
        <v>0</v>
      </c>
      <c r="N697" s="1">
        <f t="shared" si="44"/>
        <v>0</v>
      </c>
      <c r="O697" s="1"/>
    </row>
    <row r="698" spans="1:15" x14ac:dyDescent="0.25">
      <c r="A698">
        <v>1059</v>
      </c>
      <c r="B698">
        <v>146307.30869999999</v>
      </c>
      <c r="C698">
        <v>0</v>
      </c>
      <c r="D698">
        <v>740863.64419999998</v>
      </c>
      <c r="E698">
        <v>0</v>
      </c>
      <c r="F698">
        <v>1457460.057</v>
      </c>
      <c r="G698">
        <v>0</v>
      </c>
      <c r="H698">
        <v>1059</v>
      </c>
      <c r="I698" t="str">
        <f t="shared" si="41"/>
        <v>YES</v>
      </c>
      <c r="J698" t="s">
        <v>704</v>
      </c>
      <c r="K698">
        <v>75871.998552399993</v>
      </c>
      <c r="L698" s="1">
        <f t="shared" si="42"/>
        <v>0</v>
      </c>
      <c r="M698" s="1">
        <f t="shared" si="43"/>
        <v>0</v>
      </c>
      <c r="N698" s="1">
        <f t="shared" si="44"/>
        <v>0</v>
      </c>
      <c r="O698" s="1"/>
    </row>
    <row r="699" spans="1:15" x14ac:dyDescent="0.25">
      <c r="A699">
        <v>1060</v>
      </c>
      <c r="B699">
        <v>77207.347819999995</v>
      </c>
      <c r="C699">
        <v>0</v>
      </c>
      <c r="D699">
        <v>221725.6685</v>
      </c>
      <c r="E699">
        <v>0</v>
      </c>
      <c r="F699">
        <v>1006900.492</v>
      </c>
      <c r="G699">
        <v>0</v>
      </c>
      <c r="H699">
        <v>1060</v>
      </c>
      <c r="I699" t="str">
        <f t="shared" si="41"/>
        <v>YES</v>
      </c>
      <c r="J699" t="s">
        <v>705</v>
      </c>
      <c r="K699">
        <v>301706.75526599999</v>
      </c>
      <c r="L699" s="1">
        <f t="shared" si="42"/>
        <v>0</v>
      </c>
      <c r="M699" s="1">
        <f t="shared" si="43"/>
        <v>0</v>
      </c>
      <c r="N699" s="1">
        <f t="shared" si="44"/>
        <v>0</v>
      </c>
      <c r="O699" s="1"/>
    </row>
    <row r="700" spans="1:15" x14ac:dyDescent="0.25">
      <c r="A700">
        <v>1061</v>
      </c>
      <c r="B700">
        <v>85316.493549999999</v>
      </c>
      <c r="C700">
        <v>0</v>
      </c>
      <c r="D700">
        <v>225399.47700000001</v>
      </c>
      <c r="E700">
        <v>0</v>
      </c>
      <c r="F700">
        <v>968265.29799999995</v>
      </c>
      <c r="G700">
        <v>0</v>
      </c>
      <c r="H700">
        <v>1061</v>
      </c>
      <c r="I700" t="str">
        <f t="shared" si="41"/>
        <v>YES</v>
      </c>
      <c r="J700" t="s">
        <v>706</v>
      </c>
      <c r="K700">
        <v>383328.79695300001</v>
      </c>
      <c r="L700" s="1">
        <f t="shared" si="42"/>
        <v>0</v>
      </c>
      <c r="M700" s="1">
        <f t="shared" si="43"/>
        <v>0</v>
      </c>
      <c r="N700" s="1">
        <f t="shared" si="44"/>
        <v>0</v>
      </c>
      <c r="O700" s="1"/>
    </row>
    <row r="701" spans="1:15" x14ac:dyDescent="0.25">
      <c r="A701">
        <v>1062</v>
      </c>
      <c r="B701">
        <v>97162.754560000001</v>
      </c>
      <c r="C701">
        <v>0</v>
      </c>
      <c r="D701">
        <v>307312.36310000002</v>
      </c>
      <c r="E701">
        <v>0</v>
      </c>
      <c r="F701">
        <v>1189617.3060000001</v>
      </c>
      <c r="G701">
        <v>0</v>
      </c>
      <c r="H701">
        <v>1062</v>
      </c>
      <c r="I701" t="str">
        <f t="shared" si="41"/>
        <v>YES</v>
      </c>
      <c r="J701" t="s">
        <v>707</v>
      </c>
      <c r="K701">
        <v>120060.96427500001</v>
      </c>
      <c r="L701" s="1">
        <f t="shared" si="42"/>
        <v>0</v>
      </c>
      <c r="M701" s="1">
        <f t="shared" si="43"/>
        <v>0</v>
      </c>
      <c r="N701" s="1">
        <f t="shared" si="44"/>
        <v>0</v>
      </c>
      <c r="O701" s="1"/>
    </row>
    <row r="702" spans="1:15" x14ac:dyDescent="0.25">
      <c r="A702">
        <v>1063</v>
      </c>
      <c r="B702">
        <v>67267.352530000004</v>
      </c>
      <c r="C702">
        <v>0</v>
      </c>
      <c r="D702">
        <v>207589.0116</v>
      </c>
      <c r="E702">
        <v>0</v>
      </c>
      <c r="F702">
        <v>947457.81460000004</v>
      </c>
      <c r="G702">
        <v>0</v>
      </c>
      <c r="H702">
        <v>1063</v>
      </c>
      <c r="I702" t="str">
        <f t="shared" si="41"/>
        <v>YES</v>
      </c>
      <c r="J702" t="s">
        <v>708</v>
      </c>
      <c r="K702">
        <v>329486.19513599999</v>
      </c>
      <c r="L702" s="1">
        <f t="shared" si="42"/>
        <v>0</v>
      </c>
      <c r="M702" s="1">
        <f t="shared" si="43"/>
        <v>0</v>
      </c>
      <c r="N702" s="1">
        <f t="shared" si="44"/>
        <v>0</v>
      </c>
      <c r="O702" s="1"/>
    </row>
    <row r="703" spans="1:15" x14ac:dyDescent="0.25">
      <c r="A703">
        <v>1064</v>
      </c>
      <c r="B703">
        <v>66058.996440000003</v>
      </c>
      <c r="C703">
        <v>0</v>
      </c>
      <c r="D703">
        <v>205201.557</v>
      </c>
      <c r="E703">
        <v>0</v>
      </c>
      <c r="F703">
        <v>913588.90700000001</v>
      </c>
      <c r="G703">
        <v>0</v>
      </c>
      <c r="H703">
        <v>1064</v>
      </c>
      <c r="I703" t="str">
        <f t="shared" si="41"/>
        <v>YES</v>
      </c>
      <c r="J703" t="s">
        <v>709</v>
      </c>
      <c r="K703">
        <v>147740.64118499999</v>
      </c>
      <c r="L703" s="1">
        <f t="shared" si="42"/>
        <v>0</v>
      </c>
      <c r="M703" s="1">
        <f t="shared" si="43"/>
        <v>0</v>
      </c>
      <c r="N703" s="1">
        <f t="shared" si="44"/>
        <v>0</v>
      </c>
      <c r="O703" s="1"/>
    </row>
    <row r="704" spans="1:15" x14ac:dyDescent="0.25">
      <c r="A704">
        <v>1065</v>
      </c>
      <c r="B704">
        <v>73454.924440000003</v>
      </c>
      <c r="C704">
        <v>0</v>
      </c>
      <c r="D704">
        <v>245110.3321</v>
      </c>
      <c r="E704">
        <v>0</v>
      </c>
      <c r="F704">
        <v>1015040.48</v>
      </c>
      <c r="G704">
        <v>0</v>
      </c>
      <c r="H704">
        <v>1065</v>
      </c>
      <c r="I704" t="str">
        <f t="shared" si="41"/>
        <v>YES</v>
      </c>
      <c r="J704" t="s">
        <v>710</v>
      </c>
      <c r="K704">
        <v>129743.52716300001</v>
      </c>
      <c r="L704" s="1">
        <f t="shared" si="42"/>
        <v>0</v>
      </c>
      <c r="M704" s="1">
        <f t="shared" si="43"/>
        <v>0</v>
      </c>
      <c r="N704" s="1">
        <f t="shared" si="44"/>
        <v>0</v>
      </c>
      <c r="O704" s="1"/>
    </row>
    <row r="705" spans="1:15" x14ac:dyDescent="0.25">
      <c r="A705">
        <v>1066</v>
      </c>
      <c r="B705">
        <v>56402.918449999997</v>
      </c>
      <c r="C705">
        <v>0</v>
      </c>
      <c r="D705">
        <v>180108.90429999999</v>
      </c>
      <c r="E705">
        <v>0</v>
      </c>
      <c r="F705">
        <v>774322.48609999998</v>
      </c>
      <c r="G705">
        <v>0</v>
      </c>
      <c r="H705">
        <v>1066</v>
      </c>
      <c r="I705" t="str">
        <f t="shared" si="41"/>
        <v>YES</v>
      </c>
      <c r="J705" t="s">
        <v>711</v>
      </c>
      <c r="K705">
        <v>312357.45321800001</v>
      </c>
      <c r="L705" s="1">
        <f t="shared" si="42"/>
        <v>0</v>
      </c>
      <c r="M705" s="1">
        <f t="shared" si="43"/>
        <v>0</v>
      </c>
      <c r="N705" s="1">
        <f t="shared" si="44"/>
        <v>0</v>
      </c>
      <c r="O705" s="1"/>
    </row>
    <row r="706" spans="1:15" x14ac:dyDescent="0.25">
      <c r="A706">
        <v>1067</v>
      </c>
      <c r="B706">
        <v>57423.813199999997</v>
      </c>
      <c r="C706">
        <v>0</v>
      </c>
      <c r="D706">
        <v>170447.24830000001</v>
      </c>
      <c r="E706">
        <v>0</v>
      </c>
      <c r="F706">
        <v>514139.63010000001</v>
      </c>
      <c r="G706">
        <v>0</v>
      </c>
      <c r="H706">
        <v>1067</v>
      </c>
      <c r="I706" t="str">
        <f t="shared" ref="I706:I769" si="45">IF(A706=H706,"YES","NO")</f>
        <v>YES</v>
      </c>
      <c r="J706" t="s">
        <v>712</v>
      </c>
      <c r="K706">
        <v>347132.62285799999</v>
      </c>
      <c r="L706" s="1">
        <f t="shared" si="42"/>
        <v>0</v>
      </c>
      <c r="M706" s="1">
        <f t="shared" si="43"/>
        <v>0</v>
      </c>
      <c r="N706" s="1">
        <f t="shared" si="44"/>
        <v>0</v>
      </c>
      <c r="O706" s="1"/>
    </row>
    <row r="707" spans="1:15" x14ac:dyDescent="0.25">
      <c r="A707">
        <v>1068</v>
      </c>
      <c r="B707">
        <v>10124.45253</v>
      </c>
      <c r="C707">
        <v>0</v>
      </c>
      <c r="D707">
        <v>93201.191940000004</v>
      </c>
      <c r="E707">
        <v>0</v>
      </c>
      <c r="F707">
        <v>234143.57740000001</v>
      </c>
      <c r="G707">
        <v>0</v>
      </c>
      <c r="H707">
        <v>1068</v>
      </c>
      <c r="I707" t="str">
        <f t="shared" si="45"/>
        <v>YES</v>
      </c>
      <c r="J707" t="s">
        <v>713</v>
      </c>
      <c r="K707">
        <v>983029.403972</v>
      </c>
      <c r="L707" s="1">
        <f t="shared" ref="L707:L770" si="46">$U$2*$K707*C707</f>
        <v>0</v>
      </c>
      <c r="M707" s="1">
        <f t="shared" ref="M707:M770" si="47">$U$3*$K707*E707</f>
        <v>0</v>
      </c>
      <c r="N707" s="1">
        <f t="shared" ref="N707:N770" si="48">$U$4*$K707*G707</f>
        <v>0</v>
      </c>
      <c r="O707" s="1"/>
    </row>
    <row r="708" spans="1:15" x14ac:dyDescent="0.25">
      <c r="A708">
        <v>1069</v>
      </c>
      <c r="B708">
        <v>68965.069080000001</v>
      </c>
      <c r="C708">
        <v>0</v>
      </c>
      <c r="D708">
        <v>235276.4988</v>
      </c>
      <c r="E708">
        <v>0</v>
      </c>
      <c r="F708">
        <v>938367.59849999996</v>
      </c>
      <c r="G708">
        <v>0</v>
      </c>
      <c r="H708">
        <v>1069</v>
      </c>
      <c r="I708" t="str">
        <f t="shared" si="45"/>
        <v>YES</v>
      </c>
      <c r="J708" t="s">
        <v>714</v>
      </c>
      <c r="K708">
        <v>138733.867623</v>
      </c>
      <c r="L708" s="1">
        <f t="shared" si="46"/>
        <v>0</v>
      </c>
      <c r="M708" s="1">
        <f t="shared" si="47"/>
        <v>0</v>
      </c>
      <c r="N708" s="1">
        <f t="shared" si="48"/>
        <v>0</v>
      </c>
      <c r="O708" s="1"/>
    </row>
    <row r="709" spans="1:15" x14ac:dyDescent="0.25">
      <c r="A709">
        <v>1070</v>
      </c>
      <c r="B709">
        <v>35384.525130000002</v>
      </c>
      <c r="C709">
        <v>0</v>
      </c>
      <c r="D709">
        <v>130584.8165</v>
      </c>
      <c r="E709">
        <v>0</v>
      </c>
      <c r="F709">
        <v>335645.84409999999</v>
      </c>
      <c r="G709">
        <v>0</v>
      </c>
      <c r="H709">
        <v>1070</v>
      </c>
      <c r="I709" t="str">
        <f t="shared" si="45"/>
        <v>YES</v>
      </c>
      <c r="J709" t="s">
        <v>715</v>
      </c>
      <c r="K709">
        <v>271800.31900199997</v>
      </c>
      <c r="L709" s="1">
        <f t="shared" si="46"/>
        <v>0</v>
      </c>
      <c r="M709" s="1">
        <f t="shared" si="47"/>
        <v>0</v>
      </c>
      <c r="N709" s="1">
        <f t="shared" si="48"/>
        <v>0</v>
      </c>
      <c r="O709" s="1"/>
    </row>
    <row r="710" spans="1:15" x14ac:dyDescent="0.25">
      <c r="A710">
        <v>1071</v>
      </c>
      <c r="B710">
        <v>6178.7281759999996</v>
      </c>
      <c r="C710">
        <v>0</v>
      </c>
      <c r="D710">
        <v>21343.108530000001</v>
      </c>
      <c r="E710">
        <v>0</v>
      </c>
      <c r="F710">
        <v>109862.7904</v>
      </c>
      <c r="G710">
        <v>0</v>
      </c>
      <c r="H710">
        <v>1071</v>
      </c>
      <c r="I710" t="str">
        <f t="shared" si="45"/>
        <v>YES</v>
      </c>
      <c r="J710" t="s">
        <v>716</v>
      </c>
      <c r="K710">
        <v>451611.74118999997</v>
      </c>
      <c r="L710" s="1">
        <f t="shared" si="46"/>
        <v>0</v>
      </c>
      <c r="M710" s="1">
        <f t="shared" si="47"/>
        <v>0</v>
      </c>
      <c r="N710" s="1">
        <f t="shared" si="48"/>
        <v>0</v>
      </c>
      <c r="O710" s="1"/>
    </row>
    <row r="711" spans="1:15" x14ac:dyDescent="0.25">
      <c r="A711">
        <v>1072</v>
      </c>
      <c r="B711">
        <v>52835.724439999998</v>
      </c>
      <c r="C711">
        <v>0</v>
      </c>
      <c r="D711">
        <v>138681.6709</v>
      </c>
      <c r="E711">
        <v>0</v>
      </c>
      <c r="F711">
        <v>522728.07040000003</v>
      </c>
      <c r="G711">
        <v>0</v>
      </c>
      <c r="H711">
        <v>1072</v>
      </c>
      <c r="I711" t="str">
        <f t="shared" si="45"/>
        <v>YES</v>
      </c>
      <c r="J711" t="s">
        <v>717</v>
      </c>
      <c r="K711">
        <v>274156.30822000001</v>
      </c>
      <c r="L711" s="1">
        <f t="shared" si="46"/>
        <v>0</v>
      </c>
      <c r="M711" s="1">
        <f t="shared" si="47"/>
        <v>0</v>
      </c>
      <c r="N711" s="1">
        <f t="shared" si="48"/>
        <v>0</v>
      </c>
      <c r="O711" s="1"/>
    </row>
    <row r="712" spans="1:15" x14ac:dyDescent="0.25">
      <c r="A712">
        <v>1073</v>
      </c>
      <c r="B712">
        <v>73372.349629999997</v>
      </c>
      <c r="C712">
        <v>0</v>
      </c>
      <c r="D712">
        <v>265770.93310000002</v>
      </c>
      <c r="E712">
        <v>0</v>
      </c>
      <c r="F712">
        <v>1007351.741</v>
      </c>
      <c r="G712">
        <v>0</v>
      </c>
      <c r="H712">
        <v>1073</v>
      </c>
      <c r="I712" t="str">
        <f t="shared" si="45"/>
        <v>YES</v>
      </c>
      <c r="J712" t="s">
        <v>718</v>
      </c>
      <c r="K712">
        <v>36970.5186521</v>
      </c>
      <c r="L712" s="1">
        <f t="shared" si="46"/>
        <v>0</v>
      </c>
      <c r="M712" s="1">
        <f t="shared" si="47"/>
        <v>0</v>
      </c>
      <c r="N712" s="1">
        <f t="shared" si="48"/>
        <v>0</v>
      </c>
      <c r="O712" s="1"/>
    </row>
    <row r="713" spans="1:15" x14ac:dyDescent="0.25">
      <c r="A713">
        <v>1074</v>
      </c>
      <c r="B713">
        <v>88433.290569999997</v>
      </c>
      <c r="C713">
        <v>0</v>
      </c>
      <c r="D713">
        <v>596221.74569999997</v>
      </c>
      <c r="E713">
        <v>0</v>
      </c>
      <c r="F713">
        <v>1253946.916</v>
      </c>
      <c r="G713">
        <v>0</v>
      </c>
      <c r="H713">
        <v>1074</v>
      </c>
      <c r="I713" t="str">
        <f t="shared" si="45"/>
        <v>YES</v>
      </c>
      <c r="J713" t="s">
        <v>719</v>
      </c>
      <c r="K713">
        <v>47318.775320599998</v>
      </c>
      <c r="L713" s="1">
        <f t="shared" si="46"/>
        <v>0</v>
      </c>
      <c r="M713" s="1">
        <f t="shared" si="47"/>
        <v>0</v>
      </c>
      <c r="N713" s="1">
        <f t="shared" si="48"/>
        <v>0</v>
      </c>
      <c r="O713" s="1"/>
    </row>
    <row r="714" spans="1:15" x14ac:dyDescent="0.25">
      <c r="A714">
        <v>1075</v>
      </c>
      <c r="B714">
        <v>15819.99323</v>
      </c>
      <c r="C714">
        <v>0</v>
      </c>
      <c r="D714">
        <v>130342.8303</v>
      </c>
      <c r="E714">
        <v>0</v>
      </c>
      <c r="F714">
        <v>279683.3273</v>
      </c>
      <c r="G714">
        <v>0</v>
      </c>
      <c r="H714">
        <v>1075</v>
      </c>
      <c r="I714" t="str">
        <f t="shared" si="45"/>
        <v>YES</v>
      </c>
      <c r="J714" t="s">
        <v>720</v>
      </c>
      <c r="K714">
        <v>698285.130856</v>
      </c>
      <c r="L714" s="1">
        <f t="shared" si="46"/>
        <v>0</v>
      </c>
      <c r="M714" s="1">
        <f t="shared" si="47"/>
        <v>0</v>
      </c>
      <c r="N714" s="1">
        <f t="shared" si="48"/>
        <v>0</v>
      </c>
      <c r="O714" s="1"/>
    </row>
    <row r="715" spans="1:15" x14ac:dyDescent="0.25">
      <c r="A715">
        <v>1076</v>
      </c>
      <c r="B715">
        <v>23782.44483</v>
      </c>
      <c r="C715">
        <v>0</v>
      </c>
      <c r="D715">
        <v>159314.40030000001</v>
      </c>
      <c r="E715">
        <v>0</v>
      </c>
      <c r="F715">
        <v>562664.36800000002</v>
      </c>
      <c r="G715">
        <v>0</v>
      </c>
      <c r="H715">
        <v>1076</v>
      </c>
      <c r="I715" t="str">
        <f t="shared" si="45"/>
        <v>YES</v>
      </c>
      <c r="J715" t="s">
        <v>721</v>
      </c>
      <c r="K715">
        <v>1121578.7123</v>
      </c>
      <c r="L715" s="1">
        <f t="shared" si="46"/>
        <v>0</v>
      </c>
      <c r="M715" s="1">
        <f t="shared" si="47"/>
        <v>0</v>
      </c>
      <c r="N715" s="1">
        <f t="shared" si="48"/>
        <v>0</v>
      </c>
      <c r="O715" s="1"/>
    </row>
    <row r="716" spans="1:15" x14ac:dyDescent="0.25">
      <c r="A716">
        <v>1077</v>
      </c>
      <c r="B716">
        <v>25795.031200000001</v>
      </c>
      <c r="C716">
        <v>0</v>
      </c>
      <c r="D716">
        <v>113909.318</v>
      </c>
      <c r="E716">
        <v>0</v>
      </c>
      <c r="F716">
        <v>264526.60330000002</v>
      </c>
      <c r="G716">
        <v>0</v>
      </c>
      <c r="H716">
        <v>1077</v>
      </c>
      <c r="I716" t="str">
        <f t="shared" si="45"/>
        <v>YES</v>
      </c>
      <c r="J716" t="s">
        <v>722</v>
      </c>
      <c r="K716">
        <v>1169546.1000900001</v>
      </c>
      <c r="L716" s="1">
        <f t="shared" si="46"/>
        <v>0</v>
      </c>
      <c r="M716" s="1">
        <f t="shared" si="47"/>
        <v>0</v>
      </c>
      <c r="N716" s="1">
        <f t="shared" si="48"/>
        <v>0</v>
      </c>
      <c r="O716" s="1"/>
    </row>
    <row r="717" spans="1:15" x14ac:dyDescent="0.25">
      <c r="A717">
        <v>1078</v>
      </c>
      <c r="B717">
        <v>10063.02952</v>
      </c>
      <c r="C717">
        <v>0</v>
      </c>
      <c r="D717">
        <v>75941.798259999996</v>
      </c>
      <c r="E717">
        <v>0</v>
      </c>
      <c r="F717">
        <v>208715.1299</v>
      </c>
      <c r="G717">
        <v>0</v>
      </c>
      <c r="H717">
        <v>1078</v>
      </c>
      <c r="I717" t="str">
        <f t="shared" si="45"/>
        <v>YES</v>
      </c>
      <c r="J717" t="s">
        <v>723</v>
      </c>
      <c r="K717">
        <v>661281.87867300003</v>
      </c>
      <c r="L717" s="1">
        <f t="shared" si="46"/>
        <v>0</v>
      </c>
      <c r="M717" s="1">
        <f t="shared" si="47"/>
        <v>0</v>
      </c>
      <c r="N717" s="1">
        <f t="shared" si="48"/>
        <v>0</v>
      </c>
      <c r="O717" s="1"/>
    </row>
    <row r="718" spans="1:15" x14ac:dyDescent="0.25">
      <c r="A718">
        <v>1079</v>
      </c>
      <c r="B718">
        <v>17015.85571</v>
      </c>
      <c r="C718">
        <v>0</v>
      </c>
      <c r="D718">
        <v>128298.0906</v>
      </c>
      <c r="E718">
        <v>0</v>
      </c>
      <c r="F718">
        <v>285622.25660000002</v>
      </c>
      <c r="G718">
        <v>0</v>
      </c>
      <c r="H718">
        <v>1079</v>
      </c>
      <c r="I718" t="str">
        <f t="shared" si="45"/>
        <v>YES</v>
      </c>
      <c r="J718" t="s">
        <v>724</v>
      </c>
      <c r="K718">
        <v>539915.87593600003</v>
      </c>
      <c r="L718" s="1">
        <f t="shared" si="46"/>
        <v>0</v>
      </c>
      <c r="M718" s="1">
        <f t="shared" si="47"/>
        <v>0</v>
      </c>
      <c r="N718" s="1">
        <f t="shared" si="48"/>
        <v>0</v>
      </c>
      <c r="O718" s="1"/>
    </row>
    <row r="719" spans="1:15" x14ac:dyDescent="0.25">
      <c r="A719">
        <v>1080</v>
      </c>
      <c r="B719">
        <v>2587.7971010000001</v>
      </c>
      <c r="C719">
        <v>0</v>
      </c>
      <c r="D719">
        <v>63376.765050000002</v>
      </c>
      <c r="E719">
        <v>0</v>
      </c>
      <c r="F719">
        <v>189396.8836</v>
      </c>
      <c r="G719">
        <v>0</v>
      </c>
      <c r="H719">
        <v>1080</v>
      </c>
      <c r="I719" t="str">
        <f t="shared" si="45"/>
        <v>YES</v>
      </c>
      <c r="J719" t="s">
        <v>725</v>
      </c>
      <c r="K719">
        <v>699131.25327900006</v>
      </c>
      <c r="L719" s="1">
        <f t="shared" si="46"/>
        <v>0</v>
      </c>
      <c r="M719" s="1">
        <f t="shared" si="47"/>
        <v>0</v>
      </c>
      <c r="N719" s="1">
        <f t="shared" si="48"/>
        <v>0</v>
      </c>
      <c r="O719" s="1"/>
    </row>
    <row r="720" spans="1:15" x14ac:dyDescent="0.25">
      <c r="A720">
        <v>1081</v>
      </c>
      <c r="B720">
        <v>29735.580539999999</v>
      </c>
      <c r="C720">
        <v>0</v>
      </c>
      <c r="D720">
        <v>133878.90820000001</v>
      </c>
      <c r="E720">
        <v>0</v>
      </c>
      <c r="F720">
        <v>301886.30540000001</v>
      </c>
      <c r="G720">
        <v>0</v>
      </c>
      <c r="H720">
        <v>1081</v>
      </c>
      <c r="I720" t="str">
        <f t="shared" si="45"/>
        <v>YES</v>
      </c>
      <c r="J720" t="s">
        <v>726</v>
      </c>
      <c r="K720">
        <v>626831.86152000003</v>
      </c>
      <c r="L720" s="1">
        <f t="shared" si="46"/>
        <v>0</v>
      </c>
      <c r="M720" s="1">
        <f t="shared" si="47"/>
        <v>0</v>
      </c>
      <c r="N720" s="1">
        <f t="shared" si="48"/>
        <v>0</v>
      </c>
      <c r="O720" s="1"/>
    </row>
    <row r="721" spans="1:15" x14ac:dyDescent="0.25">
      <c r="A721">
        <v>1082</v>
      </c>
      <c r="B721">
        <v>13667.93916</v>
      </c>
      <c r="C721">
        <v>0</v>
      </c>
      <c r="D721">
        <v>130613.35520000001</v>
      </c>
      <c r="E721">
        <v>0</v>
      </c>
      <c r="F721">
        <v>439069.88179999997</v>
      </c>
      <c r="G721">
        <v>0</v>
      </c>
      <c r="H721">
        <v>1082</v>
      </c>
      <c r="I721" t="str">
        <f t="shared" si="45"/>
        <v>YES</v>
      </c>
      <c r="J721" t="s">
        <v>727</v>
      </c>
      <c r="K721">
        <v>567137.44309299998</v>
      </c>
      <c r="L721" s="1">
        <f t="shared" si="46"/>
        <v>0</v>
      </c>
      <c r="M721" s="1">
        <f t="shared" si="47"/>
        <v>0</v>
      </c>
      <c r="N721" s="1">
        <f t="shared" si="48"/>
        <v>0</v>
      </c>
      <c r="O721" s="1"/>
    </row>
    <row r="722" spans="1:15" x14ac:dyDescent="0.25">
      <c r="A722">
        <v>1083</v>
      </c>
      <c r="B722">
        <v>5342.6659579999996</v>
      </c>
      <c r="C722">
        <v>0</v>
      </c>
      <c r="D722">
        <v>90719.823799999998</v>
      </c>
      <c r="E722">
        <v>0</v>
      </c>
      <c r="F722">
        <v>240505.9798</v>
      </c>
      <c r="G722">
        <v>0</v>
      </c>
      <c r="H722">
        <v>1083</v>
      </c>
      <c r="I722" t="str">
        <f t="shared" si="45"/>
        <v>YES</v>
      </c>
      <c r="J722" t="s">
        <v>728</v>
      </c>
      <c r="K722">
        <v>825904.20736100001</v>
      </c>
      <c r="L722" s="1">
        <f t="shared" si="46"/>
        <v>0</v>
      </c>
      <c r="M722" s="1">
        <f t="shared" si="47"/>
        <v>0</v>
      </c>
      <c r="N722" s="1">
        <f t="shared" si="48"/>
        <v>0</v>
      </c>
      <c r="O722" s="1"/>
    </row>
    <row r="723" spans="1:15" x14ac:dyDescent="0.25">
      <c r="A723">
        <v>1084</v>
      </c>
      <c r="B723">
        <v>42968.029419999999</v>
      </c>
      <c r="C723">
        <v>0</v>
      </c>
      <c r="D723">
        <v>137098.43460000001</v>
      </c>
      <c r="E723">
        <v>0</v>
      </c>
      <c r="F723">
        <v>671734.77619999996</v>
      </c>
      <c r="G723">
        <v>0</v>
      </c>
      <c r="H723">
        <v>1084</v>
      </c>
      <c r="I723" t="str">
        <f t="shared" si="45"/>
        <v>YES</v>
      </c>
      <c r="J723" t="s">
        <v>729</v>
      </c>
      <c r="K723">
        <v>556184.62381400005</v>
      </c>
      <c r="L723" s="1">
        <f t="shared" si="46"/>
        <v>0</v>
      </c>
      <c r="M723" s="1">
        <f t="shared" si="47"/>
        <v>0</v>
      </c>
      <c r="N723" s="1">
        <f t="shared" si="48"/>
        <v>0</v>
      </c>
      <c r="O723" s="1"/>
    </row>
    <row r="724" spans="1:15" x14ac:dyDescent="0.25">
      <c r="A724">
        <v>1085</v>
      </c>
      <c r="B724">
        <v>83164.018209999995</v>
      </c>
      <c r="C724">
        <v>0</v>
      </c>
      <c r="D724">
        <v>402005.64909999998</v>
      </c>
      <c r="E724">
        <v>0</v>
      </c>
      <c r="F724">
        <v>1149879.649</v>
      </c>
      <c r="G724">
        <v>0</v>
      </c>
      <c r="H724">
        <v>1085</v>
      </c>
      <c r="I724" t="str">
        <f t="shared" si="45"/>
        <v>YES</v>
      </c>
      <c r="J724" t="s">
        <v>730</v>
      </c>
      <c r="K724">
        <v>41676.886057700001</v>
      </c>
      <c r="L724" s="1">
        <f t="shared" si="46"/>
        <v>0</v>
      </c>
      <c r="M724" s="1">
        <f t="shared" si="47"/>
        <v>0</v>
      </c>
      <c r="N724" s="1">
        <f t="shared" si="48"/>
        <v>0</v>
      </c>
      <c r="O724" s="1"/>
    </row>
    <row r="725" spans="1:15" x14ac:dyDescent="0.25">
      <c r="A725">
        <v>1087</v>
      </c>
      <c r="B725">
        <v>8995.9721960000006</v>
      </c>
      <c r="C725">
        <v>0</v>
      </c>
      <c r="D725">
        <v>105113.0154</v>
      </c>
      <c r="E725">
        <v>0</v>
      </c>
      <c r="F725">
        <v>302046.60139999999</v>
      </c>
      <c r="G725">
        <v>0</v>
      </c>
      <c r="H725">
        <v>1087</v>
      </c>
      <c r="I725" t="str">
        <f t="shared" si="45"/>
        <v>YES</v>
      </c>
      <c r="J725" t="s">
        <v>731</v>
      </c>
      <c r="K725">
        <v>666899.16447700001</v>
      </c>
      <c r="L725" s="1">
        <f t="shared" si="46"/>
        <v>0</v>
      </c>
      <c r="M725" s="1">
        <f t="shared" si="47"/>
        <v>0</v>
      </c>
      <c r="N725" s="1">
        <f t="shared" si="48"/>
        <v>0</v>
      </c>
      <c r="O725" s="1"/>
    </row>
    <row r="726" spans="1:15" x14ac:dyDescent="0.25">
      <c r="A726">
        <v>1088</v>
      </c>
      <c r="B726">
        <v>22888.5128</v>
      </c>
      <c r="C726">
        <v>0</v>
      </c>
      <c r="D726">
        <v>162301.40700000001</v>
      </c>
      <c r="E726">
        <v>0</v>
      </c>
      <c r="F726">
        <v>516162.69079999998</v>
      </c>
      <c r="G726">
        <v>0</v>
      </c>
      <c r="H726">
        <v>1088</v>
      </c>
      <c r="I726" t="str">
        <f t="shared" si="45"/>
        <v>YES</v>
      </c>
      <c r="J726" t="s">
        <v>732</v>
      </c>
      <c r="K726">
        <v>1606202.38164</v>
      </c>
      <c r="L726" s="1">
        <f t="shared" si="46"/>
        <v>0</v>
      </c>
      <c r="M726" s="1">
        <f t="shared" si="47"/>
        <v>0</v>
      </c>
      <c r="N726" s="1">
        <f t="shared" si="48"/>
        <v>0</v>
      </c>
      <c r="O726" s="1"/>
    </row>
    <row r="727" spans="1:15" x14ac:dyDescent="0.25">
      <c r="A727">
        <v>1089</v>
      </c>
      <c r="B727">
        <v>9321.1290480000007</v>
      </c>
      <c r="C727">
        <v>0</v>
      </c>
      <c r="D727">
        <v>126351.91680000001</v>
      </c>
      <c r="E727">
        <v>0</v>
      </c>
      <c r="F727">
        <v>395033.10350000003</v>
      </c>
      <c r="G727">
        <v>0</v>
      </c>
      <c r="H727">
        <v>1089</v>
      </c>
      <c r="I727" t="str">
        <f t="shared" si="45"/>
        <v>YES</v>
      </c>
      <c r="J727" t="s">
        <v>733</v>
      </c>
      <c r="K727">
        <v>1024030.7204</v>
      </c>
      <c r="L727" s="1">
        <f t="shared" si="46"/>
        <v>0</v>
      </c>
      <c r="M727" s="1">
        <f t="shared" si="47"/>
        <v>0</v>
      </c>
      <c r="N727" s="1">
        <f t="shared" si="48"/>
        <v>0</v>
      </c>
      <c r="O727" s="1"/>
    </row>
    <row r="728" spans="1:15" x14ac:dyDescent="0.25">
      <c r="A728">
        <v>1090</v>
      </c>
      <c r="B728">
        <v>4760.0882320000001</v>
      </c>
      <c r="C728">
        <v>0</v>
      </c>
      <c r="D728">
        <v>66196.156260000003</v>
      </c>
      <c r="E728">
        <v>0</v>
      </c>
      <c r="F728">
        <v>195714.8714</v>
      </c>
      <c r="G728">
        <v>0</v>
      </c>
      <c r="H728">
        <v>1090</v>
      </c>
      <c r="I728" t="str">
        <f t="shared" si="45"/>
        <v>YES</v>
      </c>
      <c r="J728" t="s">
        <v>734</v>
      </c>
      <c r="K728">
        <v>1043421.48201</v>
      </c>
      <c r="L728" s="1">
        <f t="shared" si="46"/>
        <v>0</v>
      </c>
      <c r="M728" s="1">
        <f t="shared" si="47"/>
        <v>0</v>
      </c>
      <c r="N728" s="1">
        <f t="shared" si="48"/>
        <v>0</v>
      </c>
      <c r="O728" s="1"/>
    </row>
    <row r="729" spans="1:15" x14ac:dyDescent="0.25">
      <c r="A729">
        <v>1091</v>
      </c>
      <c r="B729">
        <v>6340.8881510000001</v>
      </c>
      <c r="C729">
        <v>0</v>
      </c>
      <c r="D729">
        <v>74144.81882</v>
      </c>
      <c r="E729">
        <v>0</v>
      </c>
      <c r="F729">
        <v>173450.60380000001</v>
      </c>
      <c r="G729">
        <v>0</v>
      </c>
      <c r="H729">
        <v>1091</v>
      </c>
      <c r="I729" t="str">
        <f t="shared" si="45"/>
        <v>YES</v>
      </c>
      <c r="J729" t="s">
        <v>735</v>
      </c>
      <c r="K729">
        <v>448880.33697599999</v>
      </c>
      <c r="L729" s="1">
        <f t="shared" si="46"/>
        <v>0</v>
      </c>
      <c r="M729" s="1">
        <f t="shared" si="47"/>
        <v>0</v>
      </c>
      <c r="N729" s="1">
        <f t="shared" si="48"/>
        <v>0</v>
      </c>
      <c r="O729" s="1"/>
    </row>
    <row r="730" spans="1:15" x14ac:dyDescent="0.25">
      <c r="A730">
        <v>1092</v>
      </c>
      <c r="B730">
        <v>3960.07888</v>
      </c>
      <c r="C730">
        <v>0</v>
      </c>
      <c r="D730">
        <v>17776.125660000002</v>
      </c>
      <c r="E730">
        <v>0</v>
      </c>
      <c r="F730">
        <v>94416.763709999999</v>
      </c>
      <c r="G730">
        <v>0</v>
      </c>
      <c r="H730">
        <v>1092</v>
      </c>
      <c r="I730" t="str">
        <f t="shared" si="45"/>
        <v>YES</v>
      </c>
      <c r="J730" t="s">
        <v>736</v>
      </c>
      <c r="K730">
        <v>1770994.7641</v>
      </c>
      <c r="L730" s="1">
        <f t="shared" si="46"/>
        <v>0</v>
      </c>
      <c r="M730" s="1">
        <f t="shared" si="47"/>
        <v>0</v>
      </c>
      <c r="N730" s="1">
        <f t="shared" si="48"/>
        <v>0</v>
      </c>
      <c r="O730" s="1"/>
    </row>
    <row r="731" spans="1:15" x14ac:dyDescent="0.25">
      <c r="A731">
        <v>1093</v>
      </c>
      <c r="B731">
        <v>96455.813720000006</v>
      </c>
      <c r="C731">
        <v>0</v>
      </c>
      <c r="D731">
        <v>332279.25679999997</v>
      </c>
      <c r="E731">
        <v>0</v>
      </c>
      <c r="F731">
        <v>1227401.588</v>
      </c>
      <c r="G731">
        <v>0</v>
      </c>
      <c r="H731">
        <v>1093</v>
      </c>
      <c r="I731" t="str">
        <f t="shared" si="45"/>
        <v>YES</v>
      </c>
      <c r="J731" t="s">
        <v>737</v>
      </c>
      <c r="K731">
        <v>61157.209219700002</v>
      </c>
      <c r="L731" s="1">
        <f t="shared" si="46"/>
        <v>0</v>
      </c>
      <c r="M731" s="1">
        <f t="shared" si="47"/>
        <v>0</v>
      </c>
      <c r="N731" s="1">
        <f t="shared" si="48"/>
        <v>0</v>
      </c>
      <c r="O731" s="1"/>
    </row>
    <row r="732" spans="1:15" x14ac:dyDescent="0.25">
      <c r="A732">
        <v>1095</v>
      </c>
      <c r="B732">
        <v>91092.25404</v>
      </c>
      <c r="C732">
        <v>0</v>
      </c>
      <c r="D732">
        <v>316106.75780000002</v>
      </c>
      <c r="E732">
        <v>0</v>
      </c>
      <c r="F732">
        <v>1160440.7379999999</v>
      </c>
      <c r="G732">
        <v>0</v>
      </c>
      <c r="H732">
        <v>1095</v>
      </c>
      <c r="I732" t="str">
        <f t="shared" si="45"/>
        <v>YES</v>
      </c>
      <c r="J732" t="s">
        <v>738</v>
      </c>
      <c r="K732">
        <v>64701.471671799998</v>
      </c>
      <c r="L732" s="1">
        <f t="shared" si="46"/>
        <v>0</v>
      </c>
      <c r="M732" s="1">
        <f t="shared" si="47"/>
        <v>0</v>
      </c>
      <c r="N732" s="1">
        <f t="shared" si="48"/>
        <v>0</v>
      </c>
      <c r="O732" s="1"/>
    </row>
    <row r="733" spans="1:15" x14ac:dyDescent="0.25">
      <c r="A733">
        <v>1096</v>
      </c>
      <c r="B733">
        <v>4398.4109049999997</v>
      </c>
      <c r="C733">
        <v>0</v>
      </c>
      <c r="D733">
        <v>53679.536220000002</v>
      </c>
      <c r="E733">
        <v>0</v>
      </c>
      <c r="F733">
        <v>259339.90040000001</v>
      </c>
      <c r="G733">
        <v>0</v>
      </c>
      <c r="H733">
        <v>1096</v>
      </c>
      <c r="I733" t="str">
        <f t="shared" si="45"/>
        <v>YES</v>
      </c>
      <c r="J733" t="s">
        <v>739</v>
      </c>
      <c r="K733">
        <v>171412.26073099999</v>
      </c>
      <c r="L733" s="1">
        <f t="shared" si="46"/>
        <v>0</v>
      </c>
      <c r="M733" s="1">
        <f t="shared" si="47"/>
        <v>0</v>
      </c>
      <c r="N733" s="1">
        <f t="shared" si="48"/>
        <v>0</v>
      </c>
      <c r="O733" s="1"/>
    </row>
    <row r="734" spans="1:15" x14ac:dyDescent="0.25">
      <c r="A734">
        <v>1097</v>
      </c>
      <c r="B734">
        <v>67483.727610000002</v>
      </c>
      <c r="C734">
        <v>0</v>
      </c>
      <c r="D734">
        <v>229149.50150000001</v>
      </c>
      <c r="E734">
        <v>0</v>
      </c>
      <c r="F734">
        <v>1023423.477</v>
      </c>
      <c r="G734">
        <v>0</v>
      </c>
      <c r="H734">
        <v>1097</v>
      </c>
      <c r="I734" t="str">
        <f t="shared" si="45"/>
        <v>YES</v>
      </c>
      <c r="J734" t="s">
        <v>740</v>
      </c>
      <c r="K734">
        <v>97351.916173799997</v>
      </c>
      <c r="L734" s="1">
        <f t="shared" si="46"/>
        <v>0</v>
      </c>
      <c r="M734" s="1">
        <f t="shared" si="47"/>
        <v>0</v>
      </c>
      <c r="N734" s="1">
        <f t="shared" si="48"/>
        <v>0</v>
      </c>
      <c r="O734" s="1"/>
    </row>
    <row r="735" spans="1:15" x14ac:dyDescent="0.25">
      <c r="A735">
        <v>1099</v>
      </c>
      <c r="B735">
        <v>110121.13740000001</v>
      </c>
      <c r="C735">
        <v>0</v>
      </c>
      <c r="D735">
        <v>357287.54810000001</v>
      </c>
      <c r="E735">
        <v>0</v>
      </c>
      <c r="F735">
        <v>1208211.254</v>
      </c>
      <c r="G735">
        <v>0</v>
      </c>
      <c r="H735">
        <v>1099</v>
      </c>
      <c r="I735" t="str">
        <f t="shared" si="45"/>
        <v>YES</v>
      </c>
      <c r="J735" t="s">
        <v>741</v>
      </c>
      <c r="K735">
        <v>95491.856841000001</v>
      </c>
      <c r="L735" s="1">
        <f t="shared" si="46"/>
        <v>0</v>
      </c>
      <c r="M735" s="1">
        <f t="shared" si="47"/>
        <v>0</v>
      </c>
      <c r="N735" s="1">
        <f t="shared" si="48"/>
        <v>0</v>
      </c>
      <c r="O735" s="1"/>
    </row>
    <row r="736" spans="1:15" x14ac:dyDescent="0.25">
      <c r="A736">
        <v>1100</v>
      </c>
      <c r="B736">
        <v>2858.844047</v>
      </c>
      <c r="C736">
        <v>0</v>
      </c>
      <c r="D736">
        <v>20073.29839</v>
      </c>
      <c r="E736">
        <v>0</v>
      </c>
      <c r="F736">
        <v>239452.27540000001</v>
      </c>
      <c r="G736">
        <v>0</v>
      </c>
      <c r="H736">
        <v>1100</v>
      </c>
      <c r="I736" t="str">
        <f t="shared" si="45"/>
        <v>YES</v>
      </c>
      <c r="J736" t="s">
        <v>742</v>
      </c>
      <c r="K736">
        <v>861609.93379599997</v>
      </c>
      <c r="L736" s="1">
        <f t="shared" si="46"/>
        <v>0</v>
      </c>
      <c r="M736" s="1">
        <f t="shared" si="47"/>
        <v>0</v>
      </c>
      <c r="N736" s="1">
        <f t="shared" si="48"/>
        <v>0</v>
      </c>
      <c r="O736" s="1"/>
    </row>
    <row r="737" spans="1:15" x14ac:dyDescent="0.25">
      <c r="A737">
        <v>1101</v>
      </c>
      <c r="B737">
        <v>3313.7681050000001</v>
      </c>
      <c r="C737">
        <v>0</v>
      </c>
      <c r="D737">
        <v>37876.705179999997</v>
      </c>
      <c r="E737">
        <v>0</v>
      </c>
      <c r="F737">
        <v>672629.83470000001</v>
      </c>
      <c r="G737">
        <v>0</v>
      </c>
      <c r="H737">
        <v>1101</v>
      </c>
      <c r="I737" t="str">
        <f t="shared" si="45"/>
        <v>YES</v>
      </c>
      <c r="J737" t="s">
        <v>743</v>
      </c>
      <c r="K737">
        <v>1486333.3463900001</v>
      </c>
      <c r="L737" s="1">
        <f t="shared" si="46"/>
        <v>0</v>
      </c>
      <c r="M737" s="1">
        <f t="shared" si="47"/>
        <v>0</v>
      </c>
      <c r="N737" s="1">
        <f t="shared" si="48"/>
        <v>0</v>
      </c>
      <c r="O737" s="1"/>
    </row>
    <row r="738" spans="1:15" x14ac:dyDescent="0.25">
      <c r="A738">
        <v>1102</v>
      </c>
      <c r="B738">
        <v>8166.4601810000004</v>
      </c>
      <c r="C738">
        <v>0</v>
      </c>
      <c r="D738">
        <v>42206.313540000003</v>
      </c>
      <c r="E738">
        <v>0</v>
      </c>
      <c r="F738">
        <v>387467.82439999998</v>
      </c>
      <c r="G738">
        <v>0</v>
      </c>
      <c r="H738">
        <v>1102</v>
      </c>
      <c r="I738" t="str">
        <f t="shared" si="45"/>
        <v>YES</v>
      </c>
      <c r="J738" t="s">
        <v>744</v>
      </c>
      <c r="K738">
        <v>1217671.3300999999</v>
      </c>
      <c r="L738" s="1">
        <f t="shared" si="46"/>
        <v>0</v>
      </c>
      <c r="M738" s="1">
        <f t="shared" si="47"/>
        <v>0</v>
      </c>
      <c r="N738" s="1">
        <f t="shared" si="48"/>
        <v>0</v>
      </c>
      <c r="O738" s="1"/>
    </row>
    <row r="739" spans="1:15" x14ac:dyDescent="0.25">
      <c r="A739">
        <v>1103</v>
      </c>
      <c r="B739">
        <v>5714.5354340000004</v>
      </c>
      <c r="C739">
        <v>0</v>
      </c>
      <c r="D739">
        <v>25472.491679999999</v>
      </c>
      <c r="E739">
        <v>0</v>
      </c>
      <c r="F739">
        <v>253860.92869999999</v>
      </c>
      <c r="G739">
        <v>0</v>
      </c>
      <c r="H739">
        <v>1103</v>
      </c>
      <c r="I739" t="str">
        <f t="shared" si="45"/>
        <v>YES</v>
      </c>
      <c r="J739" t="s">
        <v>745</v>
      </c>
      <c r="K739">
        <v>1337648.6037300001</v>
      </c>
      <c r="L739" s="1">
        <f t="shared" si="46"/>
        <v>0</v>
      </c>
      <c r="M739" s="1">
        <f t="shared" si="47"/>
        <v>0</v>
      </c>
      <c r="N739" s="1">
        <f t="shared" si="48"/>
        <v>0</v>
      </c>
      <c r="O739" s="1"/>
    </row>
    <row r="740" spans="1:15" x14ac:dyDescent="0.25">
      <c r="A740">
        <v>1104</v>
      </c>
      <c r="B740">
        <v>4171.5381230000003</v>
      </c>
      <c r="C740">
        <v>0</v>
      </c>
      <c r="D740">
        <v>31122.77547</v>
      </c>
      <c r="E740">
        <v>0</v>
      </c>
      <c r="F740">
        <v>215535.15429999999</v>
      </c>
      <c r="G740">
        <v>0</v>
      </c>
      <c r="H740">
        <v>1104</v>
      </c>
      <c r="I740" t="str">
        <f t="shared" si="45"/>
        <v>YES</v>
      </c>
      <c r="J740" t="s">
        <v>746</v>
      </c>
      <c r="K740">
        <v>426856.17907700001</v>
      </c>
      <c r="L740" s="1">
        <f t="shared" si="46"/>
        <v>0</v>
      </c>
      <c r="M740" s="1">
        <f t="shared" si="47"/>
        <v>0</v>
      </c>
      <c r="N740" s="1">
        <f t="shared" si="48"/>
        <v>0</v>
      </c>
      <c r="O740" s="1"/>
    </row>
    <row r="741" spans="1:15" x14ac:dyDescent="0.25">
      <c r="A741">
        <v>1105</v>
      </c>
      <c r="B741">
        <v>9285.7780550000007</v>
      </c>
      <c r="C741">
        <v>0</v>
      </c>
      <c r="D741">
        <v>153550.10550000001</v>
      </c>
      <c r="E741">
        <v>0</v>
      </c>
      <c r="F741">
        <v>538656.53570000001</v>
      </c>
      <c r="G741">
        <v>0</v>
      </c>
      <c r="H741">
        <v>1105</v>
      </c>
      <c r="I741" t="str">
        <f t="shared" si="45"/>
        <v>YES</v>
      </c>
      <c r="J741" t="s">
        <v>747</v>
      </c>
      <c r="K741">
        <v>887140.17464500002</v>
      </c>
      <c r="L741" s="1">
        <f t="shared" si="46"/>
        <v>0</v>
      </c>
      <c r="M741" s="1">
        <f t="shared" si="47"/>
        <v>0</v>
      </c>
      <c r="N741" s="1">
        <f t="shared" si="48"/>
        <v>0</v>
      </c>
      <c r="O741" s="1"/>
    </row>
    <row r="742" spans="1:15" x14ac:dyDescent="0.25">
      <c r="A742">
        <v>1106</v>
      </c>
      <c r="B742">
        <v>9385.0848069999993</v>
      </c>
      <c r="C742">
        <v>0</v>
      </c>
      <c r="D742">
        <v>100040.196</v>
      </c>
      <c r="E742">
        <v>0</v>
      </c>
      <c r="F742">
        <v>342050.20209999999</v>
      </c>
      <c r="G742">
        <v>0</v>
      </c>
      <c r="H742">
        <v>1106</v>
      </c>
      <c r="I742" t="str">
        <f t="shared" si="45"/>
        <v>YES</v>
      </c>
      <c r="J742" t="s">
        <v>748</v>
      </c>
      <c r="K742">
        <v>261148.30332199999</v>
      </c>
      <c r="L742" s="1">
        <f t="shared" si="46"/>
        <v>0</v>
      </c>
      <c r="M742" s="1">
        <f t="shared" si="47"/>
        <v>0</v>
      </c>
      <c r="N742" s="1">
        <f t="shared" si="48"/>
        <v>0</v>
      </c>
      <c r="O742" s="1"/>
    </row>
    <row r="743" spans="1:15" x14ac:dyDescent="0.25">
      <c r="A743">
        <v>1107</v>
      </c>
      <c r="B743">
        <v>8622.8795410000002</v>
      </c>
      <c r="C743">
        <v>0</v>
      </c>
      <c r="D743">
        <v>71137.64748</v>
      </c>
      <c r="E743">
        <v>0</v>
      </c>
      <c r="F743">
        <v>200528.53030000001</v>
      </c>
      <c r="G743">
        <v>0</v>
      </c>
      <c r="H743">
        <v>1107</v>
      </c>
      <c r="I743" t="str">
        <f t="shared" si="45"/>
        <v>YES</v>
      </c>
      <c r="J743" t="s">
        <v>749</v>
      </c>
      <c r="K743">
        <v>1247402.86103</v>
      </c>
      <c r="L743" s="1">
        <f t="shared" si="46"/>
        <v>0</v>
      </c>
      <c r="M743" s="1">
        <f t="shared" si="47"/>
        <v>0</v>
      </c>
      <c r="N743" s="1">
        <f t="shared" si="48"/>
        <v>0</v>
      </c>
      <c r="O743" s="1"/>
    </row>
    <row r="744" spans="1:15" x14ac:dyDescent="0.25">
      <c r="A744">
        <v>1108</v>
      </c>
      <c r="B744">
        <v>10018.257970000001</v>
      </c>
      <c r="C744">
        <v>0</v>
      </c>
      <c r="D744">
        <v>102222.03780000001</v>
      </c>
      <c r="E744">
        <v>0</v>
      </c>
      <c r="F744">
        <v>341611.02059999999</v>
      </c>
      <c r="G744">
        <v>0</v>
      </c>
      <c r="H744">
        <v>1108</v>
      </c>
      <c r="I744" t="str">
        <f t="shared" si="45"/>
        <v>YES</v>
      </c>
      <c r="J744" t="s">
        <v>750</v>
      </c>
      <c r="K744">
        <v>582782.77049200004</v>
      </c>
      <c r="L744" s="1">
        <f t="shared" si="46"/>
        <v>0</v>
      </c>
      <c r="M744" s="1">
        <f t="shared" si="47"/>
        <v>0</v>
      </c>
      <c r="N744" s="1">
        <f t="shared" si="48"/>
        <v>0</v>
      </c>
      <c r="O744" s="1"/>
    </row>
    <row r="745" spans="1:15" x14ac:dyDescent="0.25">
      <c r="A745">
        <v>1109</v>
      </c>
      <c r="B745">
        <v>6878.7881880000004</v>
      </c>
      <c r="C745">
        <v>0</v>
      </c>
      <c r="D745">
        <v>39455.949769999999</v>
      </c>
      <c r="E745">
        <v>0</v>
      </c>
      <c r="F745">
        <v>274536.38050000003</v>
      </c>
      <c r="G745">
        <v>0</v>
      </c>
      <c r="H745">
        <v>1109</v>
      </c>
      <c r="I745" t="str">
        <f t="shared" si="45"/>
        <v>YES</v>
      </c>
      <c r="J745" t="s">
        <v>751</v>
      </c>
      <c r="K745">
        <v>777919.24548000004</v>
      </c>
      <c r="L745" s="1">
        <f t="shared" si="46"/>
        <v>0</v>
      </c>
      <c r="M745" s="1">
        <f t="shared" si="47"/>
        <v>0</v>
      </c>
      <c r="N745" s="1">
        <f t="shared" si="48"/>
        <v>0</v>
      </c>
      <c r="O745" s="1"/>
    </row>
    <row r="746" spans="1:15" x14ac:dyDescent="0.25">
      <c r="A746">
        <v>1110</v>
      </c>
      <c r="B746">
        <v>9535.3730849999993</v>
      </c>
      <c r="C746">
        <v>0</v>
      </c>
      <c r="D746">
        <v>87366.245030000005</v>
      </c>
      <c r="E746">
        <v>0</v>
      </c>
      <c r="F746">
        <v>325477.18320000003</v>
      </c>
      <c r="G746">
        <v>0</v>
      </c>
      <c r="H746">
        <v>1110</v>
      </c>
      <c r="I746" t="str">
        <f t="shared" si="45"/>
        <v>YES</v>
      </c>
      <c r="J746" t="s">
        <v>752</v>
      </c>
      <c r="K746">
        <v>166103.38289400001</v>
      </c>
      <c r="L746" s="1">
        <f t="shared" si="46"/>
        <v>0</v>
      </c>
      <c r="M746" s="1">
        <f t="shared" si="47"/>
        <v>0</v>
      </c>
      <c r="N746" s="1">
        <f t="shared" si="48"/>
        <v>0</v>
      </c>
      <c r="O746" s="1"/>
    </row>
    <row r="747" spans="1:15" x14ac:dyDescent="0.25">
      <c r="A747">
        <v>1111</v>
      </c>
      <c r="B747">
        <v>22162.806629999999</v>
      </c>
      <c r="C747">
        <v>0</v>
      </c>
      <c r="D747">
        <v>105768.3235</v>
      </c>
      <c r="E747">
        <v>0</v>
      </c>
      <c r="F747">
        <v>278349.62050000002</v>
      </c>
      <c r="G747">
        <v>0</v>
      </c>
      <c r="H747">
        <v>1111</v>
      </c>
      <c r="I747" t="str">
        <f t="shared" si="45"/>
        <v>YES</v>
      </c>
      <c r="J747" t="s">
        <v>753</v>
      </c>
      <c r="K747">
        <v>254691.64646600001</v>
      </c>
      <c r="L747" s="1">
        <f t="shared" si="46"/>
        <v>0</v>
      </c>
      <c r="M747" s="1">
        <f t="shared" si="47"/>
        <v>0</v>
      </c>
      <c r="N747" s="1">
        <f t="shared" si="48"/>
        <v>0</v>
      </c>
      <c r="O747" s="1"/>
    </row>
    <row r="748" spans="1:15" x14ac:dyDescent="0.25">
      <c r="A748">
        <v>1112</v>
      </c>
      <c r="B748">
        <v>37917.467750000003</v>
      </c>
      <c r="C748">
        <v>0</v>
      </c>
      <c r="D748">
        <v>112609.9611</v>
      </c>
      <c r="E748">
        <v>0</v>
      </c>
      <c r="F748">
        <v>280567.94069999998</v>
      </c>
      <c r="G748">
        <v>0</v>
      </c>
      <c r="H748">
        <v>1112</v>
      </c>
      <c r="I748" t="str">
        <f t="shared" si="45"/>
        <v>YES</v>
      </c>
      <c r="J748" t="s">
        <v>754</v>
      </c>
      <c r="K748">
        <v>163567.31066700001</v>
      </c>
      <c r="L748" s="1">
        <f t="shared" si="46"/>
        <v>0</v>
      </c>
      <c r="M748" s="1">
        <f t="shared" si="47"/>
        <v>0</v>
      </c>
      <c r="N748" s="1">
        <f t="shared" si="48"/>
        <v>0</v>
      </c>
      <c r="O748" s="1"/>
    </row>
    <row r="749" spans="1:15" x14ac:dyDescent="0.25">
      <c r="A749">
        <v>1113</v>
      </c>
      <c r="B749">
        <v>4740.5322399999995</v>
      </c>
      <c r="C749">
        <v>0</v>
      </c>
      <c r="D749">
        <v>64926.036910000003</v>
      </c>
      <c r="E749">
        <v>0</v>
      </c>
      <c r="F749">
        <v>222606.22700000001</v>
      </c>
      <c r="G749">
        <v>0</v>
      </c>
      <c r="H749">
        <v>1113</v>
      </c>
      <c r="I749" t="str">
        <f t="shared" si="45"/>
        <v>YES</v>
      </c>
      <c r="J749" t="s">
        <v>755</v>
      </c>
      <c r="K749">
        <v>495355.446536</v>
      </c>
      <c r="L749" s="1">
        <f t="shared" si="46"/>
        <v>0</v>
      </c>
      <c r="M749" s="1">
        <f t="shared" si="47"/>
        <v>0</v>
      </c>
      <c r="N749" s="1">
        <f t="shared" si="48"/>
        <v>0</v>
      </c>
      <c r="O749" s="1"/>
    </row>
    <row r="750" spans="1:15" x14ac:dyDescent="0.25">
      <c r="A750">
        <v>1114</v>
      </c>
      <c r="B750">
        <v>2062.0521220000001</v>
      </c>
      <c r="C750">
        <v>0</v>
      </c>
      <c r="D750">
        <v>62343.529820000003</v>
      </c>
      <c r="E750">
        <v>0</v>
      </c>
      <c r="F750">
        <v>149140.29949999999</v>
      </c>
      <c r="G750">
        <v>0</v>
      </c>
      <c r="H750">
        <v>1114</v>
      </c>
      <c r="I750" t="str">
        <f t="shared" si="45"/>
        <v>YES</v>
      </c>
      <c r="J750" t="s">
        <v>756</v>
      </c>
      <c r="K750">
        <v>973869.220172</v>
      </c>
      <c r="L750" s="1">
        <f t="shared" si="46"/>
        <v>0</v>
      </c>
      <c r="M750" s="1">
        <f t="shared" si="47"/>
        <v>0</v>
      </c>
      <c r="N750" s="1">
        <f t="shared" si="48"/>
        <v>0</v>
      </c>
      <c r="O750" s="1"/>
    </row>
    <row r="751" spans="1:15" x14ac:dyDescent="0.25">
      <c r="A751">
        <v>1115</v>
      </c>
      <c r="B751">
        <v>3286.2414979999999</v>
      </c>
      <c r="C751">
        <v>0</v>
      </c>
      <c r="D751">
        <v>56081.41762</v>
      </c>
      <c r="E751">
        <v>0</v>
      </c>
      <c r="F751">
        <v>236506.87479999999</v>
      </c>
      <c r="G751">
        <v>0</v>
      </c>
      <c r="H751">
        <v>1115</v>
      </c>
      <c r="I751" t="str">
        <f t="shared" si="45"/>
        <v>YES</v>
      </c>
      <c r="J751" t="s">
        <v>757</v>
      </c>
      <c r="K751">
        <v>713824.81056200003</v>
      </c>
      <c r="L751" s="1">
        <f t="shared" si="46"/>
        <v>0</v>
      </c>
      <c r="M751" s="1">
        <f t="shared" si="47"/>
        <v>0</v>
      </c>
      <c r="N751" s="1">
        <f t="shared" si="48"/>
        <v>0</v>
      </c>
      <c r="O751" s="1"/>
    </row>
    <row r="752" spans="1:15" x14ac:dyDescent="0.25">
      <c r="A752">
        <v>1116</v>
      </c>
      <c r="B752">
        <v>8834.2409050000006</v>
      </c>
      <c r="C752">
        <v>0</v>
      </c>
      <c r="D752">
        <v>87800.193429999999</v>
      </c>
      <c r="E752">
        <v>0</v>
      </c>
      <c r="F752">
        <v>218257.7438</v>
      </c>
      <c r="G752">
        <v>0</v>
      </c>
      <c r="H752">
        <v>1116</v>
      </c>
      <c r="I752" t="str">
        <f t="shared" si="45"/>
        <v>YES</v>
      </c>
      <c r="J752" t="s">
        <v>758</v>
      </c>
      <c r="K752">
        <v>673736.28037099994</v>
      </c>
      <c r="L752" s="1">
        <f t="shared" si="46"/>
        <v>0</v>
      </c>
      <c r="M752" s="1">
        <f t="shared" si="47"/>
        <v>0</v>
      </c>
      <c r="N752" s="1">
        <f t="shared" si="48"/>
        <v>0</v>
      </c>
      <c r="O752" s="1"/>
    </row>
    <row r="753" spans="1:15" x14ac:dyDescent="0.25">
      <c r="A753">
        <v>1117</v>
      </c>
      <c r="B753">
        <v>24336.303550000001</v>
      </c>
      <c r="C753">
        <v>0</v>
      </c>
      <c r="D753">
        <v>90639.543479999993</v>
      </c>
      <c r="E753">
        <v>0</v>
      </c>
      <c r="F753">
        <v>251622.32810000001</v>
      </c>
      <c r="G753">
        <v>0</v>
      </c>
      <c r="H753">
        <v>1117</v>
      </c>
      <c r="I753" t="str">
        <f t="shared" si="45"/>
        <v>YES</v>
      </c>
      <c r="J753" t="s">
        <v>759</v>
      </c>
      <c r="K753">
        <v>220777.29594800001</v>
      </c>
      <c r="L753" s="1">
        <f t="shared" si="46"/>
        <v>0</v>
      </c>
      <c r="M753" s="1">
        <f t="shared" si="47"/>
        <v>0</v>
      </c>
      <c r="N753" s="1">
        <f t="shared" si="48"/>
        <v>0</v>
      </c>
      <c r="O753" s="1"/>
    </row>
    <row r="754" spans="1:15" x14ac:dyDescent="0.25">
      <c r="A754">
        <v>1118</v>
      </c>
      <c r="B754">
        <v>12532.652700000001</v>
      </c>
      <c r="C754">
        <v>0</v>
      </c>
      <c r="D754">
        <v>98635.016560000004</v>
      </c>
      <c r="E754">
        <v>0</v>
      </c>
      <c r="F754">
        <v>305816.83419999998</v>
      </c>
      <c r="G754">
        <v>0</v>
      </c>
      <c r="H754">
        <v>1118</v>
      </c>
      <c r="I754" t="str">
        <f t="shared" si="45"/>
        <v>YES</v>
      </c>
      <c r="J754" t="s">
        <v>760</v>
      </c>
      <c r="K754">
        <v>848060.55138800002</v>
      </c>
      <c r="L754" s="1">
        <f t="shared" si="46"/>
        <v>0</v>
      </c>
      <c r="M754" s="1">
        <f t="shared" si="47"/>
        <v>0</v>
      </c>
      <c r="N754" s="1">
        <f t="shared" si="48"/>
        <v>0</v>
      </c>
      <c r="O754" s="1"/>
    </row>
    <row r="755" spans="1:15" x14ac:dyDescent="0.25">
      <c r="A755">
        <v>1119</v>
      </c>
      <c r="B755">
        <v>37904.543449999997</v>
      </c>
      <c r="C755">
        <v>0</v>
      </c>
      <c r="D755">
        <v>107017.38710000001</v>
      </c>
      <c r="E755">
        <v>0</v>
      </c>
      <c r="F755">
        <v>271951.80339999998</v>
      </c>
      <c r="G755">
        <v>0</v>
      </c>
      <c r="H755">
        <v>1119</v>
      </c>
      <c r="I755" t="str">
        <f t="shared" si="45"/>
        <v>YES</v>
      </c>
      <c r="J755" t="s">
        <v>761</v>
      </c>
      <c r="K755">
        <v>258575.38683199999</v>
      </c>
      <c r="L755" s="1">
        <f t="shared" si="46"/>
        <v>0</v>
      </c>
      <c r="M755" s="1">
        <f t="shared" si="47"/>
        <v>0</v>
      </c>
      <c r="N755" s="1">
        <f t="shared" si="48"/>
        <v>0</v>
      </c>
      <c r="O755" s="1"/>
    </row>
    <row r="756" spans="1:15" x14ac:dyDescent="0.25">
      <c r="A756">
        <v>1120</v>
      </c>
      <c r="B756">
        <v>20516.30472</v>
      </c>
      <c r="C756">
        <v>0</v>
      </c>
      <c r="D756">
        <v>87923.730649999998</v>
      </c>
      <c r="E756">
        <v>0</v>
      </c>
      <c r="F756">
        <v>242043.36840000001</v>
      </c>
      <c r="G756">
        <v>0</v>
      </c>
      <c r="H756">
        <v>1120</v>
      </c>
      <c r="I756" t="str">
        <f t="shared" si="45"/>
        <v>YES</v>
      </c>
      <c r="J756" t="s">
        <v>762</v>
      </c>
      <c r="K756">
        <v>614928.43315199995</v>
      </c>
      <c r="L756" s="1">
        <f t="shared" si="46"/>
        <v>0</v>
      </c>
      <c r="M756" s="1">
        <f t="shared" si="47"/>
        <v>0</v>
      </c>
      <c r="N756" s="1">
        <f t="shared" si="48"/>
        <v>0</v>
      </c>
      <c r="O756" s="1"/>
    </row>
    <row r="757" spans="1:15" x14ac:dyDescent="0.25">
      <c r="A757">
        <v>1121</v>
      </c>
      <c r="B757">
        <v>7611.5158000000001</v>
      </c>
      <c r="C757">
        <v>0</v>
      </c>
      <c r="D757">
        <v>75258.763860000006</v>
      </c>
      <c r="E757">
        <v>0</v>
      </c>
      <c r="F757">
        <v>256712.96119999999</v>
      </c>
      <c r="G757">
        <v>0</v>
      </c>
      <c r="H757">
        <v>1121</v>
      </c>
      <c r="I757" t="str">
        <f t="shared" si="45"/>
        <v>YES</v>
      </c>
      <c r="J757" t="s">
        <v>763</v>
      </c>
      <c r="K757">
        <v>827575.14590799995</v>
      </c>
      <c r="L757" s="1">
        <f t="shared" si="46"/>
        <v>0</v>
      </c>
      <c r="M757" s="1">
        <f t="shared" si="47"/>
        <v>0</v>
      </c>
      <c r="N757" s="1">
        <f t="shared" si="48"/>
        <v>0</v>
      </c>
      <c r="O757" s="1"/>
    </row>
    <row r="758" spans="1:15" x14ac:dyDescent="0.25">
      <c r="A758">
        <v>1122</v>
      </c>
      <c r="B758">
        <v>35611.10701</v>
      </c>
      <c r="C758">
        <v>0</v>
      </c>
      <c r="D758">
        <v>129584.62119999999</v>
      </c>
      <c r="E758">
        <v>0</v>
      </c>
      <c r="F758">
        <v>293318.91970000003</v>
      </c>
      <c r="G758">
        <v>0</v>
      </c>
      <c r="H758">
        <v>1122</v>
      </c>
      <c r="I758" t="str">
        <f t="shared" si="45"/>
        <v>YES</v>
      </c>
      <c r="J758" t="s">
        <v>764</v>
      </c>
      <c r="K758">
        <v>1264649.4054</v>
      </c>
      <c r="L758" s="1">
        <f t="shared" si="46"/>
        <v>0</v>
      </c>
      <c r="M758" s="1">
        <f t="shared" si="47"/>
        <v>0</v>
      </c>
      <c r="N758" s="1">
        <f t="shared" si="48"/>
        <v>0</v>
      </c>
      <c r="O758" s="1"/>
    </row>
    <row r="759" spans="1:15" x14ac:dyDescent="0.25">
      <c r="A759">
        <v>1123</v>
      </c>
      <c r="B759">
        <v>16808.374680000001</v>
      </c>
      <c r="C759">
        <v>0</v>
      </c>
      <c r="D759">
        <v>110849.8861</v>
      </c>
      <c r="E759">
        <v>0</v>
      </c>
      <c r="F759">
        <v>287088.64299999998</v>
      </c>
      <c r="G759">
        <v>0</v>
      </c>
      <c r="H759">
        <v>1123</v>
      </c>
      <c r="I759" t="str">
        <f t="shared" si="45"/>
        <v>YES</v>
      </c>
      <c r="J759" t="s">
        <v>765</v>
      </c>
      <c r="K759">
        <v>1073452.17019</v>
      </c>
      <c r="L759" s="1">
        <f t="shared" si="46"/>
        <v>0</v>
      </c>
      <c r="M759" s="1">
        <f t="shared" si="47"/>
        <v>0</v>
      </c>
      <c r="N759" s="1">
        <f t="shared" si="48"/>
        <v>0</v>
      </c>
      <c r="O759" s="1"/>
    </row>
    <row r="760" spans="1:15" x14ac:dyDescent="0.25">
      <c r="A760">
        <v>1124</v>
      </c>
      <c r="B760">
        <v>14467.78724</v>
      </c>
      <c r="C760">
        <v>0</v>
      </c>
      <c r="D760">
        <v>103710.4455</v>
      </c>
      <c r="E760">
        <v>0</v>
      </c>
      <c r="F760">
        <v>225589.7727</v>
      </c>
      <c r="G760">
        <v>0</v>
      </c>
      <c r="H760">
        <v>1124</v>
      </c>
      <c r="I760" t="str">
        <f t="shared" si="45"/>
        <v>YES</v>
      </c>
      <c r="J760" t="s">
        <v>766</v>
      </c>
      <c r="K760">
        <v>644257.68870299996</v>
      </c>
      <c r="L760" s="1">
        <f t="shared" si="46"/>
        <v>0</v>
      </c>
      <c r="M760" s="1">
        <f t="shared" si="47"/>
        <v>0</v>
      </c>
      <c r="N760" s="1">
        <f t="shared" si="48"/>
        <v>0</v>
      </c>
      <c r="O760" s="1"/>
    </row>
    <row r="761" spans="1:15" x14ac:dyDescent="0.25">
      <c r="A761">
        <v>1125</v>
      </c>
      <c r="B761">
        <v>44116.576840000002</v>
      </c>
      <c r="C761">
        <v>0</v>
      </c>
      <c r="D761">
        <v>141197.79250000001</v>
      </c>
      <c r="E761">
        <v>0</v>
      </c>
      <c r="F761">
        <v>376716.48300000001</v>
      </c>
      <c r="G761">
        <v>0</v>
      </c>
      <c r="H761">
        <v>1125</v>
      </c>
      <c r="I761" t="str">
        <f t="shared" si="45"/>
        <v>YES</v>
      </c>
      <c r="J761" t="s">
        <v>767</v>
      </c>
      <c r="K761">
        <v>584183.34443099995</v>
      </c>
      <c r="L761" s="1">
        <f t="shared" si="46"/>
        <v>0</v>
      </c>
      <c r="M761" s="1">
        <f t="shared" si="47"/>
        <v>0</v>
      </c>
      <c r="N761" s="1">
        <f t="shared" si="48"/>
        <v>0</v>
      </c>
      <c r="O761" s="1"/>
    </row>
    <row r="762" spans="1:15" x14ac:dyDescent="0.25">
      <c r="A762">
        <v>1126</v>
      </c>
      <c r="B762">
        <v>59556.801570000003</v>
      </c>
      <c r="C762">
        <v>0</v>
      </c>
      <c r="D762">
        <v>142066.23209999999</v>
      </c>
      <c r="E762">
        <v>0</v>
      </c>
      <c r="F762">
        <v>355246.44189999998</v>
      </c>
      <c r="G762">
        <v>0</v>
      </c>
      <c r="H762">
        <v>1126</v>
      </c>
      <c r="I762" t="str">
        <f t="shared" si="45"/>
        <v>YES</v>
      </c>
      <c r="J762" t="s">
        <v>768</v>
      </c>
      <c r="K762">
        <v>236775.721238</v>
      </c>
      <c r="L762" s="1">
        <f t="shared" si="46"/>
        <v>0</v>
      </c>
      <c r="M762" s="1">
        <f t="shared" si="47"/>
        <v>0</v>
      </c>
      <c r="N762" s="1">
        <f t="shared" si="48"/>
        <v>0</v>
      </c>
      <c r="O762" s="1"/>
    </row>
    <row r="763" spans="1:15" x14ac:dyDescent="0.25">
      <c r="A763">
        <v>1127</v>
      </c>
      <c r="B763">
        <v>2564.8333520000001</v>
      </c>
      <c r="C763">
        <v>0</v>
      </c>
      <c r="D763">
        <v>64992.548069999997</v>
      </c>
      <c r="E763">
        <v>0</v>
      </c>
      <c r="F763">
        <v>137788.38740000001</v>
      </c>
      <c r="G763">
        <v>0</v>
      </c>
      <c r="H763">
        <v>1127</v>
      </c>
      <c r="I763" t="str">
        <f t="shared" si="45"/>
        <v>YES</v>
      </c>
      <c r="J763" t="s">
        <v>769</v>
      </c>
      <c r="K763">
        <v>609804.90255400003</v>
      </c>
      <c r="L763" s="1">
        <f t="shared" si="46"/>
        <v>0</v>
      </c>
      <c r="M763" s="1">
        <f t="shared" si="47"/>
        <v>0</v>
      </c>
      <c r="N763" s="1">
        <f t="shared" si="48"/>
        <v>0</v>
      </c>
      <c r="O763" s="1"/>
    </row>
    <row r="764" spans="1:15" x14ac:dyDescent="0.25">
      <c r="A764">
        <v>1128</v>
      </c>
      <c r="B764">
        <v>3247.1244280000001</v>
      </c>
      <c r="C764">
        <v>0</v>
      </c>
      <c r="D764">
        <v>72558.692320000002</v>
      </c>
      <c r="E764">
        <v>0</v>
      </c>
      <c r="F764">
        <v>221642.63380000001</v>
      </c>
      <c r="G764">
        <v>0</v>
      </c>
      <c r="H764">
        <v>1128</v>
      </c>
      <c r="I764" t="str">
        <f t="shared" si="45"/>
        <v>YES</v>
      </c>
      <c r="J764" t="s">
        <v>770</v>
      </c>
      <c r="K764">
        <v>632383.18599400006</v>
      </c>
      <c r="L764" s="1">
        <f t="shared" si="46"/>
        <v>0</v>
      </c>
      <c r="M764" s="1">
        <f t="shared" si="47"/>
        <v>0</v>
      </c>
      <c r="N764" s="1">
        <f t="shared" si="48"/>
        <v>0</v>
      </c>
      <c r="O764" s="1"/>
    </row>
    <row r="765" spans="1:15" x14ac:dyDescent="0.25">
      <c r="A765">
        <v>1129</v>
      </c>
      <c r="B765">
        <v>6298.6273440000004</v>
      </c>
      <c r="C765">
        <v>0</v>
      </c>
      <c r="D765">
        <v>76408.2592</v>
      </c>
      <c r="E765">
        <v>0</v>
      </c>
      <c r="F765">
        <v>169744.82829999999</v>
      </c>
      <c r="G765">
        <v>0</v>
      </c>
      <c r="H765">
        <v>1129</v>
      </c>
      <c r="I765" t="str">
        <f t="shared" si="45"/>
        <v>YES</v>
      </c>
      <c r="J765" t="s">
        <v>771</v>
      </c>
      <c r="K765">
        <v>507752.82737800002</v>
      </c>
      <c r="L765" s="1">
        <f t="shared" si="46"/>
        <v>0</v>
      </c>
      <c r="M765" s="1">
        <f t="shared" si="47"/>
        <v>0</v>
      </c>
      <c r="N765" s="1">
        <f t="shared" si="48"/>
        <v>0</v>
      </c>
      <c r="O765" s="1"/>
    </row>
    <row r="766" spans="1:15" x14ac:dyDescent="0.25">
      <c r="A766">
        <v>1130</v>
      </c>
      <c r="B766">
        <v>2332.0564380000001</v>
      </c>
      <c r="C766">
        <v>0</v>
      </c>
      <c r="D766">
        <v>35812.479800000001</v>
      </c>
      <c r="E766">
        <v>0</v>
      </c>
      <c r="F766">
        <v>238329.0845</v>
      </c>
      <c r="G766">
        <v>0</v>
      </c>
      <c r="H766">
        <v>1130</v>
      </c>
      <c r="I766" t="str">
        <f t="shared" si="45"/>
        <v>YES</v>
      </c>
      <c r="J766" t="s">
        <v>772</v>
      </c>
      <c r="K766">
        <v>626942.17287000001</v>
      </c>
      <c r="L766" s="1">
        <f t="shared" si="46"/>
        <v>0</v>
      </c>
      <c r="M766" s="1">
        <f t="shared" si="47"/>
        <v>0</v>
      </c>
      <c r="N766" s="1">
        <f t="shared" si="48"/>
        <v>0</v>
      </c>
      <c r="O766" s="1"/>
    </row>
    <row r="767" spans="1:15" x14ac:dyDescent="0.25">
      <c r="A767">
        <v>1131</v>
      </c>
      <c r="B767">
        <v>9792.1559300000008</v>
      </c>
      <c r="C767">
        <v>0</v>
      </c>
      <c r="D767">
        <v>85812.129920000007</v>
      </c>
      <c r="E767">
        <v>0</v>
      </c>
      <c r="F767">
        <v>259031.54689999999</v>
      </c>
      <c r="G767">
        <v>0</v>
      </c>
      <c r="H767">
        <v>1131</v>
      </c>
      <c r="I767" t="str">
        <f t="shared" si="45"/>
        <v>YES</v>
      </c>
      <c r="J767" t="s">
        <v>773</v>
      </c>
      <c r="K767">
        <v>506293.28134400002</v>
      </c>
      <c r="L767" s="1">
        <f t="shared" si="46"/>
        <v>0</v>
      </c>
      <c r="M767" s="1">
        <f t="shared" si="47"/>
        <v>0</v>
      </c>
      <c r="N767" s="1">
        <f t="shared" si="48"/>
        <v>0</v>
      </c>
      <c r="O767" s="1"/>
    </row>
    <row r="768" spans="1:15" x14ac:dyDescent="0.25">
      <c r="A768">
        <v>1132</v>
      </c>
      <c r="B768">
        <v>2487.9428119999998</v>
      </c>
      <c r="C768">
        <v>0</v>
      </c>
      <c r="D768">
        <v>73495.441439999995</v>
      </c>
      <c r="E768">
        <v>0</v>
      </c>
      <c r="F768">
        <v>144671.02710000001</v>
      </c>
      <c r="G768">
        <v>0</v>
      </c>
      <c r="H768">
        <v>1132</v>
      </c>
      <c r="I768" t="str">
        <f t="shared" si="45"/>
        <v>YES</v>
      </c>
      <c r="J768" t="s">
        <v>774</v>
      </c>
      <c r="K768">
        <v>1258060.33803</v>
      </c>
      <c r="L768" s="1">
        <f t="shared" si="46"/>
        <v>0</v>
      </c>
      <c r="M768" s="1">
        <f t="shared" si="47"/>
        <v>0</v>
      </c>
      <c r="N768" s="1">
        <f t="shared" si="48"/>
        <v>0</v>
      </c>
      <c r="O768" s="1"/>
    </row>
    <row r="769" spans="1:15" x14ac:dyDescent="0.25">
      <c r="A769">
        <v>1133</v>
      </c>
      <c r="B769">
        <v>2417.1413170000001</v>
      </c>
      <c r="C769">
        <v>0</v>
      </c>
      <c r="D769">
        <v>53453.355179999999</v>
      </c>
      <c r="E769">
        <v>0</v>
      </c>
      <c r="F769">
        <v>210920.51379999999</v>
      </c>
      <c r="G769">
        <v>0</v>
      </c>
      <c r="H769">
        <v>1133</v>
      </c>
      <c r="I769" t="str">
        <f t="shared" si="45"/>
        <v>YES</v>
      </c>
      <c r="J769" t="s">
        <v>775</v>
      </c>
      <c r="K769">
        <v>281709.19241800002</v>
      </c>
      <c r="L769" s="1">
        <f t="shared" si="46"/>
        <v>0</v>
      </c>
      <c r="M769" s="1">
        <f t="shared" si="47"/>
        <v>0</v>
      </c>
      <c r="N769" s="1">
        <f t="shared" si="48"/>
        <v>0</v>
      </c>
      <c r="O769" s="1"/>
    </row>
    <row r="770" spans="1:15" x14ac:dyDescent="0.25">
      <c r="A770">
        <v>1134</v>
      </c>
      <c r="B770">
        <v>5896.8148899999997</v>
      </c>
      <c r="C770">
        <v>0</v>
      </c>
      <c r="D770">
        <v>70110.756880000001</v>
      </c>
      <c r="E770">
        <v>0</v>
      </c>
      <c r="F770">
        <v>166058.68369999999</v>
      </c>
      <c r="G770">
        <v>0</v>
      </c>
      <c r="H770">
        <v>1134</v>
      </c>
      <c r="I770" t="str">
        <f t="shared" ref="I770:I833" si="49">IF(A770=H770,"YES","NO")</f>
        <v>YES</v>
      </c>
      <c r="J770" t="s">
        <v>776</v>
      </c>
      <c r="K770">
        <v>1206728.8084499999</v>
      </c>
      <c r="L770" s="1">
        <f t="shared" si="46"/>
        <v>0</v>
      </c>
      <c r="M770" s="1">
        <f t="shared" si="47"/>
        <v>0</v>
      </c>
      <c r="N770" s="1">
        <f t="shared" si="48"/>
        <v>0</v>
      </c>
      <c r="O770" s="1"/>
    </row>
    <row r="771" spans="1:15" x14ac:dyDescent="0.25">
      <c r="A771">
        <v>1135</v>
      </c>
      <c r="B771">
        <v>3439.528722</v>
      </c>
      <c r="C771">
        <v>0</v>
      </c>
      <c r="D771">
        <v>82401.454199999993</v>
      </c>
      <c r="E771">
        <v>0</v>
      </c>
      <c r="F771">
        <v>191142.57629999999</v>
      </c>
      <c r="G771">
        <v>0</v>
      </c>
      <c r="H771">
        <v>1135</v>
      </c>
      <c r="I771" t="str">
        <f t="shared" si="49"/>
        <v>YES</v>
      </c>
      <c r="J771" t="s">
        <v>777</v>
      </c>
      <c r="K771">
        <v>435523.12434899999</v>
      </c>
      <c r="L771" s="1">
        <f t="shared" ref="L771:L834" si="50">$U$2*$K771*C771</f>
        <v>0</v>
      </c>
      <c r="M771" s="1">
        <f t="shared" ref="M771:M834" si="51">$U$3*$K771*E771</f>
        <v>0</v>
      </c>
      <c r="N771" s="1">
        <f t="shared" ref="N771:N834" si="52">$U$4*$K771*G771</f>
        <v>0</v>
      </c>
      <c r="O771" s="1"/>
    </row>
    <row r="772" spans="1:15" x14ac:dyDescent="0.25">
      <c r="A772">
        <v>1198</v>
      </c>
      <c r="B772">
        <v>4512.2068120000004</v>
      </c>
      <c r="C772">
        <v>0</v>
      </c>
      <c r="D772">
        <v>75415.042130000002</v>
      </c>
      <c r="E772">
        <v>0</v>
      </c>
      <c r="F772">
        <v>244201.37849999999</v>
      </c>
      <c r="G772">
        <v>0</v>
      </c>
      <c r="H772">
        <v>1198</v>
      </c>
      <c r="I772" t="str">
        <f t="shared" si="49"/>
        <v>YES</v>
      </c>
      <c r="J772" t="s">
        <v>778</v>
      </c>
      <c r="K772">
        <v>303906.439664</v>
      </c>
      <c r="L772" s="1">
        <f t="shared" si="50"/>
        <v>0</v>
      </c>
      <c r="M772" s="1">
        <f t="shared" si="51"/>
        <v>0</v>
      </c>
      <c r="N772" s="1">
        <f t="shared" si="52"/>
        <v>0</v>
      </c>
      <c r="O772" s="1"/>
    </row>
    <row r="773" spans="1:15" x14ac:dyDescent="0.25">
      <c r="A773">
        <v>1200</v>
      </c>
      <c r="B773">
        <v>6384.6344559999998</v>
      </c>
      <c r="C773">
        <v>0</v>
      </c>
      <c r="D773">
        <v>32088.847170000001</v>
      </c>
      <c r="E773">
        <v>0</v>
      </c>
      <c r="F773">
        <v>127901.3316</v>
      </c>
      <c r="G773">
        <v>0</v>
      </c>
      <c r="H773">
        <v>1200</v>
      </c>
      <c r="I773" t="str">
        <f t="shared" si="49"/>
        <v>YES</v>
      </c>
      <c r="J773" t="s">
        <v>779</v>
      </c>
      <c r="K773">
        <v>1311184.57758</v>
      </c>
      <c r="L773" s="1">
        <f t="shared" si="50"/>
        <v>0</v>
      </c>
      <c r="M773" s="1">
        <f t="shared" si="51"/>
        <v>0</v>
      </c>
      <c r="N773" s="1">
        <f t="shared" si="52"/>
        <v>0</v>
      </c>
      <c r="O773" s="1"/>
    </row>
    <row r="774" spans="1:15" x14ac:dyDescent="0.25">
      <c r="A774">
        <v>1201</v>
      </c>
      <c r="B774">
        <v>8751.6784430000007</v>
      </c>
      <c r="C774">
        <v>0</v>
      </c>
      <c r="D774">
        <v>44904.674579999999</v>
      </c>
      <c r="E774">
        <v>0</v>
      </c>
      <c r="F774">
        <v>202901.5183</v>
      </c>
      <c r="G774">
        <v>0</v>
      </c>
      <c r="H774">
        <v>1201</v>
      </c>
      <c r="I774" t="str">
        <f t="shared" si="49"/>
        <v>YES</v>
      </c>
      <c r="J774" t="s">
        <v>780</v>
      </c>
      <c r="K774">
        <v>601066.523315</v>
      </c>
      <c r="L774" s="1">
        <f t="shared" si="50"/>
        <v>0</v>
      </c>
      <c r="M774" s="1">
        <f t="shared" si="51"/>
        <v>0</v>
      </c>
      <c r="N774" s="1">
        <f t="shared" si="52"/>
        <v>0</v>
      </c>
      <c r="O774" s="1"/>
    </row>
    <row r="775" spans="1:15" x14ac:dyDescent="0.25">
      <c r="A775">
        <v>1202</v>
      </c>
      <c r="B775">
        <v>6898.3166899999997</v>
      </c>
      <c r="C775">
        <v>0</v>
      </c>
      <c r="D775">
        <v>44162.810089999999</v>
      </c>
      <c r="E775">
        <v>0</v>
      </c>
      <c r="F775">
        <v>177797.47409999999</v>
      </c>
      <c r="G775">
        <v>0</v>
      </c>
      <c r="H775">
        <v>1202</v>
      </c>
      <c r="I775" t="str">
        <f t="shared" si="49"/>
        <v>YES</v>
      </c>
      <c r="J775" t="s">
        <v>781</v>
      </c>
      <c r="K775">
        <v>793173.34385900002</v>
      </c>
      <c r="L775" s="1">
        <f t="shared" si="50"/>
        <v>0</v>
      </c>
      <c r="M775" s="1">
        <f t="shared" si="51"/>
        <v>0</v>
      </c>
      <c r="N775" s="1">
        <f t="shared" si="52"/>
        <v>0</v>
      </c>
      <c r="O775" s="1"/>
    </row>
    <row r="776" spans="1:15" x14ac:dyDescent="0.25">
      <c r="A776">
        <v>1203</v>
      </c>
      <c r="B776">
        <v>9068.8277330000001</v>
      </c>
      <c r="C776">
        <v>0</v>
      </c>
      <c r="D776">
        <v>51354.56639</v>
      </c>
      <c r="E776">
        <v>0</v>
      </c>
      <c r="F776">
        <v>238309.9797</v>
      </c>
      <c r="G776">
        <v>0</v>
      </c>
      <c r="H776">
        <v>1203</v>
      </c>
      <c r="I776" t="str">
        <f t="shared" si="49"/>
        <v>YES</v>
      </c>
      <c r="J776" t="s">
        <v>782</v>
      </c>
      <c r="K776">
        <v>710739.49774999998</v>
      </c>
      <c r="L776" s="1">
        <f t="shared" si="50"/>
        <v>0</v>
      </c>
      <c r="M776" s="1">
        <f t="shared" si="51"/>
        <v>0</v>
      </c>
      <c r="N776" s="1">
        <f t="shared" si="52"/>
        <v>0</v>
      </c>
      <c r="O776" s="1"/>
    </row>
    <row r="777" spans="1:15" x14ac:dyDescent="0.25">
      <c r="A777">
        <v>1204</v>
      </c>
      <c r="B777">
        <v>5858.3732849999997</v>
      </c>
      <c r="C777">
        <v>0</v>
      </c>
      <c r="D777">
        <v>47565.420980000003</v>
      </c>
      <c r="E777">
        <v>0</v>
      </c>
      <c r="F777">
        <v>219133.5765</v>
      </c>
      <c r="G777">
        <v>0</v>
      </c>
      <c r="H777">
        <v>1204</v>
      </c>
      <c r="I777" t="str">
        <f t="shared" si="49"/>
        <v>YES</v>
      </c>
      <c r="J777" t="s">
        <v>783</v>
      </c>
      <c r="K777">
        <v>660894.73687899997</v>
      </c>
      <c r="L777" s="1">
        <f t="shared" si="50"/>
        <v>0</v>
      </c>
      <c r="M777" s="1">
        <f t="shared" si="51"/>
        <v>0</v>
      </c>
      <c r="N777" s="1">
        <f t="shared" si="52"/>
        <v>0</v>
      </c>
      <c r="O777" s="1"/>
    </row>
    <row r="778" spans="1:15" x14ac:dyDescent="0.25">
      <c r="A778">
        <v>1205</v>
      </c>
      <c r="B778">
        <v>5523.0042729999996</v>
      </c>
      <c r="C778">
        <v>0</v>
      </c>
      <c r="D778">
        <v>40585.776890000001</v>
      </c>
      <c r="E778">
        <v>0</v>
      </c>
      <c r="F778">
        <v>142472.96960000001</v>
      </c>
      <c r="G778">
        <v>0</v>
      </c>
      <c r="H778">
        <v>1205</v>
      </c>
      <c r="I778" t="str">
        <f t="shared" si="49"/>
        <v>YES</v>
      </c>
      <c r="J778" t="s">
        <v>784</v>
      </c>
      <c r="K778">
        <v>1111920.4622</v>
      </c>
      <c r="L778" s="1">
        <f t="shared" si="50"/>
        <v>0</v>
      </c>
      <c r="M778" s="1">
        <f t="shared" si="51"/>
        <v>0</v>
      </c>
      <c r="N778" s="1">
        <f t="shared" si="52"/>
        <v>0</v>
      </c>
      <c r="O778" s="1"/>
    </row>
    <row r="779" spans="1:15" x14ac:dyDescent="0.25">
      <c r="A779">
        <v>1206</v>
      </c>
      <c r="B779">
        <v>8510.3592439999993</v>
      </c>
      <c r="C779">
        <v>0</v>
      </c>
      <c r="D779">
        <v>45599.167439999997</v>
      </c>
      <c r="E779">
        <v>0</v>
      </c>
      <c r="F779">
        <v>198553.22940000001</v>
      </c>
      <c r="G779">
        <v>0</v>
      </c>
      <c r="H779">
        <v>1206</v>
      </c>
      <c r="I779" t="str">
        <f t="shared" si="49"/>
        <v>YES</v>
      </c>
      <c r="J779" t="s">
        <v>785</v>
      </c>
      <c r="K779">
        <v>894126.31272699998</v>
      </c>
      <c r="L779" s="1">
        <f t="shared" si="50"/>
        <v>0</v>
      </c>
      <c r="M779" s="1">
        <f t="shared" si="51"/>
        <v>0</v>
      </c>
      <c r="N779" s="1">
        <f t="shared" si="52"/>
        <v>0</v>
      </c>
      <c r="O779" s="1"/>
    </row>
    <row r="780" spans="1:15" x14ac:dyDescent="0.25">
      <c r="A780">
        <v>1207</v>
      </c>
      <c r="B780">
        <v>5891.8509439999998</v>
      </c>
      <c r="C780">
        <v>0</v>
      </c>
      <c r="D780">
        <v>38887.37343</v>
      </c>
      <c r="E780">
        <v>0</v>
      </c>
      <c r="F780">
        <v>146636.43109999999</v>
      </c>
      <c r="G780">
        <v>0</v>
      </c>
      <c r="H780">
        <v>1207</v>
      </c>
      <c r="I780" t="str">
        <f t="shared" si="49"/>
        <v>YES</v>
      </c>
      <c r="J780" t="s">
        <v>786</v>
      </c>
      <c r="K780">
        <v>1170813.44236</v>
      </c>
      <c r="L780" s="1">
        <f t="shared" si="50"/>
        <v>0</v>
      </c>
      <c r="M780" s="1">
        <f t="shared" si="51"/>
        <v>0</v>
      </c>
      <c r="N780" s="1">
        <f t="shared" si="52"/>
        <v>0</v>
      </c>
      <c r="O780" s="1"/>
    </row>
    <row r="781" spans="1:15" x14ac:dyDescent="0.25">
      <c r="A781">
        <v>1209</v>
      </c>
      <c r="B781">
        <v>21139.264149999999</v>
      </c>
      <c r="C781">
        <v>0</v>
      </c>
      <c r="D781">
        <v>119479.84639999999</v>
      </c>
      <c r="E781">
        <v>0</v>
      </c>
      <c r="F781">
        <v>369100.51130000001</v>
      </c>
      <c r="G781">
        <v>0</v>
      </c>
      <c r="H781">
        <v>1209</v>
      </c>
      <c r="I781" t="str">
        <f t="shared" si="49"/>
        <v>YES</v>
      </c>
      <c r="J781" t="s">
        <v>787</v>
      </c>
      <c r="K781">
        <v>241870.65509799999</v>
      </c>
      <c r="L781" s="1">
        <f t="shared" si="50"/>
        <v>0</v>
      </c>
      <c r="M781" s="1">
        <f t="shared" si="51"/>
        <v>0</v>
      </c>
      <c r="N781" s="1">
        <f t="shared" si="52"/>
        <v>0</v>
      </c>
      <c r="O781" s="1"/>
    </row>
    <row r="782" spans="1:15" x14ac:dyDescent="0.25">
      <c r="A782">
        <v>1210</v>
      </c>
      <c r="B782">
        <v>12754.419019999999</v>
      </c>
      <c r="C782">
        <v>0</v>
      </c>
      <c r="D782">
        <v>58080.227859999999</v>
      </c>
      <c r="E782">
        <v>0</v>
      </c>
      <c r="F782">
        <v>206194.0336</v>
      </c>
      <c r="G782">
        <v>0</v>
      </c>
      <c r="H782">
        <v>1210</v>
      </c>
      <c r="I782" t="str">
        <f t="shared" si="49"/>
        <v>YES</v>
      </c>
      <c r="J782" t="s">
        <v>788</v>
      </c>
      <c r="K782">
        <v>1493731.67955</v>
      </c>
      <c r="L782" s="1">
        <f t="shared" si="50"/>
        <v>0</v>
      </c>
      <c r="M782" s="1">
        <f t="shared" si="51"/>
        <v>0</v>
      </c>
      <c r="N782" s="1">
        <f t="shared" si="52"/>
        <v>0</v>
      </c>
      <c r="O782" s="1"/>
    </row>
    <row r="783" spans="1:15" x14ac:dyDescent="0.25">
      <c r="A783">
        <v>1211</v>
      </c>
      <c r="B783">
        <v>7213.6297249999998</v>
      </c>
      <c r="C783">
        <v>0</v>
      </c>
      <c r="D783">
        <v>40436.778299999998</v>
      </c>
      <c r="E783">
        <v>0</v>
      </c>
      <c r="F783">
        <v>165776.20970000001</v>
      </c>
      <c r="G783">
        <v>0</v>
      </c>
      <c r="H783">
        <v>1211</v>
      </c>
      <c r="I783" t="str">
        <f t="shared" si="49"/>
        <v>YES</v>
      </c>
      <c r="J783" t="s">
        <v>789</v>
      </c>
      <c r="K783">
        <v>984408.96714800003</v>
      </c>
      <c r="L783" s="1">
        <f t="shared" si="50"/>
        <v>0</v>
      </c>
      <c r="M783" s="1">
        <f t="shared" si="51"/>
        <v>0</v>
      </c>
      <c r="N783" s="1">
        <f t="shared" si="52"/>
        <v>0</v>
      </c>
      <c r="O783" s="1"/>
    </row>
    <row r="784" spans="1:15" x14ac:dyDescent="0.25">
      <c r="A784">
        <v>1212</v>
      </c>
      <c r="B784">
        <v>9175.1377549999997</v>
      </c>
      <c r="C784">
        <v>0</v>
      </c>
      <c r="D784">
        <v>45103.276610000001</v>
      </c>
      <c r="E784">
        <v>0</v>
      </c>
      <c r="F784">
        <v>166904.55290000001</v>
      </c>
      <c r="G784">
        <v>0</v>
      </c>
      <c r="H784">
        <v>1212</v>
      </c>
      <c r="I784" t="str">
        <f t="shared" si="49"/>
        <v>YES</v>
      </c>
      <c r="J784" t="s">
        <v>790</v>
      </c>
      <c r="K784">
        <v>749667.68569299998</v>
      </c>
      <c r="L784" s="1">
        <f t="shared" si="50"/>
        <v>0</v>
      </c>
      <c r="M784" s="1">
        <f t="shared" si="51"/>
        <v>0</v>
      </c>
      <c r="N784" s="1">
        <f t="shared" si="52"/>
        <v>0</v>
      </c>
      <c r="O784" s="1"/>
    </row>
    <row r="785" spans="1:15" x14ac:dyDescent="0.25">
      <c r="A785">
        <v>1213</v>
      </c>
      <c r="B785">
        <v>11123.221320000001</v>
      </c>
      <c r="C785">
        <v>0</v>
      </c>
      <c r="D785">
        <v>53151.438419999999</v>
      </c>
      <c r="E785">
        <v>0</v>
      </c>
      <c r="F785">
        <v>192940.5975</v>
      </c>
      <c r="G785">
        <v>0</v>
      </c>
      <c r="H785">
        <v>1213</v>
      </c>
      <c r="I785" t="str">
        <f t="shared" si="49"/>
        <v>YES</v>
      </c>
      <c r="J785" t="s">
        <v>791</v>
      </c>
      <c r="K785">
        <v>346860.21065700002</v>
      </c>
      <c r="L785" s="1">
        <f t="shared" si="50"/>
        <v>0</v>
      </c>
      <c r="M785" s="1">
        <f t="shared" si="51"/>
        <v>0</v>
      </c>
      <c r="N785" s="1">
        <f t="shared" si="52"/>
        <v>0</v>
      </c>
      <c r="O785" s="1"/>
    </row>
    <row r="786" spans="1:15" x14ac:dyDescent="0.25">
      <c r="A786">
        <v>1214</v>
      </c>
      <c r="B786">
        <v>9005.5731589999996</v>
      </c>
      <c r="C786">
        <v>0</v>
      </c>
      <c r="D786">
        <v>45152.071380000001</v>
      </c>
      <c r="E786">
        <v>0</v>
      </c>
      <c r="F786">
        <v>189498.0791</v>
      </c>
      <c r="G786">
        <v>0</v>
      </c>
      <c r="H786">
        <v>1214</v>
      </c>
      <c r="I786" t="str">
        <f t="shared" si="49"/>
        <v>YES</v>
      </c>
      <c r="J786" t="s">
        <v>792</v>
      </c>
      <c r="K786">
        <v>482442.69654400001</v>
      </c>
      <c r="L786" s="1">
        <f t="shared" si="50"/>
        <v>0</v>
      </c>
      <c r="M786" s="1">
        <f t="shared" si="51"/>
        <v>0</v>
      </c>
      <c r="N786" s="1">
        <f t="shared" si="52"/>
        <v>0</v>
      </c>
      <c r="O786" s="1"/>
    </row>
    <row r="787" spans="1:15" x14ac:dyDescent="0.25">
      <c r="A787">
        <v>1215</v>
      </c>
      <c r="B787">
        <v>15796.75201</v>
      </c>
      <c r="C787">
        <v>0</v>
      </c>
      <c r="D787">
        <v>63402.907310000002</v>
      </c>
      <c r="E787">
        <v>0</v>
      </c>
      <c r="F787">
        <v>203135.5147</v>
      </c>
      <c r="G787">
        <v>0</v>
      </c>
      <c r="H787">
        <v>1215</v>
      </c>
      <c r="I787" t="str">
        <f t="shared" si="49"/>
        <v>YES</v>
      </c>
      <c r="J787" t="s">
        <v>793</v>
      </c>
      <c r="K787">
        <v>142861.04501100001</v>
      </c>
      <c r="L787" s="1">
        <f t="shared" si="50"/>
        <v>0</v>
      </c>
      <c r="M787" s="1">
        <f t="shared" si="51"/>
        <v>0</v>
      </c>
      <c r="N787" s="1">
        <f t="shared" si="52"/>
        <v>0</v>
      </c>
      <c r="O787" s="1"/>
    </row>
    <row r="788" spans="1:15" x14ac:dyDescent="0.25">
      <c r="A788">
        <v>1216</v>
      </c>
      <c r="B788">
        <v>7462.5406739999999</v>
      </c>
      <c r="C788">
        <v>0</v>
      </c>
      <c r="D788">
        <v>61736.46385</v>
      </c>
      <c r="E788">
        <v>0</v>
      </c>
      <c r="F788">
        <v>212063.16579999999</v>
      </c>
      <c r="G788">
        <v>0</v>
      </c>
      <c r="H788">
        <v>1216</v>
      </c>
      <c r="I788" t="str">
        <f t="shared" si="49"/>
        <v>YES</v>
      </c>
      <c r="J788" t="s">
        <v>794</v>
      </c>
      <c r="K788">
        <v>1015522.32738</v>
      </c>
      <c r="L788" s="1">
        <f t="shared" si="50"/>
        <v>0</v>
      </c>
      <c r="M788" s="1">
        <f t="shared" si="51"/>
        <v>0</v>
      </c>
      <c r="N788" s="1">
        <f t="shared" si="52"/>
        <v>0</v>
      </c>
      <c r="O788" s="1"/>
    </row>
    <row r="789" spans="1:15" x14ac:dyDescent="0.25">
      <c r="A789">
        <v>1217</v>
      </c>
      <c r="B789">
        <v>2952.130525</v>
      </c>
      <c r="C789">
        <v>0</v>
      </c>
      <c r="D789">
        <v>37239.22539</v>
      </c>
      <c r="E789">
        <v>0</v>
      </c>
      <c r="F789">
        <v>126087.8688</v>
      </c>
      <c r="G789">
        <v>0</v>
      </c>
      <c r="H789">
        <v>1217</v>
      </c>
      <c r="I789" t="str">
        <f t="shared" si="49"/>
        <v>YES</v>
      </c>
      <c r="J789" t="s">
        <v>795</v>
      </c>
      <c r="K789">
        <v>485837.79389700003</v>
      </c>
      <c r="L789" s="1">
        <f t="shared" si="50"/>
        <v>0</v>
      </c>
      <c r="M789" s="1">
        <f t="shared" si="51"/>
        <v>0</v>
      </c>
      <c r="N789" s="1">
        <f t="shared" si="52"/>
        <v>0</v>
      </c>
      <c r="O789" s="1"/>
    </row>
    <row r="790" spans="1:15" x14ac:dyDescent="0.25">
      <c r="A790">
        <v>1218</v>
      </c>
      <c r="B790">
        <v>38363.119879999998</v>
      </c>
      <c r="C790">
        <v>0</v>
      </c>
      <c r="D790">
        <v>172981.6476</v>
      </c>
      <c r="E790">
        <v>0</v>
      </c>
      <c r="F790">
        <v>481627.06839999999</v>
      </c>
      <c r="G790">
        <v>0</v>
      </c>
      <c r="H790">
        <v>1218</v>
      </c>
      <c r="I790" t="str">
        <f t="shared" si="49"/>
        <v>YES</v>
      </c>
      <c r="J790" t="s">
        <v>796</v>
      </c>
      <c r="K790">
        <v>375883.818012</v>
      </c>
      <c r="L790" s="1">
        <f t="shared" si="50"/>
        <v>0</v>
      </c>
      <c r="M790" s="1">
        <f t="shared" si="51"/>
        <v>0</v>
      </c>
      <c r="N790" s="1">
        <f t="shared" si="52"/>
        <v>0</v>
      </c>
      <c r="O790" s="1"/>
    </row>
    <row r="791" spans="1:15" x14ac:dyDescent="0.25">
      <c r="A791">
        <v>1219</v>
      </c>
      <c r="B791">
        <v>40949.628019999996</v>
      </c>
      <c r="C791">
        <v>0</v>
      </c>
      <c r="D791">
        <v>178480.35389999999</v>
      </c>
      <c r="E791">
        <v>0</v>
      </c>
      <c r="F791">
        <v>516858.76</v>
      </c>
      <c r="G791">
        <v>0</v>
      </c>
      <c r="H791">
        <v>1219</v>
      </c>
      <c r="I791" t="str">
        <f t="shared" si="49"/>
        <v>YES</v>
      </c>
      <c r="J791" t="s">
        <v>797</v>
      </c>
      <c r="K791">
        <v>209311.58775199999</v>
      </c>
      <c r="L791" s="1">
        <f t="shared" si="50"/>
        <v>0</v>
      </c>
      <c r="M791" s="1">
        <f t="shared" si="51"/>
        <v>0</v>
      </c>
      <c r="N791" s="1">
        <f t="shared" si="52"/>
        <v>0</v>
      </c>
      <c r="O791" s="1"/>
    </row>
    <row r="792" spans="1:15" x14ac:dyDescent="0.25">
      <c r="A792">
        <v>1220</v>
      </c>
      <c r="B792">
        <v>83899.611170000004</v>
      </c>
      <c r="C792">
        <v>0</v>
      </c>
      <c r="D792">
        <v>281654.40759999998</v>
      </c>
      <c r="E792">
        <v>0</v>
      </c>
      <c r="F792">
        <v>1076215.3189999999</v>
      </c>
      <c r="G792">
        <v>0</v>
      </c>
      <c r="H792">
        <v>1220</v>
      </c>
      <c r="I792" t="str">
        <f t="shared" si="49"/>
        <v>YES</v>
      </c>
      <c r="J792" t="s">
        <v>798</v>
      </c>
      <c r="K792">
        <v>144455.020426</v>
      </c>
      <c r="L792" s="1">
        <f t="shared" si="50"/>
        <v>0</v>
      </c>
      <c r="M792" s="1">
        <f t="shared" si="51"/>
        <v>0</v>
      </c>
      <c r="N792" s="1">
        <f t="shared" si="52"/>
        <v>0</v>
      </c>
      <c r="O792" s="1"/>
    </row>
    <row r="793" spans="1:15" x14ac:dyDescent="0.25">
      <c r="A793">
        <v>1221</v>
      </c>
      <c r="B793">
        <v>22570.804749999999</v>
      </c>
      <c r="C793">
        <v>0</v>
      </c>
      <c r="D793">
        <v>142104.36600000001</v>
      </c>
      <c r="E793">
        <v>0</v>
      </c>
      <c r="F793">
        <v>411558.51909999998</v>
      </c>
      <c r="G793">
        <v>0</v>
      </c>
      <c r="H793">
        <v>1221</v>
      </c>
      <c r="I793" t="str">
        <f t="shared" si="49"/>
        <v>YES</v>
      </c>
      <c r="J793" t="s">
        <v>799</v>
      </c>
      <c r="K793">
        <v>233892.92443099999</v>
      </c>
      <c r="L793" s="1">
        <f t="shared" si="50"/>
        <v>0</v>
      </c>
      <c r="M793" s="1">
        <f t="shared" si="51"/>
        <v>0</v>
      </c>
      <c r="N793" s="1">
        <f t="shared" si="52"/>
        <v>0</v>
      </c>
      <c r="O793" s="1"/>
    </row>
    <row r="794" spans="1:15" x14ac:dyDescent="0.25">
      <c r="A794">
        <v>1222</v>
      </c>
      <c r="B794">
        <v>52437.800320000002</v>
      </c>
      <c r="C794">
        <v>0</v>
      </c>
      <c r="D794">
        <v>223530.38769999999</v>
      </c>
      <c r="E794">
        <v>0</v>
      </c>
      <c r="F794">
        <v>831388.85600000003</v>
      </c>
      <c r="G794">
        <v>0</v>
      </c>
      <c r="H794">
        <v>1222</v>
      </c>
      <c r="I794" t="str">
        <f t="shared" si="49"/>
        <v>YES</v>
      </c>
      <c r="J794" t="s">
        <v>800</v>
      </c>
      <c r="K794">
        <v>428584.57283299998</v>
      </c>
      <c r="L794" s="1">
        <f t="shared" si="50"/>
        <v>0</v>
      </c>
      <c r="M794" s="1">
        <f t="shared" si="51"/>
        <v>0</v>
      </c>
      <c r="N794" s="1">
        <f t="shared" si="52"/>
        <v>0</v>
      </c>
      <c r="O794" s="1"/>
    </row>
    <row r="795" spans="1:15" x14ac:dyDescent="0.25">
      <c r="A795">
        <v>1223</v>
      </c>
      <c r="B795">
        <v>13862.52152</v>
      </c>
      <c r="C795">
        <v>0</v>
      </c>
      <c r="D795">
        <v>113910.66039999999</v>
      </c>
      <c r="E795">
        <v>0</v>
      </c>
      <c r="F795">
        <v>330086.8615</v>
      </c>
      <c r="G795">
        <v>0</v>
      </c>
      <c r="H795">
        <v>1223</v>
      </c>
      <c r="I795" t="str">
        <f t="shared" si="49"/>
        <v>YES</v>
      </c>
      <c r="J795" t="s">
        <v>801</v>
      </c>
      <c r="K795">
        <v>431573.82266399998</v>
      </c>
      <c r="L795" s="1">
        <f t="shared" si="50"/>
        <v>0</v>
      </c>
      <c r="M795" s="1">
        <f t="shared" si="51"/>
        <v>0</v>
      </c>
      <c r="N795" s="1">
        <f t="shared" si="52"/>
        <v>0</v>
      </c>
      <c r="O795" s="1"/>
    </row>
    <row r="796" spans="1:15" x14ac:dyDescent="0.25">
      <c r="A796">
        <v>1224</v>
      </c>
      <c r="B796">
        <v>83605.746010000003</v>
      </c>
      <c r="C796">
        <v>0</v>
      </c>
      <c r="D796">
        <v>274926.56800000003</v>
      </c>
      <c r="E796">
        <v>0</v>
      </c>
      <c r="F796">
        <v>1054049.699</v>
      </c>
      <c r="G796">
        <v>0</v>
      </c>
      <c r="H796">
        <v>1224</v>
      </c>
      <c r="I796" t="str">
        <f t="shared" si="49"/>
        <v>YES</v>
      </c>
      <c r="J796" t="s">
        <v>802</v>
      </c>
      <c r="K796">
        <v>298347.555528</v>
      </c>
      <c r="L796" s="1">
        <f t="shared" si="50"/>
        <v>0</v>
      </c>
      <c r="M796" s="1">
        <f t="shared" si="51"/>
        <v>0</v>
      </c>
      <c r="N796" s="1">
        <f t="shared" si="52"/>
        <v>0</v>
      </c>
      <c r="O796" s="1"/>
    </row>
    <row r="797" spans="1:15" x14ac:dyDescent="0.25">
      <c r="A797">
        <v>1225</v>
      </c>
      <c r="B797">
        <v>12840.07483</v>
      </c>
      <c r="C797">
        <v>0</v>
      </c>
      <c r="D797">
        <v>104497.5563</v>
      </c>
      <c r="E797">
        <v>0</v>
      </c>
      <c r="F797">
        <v>301592.23499999999</v>
      </c>
      <c r="G797">
        <v>0</v>
      </c>
      <c r="H797">
        <v>1225</v>
      </c>
      <c r="I797" t="str">
        <f t="shared" si="49"/>
        <v>YES</v>
      </c>
      <c r="J797" t="s">
        <v>803</v>
      </c>
      <c r="K797">
        <v>302276.97023799998</v>
      </c>
      <c r="L797" s="1">
        <f t="shared" si="50"/>
        <v>0</v>
      </c>
      <c r="M797" s="1">
        <f t="shared" si="51"/>
        <v>0</v>
      </c>
      <c r="N797" s="1">
        <f t="shared" si="52"/>
        <v>0</v>
      </c>
      <c r="O797" s="1"/>
    </row>
    <row r="798" spans="1:15" x14ac:dyDescent="0.25">
      <c r="A798">
        <v>1226</v>
      </c>
      <c r="B798">
        <v>31613.473190000001</v>
      </c>
      <c r="C798">
        <v>0</v>
      </c>
      <c r="D798">
        <v>172935.82680000001</v>
      </c>
      <c r="E798">
        <v>0</v>
      </c>
      <c r="F798">
        <v>593971.34080000001</v>
      </c>
      <c r="G798">
        <v>0</v>
      </c>
      <c r="H798">
        <v>1226</v>
      </c>
      <c r="I798" t="str">
        <f t="shared" si="49"/>
        <v>YES</v>
      </c>
      <c r="J798" t="s">
        <v>804</v>
      </c>
      <c r="K798">
        <v>497979.29014599998</v>
      </c>
      <c r="L798" s="1">
        <f t="shared" si="50"/>
        <v>0</v>
      </c>
      <c r="M798" s="1">
        <f t="shared" si="51"/>
        <v>0</v>
      </c>
      <c r="N798" s="1">
        <f t="shared" si="52"/>
        <v>0</v>
      </c>
      <c r="O798" s="1"/>
    </row>
    <row r="799" spans="1:15" x14ac:dyDescent="0.25">
      <c r="A799">
        <v>1227</v>
      </c>
      <c r="B799">
        <v>33025.855710000003</v>
      </c>
      <c r="C799">
        <v>0</v>
      </c>
      <c r="D799">
        <v>198751.24559999999</v>
      </c>
      <c r="E799">
        <v>0</v>
      </c>
      <c r="F799">
        <v>863222.88199999998</v>
      </c>
      <c r="G799">
        <v>0</v>
      </c>
      <c r="H799">
        <v>1227</v>
      </c>
      <c r="I799" t="str">
        <f t="shared" si="49"/>
        <v>YES</v>
      </c>
      <c r="J799" t="s">
        <v>805</v>
      </c>
      <c r="K799">
        <v>159668.12676099999</v>
      </c>
      <c r="L799" s="1">
        <f t="shared" si="50"/>
        <v>0</v>
      </c>
      <c r="M799" s="1">
        <f t="shared" si="51"/>
        <v>0</v>
      </c>
      <c r="N799" s="1">
        <f t="shared" si="52"/>
        <v>0</v>
      </c>
      <c r="O799" s="1"/>
    </row>
    <row r="800" spans="1:15" x14ac:dyDescent="0.25">
      <c r="A800">
        <v>1228</v>
      </c>
      <c r="B800">
        <v>30063.898509999999</v>
      </c>
      <c r="C800">
        <v>0</v>
      </c>
      <c r="D800">
        <v>185199.73139999999</v>
      </c>
      <c r="E800">
        <v>0</v>
      </c>
      <c r="F800">
        <v>509231.19380000001</v>
      </c>
      <c r="G800">
        <v>0</v>
      </c>
      <c r="H800">
        <v>1228</v>
      </c>
      <c r="I800" t="str">
        <f t="shared" si="49"/>
        <v>YES</v>
      </c>
      <c r="J800" t="s">
        <v>806</v>
      </c>
      <c r="K800">
        <v>422833.29635100003</v>
      </c>
      <c r="L800" s="1">
        <f t="shared" si="50"/>
        <v>0</v>
      </c>
      <c r="M800" s="1">
        <f t="shared" si="51"/>
        <v>0</v>
      </c>
      <c r="N800" s="1">
        <f t="shared" si="52"/>
        <v>0</v>
      </c>
      <c r="O800" s="1"/>
    </row>
    <row r="801" spans="1:15" x14ac:dyDescent="0.25">
      <c r="A801">
        <v>1229</v>
      </c>
      <c r="B801">
        <v>7326.4723459999996</v>
      </c>
      <c r="C801">
        <v>0</v>
      </c>
      <c r="D801">
        <v>81230.504679999998</v>
      </c>
      <c r="E801">
        <v>0</v>
      </c>
      <c r="F801">
        <v>248645.3731</v>
      </c>
      <c r="G801">
        <v>0</v>
      </c>
      <c r="H801">
        <v>1229</v>
      </c>
      <c r="I801" t="str">
        <f t="shared" si="49"/>
        <v>YES</v>
      </c>
      <c r="J801" t="s">
        <v>807</v>
      </c>
      <c r="K801">
        <v>415386.76089400001</v>
      </c>
      <c r="L801" s="1">
        <f t="shared" si="50"/>
        <v>0</v>
      </c>
      <c r="M801" s="1">
        <f t="shared" si="51"/>
        <v>0</v>
      </c>
      <c r="N801" s="1">
        <f t="shared" si="52"/>
        <v>0</v>
      </c>
      <c r="O801" s="1"/>
    </row>
    <row r="802" spans="1:15" x14ac:dyDescent="0.25">
      <c r="A802">
        <v>1230</v>
      </c>
      <c r="B802">
        <v>10633.46507</v>
      </c>
      <c r="C802">
        <v>0</v>
      </c>
      <c r="D802">
        <v>105754.6743</v>
      </c>
      <c r="E802">
        <v>0</v>
      </c>
      <c r="F802">
        <v>346418.43859999999</v>
      </c>
      <c r="G802">
        <v>0</v>
      </c>
      <c r="H802">
        <v>1230</v>
      </c>
      <c r="I802" t="str">
        <f t="shared" si="49"/>
        <v>YES</v>
      </c>
      <c r="J802" t="s">
        <v>808</v>
      </c>
      <c r="K802">
        <v>501063.70235400001</v>
      </c>
      <c r="L802" s="1">
        <f t="shared" si="50"/>
        <v>0</v>
      </c>
      <c r="M802" s="1">
        <f t="shared" si="51"/>
        <v>0</v>
      </c>
      <c r="N802" s="1">
        <f t="shared" si="52"/>
        <v>0</v>
      </c>
      <c r="O802" s="1"/>
    </row>
    <row r="803" spans="1:15" x14ac:dyDescent="0.25">
      <c r="A803">
        <v>1231</v>
      </c>
      <c r="B803">
        <v>7875.0013790000003</v>
      </c>
      <c r="C803">
        <v>0</v>
      </c>
      <c r="D803">
        <v>87452.643110000005</v>
      </c>
      <c r="E803">
        <v>0</v>
      </c>
      <c r="F803">
        <v>268386.27299999999</v>
      </c>
      <c r="G803">
        <v>0</v>
      </c>
      <c r="H803">
        <v>1231</v>
      </c>
      <c r="I803" t="str">
        <f t="shared" si="49"/>
        <v>YES</v>
      </c>
      <c r="J803" t="s">
        <v>809</v>
      </c>
      <c r="K803">
        <v>935248.35850500001</v>
      </c>
      <c r="L803" s="1">
        <f t="shared" si="50"/>
        <v>0</v>
      </c>
      <c r="M803" s="1">
        <f t="shared" si="51"/>
        <v>0</v>
      </c>
      <c r="N803" s="1">
        <f t="shared" si="52"/>
        <v>0</v>
      </c>
      <c r="O803" s="1"/>
    </row>
    <row r="804" spans="1:15" x14ac:dyDescent="0.25">
      <c r="A804">
        <v>1234</v>
      </c>
      <c r="B804">
        <v>3537.9582500000001</v>
      </c>
      <c r="C804">
        <v>0</v>
      </c>
      <c r="D804">
        <v>55722.708400000003</v>
      </c>
      <c r="E804">
        <v>0</v>
      </c>
      <c r="F804">
        <v>169442.6195</v>
      </c>
      <c r="G804">
        <v>0</v>
      </c>
      <c r="H804">
        <v>1234</v>
      </c>
      <c r="I804" t="str">
        <f t="shared" si="49"/>
        <v>YES</v>
      </c>
      <c r="J804" t="s">
        <v>810</v>
      </c>
      <c r="K804">
        <v>607064.44352099998</v>
      </c>
      <c r="L804" s="1">
        <f t="shared" si="50"/>
        <v>0</v>
      </c>
      <c r="M804" s="1">
        <f t="shared" si="51"/>
        <v>0</v>
      </c>
      <c r="N804" s="1">
        <f t="shared" si="52"/>
        <v>0</v>
      </c>
      <c r="O804" s="1"/>
    </row>
    <row r="805" spans="1:15" x14ac:dyDescent="0.25">
      <c r="A805">
        <v>1235</v>
      </c>
      <c r="B805">
        <v>1722.0228440000001</v>
      </c>
      <c r="C805">
        <v>0</v>
      </c>
      <c r="D805">
        <v>45779.867080000004</v>
      </c>
      <c r="E805">
        <v>0</v>
      </c>
      <c r="F805">
        <v>168622.40979999999</v>
      </c>
      <c r="G805">
        <v>0</v>
      </c>
      <c r="H805">
        <v>1235</v>
      </c>
      <c r="I805" t="str">
        <f t="shared" si="49"/>
        <v>YES</v>
      </c>
      <c r="J805" t="s">
        <v>811</v>
      </c>
      <c r="K805">
        <v>610348.69082400005</v>
      </c>
      <c r="L805" s="1">
        <f t="shared" si="50"/>
        <v>0</v>
      </c>
      <c r="M805" s="1">
        <f t="shared" si="51"/>
        <v>0</v>
      </c>
      <c r="N805" s="1">
        <f t="shared" si="52"/>
        <v>0</v>
      </c>
      <c r="O805" s="1"/>
    </row>
    <row r="806" spans="1:15" x14ac:dyDescent="0.25">
      <c r="A806">
        <v>1236</v>
      </c>
      <c r="B806">
        <v>2750.615538</v>
      </c>
      <c r="C806">
        <v>0</v>
      </c>
      <c r="D806">
        <v>36987.303169999999</v>
      </c>
      <c r="E806">
        <v>0</v>
      </c>
      <c r="F806">
        <v>156636.46309999999</v>
      </c>
      <c r="G806">
        <v>0</v>
      </c>
      <c r="H806">
        <v>1236</v>
      </c>
      <c r="I806" t="str">
        <f t="shared" si="49"/>
        <v>YES</v>
      </c>
      <c r="J806" t="s">
        <v>812</v>
      </c>
      <c r="K806">
        <v>680977.17521400005</v>
      </c>
      <c r="L806" s="1">
        <f t="shared" si="50"/>
        <v>0</v>
      </c>
      <c r="M806" s="1">
        <f t="shared" si="51"/>
        <v>0</v>
      </c>
      <c r="N806" s="1">
        <f t="shared" si="52"/>
        <v>0</v>
      </c>
      <c r="O806" s="1"/>
    </row>
    <row r="807" spans="1:15" x14ac:dyDescent="0.25">
      <c r="A807">
        <v>1237</v>
      </c>
      <c r="B807">
        <v>3831.9349820000002</v>
      </c>
      <c r="C807">
        <v>0</v>
      </c>
      <c r="D807">
        <v>76492.920020000005</v>
      </c>
      <c r="E807">
        <v>0</v>
      </c>
      <c r="F807">
        <v>215540.4762</v>
      </c>
      <c r="G807">
        <v>0</v>
      </c>
      <c r="H807">
        <v>1237</v>
      </c>
      <c r="I807" t="str">
        <f t="shared" si="49"/>
        <v>YES</v>
      </c>
      <c r="J807" t="s">
        <v>813</v>
      </c>
      <c r="K807">
        <v>338418.351845</v>
      </c>
      <c r="L807" s="1">
        <f t="shared" si="50"/>
        <v>0</v>
      </c>
      <c r="M807" s="1">
        <f t="shared" si="51"/>
        <v>0</v>
      </c>
      <c r="N807" s="1">
        <f t="shared" si="52"/>
        <v>0</v>
      </c>
      <c r="O807" s="1"/>
    </row>
    <row r="808" spans="1:15" x14ac:dyDescent="0.25">
      <c r="A808">
        <v>1238</v>
      </c>
      <c r="B808">
        <v>3681.5503119999998</v>
      </c>
      <c r="C808">
        <v>0</v>
      </c>
      <c r="D808">
        <v>13513.78225</v>
      </c>
      <c r="E808">
        <v>0</v>
      </c>
      <c r="F808">
        <v>41897.065580000002</v>
      </c>
      <c r="G808">
        <v>0</v>
      </c>
      <c r="H808">
        <v>1238</v>
      </c>
      <c r="I808" t="str">
        <f t="shared" si="49"/>
        <v>YES</v>
      </c>
      <c r="J808" t="s">
        <v>814</v>
      </c>
      <c r="K808">
        <v>2274451.3290499998</v>
      </c>
      <c r="L808" s="1">
        <f t="shared" si="50"/>
        <v>0</v>
      </c>
      <c r="M808" s="1">
        <f t="shared" si="51"/>
        <v>0</v>
      </c>
      <c r="N808" s="1">
        <f t="shared" si="52"/>
        <v>0</v>
      </c>
      <c r="O808" s="1"/>
    </row>
    <row r="809" spans="1:15" x14ac:dyDescent="0.25">
      <c r="A809">
        <v>1239</v>
      </c>
      <c r="B809">
        <v>4122.5940499999997</v>
      </c>
      <c r="C809">
        <v>0</v>
      </c>
      <c r="D809">
        <v>46744.500269999997</v>
      </c>
      <c r="E809">
        <v>0</v>
      </c>
      <c r="F809">
        <v>157281.76620000001</v>
      </c>
      <c r="G809">
        <v>0</v>
      </c>
      <c r="H809">
        <v>1239</v>
      </c>
      <c r="I809" t="str">
        <f t="shared" si="49"/>
        <v>YES</v>
      </c>
      <c r="J809" t="s">
        <v>815</v>
      </c>
      <c r="K809">
        <v>576312.29937100003</v>
      </c>
      <c r="L809" s="1">
        <f t="shared" si="50"/>
        <v>0</v>
      </c>
      <c r="M809" s="1">
        <f t="shared" si="51"/>
        <v>0</v>
      </c>
      <c r="N809" s="1">
        <f t="shared" si="52"/>
        <v>0</v>
      </c>
      <c r="O809" s="1"/>
    </row>
    <row r="810" spans="1:15" x14ac:dyDescent="0.25">
      <c r="A810">
        <v>1240</v>
      </c>
      <c r="B810">
        <v>2320.2161999999998</v>
      </c>
      <c r="C810">
        <v>0</v>
      </c>
      <c r="D810">
        <v>43364.248720000003</v>
      </c>
      <c r="E810">
        <v>0</v>
      </c>
      <c r="F810">
        <v>162611.1483</v>
      </c>
      <c r="G810">
        <v>0</v>
      </c>
      <c r="H810">
        <v>1240</v>
      </c>
      <c r="I810" t="str">
        <f t="shared" si="49"/>
        <v>YES</v>
      </c>
      <c r="J810" t="s">
        <v>816</v>
      </c>
      <c r="K810">
        <v>739137.95041699999</v>
      </c>
      <c r="L810" s="1">
        <f t="shared" si="50"/>
        <v>0</v>
      </c>
      <c r="M810" s="1">
        <f t="shared" si="51"/>
        <v>0</v>
      </c>
      <c r="N810" s="1">
        <f t="shared" si="52"/>
        <v>0</v>
      </c>
      <c r="O810" s="1"/>
    </row>
    <row r="811" spans="1:15" x14ac:dyDescent="0.25">
      <c r="A811">
        <v>1241</v>
      </c>
      <c r="B811">
        <v>2156.457034</v>
      </c>
      <c r="C811">
        <v>0</v>
      </c>
      <c r="D811">
        <v>36368.226390000003</v>
      </c>
      <c r="E811">
        <v>0</v>
      </c>
      <c r="F811">
        <v>148869.27499999999</v>
      </c>
      <c r="G811">
        <v>0</v>
      </c>
      <c r="H811">
        <v>1241</v>
      </c>
      <c r="I811" t="str">
        <f t="shared" si="49"/>
        <v>YES</v>
      </c>
      <c r="J811" t="s">
        <v>817</v>
      </c>
      <c r="K811">
        <v>1003133.93625</v>
      </c>
      <c r="L811" s="1">
        <f t="shared" si="50"/>
        <v>0</v>
      </c>
      <c r="M811" s="1">
        <f t="shared" si="51"/>
        <v>0</v>
      </c>
      <c r="N811" s="1">
        <f t="shared" si="52"/>
        <v>0</v>
      </c>
      <c r="O811" s="1"/>
    </row>
    <row r="812" spans="1:15" x14ac:dyDescent="0.25">
      <c r="A812">
        <v>1242</v>
      </c>
      <c r="B812">
        <v>2748.0295580000002</v>
      </c>
      <c r="C812">
        <v>0</v>
      </c>
      <c r="D812">
        <v>35117.74065</v>
      </c>
      <c r="E812">
        <v>0</v>
      </c>
      <c r="F812">
        <v>152359.09450000001</v>
      </c>
      <c r="G812">
        <v>0</v>
      </c>
      <c r="H812">
        <v>1242</v>
      </c>
      <c r="I812" t="str">
        <f t="shared" si="49"/>
        <v>YES</v>
      </c>
      <c r="J812" t="s">
        <v>818</v>
      </c>
      <c r="K812">
        <v>849592.49963199999</v>
      </c>
      <c r="L812" s="1">
        <f t="shared" si="50"/>
        <v>0</v>
      </c>
      <c r="M812" s="1">
        <f t="shared" si="51"/>
        <v>0</v>
      </c>
      <c r="N812" s="1">
        <f t="shared" si="52"/>
        <v>0</v>
      </c>
      <c r="O812" s="1"/>
    </row>
    <row r="813" spans="1:15" x14ac:dyDescent="0.25">
      <c r="A813">
        <v>1243</v>
      </c>
      <c r="B813">
        <v>2538.4705720000002</v>
      </c>
      <c r="C813">
        <v>0</v>
      </c>
      <c r="D813">
        <v>26375.995180000002</v>
      </c>
      <c r="E813">
        <v>0</v>
      </c>
      <c r="F813">
        <v>135273.6452</v>
      </c>
      <c r="G813">
        <v>0</v>
      </c>
      <c r="H813">
        <v>1243</v>
      </c>
      <c r="I813" t="str">
        <f t="shared" si="49"/>
        <v>YES</v>
      </c>
      <c r="J813" t="s">
        <v>819</v>
      </c>
      <c r="K813">
        <v>1267250.9464700001</v>
      </c>
      <c r="L813" s="1">
        <f t="shared" si="50"/>
        <v>0</v>
      </c>
      <c r="M813" s="1">
        <f t="shared" si="51"/>
        <v>0</v>
      </c>
      <c r="N813" s="1">
        <f t="shared" si="52"/>
        <v>0</v>
      </c>
      <c r="O813" s="1"/>
    </row>
    <row r="814" spans="1:15" x14ac:dyDescent="0.25">
      <c r="A814">
        <v>1244</v>
      </c>
      <c r="B814">
        <v>1891.471898</v>
      </c>
      <c r="C814">
        <v>0</v>
      </c>
      <c r="D814">
        <v>26737.779439999998</v>
      </c>
      <c r="E814">
        <v>0</v>
      </c>
      <c r="F814">
        <v>140260.74359999999</v>
      </c>
      <c r="G814">
        <v>0</v>
      </c>
      <c r="H814">
        <v>1244</v>
      </c>
      <c r="I814" t="str">
        <f t="shared" si="49"/>
        <v>YES</v>
      </c>
      <c r="J814" t="s">
        <v>820</v>
      </c>
      <c r="K814">
        <v>988537.88480300002</v>
      </c>
      <c r="L814" s="1">
        <f t="shared" si="50"/>
        <v>0</v>
      </c>
      <c r="M814" s="1">
        <f t="shared" si="51"/>
        <v>0</v>
      </c>
      <c r="N814" s="1">
        <f t="shared" si="52"/>
        <v>0</v>
      </c>
      <c r="O814" s="1"/>
    </row>
    <row r="815" spans="1:15" x14ac:dyDescent="0.25">
      <c r="A815">
        <v>1245</v>
      </c>
      <c r="B815">
        <v>6068.5516740000003</v>
      </c>
      <c r="C815">
        <v>0</v>
      </c>
      <c r="D815">
        <v>16883.362499999999</v>
      </c>
      <c r="E815">
        <v>0</v>
      </c>
      <c r="F815">
        <v>109643.4547</v>
      </c>
      <c r="G815">
        <v>0</v>
      </c>
      <c r="H815">
        <v>1245</v>
      </c>
      <c r="I815" t="str">
        <f t="shared" si="49"/>
        <v>YES</v>
      </c>
      <c r="J815" t="s">
        <v>821</v>
      </c>
      <c r="K815">
        <v>792807.45738200005</v>
      </c>
      <c r="L815" s="1">
        <f t="shared" si="50"/>
        <v>0</v>
      </c>
      <c r="M815" s="1">
        <f t="shared" si="51"/>
        <v>0</v>
      </c>
      <c r="N815" s="1">
        <f t="shared" si="52"/>
        <v>0</v>
      </c>
      <c r="O815" s="1"/>
    </row>
    <row r="816" spans="1:15" x14ac:dyDescent="0.25">
      <c r="A816">
        <v>1246</v>
      </c>
      <c r="B816">
        <v>20108.659149999999</v>
      </c>
      <c r="C816">
        <v>0</v>
      </c>
      <c r="D816">
        <v>94746.760389999996</v>
      </c>
      <c r="E816">
        <v>0</v>
      </c>
      <c r="F816">
        <v>181921.86249999999</v>
      </c>
      <c r="G816">
        <v>0</v>
      </c>
      <c r="H816">
        <v>1246</v>
      </c>
      <c r="I816" t="str">
        <f t="shared" si="49"/>
        <v>YES</v>
      </c>
      <c r="J816" t="s">
        <v>822</v>
      </c>
      <c r="K816">
        <v>1099602.0295299999</v>
      </c>
      <c r="L816" s="1">
        <f t="shared" si="50"/>
        <v>0</v>
      </c>
      <c r="M816" s="1">
        <f t="shared" si="51"/>
        <v>0</v>
      </c>
      <c r="N816" s="1">
        <f t="shared" si="52"/>
        <v>0</v>
      </c>
      <c r="O816" s="1"/>
    </row>
    <row r="817" spans="1:15" x14ac:dyDescent="0.25">
      <c r="A817">
        <v>1249</v>
      </c>
      <c r="B817">
        <v>8423.59843</v>
      </c>
      <c r="C817">
        <v>0</v>
      </c>
      <c r="D817">
        <v>89124.985560000001</v>
      </c>
      <c r="E817">
        <v>0</v>
      </c>
      <c r="F817">
        <v>287021.26370000001</v>
      </c>
      <c r="G817">
        <v>0</v>
      </c>
      <c r="H817">
        <v>1249</v>
      </c>
      <c r="I817" t="str">
        <f t="shared" si="49"/>
        <v>YES</v>
      </c>
      <c r="J817" t="s">
        <v>823</v>
      </c>
      <c r="K817">
        <v>460990.25903199997</v>
      </c>
      <c r="L817" s="1">
        <f t="shared" si="50"/>
        <v>0</v>
      </c>
      <c r="M817" s="1">
        <f t="shared" si="51"/>
        <v>0</v>
      </c>
      <c r="N817" s="1">
        <f t="shared" si="52"/>
        <v>0</v>
      </c>
      <c r="O817" s="1"/>
    </row>
    <row r="818" spans="1:15" x14ac:dyDescent="0.25">
      <c r="A818">
        <v>1250</v>
      </c>
      <c r="B818">
        <v>3959.194567</v>
      </c>
      <c r="C818">
        <v>0</v>
      </c>
      <c r="D818">
        <v>65385.849269999999</v>
      </c>
      <c r="E818">
        <v>0</v>
      </c>
      <c r="F818">
        <v>206772.1232</v>
      </c>
      <c r="G818">
        <v>0</v>
      </c>
      <c r="H818">
        <v>1250</v>
      </c>
      <c r="I818" t="str">
        <f t="shared" si="49"/>
        <v>YES</v>
      </c>
      <c r="J818" t="s">
        <v>824</v>
      </c>
      <c r="K818">
        <v>383835.37239099998</v>
      </c>
      <c r="L818" s="1">
        <f t="shared" si="50"/>
        <v>0</v>
      </c>
      <c r="M818" s="1">
        <f t="shared" si="51"/>
        <v>0</v>
      </c>
      <c r="N818" s="1">
        <f t="shared" si="52"/>
        <v>0</v>
      </c>
      <c r="O818" s="1"/>
    </row>
    <row r="819" spans="1:15" x14ac:dyDescent="0.25">
      <c r="A819">
        <v>1251</v>
      </c>
      <c r="B819">
        <v>6259.944904</v>
      </c>
      <c r="C819">
        <v>0</v>
      </c>
      <c r="D819">
        <v>84271.035080000001</v>
      </c>
      <c r="E819">
        <v>0</v>
      </c>
      <c r="F819">
        <v>253618.68429999999</v>
      </c>
      <c r="G819">
        <v>0</v>
      </c>
      <c r="H819">
        <v>1251</v>
      </c>
      <c r="I819" t="str">
        <f t="shared" si="49"/>
        <v>YES</v>
      </c>
      <c r="J819" t="s">
        <v>825</v>
      </c>
      <c r="K819">
        <v>557484.97180399997</v>
      </c>
      <c r="L819" s="1">
        <f t="shared" si="50"/>
        <v>0</v>
      </c>
      <c r="M819" s="1">
        <f t="shared" si="51"/>
        <v>0</v>
      </c>
      <c r="N819" s="1">
        <f t="shared" si="52"/>
        <v>0</v>
      </c>
      <c r="O819" s="1"/>
    </row>
    <row r="820" spans="1:15" x14ac:dyDescent="0.25">
      <c r="A820">
        <v>1252</v>
      </c>
      <c r="B820">
        <v>7241.5188420000004</v>
      </c>
      <c r="C820">
        <v>0</v>
      </c>
      <c r="D820">
        <v>75371.961739999999</v>
      </c>
      <c r="E820">
        <v>0</v>
      </c>
      <c r="F820">
        <v>265490.85859999998</v>
      </c>
      <c r="G820">
        <v>0</v>
      </c>
      <c r="H820">
        <v>1252</v>
      </c>
      <c r="I820" t="str">
        <f t="shared" si="49"/>
        <v>YES</v>
      </c>
      <c r="J820" t="s">
        <v>826</v>
      </c>
      <c r="K820">
        <v>798892.03601499996</v>
      </c>
      <c r="L820" s="1">
        <f t="shared" si="50"/>
        <v>0</v>
      </c>
      <c r="M820" s="1">
        <f t="shared" si="51"/>
        <v>0</v>
      </c>
      <c r="N820" s="1">
        <f t="shared" si="52"/>
        <v>0</v>
      </c>
      <c r="O820" s="1"/>
    </row>
    <row r="821" spans="1:15" x14ac:dyDescent="0.25">
      <c r="A821">
        <v>1253</v>
      </c>
      <c r="B821">
        <v>27088.515719999999</v>
      </c>
      <c r="C821">
        <v>0</v>
      </c>
      <c r="D821">
        <v>156958.0644</v>
      </c>
      <c r="E821">
        <v>0</v>
      </c>
      <c r="F821">
        <v>447965.1323</v>
      </c>
      <c r="G821">
        <v>0</v>
      </c>
      <c r="H821">
        <v>1253</v>
      </c>
      <c r="I821" t="str">
        <f t="shared" si="49"/>
        <v>YES</v>
      </c>
      <c r="J821" t="s">
        <v>827</v>
      </c>
      <c r="K821">
        <v>358062.14432800002</v>
      </c>
      <c r="L821" s="1">
        <f t="shared" si="50"/>
        <v>0</v>
      </c>
      <c r="M821" s="1">
        <f t="shared" si="51"/>
        <v>0</v>
      </c>
      <c r="N821" s="1">
        <f t="shared" si="52"/>
        <v>0</v>
      </c>
      <c r="O821" s="1"/>
    </row>
    <row r="822" spans="1:15" x14ac:dyDescent="0.25">
      <c r="A822">
        <v>1254</v>
      </c>
      <c r="B822">
        <v>9601.5373920000002</v>
      </c>
      <c r="C822">
        <v>0</v>
      </c>
      <c r="D822">
        <v>89568.245209999994</v>
      </c>
      <c r="E822">
        <v>0</v>
      </c>
      <c r="F822">
        <v>271252.99129999999</v>
      </c>
      <c r="G822">
        <v>0</v>
      </c>
      <c r="H822">
        <v>1254</v>
      </c>
      <c r="I822" t="str">
        <f t="shared" si="49"/>
        <v>YES</v>
      </c>
      <c r="J822" t="s">
        <v>828</v>
      </c>
      <c r="K822">
        <v>780135.208354</v>
      </c>
      <c r="L822" s="1">
        <f t="shared" si="50"/>
        <v>0</v>
      </c>
      <c r="M822" s="1">
        <f t="shared" si="51"/>
        <v>0</v>
      </c>
      <c r="N822" s="1">
        <f t="shared" si="52"/>
        <v>0</v>
      </c>
      <c r="O822" s="1"/>
    </row>
    <row r="823" spans="1:15" x14ac:dyDescent="0.25">
      <c r="A823">
        <v>1255</v>
      </c>
      <c r="B823">
        <v>10889.51072</v>
      </c>
      <c r="C823">
        <v>0</v>
      </c>
      <c r="D823">
        <v>89394.781669999997</v>
      </c>
      <c r="E823">
        <v>0</v>
      </c>
      <c r="F823">
        <v>274581.69160000002</v>
      </c>
      <c r="G823">
        <v>0</v>
      </c>
      <c r="H823">
        <v>1255</v>
      </c>
      <c r="I823" t="str">
        <f t="shared" si="49"/>
        <v>YES</v>
      </c>
      <c r="J823" t="s">
        <v>829</v>
      </c>
      <c r="K823">
        <v>686259.42784500006</v>
      </c>
      <c r="L823" s="1">
        <f t="shared" si="50"/>
        <v>0</v>
      </c>
      <c r="M823" s="1">
        <f t="shared" si="51"/>
        <v>0</v>
      </c>
      <c r="N823" s="1">
        <f t="shared" si="52"/>
        <v>0</v>
      </c>
      <c r="O823" s="1"/>
    </row>
    <row r="824" spans="1:15" x14ac:dyDescent="0.25">
      <c r="A824">
        <v>1256</v>
      </c>
      <c r="B824">
        <v>9236.5742580000006</v>
      </c>
      <c r="C824">
        <v>0</v>
      </c>
      <c r="D824">
        <v>71414.584419999999</v>
      </c>
      <c r="E824">
        <v>0</v>
      </c>
      <c r="F824">
        <v>247080.8873</v>
      </c>
      <c r="G824">
        <v>0</v>
      </c>
      <c r="H824">
        <v>1256</v>
      </c>
      <c r="I824" t="str">
        <f t="shared" si="49"/>
        <v>YES</v>
      </c>
      <c r="J824" t="s">
        <v>830</v>
      </c>
      <c r="K824">
        <v>1590445.3364599999</v>
      </c>
      <c r="L824" s="1">
        <f t="shared" si="50"/>
        <v>0</v>
      </c>
      <c r="M824" s="1">
        <f t="shared" si="51"/>
        <v>0</v>
      </c>
      <c r="N824" s="1">
        <f t="shared" si="52"/>
        <v>0</v>
      </c>
      <c r="O824" s="1"/>
    </row>
    <row r="825" spans="1:15" x14ac:dyDescent="0.25">
      <c r="A825">
        <v>1257</v>
      </c>
      <c r="B825">
        <v>6646.8655570000001</v>
      </c>
      <c r="C825">
        <v>0</v>
      </c>
      <c r="D825">
        <v>24573.449720000001</v>
      </c>
      <c r="E825">
        <v>0</v>
      </c>
      <c r="F825">
        <v>168497.9725</v>
      </c>
      <c r="G825">
        <v>0</v>
      </c>
      <c r="H825">
        <v>1257</v>
      </c>
      <c r="I825" t="str">
        <f t="shared" si="49"/>
        <v>YES</v>
      </c>
      <c r="J825" t="s">
        <v>831</v>
      </c>
      <c r="K825">
        <v>1168313.00235</v>
      </c>
      <c r="L825" s="1">
        <f t="shared" si="50"/>
        <v>0</v>
      </c>
      <c r="M825" s="1">
        <f t="shared" si="51"/>
        <v>0</v>
      </c>
      <c r="N825" s="1">
        <f t="shared" si="52"/>
        <v>0</v>
      </c>
      <c r="O825" s="1"/>
    </row>
    <row r="826" spans="1:15" x14ac:dyDescent="0.25">
      <c r="A826">
        <v>1260</v>
      </c>
      <c r="B826">
        <v>3312.268994</v>
      </c>
      <c r="C826">
        <v>0</v>
      </c>
      <c r="D826">
        <v>90494.274940000003</v>
      </c>
      <c r="E826">
        <v>0</v>
      </c>
      <c r="F826">
        <v>210922.65359999999</v>
      </c>
      <c r="G826">
        <v>0</v>
      </c>
      <c r="H826">
        <v>1260</v>
      </c>
      <c r="I826" t="str">
        <f t="shared" si="49"/>
        <v>YES</v>
      </c>
      <c r="J826" t="s">
        <v>832</v>
      </c>
      <c r="K826">
        <v>799201.86101999995</v>
      </c>
      <c r="L826" s="1">
        <f t="shared" si="50"/>
        <v>0</v>
      </c>
      <c r="M826" s="1">
        <f t="shared" si="51"/>
        <v>0</v>
      </c>
      <c r="N826" s="1">
        <f t="shared" si="52"/>
        <v>0</v>
      </c>
      <c r="O826" s="1"/>
    </row>
    <row r="827" spans="1:15" x14ac:dyDescent="0.25">
      <c r="A827">
        <v>1261</v>
      </c>
      <c r="B827">
        <v>8937.2128499999999</v>
      </c>
      <c r="C827">
        <v>0</v>
      </c>
      <c r="D827">
        <v>109649.98850000001</v>
      </c>
      <c r="E827">
        <v>0</v>
      </c>
      <c r="F827">
        <v>299237.63819999999</v>
      </c>
      <c r="G827">
        <v>0</v>
      </c>
      <c r="H827">
        <v>1261</v>
      </c>
      <c r="I827" t="str">
        <f t="shared" si="49"/>
        <v>YES</v>
      </c>
      <c r="J827" t="s">
        <v>833</v>
      </c>
      <c r="K827">
        <v>553451.723413</v>
      </c>
      <c r="L827" s="1">
        <f t="shared" si="50"/>
        <v>0</v>
      </c>
      <c r="M827" s="1">
        <f t="shared" si="51"/>
        <v>0</v>
      </c>
      <c r="N827" s="1">
        <f t="shared" si="52"/>
        <v>0</v>
      </c>
      <c r="O827" s="1"/>
    </row>
    <row r="828" spans="1:15" x14ac:dyDescent="0.25">
      <c r="A828">
        <v>1262</v>
      </c>
      <c r="B828">
        <v>3324.9733390000001</v>
      </c>
      <c r="C828">
        <v>0</v>
      </c>
      <c r="D828">
        <v>91322.064809999996</v>
      </c>
      <c r="E828">
        <v>0</v>
      </c>
      <c r="F828">
        <v>203471.42939999999</v>
      </c>
      <c r="G828">
        <v>0</v>
      </c>
      <c r="H828">
        <v>1262</v>
      </c>
      <c r="I828" t="str">
        <f t="shared" si="49"/>
        <v>YES</v>
      </c>
      <c r="J828" t="s">
        <v>834</v>
      </c>
      <c r="K828">
        <v>597576.57832600002</v>
      </c>
      <c r="L828" s="1">
        <f t="shared" si="50"/>
        <v>0</v>
      </c>
      <c r="M828" s="1">
        <f t="shared" si="51"/>
        <v>0</v>
      </c>
      <c r="N828" s="1">
        <f t="shared" si="52"/>
        <v>0</v>
      </c>
      <c r="O828" s="1"/>
    </row>
    <row r="829" spans="1:15" x14ac:dyDescent="0.25">
      <c r="A829">
        <v>1263</v>
      </c>
      <c r="B829">
        <v>23155.963810000001</v>
      </c>
      <c r="C829">
        <v>0</v>
      </c>
      <c r="D829">
        <v>143507.43049999999</v>
      </c>
      <c r="E829">
        <v>0</v>
      </c>
      <c r="F829">
        <v>310602.46100000001</v>
      </c>
      <c r="G829">
        <v>0</v>
      </c>
      <c r="H829">
        <v>1263</v>
      </c>
      <c r="I829" t="str">
        <f t="shared" si="49"/>
        <v>YES</v>
      </c>
      <c r="J829" t="s">
        <v>835</v>
      </c>
      <c r="K829">
        <v>1497042.7581100001</v>
      </c>
      <c r="L829" s="1">
        <f t="shared" si="50"/>
        <v>0</v>
      </c>
      <c r="M829" s="1">
        <f t="shared" si="51"/>
        <v>0</v>
      </c>
      <c r="N829" s="1">
        <f t="shared" si="52"/>
        <v>0</v>
      </c>
      <c r="O829" s="1"/>
    </row>
    <row r="830" spans="1:15" x14ac:dyDescent="0.25">
      <c r="A830">
        <v>1264</v>
      </c>
      <c r="B830">
        <v>12059.24469</v>
      </c>
      <c r="C830">
        <v>0</v>
      </c>
      <c r="D830">
        <v>65530.043360000003</v>
      </c>
      <c r="E830">
        <v>0</v>
      </c>
      <c r="F830">
        <v>217454.56450000001</v>
      </c>
      <c r="G830">
        <v>0</v>
      </c>
      <c r="H830">
        <v>1264</v>
      </c>
      <c r="I830" t="str">
        <f t="shared" si="49"/>
        <v>YES</v>
      </c>
      <c r="J830" t="s">
        <v>836</v>
      </c>
      <c r="K830">
        <v>356194.75611100002</v>
      </c>
      <c r="L830" s="1">
        <f t="shared" si="50"/>
        <v>0</v>
      </c>
      <c r="M830" s="1">
        <f t="shared" si="51"/>
        <v>0</v>
      </c>
      <c r="N830" s="1">
        <f t="shared" si="52"/>
        <v>0</v>
      </c>
      <c r="O830" s="1"/>
    </row>
    <row r="831" spans="1:15" x14ac:dyDescent="0.25">
      <c r="A831">
        <v>1265</v>
      </c>
      <c r="B831">
        <v>11810.100909999999</v>
      </c>
      <c r="C831">
        <v>0</v>
      </c>
      <c r="D831">
        <v>101768.3351</v>
      </c>
      <c r="E831">
        <v>0</v>
      </c>
      <c r="F831">
        <v>304312.31270000001</v>
      </c>
      <c r="G831">
        <v>0</v>
      </c>
      <c r="H831">
        <v>1265</v>
      </c>
      <c r="I831" t="str">
        <f t="shared" si="49"/>
        <v>YES</v>
      </c>
      <c r="J831" t="s">
        <v>837</v>
      </c>
      <c r="K831">
        <v>402921.43274600001</v>
      </c>
      <c r="L831" s="1">
        <f t="shared" si="50"/>
        <v>0</v>
      </c>
      <c r="M831" s="1">
        <f t="shared" si="51"/>
        <v>0</v>
      </c>
      <c r="N831" s="1">
        <f t="shared" si="52"/>
        <v>0</v>
      </c>
      <c r="O831" s="1"/>
    </row>
    <row r="832" spans="1:15" x14ac:dyDescent="0.25">
      <c r="A832">
        <v>1266</v>
      </c>
      <c r="B832">
        <v>13457.83144</v>
      </c>
      <c r="C832">
        <v>0</v>
      </c>
      <c r="D832">
        <v>89415.541549999994</v>
      </c>
      <c r="E832">
        <v>0</v>
      </c>
      <c r="F832">
        <v>253573.34830000001</v>
      </c>
      <c r="G832">
        <v>0</v>
      </c>
      <c r="H832">
        <v>1266</v>
      </c>
      <c r="I832" t="str">
        <f t="shared" si="49"/>
        <v>YES</v>
      </c>
      <c r="J832" t="s">
        <v>838</v>
      </c>
      <c r="K832">
        <v>879070.10419900005</v>
      </c>
      <c r="L832" s="1">
        <f t="shared" si="50"/>
        <v>0</v>
      </c>
      <c r="M832" s="1">
        <f t="shared" si="51"/>
        <v>0</v>
      </c>
      <c r="N832" s="1">
        <f t="shared" si="52"/>
        <v>0</v>
      </c>
      <c r="O832" s="1"/>
    </row>
    <row r="833" spans="1:15" x14ac:dyDescent="0.25">
      <c r="A833">
        <v>1267</v>
      </c>
      <c r="B833">
        <v>24540.27059</v>
      </c>
      <c r="C833">
        <v>0</v>
      </c>
      <c r="D833">
        <v>156269.94930000001</v>
      </c>
      <c r="E833">
        <v>0</v>
      </c>
      <c r="F833">
        <v>470534.64159999997</v>
      </c>
      <c r="G833">
        <v>0</v>
      </c>
      <c r="H833">
        <v>1267</v>
      </c>
      <c r="I833" t="str">
        <f t="shared" si="49"/>
        <v>YES</v>
      </c>
      <c r="J833" t="s">
        <v>839</v>
      </c>
      <c r="K833">
        <v>370449.782336</v>
      </c>
      <c r="L833" s="1">
        <f t="shared" si="50"/>
        <v>0</v>
      </c>
      <c r="M833" s="1">
        <f t="shared" si="51"/>
        <v>0</v>
      </c>
      <c r="N833" s="1">
        <f t="shared" si="52"/>
        <v>0</v>
      </c>
      <c r="O833" s="1"/>
    </row>
    <row r="834" spans="1:15" x14ac:dyDescent="0.25">
      <c r="A834">
        <v>1270</v>
      </c>
      <c r="B834">
        <v>5264.1664899999996</v>
      </c>
      <c r="C834">
        <v>0</v>
      </c>
      <c r="D834">
        <v>102220.8447</v>
      </c>
      <c r="E834">
        <v>0</v>
      </c>
      <c r="F834">
        <v>272491.08260000002</v>
      </c>
      <c r="G834">
        <v>0</v>
      </c>
      <c r="H834">
        <v>1270</v>
      </c>
      <c r="I834" t="str">
        <f t="shared" ref="I834:I897" si="53">IF(A834=H834,"YES","NO")</f>
        <v>YES</v>
      </c>
      <c r="J834" t="s">
        <v>840</v>
      </c>
      <c r="K834">
        <v>705510.94726000004</v>
      </c>
      <c r="L834" s="1">
        <f t="shared" si="50"/>
        <v>0</v>
      </c>
      <c r="M834" s="1">
        <f t="shared" si="51"/>
        <v>0</v>
      </c>
      <c r="N834" s="1">
        <f t="shared" si="52"/>
        <v>0</v>
      </c>
      <c r="O834" s="1"/>
    </row>
    <row r="835" spans="1:15" x14ac:dyDescent="0.25">
      <c r="A835">
        <v>1271</v>
      </c>
      <c r="B835">
        <v>25623.535650000002</v>
      </c>
      <c r="C835">
        <v>0</v>
      </c>
      <c r="D835">
        <v>110671.757</v>
      </c>
      <c r="E835">
        <v>0</v>
      </c>
      <c r="F835">
        <v>320394.62560000003</v>
      </c>
      <c r="G835">
        <v>0</v>
      </c>
      <c r="H835">
        <v>1271</v>
      </c>
      <c r="I835" t="str">
        <f t="shared" si="53"/>
        <v>YES</v>
      </c>
      <c r="J835" t="s">
        <v>841</v>
      </c>
      <c r="K835">
        <v>631648.26324100001</v>
      </c>
      <c r="L835" s="1">
        <f t="shared" ref="L835:L898" si="54">$U$2*$K835*C835</f>
        <v>0</v>
      </c>
      <c r="M835" s="1">
        <f t="shared" ref="M835:M898" si="55">$U$3*$K835*E835</f>
        <v>0</v>
      </c>
      <c r="N835" s="1">
        <f t="shared" ref="N835:N898" si="56">$U$4*$K835*G835</f>
        <v>0</v>
      </c>
      <c r="O835" s="1"/>
    </row>
    <row r="836" spans="1:15" x14ac:dyDescent="0.25">
      <c r="A836">
        <v>1272</v>
      </c>
      <c r="B836">
        <v>26459.352439999999</v>
      </c>
      <c r="C836">
        <v>0</v>
      </c>
      <c r="D836">
        <v>126863.24340000001</v>
      </c>
      <c r="E836">
        <v>0</v>
      </c>
      <c r="F836">
        <v>283637.66619999998</v>
      </c>
      <c r="G836">
        <v>0</v>
      </c>
      <c r="H836">
        <v>1272</v>
      </c>
      <c r="I836" t="str">
        <f t="shared" si="53"/>
        <v>YES</v>
      </c>
      <c r="J836" t="s">
        <v>842</v>
      </c>
      <c r="K836">
        <v>1065362.7198300001</v>
      </c>
      <c r="L836" s="1">
        <f t="shared" si="54"/>
        <v>0</v>
      </c>
      <c r="M836" s="1">
        <f t="shared" si="55"/>
        <v>0</v>
      </c>
      <c r="N836" s="1">
        <f t="shared" si="56"/>
        <v>0</v>
      </c>
      <c r="O836" s="1"/>
    </row>
    <row r="837" spans="1:15" x14ac:dyDescent="0.25">
      <c r="A837">
        <v>1273</v>
      </c>
      <c r="B837">
        <v>31831.34719</v>
      </c>
      <c r="C837">
        <v>0</v>
      </c>
      <c r="D837">
        <v>115501.8165</v>
      </c>
      <c r="E837">
        <v>0</v>
      </c>
      <c r="F837">
        <v>341936.05979999999</v>
      </c>
      <c r="G837">
        <v>0</v>
      </c>
      <c r="H837">
        <v>1273</v>
      </c>
      <c r="I837" t="str">
        <f t="shared" si="53"/>
        <v>YES</v>
      </c>
      <c r="J837" t="s">
        <v>843</v>
      </c>
      <c r="K837">
        <v>366340.38502599997</v>
      </c>
      <c r="L837" s="1">
        <f t="shared" si="54"/>
        <v>0</v>
      </c>
      <c r="M837" s="1">
        <f t="shared" si="55"/>
        <v>0</v>
      </c>
      <c r="N837" s="1">
        <f t="shared" si="56"/>
        <v>0</v>
      </c>
      <c r="O837" s="1"/>
    </row>
    <row r="838" spans="1:15" x14ac:dyDescent="0.25">
      <c r="A838">
        <v>1274</v>
      </c>
      <c r="B838">
        <v>31460.61145</v>
      </c>
      <c r="C838">
        <v>0</v>
      </c>
      <c r="D838">
        <v>112155.3749</v>
      </c>
      <c r="E838">
        <v>0</v>
      </c>
      <c r="F838">
        <v>322560.92070000002</v>
      </c>
      <c r="G838">
        <v>0</v>
      </c>
      <c r="H838">
        <v>1274</v>
      </c>
      <c r="I838" t="str">
        <f t="shared" si="53"/>
        <v>YES</v>
      </c>
      <c r="J838" t="s">
        <v>844</v>
      </c>
      <c r="K838">
        <v>437524.20506200002</v>
      </c>
      <c r="L838" s="1">
        <f t="shared" si="54"/>
        <v>0</v>
      </c>
      <c r="M838" s="1">
        <f t="shared" si="55"/>
        <v>0</v>
      </c>
      <c r="N838" s="1">
        <f t="shared" si="56"/>
        <v>0</v>
      </c>
      <c r="O838" s="1"/>
    </row>
    <row r="839" spans="1:15" x14ac:dyDescent="0.25">
      <c r="A839">
        <v>1275</v>
      </c>
      <c r="B839">
        <v>6539.791295</v>
      </c>
      <c r="C839">
        <v>0</v>
      </c>
      <c r="D839">
        <v>77244.899869999994</v>
      </c>
      <c r="E839">
        <v>0</v>
      </c>
      <c r="F839">
        <v>236422.44010000001</v>
      </c>
      <c r="G839">
        <v>0</v>
      </c>
      <c r="H839">
        <v>1275</v>
      </c>
      <c r="I839" t="str">
        <f t="shared" si="53"/>
        <v>YES</v>
      </c>
      <c r="J839" t="s">
        <v>845</v>
      </c>
      <c r="K839">
        <v>983767.54405400006</v>
      </c>
      <c r="L839" s="1">
        <f t="shared" si="54"/>
        <v>0</v>
      </c>
      <c r="M839" s="1">
        <f t="shared" si="55"/>
        <v>0</v>
      </c>
      <c r="N839" s="1">
        <f t="shared" si="56"/>
        <v>0</v>
      </c>
      <c r="O839" s="1"/>
    </row>
    <row r="840" spans="1:15" x14ac:dyDescent="0.25">
      <c r="A840">
        <v>1276</v>
      </c>
      <c r="B840">
        <v>24325.59302</v>
      </c>
      <c r="C840">
        <v>0</v>
      </c>
      <c r="D840">
        <v>118322.4942</v>
      </c>
      <c r="E840">
        <v>0</v>
      </c>
      <c r="F840">
        <v>336856.49829999998</v>
      </c>
      <c r="G840">
        <v>0</v>
      </c>
      <c r="H840">
        <v>1276</v>
      </c>
      <c r="I840" t="str">
        <f t="shared" si="53"/>
        <v>YES</v>
      </c>
      <c r="J840" t="s">
        <v>846</v>
      </c>
      <c r="K840">
        <v>428841.56254900002</v>
      </c>
      <c r="L840" s="1">
        <f t="shared" si="54"/>
        <v>0</v>
      </c>
      <c r="M840" s="1">
        <f t="shared" si="55"/>
        <v>0</v>
      </c>
      <c r="N840" s="1">
        <f t="shared" si="56"/>
        <v>0</v>
      </c>
      <c r="O840" s="1"/>
    </row>
    <row r="841" spans="1:15" x14ac:dyDescent="0.25">
      <c r="A841">
        <v>1277</v>
      </c>
      <c r="B841">
        <v>67248.419569999998</v>
      </c>
      <c r="C841">
        <v>0</v>
      </c>
      <c r="D841">
        <v>243379.11929999999</v>
      </c>
      <c r="E841">
        <v>0</v>
      </c>
      <c r="F841">
        <v>818773.65289999999</v>
      </c>
      <c r="G841">
        <v>0</v>
      </c>
      <c r="H841">
        <v>1277</v>
      </c>
      <c r="I841" t="str">
        <f t="shared" si="53"/>
        <v>YES</v>
      </c>
      <c r="J841" t="s">
        <v>847</v>
      </c>
      <c r="K841">
        <v>163577.057034</v>
      </c>
      <c r="L841" s="1">
        <f t="shared" si="54"/>
        <v>0</v>
      </c>
      <c r="M841" s="1">
        <f t="shared" si="55"/>
        <v>0</v>
      </c>
      <c r="N841" s="1">
        <f t="shared" si="56"/>
        <v>0</v>
      </c>
      <c r="O841" s="1"/>
    </row>
    <row r="842" spans="1:15" x14ac:dyDescent="0.25">
      <c r="A842">
        <v>1278</v>
      </c>
      <c r="B842">
        <v>9881.4718310000007</v>
      </c>
      <c r="C842">
        <v>0</v>
      </c>
      <c r="D842">
        <v>94500.422409999999</v>
      </c>
      <c r="E842">
        <v>0</v>
      </c>
      <c r="F842">
        <v>273381.53379999998</v>
      </c>
      <c r="G842">
        <v>0</v>
      </c>
      <c r="H842">
        <v>1278</v>
      </c>
      <c r="I842" t="str">
        <f t="shared" si="53"/>
        <v>YES</v>
      </c>
      <c r="J842" t="s">
        <v>848</v>
      </c>
      <c r="K842">
        <v>634353.54740100005</v>
      </c>
      <c r="L842" s="1">
        <f t="shared" si="54"/>
        <v>0</v>
      </c>
      <c r="M842" s="1">
        <f t="shared" si="55"/>
        <v>0</v>
      </c>
      <c r="N842" s="1">
        <f t="shared" si="56"/>
        <v>0</v>
      </c>
      <c r="O842" s="1"/>
    </row>
    <row r="843" spans="1:15" x14ac:dyDescent="0.25">
      <c r="A843">
        <v>1279</v>
      </c>
      <c r="B843">
        <v>8840.5465029999996</v>
      </c>
      <c r="C843">
        <v>0</v>
      </c>
      <c r="D843">
        <v>86939.395499999999</v>
      </c>
      <c r="E843">
        <v>0</v>
      </c>
      <c r="F843">
        <v>271961.32750000001</v>
      </c>
      <c r="G843">
        <v>0</v>
      </c>
      <c r="H843">
        <v>1279</v>
      </c>
      <c r="I843" t="str">
        <f t="shared" si="53"/>
        <v>YES</v>
      </c>
      <c r="J843" t="s">
        <v>849</v>
      </c>
      <c r="K843">
        <v>480106.630626</v>
      </c>
      <c r="L843" s="1">
        <f t="shared" si="54"/>
        <v>0</v>
      </c>
      <c r="M843" s="1">
        <f t="shared" si="55"/>
        <v>0</v>
      </c>
      <c r="N843" s="1">
        <f t="shared" si="56"/>
        <v>0</v>
      </c>
      <c r="O843" s="1"/>
    </row>
    <row r="844" spans="1:15" x14ac:dyDescent="0.25">
      <c r="A844">
        <v>1280</v>
      </c>
      <c r="B844">
        <v>8021.4090249999999</v>
      </c>
      <c r="C844">
        <v>0</v>
      </c>
      <c r="D844">
        <v>91738.037450000003</v>
      </c>
      <c r="E844">
        <v>0</v>
      </c>
      <c r="F844">
        <v>313284.36739999999</v>
      </c>
      <c r="G844">
        <v>0</v>
      </c>
      <c r="H844">
        <v>1280</v>
      </c>
      <c r="I844" t="str">
        <f t="shared" si="53"/>
        <v>YES</v>
      </c>
      <c r="J844" t="s">
        <v>850</v>
      </c>
      <c r="K844">
        <v>516543.26221900003</v>
      </c>
      <c r="L844" s="1">
        <f t="shared" si="54"/>
        <v>0</v>
      </c>
      <c r="M844" s="1">
        <f t="shared" si="55"/>
        <v>0</v>
      </c>
      <c r="N844" s="1">
        <f t="shared" si="56"/>
        <v>0</v>
      </c>
      <c r="O844" s="1"/>
    </row>
    <row r="845" spans="1:15" x14ac:dyDescent="0.25">
      <c r="A845">
        <v>1281</v>
      </c>
      <c r="B845">
        <v>44222.55805</v>
      </c>
      <c r="C845">
        <v>0</v>
      </c>
      <c r="D845">
        <v>192549.82380000001</v>
      </c>
      <c r="E845">
        <v>0</v>
      </c>
      <c r="F845">
        <v>518717.25660000002</v>
      </c>
      <c r="G845">
        <v>0</v>
      </c>
      <c r="H845">
        <v>1281</v>
      </c>
      <c r="I845" t="str">
        <f t="shared" si="53"/>
        <v>YES</v>
      </c>
      <c r="J845" t="s">
        <v>851</v>
      </c>
      <c r="K845">
        <v>293512.01786199998</v>
      </c>
      <c r="L845" s="1">
        <f t="shared" si="54"/>
        <v>0</v>
      </c>
      <c r="M845" s="1">
        <f t="shared" si="55"/>
        <v>0</v>
      </c>
      <c r="N845" s="1">
        <f t="shared" si="56"/>
        <v>0</v>
      </c>
      <c r="O845" s="1"/>
    </row>
    <row r="846" spans="1:15" x14ac:dyDescent="0.25">
      <c r="A846">
        <v>1283</v>
      </c>
      <c r="B846">
        <v>7784.961644</v>
      </c>
      <c r="C846">
        <v>0</v>
      </c>
      <c r="D846">
        <v>39440.377439999997</v>
      </c>
      <c r="E846">
        <v>0</v>
      </c>
      <c r="F846">
        <v>139042.4051</v>
      </c>
      <c r="G846">
        <v>0</v>
      </c>
      <c r="H846">
        <v>1283</v>
      </c>
      <c r="I846" t="str">
        <f t="shared" si="53"/>
        <v>YES</v>
      </c>
      <c r="J846" t="s">
        <v>852</v>
      </c>
      <c r="K846">
        <v>985846.99573600001</v>
      </c>
      <c r="L846" s="1">
        <f t="shared" si="54"/>
        <v>0</v>
      </c>
      <c r="M846" s="1">
        <f t="shared" si="55"/>
        <v>0</v>
      </c>
      <c r="N846" s="1">
        <f t="shared" si="56"/>
        <v>0</v>
      </c>
      <c r="O846" s="1"/>
    </row>
    <row r="847" spans="1:15" x14ac:dyDescent="0.25">
      <c r="A847">
        <v>1284</v>
      </c>
      <c r="B847">
        <v>8114.879645</v>
      </c>
      <c r="C847">
        <v>0</v>
      </c>
      <c r="D847">
        <v>67742.084570000006</v>
      </c>
      <c r="E847">
        <v>0</v>
      </c>
      <c r="F847">
        <v>159787.5</v>
      </c>
      <c r="G847">
        <v>0</v>
      </c>
      <c r="H847">
        <v>1284</v>
      </c>
      <c r="I847" t="str">
        <f t="shared" si="53"/>
        <v>YES</v>
      </c>
      <c r="J847" t="s">
        <v>853</v>
      </c>
      <c r="K847">
        <v>1044454.69332</v>
      </c>
      <c r="L847" s="1">
        <f t="shared" si="54"/>
        <v>0</v>
      </c>
      <c r="M847" s="1">
        <f t="shared" si="55"/>
        <v>0</v>
      </c>
      <c r="N847" s="1">
        <f t="shared" si="56"/>
        <v>0</v>
      </c>
      <c r="O847" s="1"/>
    </row>
    <row r="848" spans="1:15" x14ac:dyDescent="0.25">
      <c r="A848">
        <v>1285</v>
      </c>
      <c r="B848">
        <v>5832.3646740000004</v>
      </c>
      <c r="C848">
        <v>0</v>
      </c>
      <c r="D848">
        <v>24197.549930000001</v>
      </c>
      <c r="E848">
        <v>0</v>
      </c>
      <c r="F848">
        <v>123670.7518</v>
      </c>
      <c r="G848">
        <v>0</v>
      </c>
      <c r="H848">
        <v>1285</v>
      </c>
      <c r="I848" t="str">
        <f t="shared" si="53"/>
        <v>YES</v>
      </c>
      <c r="J848" t="s">
        <v>854</v>
      </c>
      <c r="K848">
        <v>1240687.8351400001</v>
      </c>
      <c r="L848" s="1">
        <f t="shared" si="54"/>
        <v>0</v>
      </c>
      <c r="M848" s="1">
        <f t="shared" si="55"/>
        <v>0</v>
      </c>
      <c r="N848" s="1">
        <f t="shared" si="56"/>
        <v>0</v>
      </c>
      <c r="O848" s="1"/>
    </row>
    <row r="849" spans="1:15" x14ac:dyDescent="0.25">
      <c r="A849">
        <v>1286</v>
      </c>
      <c r="B849">
        <v>3333.466844</v>
      </c>
      <c r="C849">
        <v>0</v>
      </c>
      <c r="D849">
        <v>64975.426370000001</v>
      </c>
      <c r="E849">
        <v>0</v>
      </c>
      <c r="F849">
        <v>172844.63440000001</v>
      </c>
      <c r="G849">
        <v>0</v>
      </c>
      <c r="H849">
        <v>1286</v>
      </c>
      <c r="I849" t="str">
        <f t="shared" si="53"/>
        <v>YES</v>
      </c>
      <c r="J849" t="s">
        <v>855</v>
      </c>
      <c r="K849">
        <v>1022992.9112</v>
      </c>
      <c r="L849" s="1">
        <f t="shared" si="54"/>
        <v>0</v>
      </c>
      <c r="M849" s="1">
        <f t="shared" si="55"/>
        <v>0</v>
      </c>
      <c r="N849" s="1">
        <f t="shared" si="56"/>
        <v>0</v>
      </c>
      <c r="O849" s="1"/>
    </row>
    <row r="850" spans="1:15" x14ac:dyDescent="0.25">
      <c r="A850">
        <v>1289</v>
      </c>
      <c r="B850">
        <v>12022.09706</v>
      </c>
      <c r="C850">
        <v>0</v>
      </c>
      <c r="D850">
        <v>65726.369630000001</v>
      </c>
      <c r="E850">
        <v>0</v>
      </c>
      <c r="F850">
        <v>249720.9382</v>
      </c>
      <c r="G850">
        <v>0</v>
      </c>
      <c r="H850">
        <v>1289</v>
      </c>
      <c r="I850" t="str">
        <f t="shared" si="53"/>
        <v>YES</v>
      </c>
      <c r="J850" t="s">
        <v>856</v>
      </c>
      <c r="K850">
        <v>2075153.3658799999</v>
      </c>
      <c r="L850" s="1">
        <f t="shared" si="54"/>
        <v>0</v>
      </c>
      <c r="M850" s="1">
        <f t="shared" si="55"/>
        <v>0</v>
      </c>
      <c r="N850" s="1">
        <f t="shared" si="56"/>
        <v>0</v>
      </c>
      <c r="O850" s="1"/>
    </row>
    <row r="851" spans="1:15" x14ac:dyDescent="0.25">
      <c r="A851">
        <v>1300</v>
      </c>
      <c r="B851">
        <v>32782.18591</v>
      </c>
      <c r="C851">
        <v>0</v>
      </c>
      <c r="D851">
        <v>136373.14199999999</v>
      </c>
      <c r="E851">
        <v>0</v>
      </c>
      <c r="F851">
        <v>410275.17570000002</v>
      </c>
      <c r="G851">
        <v>0</v>
      </c>
      <c r="H851">
        <v>1300</v>
      </c>
      <c r="I851" t="str">
        <f t="shared" si="53"/>
        <v>YES</v>
      </c>
      <c r="J851" t="s">
        <v>857</v>
      </c>
      <c r="K851">
        <v>717592.37540300004</v>
      </c>
      <c r="L851" s="1">
        <f t="shared" si="54"/>
        <v>0</v>
      </c>
      <c r="M851" s="1">
        <f t="shared" si="55"/>
        <v>0</v>
      </c>
      <c r="N851" s="1">
        <f t="shared" si="56"/>
        <v>0</v>
      </c>
      <c r="O851" s="1"/>
    </row>
    <row r="852" spans="1:15" x14ac:dyDescent="0.25">
      <c r="A852">
        <v>1301</v>
      </c>
      <c r="B852">
        <v>25970.665929999999</v>
      </c>
      <c r="C852">
        <v>0</v>
      </c>
      <c r="D852">
        <v>116800.7081</v>
      </c>
      <c r="E852">
        <v>0</v>
      </c>
      <c r="F852">
        <v>335142.74609999999</v>
      </c>
      <c r="G852">
        <v>0</v>
      </c>
      <c r="H852">
        <v>1301</v>
      </c>
      <c r="I852" t="str">
        <f t="shared" si="53"/>
        <v>YES</v>
      </c>
      <c r="J852" t="s">
        <v>858</v>
      </c>
      <c r="K852">
        <v>384009.13177799998</v>
      </c>
      <c r="L852" s="1">
        <f t="shared" si="54"/>
        <v>0</v>
      </c>
      <c r="M852" s="1">
        <f t="shared" si="55"/>
        <v>0</v>
      </c>
      <c r="N852" s="1">
        <f t="shared" si="56"/>
        <v>0</v>
      </c>
      <c r="O852" s="1"/>
    </row>
    <row r="853" spans="1:15" x14ac:dyDescent="0.25">
      <c r="A853">
        <v>1302</v>
      </c>
      <c r="B853">
        <v>1126.215183</v>
      </c>
      <c r="C853">
        <v>0</v>
      </c>
      <c r="D853">
        <v>1126.215183</v>
      </c>
      <c r="E853">
        <v>0</v>
      </c>
      <c r="F853">
        <v>1126.215183</v>
      </c>
      <c r="G853">
        <v>0</v>
      </c>
      <c r="H853">
        <v>1302</v>
      </c>
      <c r="I853" t="str">
        <f t="shared" si="53"/>
        <v>YES</v>
      </c>
      <c r="J853" t="s">
        <v>859</v>
      </c>
      <c r="K853">
        <v>673978.12818799994</v>
      </c>
      <c r="L853" s="1">
        <f t="shared" si="54"/>
        <v>0</v>
      </c>
      <c r="M853" s="1">
        <f t="shared" si="55"/>
        <v>0</v>
      </c>
      <c r="N853" s="1">
        <f t="shared" si="56"/>
        <v>0</v>
      </c>
      <c r="O853" s="1"/>
    </row>
    <row r="854" spans="1:15" x14ac:dyDescent="0.25">
      <c r="A854">
        <v>1303</v>
      </c>
      <c r="B854">
        <v>17664.032599999999</v>
      </c>
      <c r="C854">
        <v>0</v>
      </c>
      <c r="D854">
        <v>150092.55780000001</v>
      </c>
      <c r="E854">
        <v>0</v>
      </c>
      <c r="F854">
        <v>637112.21860000002</v>
      </c>
      <c r="G854">
        <v>0</v>
      </c>
      <c r="H854">
        <v>1303</v>
      </c>
      <c r="I854" t="str">
        <f t="shared" si="53"/>
        <v>YES</v>
      </c>
      <c r="J854" t="s">
        <v>860</v>
      </c>
      <c r="K854">
        <v>395448.419177</v>
      </c>
      <c r="L854" s="1">
        <f t="shared" si="54"/>
        <v>0</v>
      </c>
      <c r="M854" s="1">
        <f t="shared" si="55"/>
        <v>0</v>
      </c>
      <c r="N854" s="1">
        <f t="shared" si="56"/>
        <v>0</v>
      </c>
      <c r="O854" s="1"/>
    </row>
    <row r="855" spans="1:15" x14ac:dyDescent="0.25">
      <c r="A855">
        <v>1304</v>
      </c>
      <c r="B855">
        <v>27722.174620000002</v>
      </c>
      <c r="C855">
        <v>0</v>
      </c>
      <c r="D855">
        <v>178193.36480000001</v>
      </c>
      <c r="E855">
        <v>0</v>
      </c>
      <c r="F855">
        <v>709471.74410000001</v>
      </c>
      <c r="G855">
        <v>0</v>
      </c>
      <c r="H855">
        <v>1304</v>
      </c>
      <c r="I855" t="str">
        <f t="shared" si="53"/>
        <v>YES</v>
      </c>
      <c r="J855" t="s">
        <v>861</v>
      </c>
      <c r="K855">
        <v>166930.94327700001</v>
      </c>
      <c r="L855" s="1">
        <f t="shared" si="54"/>
        <v>0</v>
      </c>
      <c r="M855" s="1">
        <f t="shared" si="55"/>
        <v>0</v>
      </c>
      <c r="N855" s="1">
        <f t="shared" si="56"/>
        <v>0</v>
      </c>
      <c r="O855" s="1"/>
    </row>
    <row r="856" spans="1:15" x14ac:dyDescent="0.25">
      <c r="A856">
        <v>1305</v>
      </c>
      <c r="B856">
        <v>34116.793530000003</v>
      </c>
      <c r="C856">
        <v>0</v>
      </c>
      <c r="D856">
        <v>198328.36540000001</v>
      </c>
      <c r="E856">
        <v>0</v>
      </c>
      <c r="F856">
        <v>903616.62840000005</v>
      </c>
      <c r="G856">
        <v>0</v>
      </c>
      <c r="H856">
        <v>1305</v>
      </c>
      <c r="I856" t="str">
        <f t="shared" si="53"/>
        <v>YES</v>
      </c>
      <c r="J856" t="s">
        <v>862</v>
      </c>
      <c r="K856">
        <v>163548.11750699999</v>
      </c>
      <c r="L856" s="1">
        <f t="shared" si="54"/>
        <v>0</v>
      </c>
      <c r="M856" s="1">
        <f t="shared" si="55"/>
        <v>0</v>
      </c>
      <c r="N856" s="1">
        <f t="shared" si="56"/>
        <v>0</v>
      </c>
      <c r="O856" s="1"/>
    </row>
    <row r="857" spans="1:15" x14ac:dyDescent="0.25">
      <c r="A857">
        <v>1306</v>
      </c>
      <c r="B857">
        <v>44077.315329999998</v>
      </c>
      <c r="C857">
        <v>0</v>
      </c>
      <c r="D857">
        <v>243769.58240000001</v>
      </c>
      <c r="E857">
        <v>0</v>
      </c>
      <c r="F857">
        <v>1044577.502</v>
      </c>
      <c r="G857">
        <v>0</v>
      </c>
      <c r="H857">
        <v>1306</v>
      </c>
      <c r="I857" t="str">
        <f t="shared" si="53"/>
        <v>YES</v>
      </c>
      <c r="J857" t="s">
        <v>863</v>
      </c>
      <c r="K857">
        <v>265361.04972900002</v>
      </c>
      <c r="L857" s="1">
        <f t="shared" si="54"/>
        <v>0</v>
      </c>
      <c r="M857" s="1">
        <f t="shared" si="55"/>
        <v>0</v>
      </c>
      <c r="N857" s="1">
        <f t="shared" si="56"/>
        <v>0</v>
      </c>
      <c r="O857" s="1"/>
    </row>
    <row r="858" spans="1:15" x14ac:dyDescent="0.25">
      <c r="A858">
        <v>1307</v>
      </c>
      <c r="B858">
        <v>6366.2359539999998</v>
      </c>
      <c r="C858">
        <v>0</v>
      </c>
      <c r="D858">
        <v>50250.74826</v>
      </c>
      <c r="E858">
        <v>0</v>
      </c>
      <c r="F858">
        <v>225138.75229999999</v>
      </c>
      <c r="G858">
        <v>0</v>
      </c>
      <c r="H858">
        <v>1307</v>
      </c>
      <c r="I858" t="str">
        <f t="shared" si="53"/>
        <v>YES</v>
      </c>
      <c r="J858" t="s">
        <v>864</v>
      </c>
      <c r="K858">
        <v>797234.14224800002</v>
      </c>
      <c r="L858" s="1">
        <f t="shared" si="54"/>
        <v>0</v>
      </c>
      <c r="M858" s="1">
        <f t="shared" si="55"/>
        <v>0</v>
      </c>
      <c r="N858" s="1">
        <f t="shared" si="56"/>
        <v>0</v>
      </c>
      <c r="O858" s="1"/>
    </row>
    <row r="859" spans="1:15" x14ac:dyDescent="0.25">
      <c r="A859">
        <v>1308</v>
      </c>
      <c r="B859">
        <v>11665.794760000001</v>
      </c>
      <c r="C859">
        <v>0</v>
      </c>
      <c r="D859">
        <v>160676.66310000001</v>
      </c>
      <c r="E859">
        <v>0</v>
      </c>
      <c r="F859">
        <v>692039.90529999998</v>
      </c>
      <c r="G859">
        <v>0</v>
      </c>
      <c r="H859">
        <v>1308</v>
      </c>
      <c r="I859" t="str">
        <f t="shared" si="53"/>
        <v>YES</v>
      </c>
      <c r="J859" t="s">
        <v>865</v>
      </c>
      <c r="K859">
        <v>408955.484398</v>
      </c>
      <c r="L859" s="1">
        <f t="shared" si="54"/>
        <v>0</v>
      </c>
      <c r="M859" s="1">
        <f t="shared" si="55"/>
        <v>0</v>
      </c>
      <c r="N859" s="1">
        <f t="shared" si="56"/>
        <v>0</v>
      </c>
      <c r="O859" s="1"/>
    </row>
    <row r="860" spans="1:15" x14ac:dyDescent="0.25">
      <c r="A860">
        <v>1309</v>
      </c>
      <c r="B860">
        <v>95950.316080000004</v>
      </c>
      <c r="C860">
        <v>0</v>
      </c>
      <c r="D860">
        <v>383498.2352</v>
      </c>
      <c r="E860">
        <v>0</v>
      </c>
      <c r="F860">
        <v>1264088.392</v>
      </c>
      <c r="G860">
        <v>0</v>
      </c>
      <c r="H860">
        <v>1309</v>
      </c>
      <c r="I860" t="str">
        <f t="shared" si="53"/>
        <v>YES</v>
      </c>
      <c r="J860" t="s">
        <v>866</v>
      </c>
      <c r="K860">
        <v>135286.65335199999</v>
      </c>
      <c r="L860" s="1">
        <f t="shared" si="54"/>
        <v>0</v>
      </c>
      <c r="M860" s="1">
        <f t="shared" si="55"/>
        <v>0</v>
      </c>
      <c r="N860" s="1">
        <f t="shared" si="56"/>
        <v>0</v>
      </c>
      <c r="O860" s="1"/>
    </row>
    <row r="861" spans="1:15" x14ac:dyDescent="0.25">
      <c r="A861">
        <v>1310</v>
      </c>
      <c r="B861">
        <v>6504.3986059999997</v>
      </c>
      <c r="C861">
        <v>0</v>
      </c>
      <c r="D861">
        <v>46110.447050000002</v>
      </c>
      <c r="E861">
        <v>0</v>
      </c>
      <c r="F861">
        <v>218778.3382</v>
      </c>
      <c r="G861">
        <v>0</v>
      </c>
      <c r="H861">
        <v>1310</v>
      </c>
      <c r="I861" t="str">
        <f t="shared" si="53"/>
        <v>YES</v>
      </c>
      <c r="J861" t="s">
        <v>867</v>
      </c>
      <c r="K861">
        <v>732889.69044000003</v>
      </c>
      <c r="L861" s="1">
        <f t="shared" si="54"/>
        <v>0</v>
      </c>
      <c r="M861" s="1">
        <f t="shared" si="55"/>
        <v>0</v>
      </c>
      <c r="N861" s="1">
        <f t="shared" si="56"/>
        <v>0</v>
      </c>
      <c r="O861" s="1"/>
    </row>
    <row r="862" spans="1:15" x14ac:dyDescent="0.25">
      <c r="A862">
        <v>1311</v>
      </c>
      <c r="B862">
        <v>8262.6484610000007</v>
      </c>
      <c r="C862">
        <v>0</v>
      </c>
      <c r="D862">
        <v>116068.6149</v>
      </c>
      <c r="E862">
        <v>0</v>
      </c>
      <c r="F862">
        <v>448150.9388</v>
      </c>
      <c r="G862">
        <v>0</v>
      </c>
      <c r="H862">
        <v>1311</v>
      </c>
      <c r="I862" t="str">
        <f t="shared" si="53"/>
        <v>YES</v>
      </c>
      <c r="J862" t="s">
        <v>868</v>
      </c>
      <c r="K862">
        <v>649319.98898499995</v>
      </c>
      <c r="L862" s="1">
        <f t="shared" si="54"/>
        <v>0</v>
      </c>
      <c r="M862" s="1">
        <f t="shared" si="55"/>
        <v>0</v>
      </c>
      <c r="N862" s="1">
        <f t="shared" si="56"/>
        <v>0</v>
      </c>
      <c r="O862" s="1"/>
    </row>
    <row r="863" spans="1:15" x14ac:dyDescent="0.25">
      <c r="A863">
        <v>1312</v>
      </c>
      <c r="B863">
        <v>6058.1219920000003</v>
      </c>
      <c r="C863">
        <v>0</v>
      </c>
      <c r="D863">
        <v>27819.82244</v>
      </c>
      <c r="E863">
        <v>0</v>
      </c>
      <c r="F863">
        <v>155606.92730000001</v>
      </c>
      <c r="G863">
        <v>0</v>
      </c>
      <c r="H863">
        <v>1312</v>
      </c>
      <c r="I863" t="str">
        <f t="shared" si="53"/>
        <v>YES</v>
      </c>
      <c r="J863" t="s">
        <v>869</v>
      </c>
      <c r="K863">
        <v>190258.48286300001</v>
      </c>
      <c r="L863" s="1">
        <f t="shared" si="54"/>
        <v>0</v>
      </c>
      <c r="M863" s="1">
        <f t="shared" si="55"/>
        <v>0</v>
      </c>
      <c r="N863" s="1">
        <f t="shared" si="56"/>
        <v>0</v>
      </c>
      <c r="O863" s="1"/>
    </row>
    <row r="864" spans="1:15" x14ac:dyDescent="0.25">
      <c r="A864">
        <v>1313</v>
      </c>
      <c r="B864">
        <v>10800.33927</v>
      </c>
      <c r="C864">
        <v>0</v>
      </c>
      <c r="D864">
        <v>54756.578930000003</v>
      </c>
      <c r="E864">
        <v>0</v>
      </c>
      <c r="F864">
        <v>269704.25670000003</v>
      </c>
      <c r="G864">
        <v>0</v>
      </c>
      <c r="H864">
        <v>1313</v>
      </c>
      <c r="I864" t="str">
        <f t="shared" si="53"/>
        <v>YES</v>
      </c>
      <c r="J864" t="s">
        <v>870</v>
      </c>
      <c r="K864">
        <v>577915.70909000002</v>
      </c>
      <c r="L864" s="1">
        <f t="shared" si="54"/>
        <v>0</v>
      </c>
      <c r="M864" s="1">
        <f t="shared" si="55"/>
        <v>0</v>
      </c>
      <c r="N864" s="1">
        <f t="shared" si="56"/>
        <v>0</v>
      </c>
      <c r="O864" s="1"/>
    </row>
    <row r="865" spans="1:15" x14ac:dyDescent="0.25">
      <c r="A865">
        <v>1314</v>
      </c>
      <c r="B865">
        <v>7444.2165720000003</v>
      </c>
      <c r="C865">
        <v>0</v>
      </c>
      <c r="D865">
        <v>33744.289649999999</v>
      </c>
      <c r="E865">
        <v>0</v>
      </c>
      <c r="F865">
        <v>173671.0888</v>
      </c>
      <c r="G865">
        <v>0</v>
      </c>
      <c r="H865">
        <v>1314</v>
      </c>
      <c r="I865" t="str">
        <f t="shared" si="53"/>
        <v>YES</v>
      </c>
      <c r="J865" t="s">
        <v>871</v>
      </c>
      <c r="K865">
        <v>574200.85109999997</v>
      </c>
      <c r="L865" s="1">
        <f t="shared" si="54"/>
        <v>0</v>
      </c>
      <c r="M865" s="1">
        <f t="shared" si="55"/>
        <v>0</v>
      </c>
      <c r="N865" s="1">
        <f t="shared" si="56"/>
        <v>0</v>
      </c>
      <c r="O865" s="1"/>
    </row>
    <row r="866" spans="1:15" x14ac:dyDescent="0.25">
      <c r="A866">
        <v>1315</v>
      </c>
      <c r="B866">
        <v>7998.0107680000001</v>
      </c>
      <c r="C866">
        <v>0</v>
      </c>
      <c r="D866">
        <v>27302.344440000001</v>
      </c>
      <c r="E866">
        <v>0</v>
      </c>
      <c r="F866">
        <v>178295.2752</v>
      </c>
      <c r="G866">
        <v>0</v>
      </c>
      <c r="H866">
        <v>1315</v>
      </c>
      <c r="I866" t="str">
        <f t="shared" si="53"/>
        <v>YES</v>
      </c>
      <c r="J866" t="s">
        <v>872</v>
      </c>
      <c r="K866">
        <v>910297.90991199994</v>
      </c>
      <c r="L866" s="1">
        <f t="shared" si="54"/>
        <v>0</v>
      </c>
      <c r="M866" s="1">
        <f t="shared" si="55"/>
        <v>0</v>
      </c>
      <c r="N866" s="1">
        <f t="shared" si="56"/>
        <v>0</v>
      </c>
      <c r="O866" s="1"/>
    </row>
    <row r="867" spans="1:15" x14ac:dyDescent="0.25">
      <c r="A867">
        <v>1316</v>
      </c>
      <c r="B867">
        <v>13541.4133</v>
      </c>
      <c r="C867">
        <v>0</v>
      </c>
      <c r="D867">
        <v>167475.26920000001</v>
      </c>
      <c r="E867">
        <v>0</v>
      </c>
      <c r="F867">
        <v>794602.90020000003</v>
      </c>
      <c r="G867">
        <v>0</v>
      </c>
      <c r="H867">
        <v>1316</v>
      </c>
      <c r="I867" t="str">
        <f t="shared" si="53"/>
        <v>YES</v>
      </c>
      <c r="J867" t="s">
        <v>873</v>
      </c>
      <c r="K867">
        <v>138070.04388000001</v>
      </c>
      <c r="L867" s="1">
        <f t="shared" si="54"/>
        <v>0</v>
      </c>
      <c r="M867" s="1">
        <f t="shared" si="55"/>
        <v>0</v>
      </c>
      <c r="N867" s="1">
        <f t="shared" si="56"/>
        <v>0</v>
      </c>
      <c r="O867" s="1"/>
    </row>
    <row r="868" spans="1:15" x14ac:dyDescent="0.25">
      <c r="A868">
        <v>1317</v>
      </c>
      <c r="B868">
        <v>11127.475399999999</v>
      </c>
      <c r="C868">
        <v>0</v>
      </c>
      <c r="D868">
        <v>56488.907899999998</v>
      </c>
      <c r="E868">
        <v>0</v>
      </c>
      <c r="F868">
        <v>243252.5338</v>
      </c>
      <c r="G868">
        <v>0</v>
      </c>
      <c r="H868">
        <v>1317</v>
      </c>
      <c r="I868" t="str">
        <f t="shared" si="53"/>
        <v>YES</v>
      </c>
      <c r="J868" t="s">
        <v>874</v>
      </c>
      <c r="K868">
        <v>364398.10539899999</v>
      </c>
      <c r="L868" s="1">
        <f t="shared" si="54"/>
        <v>0</v>
      </c>
      <c r="M868" s="1">
        <f t="shared" si="55"/>
        <v>0</v>
      </c>
      <c r="N868" s="1">
        <f t="shared" si="56"/>
        <v>0</v>
      </c>
      <c r="O868" s="1"/>
    </row>
    <row r="869" spans="1:15" x14ac:dyDescent="0.25">
      <c r="A869">
        <v>1318</v>
      </c>
      <c r="B869">
        <v>21605.36506</v>
      </c>
      <c r="C869">
        <v>0</v>
      </c>
      <c r="D869">
        <v>119504.2291</v>
      </c>
      <c r="E869">
        <v>0</v>
      </c>
      <c r="F869">
        <v>940817.32429999998</v>
      </c>
      <c r="G869">
        <v>0</v>
      </c>
      <c r="H869">
        <v>1318</v>
      </c>
      <c r="I869" t="str">
        <f t="shared" si="53"/>
        <v>YES</v>
      </c>
      <c r="J869" t="s">
        <v>875</v>
      </c>
      <c r="K869">
        <v>230241.72514600001</v>
      </c>
      <c r="L869" s="1">
        <f t="shared" si="54"/>
        <v>0</v>
      </c>
      <c r="M869" s="1">
        <f t="shared" si="55"/>
        <v>0</v>
      </c>
      <c r="N869" s="1">
        <f t="shared" si="56"/>
        <v>0</v>
      </c>
      <c r="O869" s="1"/>
    </row>
    <row r="870" spans="1:15" x14ac:dyDescent="0.25">
      <c r="A870">
        <v>1319</v>
      </c>
      <c r="B870">
        <v>3958.8897539999998</v>
      </c>
      <c r="C870">
        <v>0</v>
      </c>
      <c r="D870">
        <v>59487.238570000001</v>
      </c>
      <c r="E870">
        <v>0</v>
      </c>
      <c r="F870">
        <v>184593.8198</v>
      </c>
      <c r="G870">
        <v>0</v>
      </c>
      <c r="H870">
        <v>1319</v>
      </c>
      <c r="I870" t="str">
        <f t="shared" si="53"/>
        <v>YES</v>
      </c>
      <c r="J870" t="s">
        <v>876</v>
      </c>
      <c r="K870">
        <v>466409.45124600001</v>
      </c>
      <c r="L870" s="1">
        <f t="shared" si="54"/>
        <v>0</v>
      </c>
      <c r="M870" s="1">
        <f t="shared" si="55"/>
        <v>0</v>
      </c>
      <c r="N870" s="1">
        <f t="shared" si="56"/>
        <v>0</v>
      </c>
      <c r="O870" s="1"/>
    </row>
    <row r="871" spans="1:15" x14ac:dyDescent="0.25">
      <c r="A871">
        <v>1320</v>
      </c>
      <c r="B871">
        <v>13889.336590000001</v>
      </c>
      <c r="C871">
        <v>0</v>
      </c>
      <c r="D871">
        <v>74319.872300000003</v>
      </c>
      <c r="E871">
        <v>0</v>
      </c>
      <c r="F871">
        <v>353771.58590000001</v>
      </c>
      <c r="G871">
        <v>0</v>
      </c>
      <c r="H871">
        <v>1320</v>
      </c>
      <c r="I871" t="str">
        <f t="shared" si="53"/>
        <v>YES</v>
      </c>
      <c r="J871" t="s">
        <v>877</v>
      </c>
      <c r="K871">
        <v>1464557.3709</v>
      </c>
      <c r="L871" s="1">
        <f t="shared" si="54"/>
        <v>0</v>
      </c>
      <c r="M871" s="1">
        <f t="shared" si="55"/>
        <v>0</v>
      </c>
      <c r="N871" s="1">
        <f t="shared" si="56"/>
        <v>0</v>
      </c>
      <c r="O871" s="1"/>
    </row>
    <row r="872" spans="1:15" x14ac:dyDescent="0.25">
      <c r="A872">
        <v>1321</v>
      </c>
      <c r="B872">
        <v>35783.826410000001</v>
      </c>
      <c r="C872">
        <v>0</v>
      </c>
      <c r="D872">
        <v>152851.34349999999</v>
      </c>
      <c r="E872">
        <v>0</v>
      </c>
      <c r="F872">
        <v>348762.78220000002</v>
      </c>
      <c r="G872">
        <v>0</v>
      </c>
      <c r="H872">
        <v>1321</v>
      </c>
      <c r="I872" t="str">
        <f t="shared" si="53"/>
        <v>YES</v>
      </c>
      <c r="J872" t="s">
        <v>878</v>
      </c>
      <c r="K872">
        <v>533644.70606400003</v>
      </c>
      <c r="L872" s="1">
        <f t="shared" si="54"/>
        <v>0</v>
      </c>
      <c r="M872" s="1">
        <f t="shared" si="55"/>
        <v>0</v>
      </c>
      <c r="N872" s="1">
        <f t="shared" si="56"/>
        <v>0</v>
      </c>
      <c r="O872" s="1"/>
    </row>
    <row r="873" spans="1:15" x14ac:dyDescent="0.25">
      <c r="A873">
        <v>1322</v>
      </c>
      <c r="B873">
        <v>16237.50707</v>
      </c>
      <c r="C873">
        <v>0</v>
      </c>
      <c r="D873">
        <v>49319.917979999998</v>
      </c>
      <c r="E873">
        <v>0</v>
      </c>
      <c r="F873">
        <v>198837.5399</v>
      </c>
      <c r="G873">
        <v>0</v>
      </c>
      <c r="H873">
        <v>1322</v>
      </c>
      <c r="I873" t="str">
        <f t="shared" si="53"/>
        <v>YES</v>
      </c>
      <c r="J873" t="s">
        <v>879</v>
      </c>
      <c r="K873">
        <v>733042.17015400005</v>
      </c>
      <c r="L873" s="1">
        <f t="shared" si="54"/>
        <v>0</v>
      </c>
      <c r="M873" s="1">
        <f t="shared" si="55"/>
        <v>0</v>
      </c>
      <c r="N873" s="1">
        <f t="shared" si="56"/>
        <v>0</v>
      </c>
      <c r="O873" s="1"/>
    </row>
    <row r="874" spans="1:15" x14ac:dyDescent="0.25">
      <c r="A874">
        <v>1323</v>
      </c>
      <c r="B874">
        <v>25761.19255</v>
      </c>
      <c r="C874">
        <v>0</v>
      </c>
      <c r="D874">
        <v>126338.60649999999</v>
      </c>
      <c r="E874">
        <v>0</v>
      </c>
      <c r="F874">
        <v>331484.37459999998</v>
      </c>
      <c r="G874">
        <v>0</v>
      </c>
      <c r="H874">
        <v>1323</v>
      </c>
      <c r="I874" t="str">
        <f t="shared" si="53"/>
        <v>YES</v>
      </c>
      <c r="J874" t="s">
        <v>880</v>
      </c>
      <c r="K874">
        <v>831912.69074600004</v>
      </c>
      <c r="L874" s="1">
        <f t="shared" si="54"/>
        <v>0</v>
      </c>
      <c r="M874" s="1">
        <f t="shared" si="55"/>
        <v>0</v>
      </c>
      <c r="N874" s="1">
        <f t="shared" si="56"/>
        <v>0</v>
      </c>
      <c r="O874" s="1"/>
    </row>
    <row r="875" spans="1:15" x14ac:dyDescent="0.25">
      <c r="A875">
        <v>1324</v>
      </c>
      <c r="B875">
        <v>18441.45895</v>
      </c>
      <c r="C875">
        <v>0</v>
      </c>
      <c r="D875">
        <v>74437.942850000007</v>
      </c>
      <c r="E875">
        <v>0</v>
      </c>
      <c r="F875">
        <v>225661.8867</v>
      </c>
      <c r="G875">
        <v>0</v>
      </c>
      <c r="H875">
        <v>1324</v>
      </c>
      <c r="I875" t="str">
        <f t="shared" si="53"/>
        <v>YES</v>
      </c>
      <c r="J875" t="s">
        <v>881</v>
      </c>
      <c r="K875">
        <v>388882.40040899999</v>
      </c>
      <c r="L875" s="1">
        <f t="shared" si="54"/>
        <v>0</v>
      </c>
      <c r="M875" s="1">
        <f t="shared" si="55"/>
        <v>0</v>
      </c>
      <c r="N875" s="1">
        <f t="shared" si="56"/>
        <v>0</v>
      </c>
      <c r="O875" s="1"/>
    </row>
    <row r="876" spans="1:15" x14ac:dyDescent="0.25">
      <c r="A876">
        <v>1325</v>
      </c>
      <c r="B876">
        <v>47538.252860000001</v>
      </c>
      <c r="C876">
        <v>0</v>
      </c>
      <c r="D876">
        <v>178690.81709999999</v>
      </c>
      <c r="E876">
        <v>0</v>
      </c>
      <c r="F876">
        <v>770798.18680000002</v>
      </c>
      <c r="G876">
        <v>0</v>
      </c>
      <c r="H876">
        <v>1325</v>
      </c>
      <c r="I876" t="str">
        <f t="shared" si="53"/>
        <v>YES</v>
      </c>
      <c r="J876" t="s">
        <v>882</v>
      </c>
      <c r="K876">
        <v>461913.11696900002</v>
      </c>
      <c r="L876" s="1">
        <f t="shared" si="54"/>
        <v>0</v>
      </c>
      <c r="M876" s="1">
        <f t="shared" si="55"/>
        <v>0</v>
      </c>
      <c r="N876" s="1">
        <f t="shared" si="56"/>
        <v>0</v>
      </c>
      <c r="O876" s="1"/>
    </row>
    <row r="877" spans="1:15" x14ac:dyDescent="0.25">
      <c r="A877">
        <v>1326</v>
      </c>
      <c r="B877">
        <v>151690.84839999999</v>
      </c>
      <c r="C877">
        <v>0</v>
      </c>
      <c r="D877">
        <v>755692.94830000005</v>
      </c>
      <c r="E877">
        <v>0</v>
      </c>
      <c r="F877">
        <v>1322404.5660000001</v>
      </c>
      <c r="G877">
        <v>0</v>
      </c>
      <c r="H877">
        <v>1326</v>
      </c>
      <c r="I877" t="str">
        <f t="shared" si="53"/>
        <v>YES</v>
      </c>
      <c r="J877" t="s">
        <v>883</v>
      </c>
      <c r="K877">
        <v>1831554.1551099999</v>
      </c>
      <c r="L877" s="1">
        <f t="shared" si="54"/>
        <v>0</v>
      </c>
      <c r="M877" s="1">
        <f t="shared" si="55"/>
        <v>0</v>
      </c>
      <c r="N877" s="1">
        <f t="shared" si="56"/>
        <v>0</v>
      </c>
      <c r="O877" s="1"/>
    </row>
    <row r="878" spans="1:15" x14ac:dyDescent="0.25">
      <c r="A878">
        <v>1327</v>
      </c>
      <c r="B878">
        <v>27187.239130000002</v>
      </c>
      <c r="C878">
        <v>0</v>
      </c>
      <c r="D878">
        <v>140848.0294</v>
      </c>
      <c r="E878">
        <v>0</v>
      </c>
      <c r="F878">
        <v>643592.33259999997</v>
      </c>
      <c r="G878">
        <v>0</v>
      </c>
      <c r="H878">
        <v>1327</v>
      </c>
      <c r="I878" t="str">
        <f t="shared" si="53"/>
        <v>YES</v>
      </c>
      <c r="J878" t="s">
        <v>884</v>
      </c>
      <c r="K878">
        <v>494727.14386800001</v>
      </c>
      <c r="L878" s="1">
        <f t="shared" si="54"/>
        <v>0</v>
      </c>
      <c r="M878" s="1">
        <f t="shared" si="55"/>
        <v>0</v>
      </c>
      <c r="N878" s="1">
        <f t="shared" si="56"/>
        <v>0</v>
      </c>
      <c r="O878" s="1"/>
    </row>
    <row r="879" spans="1:15" x14ac:dyDescent="0.25">
      <c r="A879">
        <v>1328</v>
      </c>
      <c r="B879">
        <v>26807.133900000001</v>
      </c>
      <c r="C879">
        <v>0</v>
      </c>
      <c r="D879">
        <v>143040.82449999999</v>
      </c>
      <c r="E879">
        <v>0</v>
      </c>
      <c r="F879">
        <v>727364.96860000002</v>
      </c>
      <c r="G879">
        <v>0</v>
      </c>
      <c r="H879">
        <v>1328</v>
      </c>
      <c r="I879" t="str">
        <f t="shared" si="53"/>
        <v>YES</v>
      </c>
      <c r="J879" t="s">
        <v>885</v>
      </c>
      <c r="K879">
        <v>922669.20954700001</v>
      </c>
      <c r="L879" s="1">
        <f t="shared" si="54"/>
        <v>0</v>
      </c>
      <c r="M879" s="1">
        <f t="shared" si="55"/>
        <v>0</v>
      </c>
      <c r="N879" s="1">
        <f t="shared" si="56"/>
        <v>0</v>
      </c>
      <c r="O879" s="1"/>
    </row>
    <row r="880" spans="1:15" x14ac:dyDescent="0.25">
      <c r="A880">
        <v>1329</v>
      </c>
      <c r="B880">
        <v>19205.486939999999</v>
      </c>
      <c r="C880">
        <v>0</v>
      </c>
      <c r="D880">
        <v>91324.224489999993</v>
      </c>
      <c r="E880">
        <v>0</v>
      </c>
      <c r="F880">
        <v>780567.22019999998</v>
      </c>
      <c r="G880">
        <v>0</v>
      </c>
      <c r="H880">
        <v>1329</v>
      </c>
      <c r="I880" t="str">
        <f t="shared" si="53"/>
        <v>YES</v>
      </c>
      <c r="J880" t="s">
        <v>886</v>
      </c>
      <c r="K880">
        <v>128269.17296700001</v>
      </c>
      <c r="L880" s="1">
        <f t="shared" si="54"/>
        <v>0</v>
      </c>
      <c r="M880" s="1">
        <f t="shared" si="55"/>
        <v>0</v>
      </c>
      <c r="N880" s="1">
        <f t="shared" si="56"/>
        <v>0</v>
      </c>
      <c r="O880" s="1"/>
    </row>
    <row r="881" spans="1:15" x14ac:dyDescent="0.25">
      <c r="A881">
        <v>1330</v>
      </c>
      <c r="B881">
        <v>23054.35023</v>
      </c>
      <c r="C881">
        <v>0</v>
      </c>
      <c r="D881">
        <v>107095.4066</v>
      </c>
      <c r="E881">
        <v>0</v>
      </c>
      <c r="F881">
        <v>803966.74199999997</v>
      </c>
      <c r="G881">
        <v>0</v>
      </c>
      <c r="H881">
        <v>1330</v>
      </c>
      <c r="I881" t="str">
        <f t="shared" si="53"/>
        <v>YES</v>
      </c>
      <c r="J881" t="s">
        <v>887</v>
      </c>
      <c r="K881">
        <v>233253.1839</v>
      </c>
      <c r="L881" s="1">
        <f t="shared" si="54"/>
        <v>0</v>
      </c>
      <c r="M881" s="1">
        <f t="shared" si="55"/>
        <v>0</v>
      </c>
      <c r="N881" s="1">
        <f t="shared" si="56"/>
        <v>0</v>
      </c>
      <c r="O881" s="1"/>
    </row>
    <row r="882" spans="1:15" x14ac:dyDescent="0.25">
      <c r="A882">
        <v>1331</v>
      </c>
      <c r="B882">
        <v>13683.415290000001</v>
      </c>
      <c r="C882">
        <v>0</v>
      </c>
      <c r="D882">
        <v>74167.809949999995</v>
      </c>
      <c r="E882">
        <v>0</v>
      </c>
      <c r="F882">
        <v>539267.82490000001</v>
      </c>
      <c r="G882">
        <v>0</v>
      </c>
      <c r="H882">
        <v>1331</v>
      </c>
      <c r="I882" t="str">
        <f t="shared" si="53"/>
        <v>YES</v>
      </c>
      <c r="J882" t="s">
        <v>888</v>
      </c>
      <c r="K882">
        <v>2304210.3711600001</v>
      </c>
      <c r="L882" s="1">
        <f t="shared" si="54"/>
        <v>0</v>
      </c>
      <c r="M882" s="1">
        <f t="shared" si="55"/>
        <v>0</v>
      </c>
      <c r="N882" s="1">
        <f t="shared" si="56"/>
        <v>0</v>
      </c>
      <c r="O882" s="1"/>
    </row>
    <row r="883" spans="1:15" x14ac:dyDescent="0.25">
      <c r="A883">
        <v>1332</v>
      </c>
      <c r="B883">
        <v>28760.31266</v>
      </c>
      <c r="C883">
        <v>0</v>
      </c>
      <c r="D883">
        <v>226600.56460000001</v>
      </c>
      <c r="E883">
        <v>0</v>
      </c>
      <c r="F883">
        <v>843882.82189999998</v>
      </c>
      <c r="G883">
        <v>0</v>
      </c>
      <c r="H883">
        <v>1332</v>
      </c>
      <c r="I883" t="str">
        <f t="shared" si="53"/>
        <v>YES</v>
      </c>
      <c r="J883" t="s">
        <v>889</v>
      </c>
      <c r="K883">
        <v>216296.33045000001</v>
      </c>
      <c r="L883" s="1">
        <f t="shared" si="54"/>
        <v>0</v>
      </c>
      <c r="M883" s="1">
        <f t="shared" si="55"/>
        <v>0</v>
      </c>
      <c r="N883" s="1">
        <f t="shared" si="56"/>
        <v>0</v>
      </c>
      <c r="O883" s="1"/>
    </row>
    <row r="884" spans="1:15" x14ac:dyDescent="0.25">
      <c r="A884">
        <v>1333</v>
      </c>
      <c r="B884">
        <v>6106.1265270000004</v>
      </c>
      <c r="C884">
        <v>0</v>
      </c>
      <c r="D884">
        <v>33905.556420000001</v>
      </c>
      <c r="E884">
        <v>0</v>
      </c>
      <c r="F884">
        <v>198425.6801</v>
      </c>
      <c r="G884">
        <v>0</v>
      </c>
      <c r="H884">
        <v>1333</v>
      </c>
      <c r="I884" t="str">
        <f t="shared" si="53"/>
        <v>YES</v>
      </c>
      <c r="J884" t="s">
        <v>890</v>
      </c>
      <c r="K884">
        <v>564442.30462800001</v>
      </c>
      <c r="L884" s="1">
        <f t="shared" si="54"/>
        <v>0</v>
      </c>
      <c r="M884" s="1">
        <f t="shared" si="55"/>
        <v>0</v>
      </c>
      <c r="N884" s="1">
        <f t="shared" si="56"/>
        <v>0</v>
      </c>
      <c r="O884" s="1"/>
    </row>
    <row r="885" spans="1:15" x14ac:dyDescent="0.25">
      <c r="A885">
        <v>1334</v>
      </c>
      <c r="B885">
        <v>25899.92294</v>
      </c>
      <c r="C885">
        <v>0</v>
      </c>
      <c r="D885">
        <v>163565.05059999999</v>
      </c>
      <c r="E885">
        <v>0</v>
      </c>
      <c r="F885">
        <v>748540.201</v>
      </c>
      <c r="G885">
        <v>0</v>
      </c>
      <c r="H885">
        <v>1334</v>
      </c>
      <c r="I885" t="str">
        <f t="shared" si="53"/>
        <v>YES</v>
      </c>
      <c r="J885" t="s">
        <v>891</v>
      </c>
      <c r="K885">
        <v>615094.92388500005</v>
      </c>
      <c r="L885" s="1">
        <f t="shared" si="54"/>
        <v>0</v>
      </c>
      <c r="M885" s="1">
        <f t="shared" si="55"/>
        <v>0</v>
      </c>
      <c r="N885" s="1">
        <f t="shared" si="56"/>
        <v>0</v>
      </c>
      <c r="O885" s="1"/>
    </row>
    <row r="886" spans="1:15" x14ac:dyDescent="0.25">
      <c r="A886">
        <v>1335</v>
      </c>
      <c r="B886">
        <v>20030.13924</v>
      </c>
      <c r="C886">
        <v>0</v>
      </c>
      <c r="D886">
        <v>109511.45630000001</v>
      </c>
      <c r="E886">
        <v>0</v>
      </c>
      <c r="F886">
        <v>531481.11010000005</v>
      </c>
      <c r="G886">
        <v>0</v>
      </c>
      <c r="H886">
        <v>1335</v>
      </c>
      <c r="I886" t="str">
        <f t="shared" si="53"/>
        <v>YES</v>
      </c>
      <c r="J886" t="s">
        <v>892</v>
      </c>
      <c r="K886">
        <v>382874.21372900001</v>
      </c>
      <c r="L886" s="1">
        <f t="shared" si="54"/>
        <v>0</v>
      </c>
      <c r="M886" s="1">
        <f t="shared" si="55"/>
        <v>0</v>
      </c>
      <c r="N886" s="1">
        <f t="shared" si="56"/>
        <v>0</v>
      </c>
      <c r="O886" s="1"/>
    </row>
    <row r="887" spans="1:15" x14ac:dyDescent="0.25">
      <c r="A887">
        <v>1336</v>
      </c>
      <c r="B887">
        <v>14621.848760000001</v>
      </c>
      <c r="C887">
        <v>0</v>
      </c>
      <c r="D887">
        <v>173570.44570000001</v>
      </c>
      <c r="E887">
        <v>0</v>
      </c>
      <c r="F887">
        <v>918453.9791</v>
      </c>
      <c r="G887">
        <v>0</v>
      </c>
      <c r="H887">
        <v>1336</v>
      </c>
      <c r="I887" t="str">
        <f t="shared" si="53"/>
        <v>YES</v>
      </c>
      <c r="J887" t="s">
        <v>893</v>
      </c>
      <c r="K887">
        <v>759967.93772499997</v>
      </c>
      <c r="L887" s="1">
        <f t="shared" si="54"/>
        <v>0</v>
      </c>
      <c r="M887" s="1">
        <f t="shared" si="55"/>
        <v>0</v>
      </c>
      <c r="N887" s="1">
        <f t="shared" si="56"/>
        <v>0</v>
      </c>
      <c r="O887" s="1"/>
    </row>
    <row r="888" spans="1:15" x14ac:dyDescent="0.25">
      <c r="A888">
        <v>1337</v>
      </c>
      <c r="B888">
        <v>16495.6682</v>
      </c>
      <c r="C888">
        <v>0</v>
      </c>
      <c r="D888">
        <v>52922.460180000002</v>
      </c>
      <c r="E888">
        <v>0</v>
      </c>
      <c r="F888">
        <v>392232.95380000002</v>
      </c>
      <c r="G888">
        <v>0</v>
      </c>
      <c r="H888">
        <v>1337</v>
      </c>
      <c r="I888" t="str">
        <f t="shared" si="53"/>
        <v>YES</v>
      </c>
      <c r="J888" t="s">
        <v>894</v>
      </c>
      <c r="K888">
        <v>590335.30103900004</v>
      </c>
      <c r="L888" s="1">
        <f t="shared" si="54"/>
        <v>0</v>
      </c>
      <c r="M888" s="1">
        <f t="shared" si="55"/>
        <v>0</v>
      </c>
      <c r="N888" s="1">
        <f t="shared" si="56"/>
        <v>0</v>
      </c>
      <c r="O888" s="1"/>
    </row>
    <row r="889" spans="1:15" x14ac:dyDescent="0.25">
      <c r="A889">
        <v>1338</v>
      </c>
      <c r="B889">
        <v>9340.3843629999992</v>
      </c>
      <c r="C889">
        <v>0</v>
      </c>
      <c r="D889">
        <v>146758.50580000001</v>
      </c>
      <c r="E889">
        <v>0</v>
      </c>
      <c r="F889">
        <v>737018.46030000004</v>
      </c>
      <c r="G889">
        <v>0</v>
      </c>
      <c r="H889">
        <v>1338</v>
      </c>
      <c r="I889" t="str">
        <f t="shared" si="53"/>
        <v>YES</v>
      </c>
      <c r="J889" t="s">
        <v>895</v>
      </c>
      <c r="K889">
        <v>438452.64856599999</v>
      </c>
      <c r="L889" s="1">
        <f t="shared" si="54"/>
        <v>0</v>
      </c>
      <c r="M889" s="1">
        <f t="shared" si="55"/>
        <v>0</v>
      </c>
      <c r="N889" s="1">
        <f t="shared" si="56"/>
        <v>0</v>
      </c>
      <c r="O889" s="1"/>
    </row>
    <row r="890" spans="1:15" x14ac:dyDescent="0.25">
      <c r="A890">
        <v>1339</v>
      </c>
      <c r="B890">
        <v>7909.1470980000004</v>
      </c>
      <c r="C890">
        <v>0</v>
      </c>
      <c r="D890">
        <v>132754.35800000001</v>
      </c>
      <c r="E890">
        <v>0</v>
      </c>
      <c r="F890">
        <v>709404.103</v>
      </c>
      <c r="G890">
        <v>0</v>
      </c>
      <c r="H890">
        <v>1339</v>
      </c>
      <c r="I890" t="str">
        <f t="shared" si="53"/>
        <v>YES</v>
      </c>
      <c r="J890" t="s">
        <v>896</v>
      </c>
      <c r="K890">
        <v>437903.71442500001</v>
      </c>
      <c r="L890" s="1">
        <f t="shared" si="54"/>
        <v>0</v>
      </c>
      <c r="M890" s="1">
        <f t="shared" si="55"/>
        <v>0</v>
      </c>
      <c r="N890" s="1">
        <f t="shared" si="56"/>
        <v>0</v>
      </c>
      <c r="O890" s="1"/>
    </row>
    <row r="891" spans="1:15" x14ac:dyDescent="0.25">
      <c r="A891">
        <v>1340</v>
      </c>
      <c r="B891">
        <v>5286.7415419999998</v>
      </c>
      <c r="C891">
        <v>0</v>
      </c>
      <c r="D891">
        <v>55400.097730000001</v>
      </c>
      <c r="E891">
        <v>0</v>
      </c>
      <c r="F891">
        <v>350535.80609999999</v>
      </c>
      <c r="G891">
        <v>0</v>
      </c>
      <c r="H891">
        <v>1340</v>
      </c>
      <c r="I891" t="str">
        <f t="shared" si="53"/>
        <v>YES</v>
      </c>
      <c r="J891" t="s">
        <v>897</v>
      </c>
      <c r="K891">
        <v>248896.86735499999</v>
      </c>
      <c r="L891" s="1">
        <f t="shared" si="54"/>
        <v>0</v>
      </c>
      <c r="M891" s="1">
        <f t="shared" si="55"/>
        <v>0</v>
      </c>
      <c r="N891" s="1">
        <f t="shared" si="56"/>
        <v>0</v>
      </c>
      <c r="O891" s="1"/>
    </row>
    <row r="892" spans="1:15" x14ac:dyDescent="0.25">
      <c r="A892">
        <v>1341</v>
      </c>
      <c r="B892">
        <v>40962.09274</v>
      </c>
      <c r="C892">
        <v>0</v>
      </c>
      <c r="D892">
        <v>310866.02159999998</v>
      </c>
      <c r="E892">
        <v>0</v>
      </c>
      <c r="F892">
        <v>1185046.892</v>
      </c>
      <c r="G892">
        <v>0</v>
      </c>
      <c r="H892">
        <v>1341</v>
      </c>
      <c r="I892" t="str">
        <f t="shared" si="53"/>
        <v>YES</v>
      </c>
      <c r="J892" t="s">
        <v>898</v>
      </c>
      <c r="K892">
        <v>345036.08636999998</v>
      </c>
      <c r="L892" s="1">
        <f t="shared" si="54"/>
        <v>0</v>
      </c>
      <c r="M892" s="1">
        <f t="shared" si="55"/>
        <v>0</v>
      </c>
      <c r="N892" s="1">
        <f t="shared" si="56"/>
        <v>0</v>
      </c>
      <c r="O892" s="1"/>
    </row>
    <row r="893" spans="1:15" x14ac:dyDescent="0.25">
      <c r="A893">
        <v>1342</v>
      </c>
      <c r="B893">
        <v>3811.474479</v>
      </c>
      <c r="C893">
        <v>0</v>
      </c>
      <c r="D893">
        <v>105496.5162</v>
      </c>
      <c r="E893">
        <v>0</v>
      </c>
      <c r="F893">
        <v>677456.32700000005</v>
      </c>
      <c r="G893">
        <v>0</v>
      </c>
      <c r="H893">
        <v>1342</v>
      </c>
      <c r="I893" t="str">
        <f t="shared" si="53"/>
        <v>YES</v>
      </c>
      <c r="J893" t="s">
        <v>899</v>
      </c>
      <c r="K893">
        <v>657284.47457700002</v>
      </c>
      <c r="L893" s="1">
        <f t="shared" si="54"/>
        <v>0</v>
      </c>
      <c r="M893" s="1">
        <f t="shared" si="55"/>
        <v>0</v>
      </c>
      <c r="N893" s="1">
        <f t="shared" si="56"/>
        <v>0</v>
      </c>
      <c r="O893" s="1"/>
    </row>
    <row r="894" spans="1:15" x14ac:dyDescent="0.25">
      <c r="A894">
        <v>1343</v>
      </c>
      <c r="B894">
        <v>12113.651750000001</v>
      </c>
      <c r="C894">
        <v>0</v>
      </c>
      <c r="D894">
        <v>110508.9734</v>
      </c>
      <c r="E894">
        <v>0</v>
      </c>
      <c r="F894">
        <v>644389.95880000002</v>
      </c>
      <c r="G894">
        <v>0</v>
      </c>
      <c r="H894">
        <v>1343</v>
      </c>
      <c r="I894" t="str">
        <f t="shared" si="53"/>
        <v>YES</v>
      </c>
      <c r="J894" t="s">
        <v>900</v>
      </c>
      <c r="K894">
        <v>474497.44322900003</v>
      </c>
      <c r="L894" s="1">
        <f t="shared" si="54"/>
        <v>0</v>
      </c>
      <c r="M894" s="1">
        <f t="shared" si="55"/>
        <v>0</v>
      </c>
      <c r="N894" s="1">
        <f t="shared" si="56"/>
        <v>0</v>
      </c>
      <c r="O894" s="1"/>
    </row>
    <row r="895" spans="1:15" x14ac:dyDescent="0.25">
      <c r="A895">
        <v>1344</v>
      </c>
      <c r="B895">
        <v>7381.4747619999998</v>
      </c>
      <c r="C895">
        <v>0</v>
      </c>
      <c r="D895">
        <v>46856.602200000001</v>
      </c>
      <c r="E895">
        <v>0</v>
      </c>
      <c r="F895">
        <v>309152.73540000001</v>
      </c>
      <c r="G895">
        <v>0</v>
      </c>
      <c r="H895">
        <v>1344</v>
      </c>
      <c r="I895" t="str">
        <f t="shared" si="53"/>
        <v>YES</v>
      </c>
      <c r="J895" t="s">
        <v>901</v>
      </c>
      <c r="K895">
        <v>1359352.99817</v>
      </c>
      <c r="L895" s="1">
        <f t="shared" si="54"/>
        <v>0</v>
      </c>
      <c r="M895" s="1">
        <f t="shared" si="55"/>
        <v>0</v>
      </c>
      <c r="N895" s="1">
        <f t="shared" si="56"/>
        <v>0</v>
      </c>
      <c r="O895" s="1"/>
    </row>
    <row r="896" spans="1:15" x14ac:dyDescent="0.25">
      <c r="A896">
        <v>1345</v>
      </c>
      <c r="B896">
        <v>7437.5676149999999</v>
      </c>
      <c r="C896">
        <v>0</v>
      </c>
      <c r="D896">
        <v>60043.123789999998</v>
      </c>
      <c r="E896">
        <v>0</v>
      </c>
      <c r="F896">
        <v>412152.65360000002</v>
      </c>
      <c r="G896">
        <v>0</v>
      </c>
      <c r="H896">
        <v>1345</v>
      </c>
      <c r="I896" t="str">
        <f t="shared" si="53"/>
        <v>YES</v>
      </c>
      <c r="J896" t="s">
        <v>902</v>
      </c>
      <c r="K896">
        <v>433474.585991</v>
      </c>
      <c r="L896" s="1">
        <f t="shared" si="54"/>
        <v>0</v>
      </c>
      <c r="M896" s="1">
        <f t="shared" si="55"/>
        <v>0</v>
      </c>
      <c r="N896" s="1">
        <f t="shared" si="56"/>
        <v>0</v>
      </c>
      <c r="O896" s="1"/>
    </row>
    <row r="897" spans="1:15" x14ac:dyDescent="0.25">
      <c r="A897">
        <v>1346</v>
      </c>
      <c r="B897">
        <v>1281.652971</v>
      </c>
      <c r="C897">
        <v>0</v>
      </c>
      <c r="D897">
        <v>29097.460490000001</v>
      </c>
      <c r="E897">
        <v>0</v>
      </c>
      <c r="F897">
        <v>184870.59239999999</v>
      </c>
      <c r="G897">
        <v>0</v>
      </c>
      <c r="H897">
        <v>1346</v>
      </c>
      <c r="I897" t="str">
        <f t="shared" si="53"/>
        <v>YES</v>
      </c>
      <c r="J897" t="s">
        <v>903</v>
      </c>
      <c r="K897">
        <v>1267696.59335</v>
      </c>
      <c r="L897" s="1">
        <f t="shared" si="54"/>
        <v>0</v>
      </c>
      <c r="M897" s="1">
        <f t="shared" si="55"/>
        <v>0</v>
      </c>
      <c r="N897" s="1">
        <f t="shared" si="56"/>
        <v>0</v>
      </c>
      <c r="O897" s="1"/>
    </row>
    <row r="898" spans="1:15" x14ac:dyDescent="0.25">
      <c r="A898">
        <v>1347</v>
      </c>
      <c r="B898">
        <v>7404.0287550000003</v>
      </c>
      <c r="C898">
        <v>0</v>
      </c>
      <c r="D898">
        <v>58082.662839999997</v>
      </c>
      <c r="E898">
        <v>0</v>
      </c>
      <c r="F898">
        <v>347946.02309999999</v>
      </c>
      <c r="G898">
        <v>0</v>
      </c>
      <c r="H898">
        <v>1347</v>
      </c>
      <c r="I898" t="str">
        <f t="shared" ref="I898:I961" si="57">IF(A898=H898,"YES","NO")</f>
        <v>YES</v>
      </c>
      <c r="J898" t="s">
        <v>904</v>
      </c>
      <c r="K898">
        <v>1013142.26563</v>
      </c>
      <c r="L898" s="1">
        <f t="shared" si="54"/>
        <v>0</v>
      </c>
      <c r="M898" s="1">
        <f t="shared" si="55"/>
        <v>0</v>
      </c>
      <c r="N898" s="1">
        <f t="shared" si="56"/>
        <v>0</v>
      </c>
      <c r="O898" s="1"/>
    </row>
    <row r="899" spans="1:15" x14ac:dyDescent="0.25">
      <c r="A899">
        <v>1348</v>
      </c>
      <c r="B899">
        <v>12998.713229999999</v>
      </c>
      <c r="C899">
        <v>0</v>
      </c>
      <c r="D899">
        <v>112193.5371</v>
      </c>
      <c r="E899">
        <v>0</v>
      </c>
      <c r="F899">
        <v>614294.72369999997</v>
      </c>
      <c r="G899">
        <v>0</v>
      </c>
      <c r="H899">
        <v>1348</v>
      </c>
      <c r="I899" t="str">
        <f t="shared" si="57"/>
        <v>YES</v>
      </c>
      <c r="J899" t="s">
        <v>905</v>
      </c>
      <c r="K899">
        <v>582217.27198700001</v>
      </c>
      <c r="L899" s="1">
        <f t="shared" ref="L899:L962" si="58">$U$2*$K899*C899</f>
        <v>0</v>
      </c>
      <c r="M899" s="1">
        <f t="shared" ref="M899:M962" si="59">$U$3*$K899*E899</f>
        <v>0</v>
      </c>
      <c r="N899" s="1">
        <f t="shared" ref="N899:N962" si="60">$U$4*$K899*G899</f>
        <v>0</v>
      </c>
      <c r="O899" s="1"/>
    </row>
    <row r="900" spans="1:15" x14ac:dyDescent="0.25">
      <c r="A900">
        <v>1349</v>
      </c>
      <c r="B900">
        <v>25027.602770000001</v>
      </c>
      <c r="C900">
        <v>0</v>
      </c>
      <c r="D900">
        <v>130664.8425</v>
      </c>
      <c r="E900">
        <v>0</v>
      </c>
      <c r="F900">
        <v>475324.11489999999</v>
      </c>
      <c r="G900">
        <v>0</v>
      </c>
      <c r="H900">
        <v>1349</v>
      </c>
      <c r="I900" t="str">
        <f t="shared" si="57"/>
        <v>YES</v>
      </c>
      <c r="J900" t="s">
        <v>906</v>
      </c>
      <c r="K900">
        <v>333492.13212800003</v>
      </c>
      <c r="L900" s="1">
        <f t="shared" si="58"/>
        <v>0</v>
      </c>
      <c r="M900" s="1">
        <f t="shared" si="59"/>
        <v>0</v>
      </c>
      <c r="N900" s="1">
        <f t="shared" si="60"/>
        <v>0</v>
      </c>
      <c r="O900" s="1"/>
    </row>
    <row r="901" spans="1:15" x14ac:dyDescent="0.25">
      <c r="A901">
        <v>1351</v>
      </c>
      <c r="B901">
        <v>4768.1853709999996</v>
      </c>
      <c r="C901">
        <v>0</v>
      </c>
      <c r="D901">
        <v>13724.6782</v>
      </c>
      <c r="E901">
        <v>0</v>
      </c>
      <c r="F901">
        <v>156278.7144</v>
      </c>
      <c r="G901">
        <v>0</v>
      </c>
      <c r="H901">
        <v>1351</v>
      </c>
      <c r="I901" t="str">
        <f t="shared" si="57"/>
        <v>YES</v>
      </c>
      <c r="J901" t="s">
        <v>907</v>
      </c>
      <c r="K901">
        <v>3009681.32699</v>
      </c>
      <c r="L901" s="1">
        <f t="shared" si="58"/>
        <v>0</v>
      </c>
      <c r="M901" s="1">
        <f t="shared" si="59"/>
        <v>0</v>
      </c>
      <c r="N901" s="1">
        <f t="shared" si="60"/>
        <v>0</v>
      </c>
      <c r="O901" s="1"/>
    </row>
    <row r="902" spans="1:15" x14ac:dyDescent="0.25">
      <c r="A902">
        <v>1400</v>
      </c>
      <c r="B902">
        <v>3689.3895750000001</v>
      </c>
      <c r="C902">
        <v>0</v>
      </c>
      <c r="D902">
        <v>59101.113920000003</v>
      </c>
      <c r="E902">
        <v>0</v>
      </c>
      <c r="F902">
        <v>337334.07530000003</v>
      </c>
      <c r="G902">
        <v>0</v>
      </c>
      <c r="H902">
        <v>1400</v>
      </c>
      <c r="I902" t="str">
        <f t="shared" si="57"/>
        <v>YES</v>
      </c>
      <c r="J902" t="s">
        <v>908</v>
      </c>
      <c r="K902">
        <v>1321922.15604</v>
      </c>
      <c r="L902" s="1">
        <f t="shared" si="58"/>
        <v>0</v>
      </c>
      <c r="M902" s="1">
        <f t="shared" si="59"/>
        <v>0</v>
      </c>
      <c r="N902" s="1">
        <f t="shared" si="60"/>
        <v>0</v>
      </c>
      <c r="O902" s="1"/>
    </row>
    <row r="903" spans="1:15" x14ac:dyDescent="0.25">
      <c r="A903">
        <v>1401</v>
      </c>
      <c r="B903">
        <v>3689.3895750000001</v>
      </c>
      <c r="C903">
        <v>0</v>
      </c>
      <c r="D903">
        <v>59015.70779</v>
      </c>
      <c r="E903">
        <v>0</v>
      </c>
      <c r="F903">
        <v>336861.97859999997</v>
      </c>
      <c r="G903">
        <v>0</v>
      </c>
      <c r="H903">
        <v>1401</v>
      </c>
      <c r="I903" t="str">
        <f t="shared" si="57"/>
        <v>YES</v>
      </c>
      <c r="J903" t="s">
        <v>909</v>
      </c>
      <c r="K903">
        <v>1006975.23905</v>
      </c>
      <c r="L903" s="1">
        <f t="shared" si="58"/>
        <v>0</v>
      </c>
      <c r="M903" s="1">
        <f t="shared" si="59"/>
        <v>0</v>
      </c>
      <c r="N903" s="1">
        <f t="shared" si="60"/>
        <v>0</v>
      </c>
      <c r="O903" s="1"/>
    </row>
    <row r="904" spans="1:15" x14ac:dyDescent="0.25">
      <c r="A904">
        <v>1402</v>
      </c>
      <c r="B904">
        <v>18363.577829999998</v>
      </c>
      <c r="C904">
        <v>0</v>
      </c>
      <c r="D904">
        <v>241920.91870000001</v>
      </c>
      <c r="E904">
        <v>0</v>
      </c>
      <c r="F904">
        <v>933897.37719999999</v>
      </c>
      <c r="G904">
        <v>0</v>
      </c>
      <c r="H904">
        <v>1402</v>
      </c>
      <c r="I904" t="str">
        <f t="shared" si="57"/>
        <v>YES</v>
      </c>
      <c r="J904" t="s">
        <v>910</v>
      </c>
      <c r="K904">
        <v>260462.57728699999</v>
      </c>
      <c r="L904" s="1">
        <f t="shared" si="58"/>
        <v>0</v>
      </c>
      <c r="M904" s="1">
        <f t="shared" si="59"/>
        <v>0</v>
      </c>
      <c r="N904" s="1">
        <f t="shared" si="60"/>
        <v>0</v>
      </c>
      <c r="O904" s="1"/>
    </row>
    <row r="905" spans="1:15" x14ac:dyDescent="0.25">
      <c r="A905">
        <v>1403</v>
      </c>
      <c r="B905">
        <v>7134.0049710000003</v>
      </c>
      <c r="C905">
        <v>0</v>
      </c>
      <c r="D905">
        <v>125014.3744</v>
      </c>
      <c r="E905">
        <v>0</v>
      </c>
      <c r="F905">
        <v>567581.43359999999</v>
      </c>
      <c r="G905">
        <v>0</v>
      </c>
      <c r="H905">
        <v>1403</v>
      </c>
      <c r="I905" t="str">
        <f t="shared" si="57"/>
        <v>YES</v>
      </c>
      <c r="J905" t="s">
        <v>911</v>
      </c>
      <c r="K905">
        <v>1033674.89738</v>
      </c>
      <c r="L905" s="1">
        <f t="shared" si="58"/>
        <v>0</v>
      </c>
      <c r="M905" s="1">
        <f t="shared" si="59"/>
        <v>0</v>
      </c>
      <c r="N905" s="1">
        <f t="shared" si="60"/>
        <v>0</v>
      </c>
      <c r="O905" s="1"/>
    </row>
    <row r="906" spans="1:15" x14ac:dyDescent="0.25">
      <c r="A906">
        <v>1404</v>
      </c>
      <c r="B906">
        <v>13347.59325</v>
      </c>
      <c r="C906">
        <v>0</v>
      </c>
      <c r="D906">
        <v>171009.67670000001</v>
      </c>
      <c r="E906">
        <v>0</v>
      </c>
      <c r="F906">
        <v>694246.91689999995</v>
      </c>
      <c r="G906">
        <v>0</v>
      </c>
      <c r="H906">
        <v>1404</v>
      </c>
      <c r="I906" t="str">
        <f t="shared" si="57"/>
        <v>YES</v>
      </c>
      <c r="J906" t="s">
        <v>912</v>
      </c>
      <c r="K906">
        <v>874010.88574699999</v>
      </c>
      <c r="L906" s="1">
        <f t="shared" si="58"/>
        <v>0</v>
      </c>
      <c r="M906" s="1">
        <f t="shared" si="59"/>
        <v>0</v>
      </c>
      <c r="N906" s="1">
        <f t="shared" si="60"/>
        <v>0</v>
      </c>
      <c r="O906" s="1"/>
    </row>
    <row r="907" spans="1:15" x14ac:dyDescent="0.25">
      <c r="A907">
        <v>1405</v>
      </c>
      <c r="B907">
        <v>5160.3794660000003</v>
      </c>
      <c r="C907">
        <v>0</v>
      </c>
      <c r="D907">
        <v>27082.32159</v>
      </c>
      <c r="E907">
        <v>0</v>
      </c>
      <c r="F907">
        <v>315113.25229999999</v>
      </c>
      <c r="G907">
        <v>0</v>
      </c>
      <c r="H907">
        <v>1405</v>
      </c>
      <c r="I907" t="str">
        <f t="shared" si="57"/>
        <v>YES</v>
      </c>
      <c r="J907" t="s">
        <v>913</v>
      </c>
      <c r="K907">
        <v>1009001.5566</v>
      </c>
      <c r="L907" s="1">
        <f t="shared" si="58"/>
        <v>0</v>
      </c>
      <c r="M907" s="1">
        <f t="shared" si="59"/>
        <v>0</v>
      </c>
      <c r="N907" s="1">
        <f t="shared" si="60"/>
        <v>0</v>
      </c>
      <c r="O907" s="1"/>
    </row>
    <row r="908" spans="1:15" x14ac:dyDescent="0.25">
      <c r="A908">
        <v>1406</v>
      </c>
      <c r="B908">
        <v>133916.98389999999</v>
      </c>
      <c r="C908">
        <v>0</v>
      </c>
      <c r="D908">
        <v>568064.58959999995</v>
      </c>
      <c r="E908">
        <v>0</v>
      </c>
      <c r="F908">
        <v>1328372.199</v>
      </c>
      <c r="G908">
        <v>0</v>
      </c>
      <c r="H908">
        <v>1406</v>
      </c>
      <c r="I908" t="str">
        <f t="shared" si="57"/>
        <v>YES</v>
      </c>
      <c r="J908" t="s">
        <v>914</v>
      </c>
      <c r="K908">
        <v>238319.43940800001</v>
      </c>
      <c r="L908" s="1">
        <f t="shared" si="58"/>
        <v>0</v>
      </c>
      <c r="M908" s="1">
        <f t="shared" si="59"/>
        <v>0</v>
      </c>
      <c r="N908" s="1">
        <f t="shared" si="60"/>
        <v>0</v>
      </c>
      <c r="O908" s="1"/>
    </row>
    <row r="909" spans="1:15" x14ac:dyDescent="0.25">
      <c r="A909">
        <v>1407</v>
      </c>
      <c r="B909">
        <v>173804.81510000001</v>
      </c>
      <c r="C909">
        <v>0</v>
      </c>
      <c r="D909">
        <v>676467.80319999997</v>
      </c>
      <c r="E909">
        <v>0</v>
      </c>
      <c r="F909">
        <v>1370158.5220000001</v>
      </c>
      <c r="G909">
        <v>0</v>
      </c>
      <c r="H909">
        <v>1407</v>
      </c>
      <c r="I909" t="str">
        <f t="shared" si="57"/>
        <v>YES</v>
      </c>
      <c r="J909" t="s">
        <v>915</v>
      </c>
      <c r="K909">
        <v>89388.463063300005</v>
      </c>
      <c r="L909" s="1">
        <f t="shared" si="58"/>
        <v>0</v>
      </c>
      <c r="M909" s="1">
        <f t="shared" si="59"/>
        <v>0</v>
      </c>
      <c r="N909" s="1">
        <f t="shared" si="60"/>
        <v>0</v>
      </c>
      <c r="O909" s="1"/>
    </row>
    <row r="910" spans="1:15" x14ac:dyDescent="0.25">
      <c r="A910">
        <v>1408</v>
      </c>
      <c r="B910">
        <v>12303.379430000001</v>
      </c>
      <c r="C910">
        <v>0</v>
      </c>
      <c r="D910">
        <v>211004.0068</v>
      </c>
      <c r="E910">
        <v>0</v>
      </c>
      <c r="F910">
        <v>814471.30229999998</v>
      </c>
      <c r="G910">
        <v>0</v>
      </c>
      <c r="H910">
        <v>1408</v>
      </c>
      <c r="I910" t="str">
        <f t="shared" si="57"/>
        <v>YES</v>
      </c>
      <c r="J910" t="s">
        <v>916</v>
      </c>
      <c r="K910">
        <v>942836.33375500003</v>
      </c>
      <c r="L910" s="1">
        <f t="shared" si="58"/>
        <v>0</v>
      </c>
      <c r="M910" s="1">
        <f t="shared" si="59"/>
        <v>0</v>
      </c>
      <c r="N910" s="1">
        <f t="shared" si="60"/>
        <v>0</v>
      </c>
      <c r="O910" s="1"/>
    </row>
    <row r="911" spans="1:15" x14ac:dyDescent="0.25">
      <c r="A911">
        <v>1409</v>
      </c>
      <c r="B911">
        <v>19810.48372</v>
      </c>
      <c r="C911">
        <v>0</v>
      </c>
      <c r="D911">
        <v>220672.3793</v>
      </c>
      <c r="E911">
        <v>0</v>
      </c>
      <c r="F911">
        <v>854028.26170000003</v>
      </c>
      <c r="G911">
        <v>0</v>
      </c>
      <c r="H911">
        <v>1409</v>
      </c>
      <c r="I911" t="str">
        <f t="shared" si="57"/>
        <v>YES</v>
      </c>
      <c r="J911" t="s">
        <v>917</v>
      </c>
      <c r="K911">
        <v>1078504.62151</v>
      </c>
      <c r="L911" s="1">
        <f t="shared" si="58"/>
        <v>0</v>
      </c>
      <c r="M911" s="1">
        <f t="shared" si="59"/>
        <v>0</v>
      </c>
      <c r="N911" s="1">
        <f t="shared" si="60"/>
        <v>0</v>
      </c>
      <c r="O911" s="1"/>
    </row>
    <row r="912" spans="1:15" x14ac:dyDescent="0.25">
      <c r="A912">
        <v>1410</v>
      </c>
      <c r="B912">
        <v>7903.5282139999999</v>
      </c>
      <c r="C912">
        <v>0</v>
      </c>
      <c r="D912">
        <v>112262.7007</v>
      </c>
      <c r="E912">
        <v>0</v>
      </c>
      <c r="F912">
        <v>499306.76530000003</v>
      </c>
      <c r="G912">
        <v>0</v>
      </c>
      <c r="H912">
        <v>1410</v>
      </c>
      <c r="I912" t="str">
        <f t="shared" si="57"/>
        <v>YES</v>
      </c>
      <c r="J912" t="s">
        <v>918</v>
      </c>
      <c r="K912">
        <v>1008820.54314</v>
      </c>
      <c r="L912" s="1">
        <f t="shared" si="58"/>
        <v>0</v>
      </c>
      <c r="M912" s="1">
        <f t="shared" si="59"/>
        <v>0</v>
      </c>
      <c r="N912" s="1">
        <f t="shared" si="60"/>
        <v>0</v>
      </c>
      <c r="O912" s="1"/>
    </row>
    <row r="913" spans="1:15" x14ac:dyDescent="0.25">
      <c r="A913">
        <v>1413</v>
      </c>
      <c r="B913">
        <v>3575.5735989999998</v>
      </c>
      <c r="C913">
        <v>0</v>
      </c>
      <c r="D913">
        <v>11799.10462</v>
      </c>
      <c r="E913">
        <v>0</v>
      </c>
      <c r="F913">
        <v>110340.32709999999</v>
      </c>
      <c r="G913">
        <v>0</v>
      </c>
      <c r="H913">
        <v>1413</v>
      </c>
      <c r="I913" t="str">
        <f t="shared" si="57"/>
        <v>YES</v>
      </c>
      <c r="J913" t="s">
        <v>919</v>
      </c>
      <c r="K913">
        <v>1479215.94683</v>
      </c>
      <c r="L913" s="1">
        <f t="shared" si="58"/>
        <v>0</v>
      </c>
      <c r="M913" s="1">
        <f t="shared" si="59"/>
        <v>0</v>
      </c>
      <c r="N913" s="1">
        <f t="shared" si="60"/>
        <v>0</v>
      </c>
      <c r="O913" s="1"/>
    </row>
    <row r="914" spans="1:15" x14ac:dyDescent="0.25">
      <c r="A914">
        <v>1414</v>
      </c>
      <c r="B914">
        <v>9260.1392230000001</v>
      </c>
      <c r="C914">
        <v>0</v>
      </c>
      <c r="D914">
        <v>84128.722959999999</v>
      </c>
      <c r="E914">
        <v>0</v>
      </c>
      <c r="F914">
        <v>337598.30310000002</v>
      </c>
      <c r="G914">
        <v>0</v>
      </c>
      <c r="H914">
        <v>1414</v>
      </c>
      <c r="I914" t="str">
        <f t="shared" si="57"/>
        <v>YES</v>
      </c>
      <c r="J914" t="s">
        <v>920</v>
      </c>
      <c r="K914">
        <v>928766.33848200005</v>
      </c>
      <c r="L914" s="1">
        <f t="shared" si="58"/>
        <v>0</v>
      </c>
      <c r="M914" s="1">
        <f t="shared" si="59"/>
        <v>0</v>
      </c>
      <c r="N914" s="1">
        <f t="shared" si="60"/>
        <v>0</v>
      </c>
      <c r="O914" s="1"/>
    </row>
    <row r="915" spans="1:15" x14ac:dyDescent="0.25">
      <c r="A915">
        <v>1415</v>
      </c>
      <c r="B915">
        <v>4754.6911220000002</v>
      </c>
      <c r="C915">
        <v>0</v>
      </c>
      <c r="D915">
        <v>95408.673460000005</v>
      </c>
      <c r="E915">
        <v>0</v>
      </c>
      <c r="F915">
        <v>524740.83810000005</v>
      </c>
      <c r="G915">
        <v>0</v>
      </c>
      <c r="H915">
        <v>1415</v>
      </c>
      <c r="I915" t="str">
        <f t="shared" si="57"/>
        <v>YES</v>
      </c>
      <c r="J915" t="s">
        <v>921</v>
      </c>
      <c r="K915">
        <v>1377239.9846099999</v>
      </c>
      <c r="L915" s="1">
        <f t="shared" si="58"/>
        <v>0</v>
      </c>
      <c r="M915" s="1">
        <f t="shared" si="59"/>
        <v>0</v>
      </c>
      <c r="N915" s="1">
        <f t="shared" si="60"/>
        <v>0</v>
      </c>
      <c r="O915" s="1"/>
    </row>
    <row r="916" spans="1:15" x14ac:dyDescent="0.25">
      <c r="A916">
        <v>1416</v>
      </c>
      <c r="B916">
        <v>4791.3035339999997</v>
      </c>
      <c r="C916">
        <v>0</v>
      </c>
      <c r="D916">
        <v>62655.400179999997</v>
      </c>
      <c r="E916">
        <v>0</v>
      </c>
      <c r="F916">
        <v>282564.40549999999</v>
      </c>
      <c r="G916">
        <v>0</v>
      </c>
      <c r="H916">
        <v>1416</v>
      </c>
      <c r="I916" t="str">
        <f t="shared" si="57"/>
        <v>YES</v>
      </c>
      <c r="J916" t="s">
        <v>922</v>
      </c>
      <c r="K916">
        <v>775453.22935499996</v>
      </c>
      <c r="L916" s="1">
        <f t="shared" si="58"/>
        <v>0</v>
      </c>
      <c r="M916" s="1">
        <f t="shared" si="59"/>
        <v>0</v>
      </c>
      <c r="N916" s="1">
        <f t="shared" si="60"/>
        <v>0</v>
      </c>
      <c r="O916" s="1"/>
    </row>
    <row r="917" spans="1:15" x14ac:dyDescent="0.25">
      <c r="A917">
        <v>1417</v>
      </c>
      <c r="B917">
        <v>732.77843559999997</v>
      </c>
      <c r="C917">
        <v>0</v>
      </c>
      <c r="D917">
        <v>12298.841189999999</v>
      </c>
      <c r="E917">
        <v>0</v>
      </c>
      <c r="F917">
        <v>131141.75150000001</v>
      </c>
      <c r="G917">
        <v>0</v>
      </c>
      <c r="H917">
        <v>1417</v>
      </c>
      <c r="I917" t="str">
        <f t="shared" si="57"/>
        <v>YES</v>
      </c>
      <c r="J917" t="s">
        <v>923</v>
      </c>
      <c r="K917">
        <v>3287017.9659299999</v>
      </c>
      <c r="L917" s="1">
        <f t="shared" si="58"/>
        <v>0</v>
      </c>
      <c r="M917" s="1">
        <f t="shared" si="59"/>
        <v>0</v>
      </c>
      <c r="N917" s="1">
        <f t="shared" si="60"/>
        <v>0</v>
      </c>
      <c r="O917" s="1"/>
    </row>
    <row r="918" spans="1:15" x14ac:dyDescent="0.25">
      <c r="A918">
        <v>1418</v>
      </c>
      <c r="B918">
        <v>4979.3708779999997</v>
      </c>
      <c r="C918">
        <v>0</v>
      </c>
      <c r="D918">
        <v>106781.33719999999</v>
      </c>
      <c r="E918">
        <v>0</v>
      </c>
      <c r="F918">
        <v>430516.70020000002</v>
      </c>
      <c r="G918">
        <v>0</v>
      </c>
      <c r="H918">
        <v>1418</v>
      </c>
      <c r="I918" t="str">
        <f t="shared" si="57"/>
        <v>YES</v>
      </c>
      <c r="J918" t="s">
        <v>924</v>
      </c>
      <c r="K918">
        <v>943984.656587</v>
      </c>
      <c r="L918" s="1">
        <f t="shared" si="58"/>
        <v>0</v>
      </c>
      <c r="M918" s="1">
        <f t="shared" si="59"/>
        <v>0</v>
      </c>
      <c r="N918" s="1">
        <f t="shared" si="60"/>
        <v>0</v>
      </c>
      <c r="O918" s="1"/>
    </row>
    <row r="919" spans="1:15" x14ac:dyDescent="0.25">
      <c r="A919">
        <v>1419</v>
      </c>
      <c r="B919">
        <v>5464.8103179999998</v>
      </c>
      <c r="C919">
        <v>0</v>
      </c>
      <c r="D919">
        <v>37142.520369999998</v>
      </c>
      <c r="E919">
        <v>0</v>
      </c>
      <c r="F919">
        <v>417968.91480000003</v>
      </c>
      <c r="G919">
        <v>0</v>
      </c>
      <c r="H919">
        <v>1419</v>
      </c>
      <c r="I919" t="str">
        <f t="shared" si="57"/>
        <v>YES</v>
      </c>
      <c r="J919" t="s">
        <v>925</v>
      </c>
      <c r="K919">
        <v>1216372.1735</v>
      </c>
      <c r="L919" s="1">
        <f t="shared" si="58"/>
        <v>0</v>
      </c>
      <c r="M919" s="1">
        <f t="shared" si="59"/>
        <v>0</v>
      </c>
      <c r="N919" s="1">
        <f t="shared" si="60"/>
        <v>0</v>
      </c>
      <c r="O919" s="1"/>
    </row>
    <row r="920" spans="1:15" x14ac:dyDescent="0.25">
      <c r="A920">
        <v>1420</v>
      </c>
      <c r="B920">
        <v>12060.18965</v>
      </c>
      <c r="C920">
        <v>0</v>
      </c>
      <c r="D920">
        <v>148440.15479999999</v>
      </c>
      <c r="E920">
        <v>0</v>
      </c>
      <c r="F920">
        <v>538222.56059999997</v>
      </c>
      <c r="G920">
        <v>0</v>
      </c>
      <c r="H920">
        <v>1420</v>
      </c>
      <c r="I920" t="str">
        <f t="shared" si="57"/>
        <v>YES</v>
      </c>
      <c r="J920" t="s">
        <v>926</v>
      </c>
      <c r="K920">
        <v>1641290.0709500001</v>
      </c>
      <c r="L920" s="1">
        <f t="shared" si="58"/>
        <v>0</v>
      </c>
      <c r="M920" s="1">
        <f t="shared" si="59"/>
        <v>0</v>
      </c>
      <c r="N920" s="1">
        <f t="shared" si="60"/>
        <v>0</v>
      </c>
      <c r="O920" s="1"/>
    </row>
    <row r="921" spans="1:15" x14ac:dyDescent="0.25">
      <c r="A921">
        <v>1421</v>
      </c>
      <c r="B921">
        <v>9846.6074509999999</v>
      </c>
      <c r="C921">
        <v>0</v>
      </c>
      <c r="D921">
        <v>150795.49679999999</v>
      </c>
      <c r="E921">
        <v>0</v>
      </c>
      <c r="F921">
        <v>585456.31889999995</v>
      </c>
      <c r="G921">
        <v>0</v>
      </c>
      <c r="H921">
        <v>1421</v>
      </c>
      <c r="I921" t="str">
        <f t="shared" si="57"/>
        <v>YES</v>
      </c>
      <c r="J921" t="s">
        <v>927</v>
      </c>
      <c r="K921">
        <v>768499.66766000004</v>
      </c>
      <c r="L921" s="1">
        <f t="shared" si="58"/>
        <v>0</v>
      </c>
      <c r="M921" s="1">
        <f t="shared" si="59"/>
        <v>0</v>
      </c>
      <c r="N921" s="1">
        <f t="shared" si="60"/>
        <v>0</v>
      </c>
      <c r="O921" s="1"/>
    </row>
    <row r="922" spans="1:15" x14ac:dyDescent="0.25">
      <c r="A922">
        <v>1422</v>
      </c>
      <c r="B922">
        <v>7629.3928740000001</v>
      </c>
      <c r="C922">
        <v>0</v>
      </c>
      <c r="D922">
        <v>169550.99110000001</v>
      </c>
      <c r="E922">
        <v>0</v>
      </c>
      <c r="F922">
        <v>660488.32510000002</v>
      </c>
      <c r="G922">
        <v>0</v>
      </c>
      <c r="H922">
        <v>1422</v>
      </c>
      <c r="I922" t="str">
        <f t="shared" si="57"/>
        <v>YES</v>
      </c>
      <c r="J922" t="s">
        <v>928</v>
      </c>
      <c r="K922">
        <v>851681.01379700005</v>
      </c>
      <c r="L922" s="1">
        <f t="shared" si="58"/>
        <v>0</v>
      </c>
      <c r="M922" s="1">
        <f t="shared" si="59"/>
        <v>0</v>
      </c>
      <c r="N922" s="1">
        <f t="shared" si="60"/>
        <v>0</v>
      </c>
      <c r="O922" s="1"/>
    </row>
    <row r="923" spans="1:15" x14ac:dyDescent="0.25">
      <c r="A923">
        <v>1500</v>
      </c>
      <c r="B923">
        <v>3847.1113639999999</v>
      </c>
      <c r="C923">
        <v>0</v>
      </c>
      <c r="D923">
        <v>87946.623649999994</v>
      </c>
      <c r="E923">
        <v>0</v>
      </c>
      <c r="F923">
        <v>376841.57079999999</v>
      </c>
      <c r="G923">
        <v>0</v>
      </c>
      <c r="H923">
        <v>1500</v>
      </c>
      <c r="I923" t="str">
        <f t="shared" si="57"/>
        <v>YES</v>
      </c>
      <c r="J923" t="s">
        <v>929</v>
      </c>
      <c r="K923">
        <v>357263.81199800002</v>
      </c>
      <c r="L923" s="1">
        <f t="shared" si="58"/>
        <v>0</v>
      </c>
      <c r="M923" s="1">
        <f t="shared" si="59"/>
        <v>0</v>
      </c>
      <c r="N923" s="1">
        <f t="shared" si="60"/>
        <v>0</v>
      </c>
      <c r="O923" s="1"/>
    </row>
    <row r="924" spans="1:15" x14ac:dyDescent="0.25">
      <c r="A924">
        <v>1501</v>
      </c>
      <c r="B924">
        <v>18221.894509999998</v>
      </c>
      <c r="C924">
        <v>0</v>
      </c>
      <c r="D924">
        <v>145064.83350000001</v>
      </c>
      <c r="E924">
        <v>0</v>
      </c>
      <c r="F924">
        <v>721095.04500000004</v>
      </c>
      <c r="G924">
        <v>0</v>
      </c>
      <c r="H924">
        <v>1501</v>
      </c>
      <c r="I924" t="str">
        <f t="shared" si="57"/>
        <v>YES</v>
      </c>
      <c r="J924" t="s">
        <v>930</v>
      </c>
      <c r="K924">
        <v>497808.48107600003</v>
      </c>
      <c r="L924" s="1">
        <f t="shared" si="58"/>
        <v>0</v>
      </c>
      <c r="M924" s="1">
        <f t="shared" si="59"/>
        <v>0</v>
      </c>
      <c r="N924" s="1">
        <f t="shared" si="60"/>
        <v>0</v>
      </c>
      <c r="O924" s="1"/>
    </row>
    <row r="925" spans="1:15" x14ac:dyDescent="0.25">
      <c r="A925">
        <v>1502</v>
      </c>
      <c r="B925">
        <v>6974.1452710000003</v>
      </c>
      <c r="C925">
        <v>0</v>
      </c>
      <c r="D925">
        <v>54051.37096</v>
      </c>
      <c r="E925">
        <v>0</v>
      </c>
      <c r="F925">
        <v>357144.09179999999</v>
      </c>
      <c r="G925">
        <v>0</v>
      </c>
      <c r="H925">
        <v>1502</v>
      </c>
      <c r="I925" t="str">
        <f t="shared" si="57"/>
        <v>YES</v>
      </c>
      <c r="J925" t="s">
        <v>931</v>
      </c>
      <c r="K925">
        <v>629841.50911500002</v>
      </c>
      <c r="L925" s="1">
        <f t="shared" si="58"/>
        <v>0</v>
      </c>
      <c r="M925" s="1">
        <f t="shared" si="59"/>
        <v>0</v>
      </c>
      <c r="N925" s="1">
        <f t="shared" si="60"/>
        <v>0</v>
      </c>
      <c r="O925" s="1"/>
    </row>
    <row r="926" spans="1:15" x14ac:dyDescent="0.25">
      <c r="A926">
        <v>1503</v>
      </c>
      <c r="B926">
        <v>17289.73155</v>
      </c>
      <c r="C926">
        <v>0</v>
      </c>
      <c r="D926">
        <v>162890.27170000001</v>
      </c>
      <c r="E926">
        <v>0</v>
      </c>
      <c r="F926">
        <v>778650.66709999996</v>
      </c>
      <c r="G926">
        <v>0</v>
      </c>
      <c r="H926">
        <v>1503</v>
      </c>
      <c r="I926" t="str">
        <f t="shared" si="57"/>
        <v>YES</v>
      </c>
      <c r="J926" t="s">
        <v>932</v>
      </c>
      <c r="K926">
        <v>646479.193188</v>
      </c>
      <c r="L926" s="1">
        <f t="shared" si="58"/>
        <v>0</v>
      </c>
      <c r="M926" s="1">
        <f t="shared" si="59"/>
        <v>0</v>
      </c>
      <c r="N926" s="1">
        <f t="shared" si="60"/>
        <v>0</v>
      </c>
      <c r="O926" s="1"/>
    </row>
    <row r="927" spans="1:15" x14ac:dyDescent="0.25">
      <c r="A927">
        <v>1504</v>
      </c>
      <c r="B927">
        <v>5354.1348939999998</v>
      </c>
      <c r="C927">
        <v>0</v>
      </c>
      <c r="D927">
        <v>85327.480660000001</v>
      </c>
      <c r="E927">
        <v>0</v>
      </c>
      <c r="F927">
        <v>383550.54729999998</v>
      </c>
      <c r="G927">
        <v>0</v>
      </c>
      <c r="H927">
        <v>1504</v>
      </c>
      <c r="I927" t="str">
        <f t="shared" si="57"/>
        <v>YES</v>
      </c>
      <c r="J927" t="s">
        <v>933</v>
      </c>
      <c r="K927">
        <v>453707.44462899998</v>
      </c>
      <c r="L927" s="1">
        <f t="shared" si="58"/>
        <v>0</v>
      </c>
      <c r="M927" s="1">
        <f t="shared" si="59"/>
        <v>0</v>
      </c>
      <c r="N927" s="1">
        <f t="shared" si="60"/>
        <v>0</v>
      </c>
      <c r="O927" s="1"/>
    </row>
    <row r="928" spans="1:15" x14ac:dyDescent="0.25">
      <c r="A928">
        <v>1505</v>
      </c>
      <c r="B928">
        <v>4920.3217889999996</v>
      </c>
      <c r="C928">
        <v>0</v>
      </c>
      <c r="D928">
        <v>93300.739180000004</v>
      </c>
      <c r="E928">
        <v>0</v>
      </c>
      <c r="F928">
        <v>333037.11229999998</v>
      </c>
      <c r="G928">
        <v>0</v>
      </c>
      <c r="H928">
        <v>1505</v>
      </c>
      <c r="I928" t="str">
        <f t="shared" si="57"/>
        <v>YES</v>
      </c>
      <c r="J928" t="s">
        <v>934</v>
      </c>
      <c r="K928">
        <v>679893.40187499998</v>
      </c>
      <c r="L928" s="1">
        <f t="shared" si="58"/>
        <v>0</v>
      </c>
      <c r="M928" s="1">
        <f t="shared" si="59"/>
        <v>0</v>
      </c>
      <c r="N928" s="1">
        <f t="shared" si="60"/>
        <v>0</v>
      </c>
      <c r="O928" s="1"/>
    </row>
    <row r="929" spans="1:15" x14ac:dyDescent="0.25">
      <c r="A929">
        <v>1506</v>
      </c>
      <c r="B929">
        <v>39136.664819999998</v>
      </c>
      <c r="C929">
        <v>0</v>
      </c>
      <c r="D929">
        <v>290863.7746</v>
      </c>
      <c r="E929">
        <v>0</v>
      </c>
      <c r="F929">
        <v>1159103.6340000001</v>
      </c>
      <c r="G929">
        <v>0</v>
      </c>
      <c r="H929">
        <v>1506</v>
      </c>
      <c r="I929" t="str">
        <f t="shared" si="57"/>
        <v>YES</v>
      </c>
      <c r="J929" t="s">
        <v>935</v>
      </c>
      <c r="K929">
        <v>504985.12226099998</v>
      </c>
      <c r="L929" s="1">
        <f t="shared" si="58"/>
        <v>0</v>
      </c>
      <c r="M929" s="1">
        <f t="shared" si="59"/>
        <v>0</v>
      </c>
      <c r="N929" s="1">
        <f t="shared" si="60"/>
        <v>0</v>
      </c>
      <c r="O929" s="1"/>
    </row>
    <row r="930" spans="1:15" x14ac:dyDescent="0.25">
      <c r="A930">
        <v>1507</v>
      </c>
      <c r="B930">
        <v>35490.562830000003</v>
      </c>
      <c r="C930">
        <v>0</v>
      </c>
      <c r="D930">
        <v>251318.75690000001</v>
      </c>
      <c r="E930">
        <v>0</v>
      </c>
      <c r="F930">
        <v>1062485.0330000001</v>
      </c>
      <c r="G930">
        <v>0</v>
      </c>
      <c r="H930">
        <v>1507</v>
      </c>
      <c r="I930" t="str">
        <f t="shared" si="57"/>
        <v>YES</v>
      </c>
      <c r="J930" t="s">
        <v>936</v>
      </c>
      <c r="K930">
        <v>588920.08864600002</v>
      </c>
      <c r="L930" s="1">
        <f t="shared" si="58"/>
        <v>0</v>
      </c>
      <c r="M930" s="1">
        <f t="shared" si="59"/>
        <v>0</v>
      </c>
      <c r="N930" s="1">
        <f t="shared" si="60"/>
        <v>0</v>
      </c>
      <c r="O930" s="1"/>
    </row>
    <row r="931" spans="1:15" x14ac:dyDescent="0.25">
      <c r="A931">
        <v>1508</v>
      </c>
      <c r="B931">
        <v>6820.7761970000001</v>
      </c>
      <c r="C931">
        <v>0</v>
      </c>
      <c r="D931">
        <v>58004.19599</v>
      </c>
      <c r="E931">
        <v>0</v>
      </c>
      <c r="F931">
        <v>371023.77830000001</v>
      </c>
      <c r="G931">
        <v>0</v>
      </c>
      <c r="H931">
        <v>1508</v>
      </c>
      <c r="I931" t="str">
        <f t="shared" si="57"/>
        <v>YES</v>
      </c>
      <c r="J931" t="s">
        <v>937</v>
      </c>
      <c r="K931">
        <v>923711.02920600004</v>
      </c>
      <c r="L931" s="1">
        <f t="shared" si="58"/>
        <v>0</v>
      </c>
      <c r="M931" s="1">
        <f t="shared" si="59"/>
        <v>0</v>
      </c>
      <c r="N931" s="1">
        <f t="shared" si="60"/>
        <v>0</v>
      </c>
      <c r="O931" s="1"/>
    </row>
    <row r="932" spans="1:15" x14ac:dyDescent="0.25">
      <c r="A932">
        <v>1509</v>
      </c>
      <c r="B932">
        <v>6154.0770519999996</v>
      </c>
      <c r="C932">
        <v>0</v>
      </c>
      <c r="D932">
        <v>96339.082909999997</v>
      </c>
      <c r="E932">
        <v>0</v>
      </c>
      <c r="F932">
        <v>359150.27860000002</v>
      </c>
      <c r="G932">
        <v>0</v>
      </c>
      <c r="H932">
        <v>1509</v>
      </c>
      <c r="I932" t="str">
        <f t="shared" si="57"/>
        <v>YES</v>
      </c>
      <c r="J932" t="s">
        <v>938</v>
      </c>
      <c r="K932">
        <v>485364.63200500002</v>
      </c>
      <c r="L932" s="1">
        <f t="shared" si="58"/>
        <v>0</v>
      </c>
      <c r="M932" s="1">
        <f t="shared" si="59"/>
        <v>0</v>
      </c>
      <c r="N932" s="1">
        <f t="shared" si="60"/>
        <v>0</v>
      </c>
      <c r="O932" s="1"/>
    </row>
    <row r="933" spans="1:15" x14ac:dyDescent="0.25">
      <c r="A933">
        <v>1510</v>
      </c>
      <c r="B933">
        <v>25900.74092</v>
      </c>
      <c r="C933">
        <v>0</v>
      </c>
      <c r="D933">
        <v>179177.79730000001</v>
      </c>
      <c r="E933">
        <v>0</v>
      </c>
      <c r="F933">
        <v>1003305.371</v>
      </c>
      <c r="G933">
        <v>0</v>
      </c>
      <c r="H933">
        <v>1510</v>
      </c>
      <c r="I933" t="str">
        <f t="shared" si="57"/>
        <v>YES</v>
      </c>
      <c r="J933" t="s">
        <v>939</v>
      </c>
      <c r="K933">
        <v>516348.950794</v>
      </c>
      <c r="L933" s="1">
        <f t="shared" si="58"/>
        <v>0</v>
      </c>
      <c r="M933" s="1">
        <f t="shared" si="59"/>
        <v>0</v>
      </c>
      <c r="N933" s="1">
        <f t="shared" si="60"/>
        <v>0</v>
      </c>
      <c r="O933" s="1"/>
    </row>
    <row r="934" spans="1:15" x14ac:dyDescent="0.25">
      <c r="A934">
        <v>1511</v>
      </c>
      <c r="B934">
        <v>7339.0794539999997</v>
      </c>
      <c r="C934">
        <v>0</v>
      </c>
      <c r="D934">
        <v>49423.009339999997</v>
      </c>
      <c r="E934">
        <v>0</v>
      </c>
      <c r="F934">
        <v>317341.50949999999</v>
      </c>
      <c r="G934">
        <v>0</v>
      </c>
      <c r="H934">
        <v>1511</v>
      </c>
      <c r="I934" t="str">
        <f t="shared" si="57"/>
        <v>YES</v>
      </c>
      <c r="J934" t="s">
        <v>940</v>
      </c>
      <c r="K934">
        <v>631213.07612400001</v>
      </c>
      <c r="L934" s="1">
        <f t="shared" si="58"/>
        <v>0</v>
      </c>
      <c r="M934" s="1">
        <f t="shared" si="59"/>
        <v>0</v>
      </c>
      <c r="N934" s="1">
        <f t="shared" si="60"/>
        <v>0</v>
      </c>
      <c r="O934" s="1"/>
    </row>
    <row r="935" spans="1:15" x14ac:dyDescent="0.25">
      <c r="A935">
        <v>1512</v>
      </c>
      <c r="B935">
        <v>11679.23178</v>
      </c>
      <c r="C935">
        <v>0</v>
      </c>
      <c r="D935">
        <v>87654.999119999993</v>
      </c>
      <c r="E935">
        <v>0</v>
      </c>
      <c r="F935">
        <v>594693.61289999995</v>
      </c>
      <c r="G935">
        <v>0</v>
      </c>
      <c r="H935">
        <v>1512</v>
      </c>
      <c r="I935" t="str">
        <f t="shared" si="57"/>
        <v>YES</v>
      </c>
      <c r="J935" t="s">
        <v>941</v>
      </c>
      <c r="K935">
        <v>890046.97038199997</v>
      </c>
      <c r="L935" s="1">
        <f t="shared" si="58"/>
        <v>0</v>
      </c>
      <c r="M935" s="1">
        <f t="shared" si="59"/>
        <v>0</v>
      </c>
      <c r="N935" s="1">
        <f t="shared" si="60"/>
        <v>0</v>
      </c>
      <c r="O935" s="1"/>
    </row>
    <row r="936" spans="1:15" x14ac:dyDescent="0.25">
      <c r="A936">
        <v>1515</v>
      </c>
      <c r="B936">
        <v>11085.65749</v>
      </c>
      <c r="C936">
        <v>0</v>
      </c>
      <c r="D936">
        <v>35816.980669999997</v>
      </c>
      <c r="E936">
        <v>0</v>
      </c>
      <c r="F936">
        <v>673138.97420000006</v>
      </c>
      <c r="G936">
        <v>0</v>
      </c>
      <c r="H936">
        <v>1515</v>
      </c>
      <c r="I936" t="str">
        <f t="shared" si="57"/>
        <v>YES</v>
      </c>
      <c r="J936" t="s">
        <v>942</v>
      </c>
      <c r="K936">
        <v>414659.42486700002</v>
      </c>
      <c r="L936" s="1">
        <f t="shared" si="58"/>
        <v>0</v>
      </c>
      <c r="M936" s="1">
        <f t="shared" si="59"/>
        <v>0</v>
      </c>
      <c r="N936" s="1">
        <f t="shared" si="60"/>
        <v>0</v>
      </c>
      <c r="O936" s="1"/>
    </row>
    <row r="937" spans="1:15" x14ac:dyDescent="0.25">
      <c r="A937">
        <v>1516</v>
      </c>
      <c r="B937">
        <v>3123.0235769999999</v>
      </c>
      <c r="C937">
        <v>0</v>
      </c>
      <c r="D937">
        <v>27302.58412</v>
      </c>
      <c r="E937">
        <v>0</v>
      </c>
      <c r="F937">
        <v>243493.2775</v>
      </c>
      <c r="G937">
        <v>0</v>
      </c>
      <c r="H937">
        <v>1516</v>
      </c>
      <c r="I937" t="str">
        <f t="shared" si="57"/>
        <v>YES</v>
      </c>
      <c r="J937" t="s">
        <v>943</v>
      </c>
      <c r="K937">
        <v>404729.56407299999</v>
      </c>
      <c r="L937" s="1">
        <f t="shared" si="58"/>
        <v>0</v>
      </c>
      <c r="M937" s="1">
        <f t="shared" si="59"/>
        <v>0</v>
      </c>
      <c r="N937" s="1">
        <f t="shared" si="60"/>
        <v>0</v>
      </c>
      <c r="O937" s="1"/>
    </row>
    <row r="938" spans="1:15" x14ac:dyDescent="0.25">
      <c r="A938">
        <v>1517</v>
      </c>
      <c r="B938">
        <v>13429.707979999999</v>
      </c>
      <c r="C938">
        <v>0</v>
      </c>
      <c r="D938">
        <v>52148.343999999997</v>
      </c>
      <c r="E938">
        <v>0</v>
      </c>
      <c r="F938">
        <v>666619.33239999996</v>
      </c>
      <c r="G938">
        <v>0</v>
      </c>
      <c r="H938">
        <v>1517</v>
      </c>
      <c r="I938" t="str">
        <f t="shared" si="57"/>
        <v>YES</v>
      </c>
      <c r="J938" t="s">
        <v>944</v>
      </c>
      <c r="K938">
        <v>576359.34745600005</v>
      </c>
      <c r="L938" s="1">
        <f t="shared" si="58"/>
        <v>0</v>
      </c>
      <c r="M938" s="1">
        <f t="shared" si="59"/>
        <v>0</v>
      </c>
      <c r="N938" s="1">
        <f t="shared" si="60"/>
        <v>0</v>
      </c>
      <c r="O938" s="1"/>
    </row>
    <row r="939" spans="1:15" x14ac:dyDescent="0.25">
      <c r="A939">
        <v>1518</v>
      </c>
      <c r="B939">
        <v>12520.07303</v>
      </c>
      <c r="C939">
        <v>0</v>
      </c>
      <c r="D939">
        <v>55329.487410000002</v>
      </c>
      <c r="E939">
        <v>0</v>
      </c>
      <c r="F939">
        <v>666563.71239999996</v>
      </c>
      <c r="G939">
        <v>0</v>
      </c>
      <c r="H939">
        <v>1518</v>
      </c>
      <c r="I939" t="str">
        <f t="shared" si="57"/>
        <v>YES</v>
      </c>
      <c r="J939" t="s">
        <v>945</v>
      </c>
      <c r="K939">
        <v>809518.29792399995</v>
      </c>
      <c r="L939" s="1">
        <f t="shared" si="58"/>
        <v>0</v>
      </c>
      <c r="M939" s="1">
        <f t="shared" si="59"/>
        <v>0</v>
      </c>
      <c r="N939" s="1">
        <f t="shared" si="60"/>
        <v>0</v>
      </c>
      <c r="O939" s="1"/>
    </row>
    <row r="940" spans="1:15" x14ac:dyDescent="0.25">
      <c r="A940">
        <v>1519</v>
      </c>
      <c r="B940">
        <v>12297.124159999999</v>
      </c>
      <c r="C940">
        <v>0</v>
      </c>
      <c r="D940">
        <v>154214.965</v>
      </c>
      <c r="E940">
        <v>0</v>
      </c>
      <c r="F940">
        <v>744566.70790000004</v>
      </c>
      <c r="G940">
        <v>0</v>
      </c>
      <c r="H940">
        <v>1519</v>
      </c>
      <c r="I940" t="str">
        <f t="shared" si="57"/>
        <v>YES</v>
      </c>
      <c r="J940" t="s">
        <v>946</v>
      </c>
      <c r="K940">
        <v>552418.36325299996</v>
      </c>
      <c r="L940" s="1">
        <f t="shared" si="58"/>
        <v>0</v>
      </c>
      <c r="M940" s="1">
        <f t="shared" si="59"/>
        <v>0</v>
      </c>
      <c r="N940" s="1">
        <f t="shared" si="60"/>
        <v>0</v>
      </c>
      <c r="O940" s="1"/>
    </row>
    <row r="941" spans="1:15" x14ac:dyDescent="0.25">
      <c r="A941">
        <v>1520</v>
      </c>
      <c r="B941">
        <v>15787.182360000001</v>
      </c>
      <c r="C941">
        <v>0</v>
      </c>
      <c r="D941">
        <v>144919.7763</v>
      </c>
      <c r="E941">
        <v>0</v>
      </c>
      <c r="F941">
        <v>780317.56030000001</v>
      </c>
      <c r="G941">
        <v>0</v>
      </c>
      <c r="H941">
        <v>1520</v>
      </c>
      <c r="I941" t="str">
        <f t="shared" si="57"/>
        <v>YES</v>
      </c>
      <c r="J941" t="s">
        <v>947</v>
      </c>
      <c r="K941">
        <v>939046.91075200005</v>
      </c>
      <c r="L941" s="1">
        <f t="shared" si="58"/>
        <v>0</v>
      </c>
      <c r="M941" s="1">
        <f t="shared" si="59"/>
        <v>0</v>
      </c>
      <c r="N941" s="1">
        <f t="shared" si="60"/>
        <v>0</v>
      </c>
      <c r="O941" s="1"/>
    </row>
    <row r="942" spans="1:15" x14ac:dyDescent="0.25">
      <c r="A942">
        <v>1521</v>
      </c>
      <c r="B942">
        <v>14646.863950000001</v>
      </c>
      <c r="C942">
        <v>0</v>
      </c>
      <c r="D942">
        <v>421167.39299999998</v>
      </c>
      <c r="E942">
        <v>0</v>
      </c>
      <c r="F942">
        <v>890798.45460000006</v>
      </c>
      <c r="G942">
        <v>0</v>
      </c>
      <c r="H942">
        <v>1521</v>
      </c>
      <c r="I942" t="str">
        <f t="shared" si="57"/>
        <v>YES</v>
      </c>
      <c r="J942" t="s">
        <v>948</v>
      </c>
      <c r="K942">
        <v>486678.71822600003</v>
      </c>
      <c r="L942" s="1">
        <f t="shared" si="58"/>
        <v>0</v>
      </c>
      <c r="M942" s="1">
        <f t="shared" si="59"/>
        <v>0</v>
      </c>
      <c r="N942" s="1">
        <f t="shared" si="60"/>
        <v>0</v>
      </c>
      <c r="O942" s="1"/>
    </row>
    <row r="943" spans="1:15" x14ac:dyDescent="0.25">
      <c r="A943">
        <v>1522</v>
      </c>
      <c r="B943">
        <v>12229.60636</v>
      </c>
      <c r="C943">
        <v>0</v>
      </c>
      <c r="D943">
        <v>223463.1152</v>
      </c>
      <c r="E943">
        <v>0</v>
      </c>
      <c r="F943">
        <v>787927.1703</v>
      </c>
      <c r="G943">
        <v>0</v>
      </c>
      <c r="H943">
        <v>1522</v>
      </c>
      <c r="I943" t="str">
        <f t="shared" si="57"/>
        <v>YES</v>
      </c>
      <c r="J943" t="s">
        <v>949</v>
      </c>
      <c r="K943">
        <v>523746.92683000001</v>
      </c>
      <c r="L943" s="1">
        <f t="shared" si="58"/>
        <v>0</v>
      </c>
      <c r="M943" s="1">
        <f t="shared" si="59"/>
        <v>0</v>
      </c>
      <c r="N943" s="1">
        <f t="shared" si="60"/>
        <v>0</v>
      </c>
      <c r="O943" s="1"/>
    </row>
    <row r="944" spans="1:15" x14ac:dyDescent="0.25">
      <c r="A944">
        <v>1525</v>
      </c>
      <c r="B944">
        <v>17237.505730000001</v>
      </c>
      <c r="C944">
        <v>0</v>
      </c>
      <c r="D944">
        <v>292069.42749999999</v>
      </c>
      <c r="E944">
        <v>0</v>
      </c>
      <c r="F944">
        <v>885090.15419999999</v>
      </c>
      <c r="G944">
        <v>0</v>
      </c>
      <c r="H944">
        <v>1525</v>
      </c>
      <c r="I944" t="str">
        <f t="shared" si="57"/>
        <v>YES</v>
      </c>
      <c r="J944" t="s">
        <v>950</v>
      </c>
      <c r="K944">
        <v>1321309.7569899999</v>
      </c>
      <c r="L944" s="1">
        <f t="shared" si="58"/>
        <v>0</v>
      </c>
      <c r="M944" s="1">
        <f t="shared" si="59"/>
        <v>0</v>
      </c>
      <c r="N944" s="1">
        <f t="shared" si="60"/>
        <v>0</v>
      </c>
      <c r="O944" s="1"/>
    </row>
    <row r="945" spans="1:15" x14ac:dyDescent="0.25">
      <c r="A945">
        <v>1526</v>
      </c>
      <c r="B945">
        <v>17562.13955</v>
      </c>
      <c r="C945">
        <v>0</v>
      </c>
      <c r="D945">
        <v>229867.8524</v>
      </c>
      <c r="E945">
        <v>0</v>
      </c>
      <c r="F945">
        <v>864960.78139999998</v>
      </c>
      <c r="G945">
        <v>0</v>
      </c>
      <c r="H945">
        <v>1526</v>
      </c>
      <c r="I945" t="str">
        <f t="shared" si="57"/>
        <v>YES</v>
      </c>
      <c r="J945" t="s">
        <v>951</v>
      </c>
      <c r="K945">
        <v>898877.52668200003</v>
      </c>
      <c r="L945" s="1">
        <f t="shared" si="58"/>
        <v>0</v>
      </c>
      <c r="M945" s="1">
        <f t="shared" si="59"/>
        <v>0</v>
      </c>
      <c r="N945" s="1">
        <f t="shared" si="60"/>
        <v>0</v>
      </c>
      <c r="O945" s="1"/>
    </row>
    <row r="946" spans="1:15" x14ac:dyDescent="0.25">
      <c r="A946">
        <v>1527</v>
      </c>
      <c r="B946">
        <v>9638.5344320000004</v>
      </c>
      <c r="C946">
        <v>0</v>
      </c>
      <c r="D946">
        <v>153070.17430000001</v>
      </c>
      <c r="E946">
        <v>0</v>
      </c>
      <c r="F946">
        <v>759688.80889999995</v>
      </c>
      <c r="G946">
        <v>0</v>
      </c>
      <c r="H946">
        <v>1527</v>
      </c>
      <c r="I946" t="str">
        <f t="shared" si="57"/>
        <v>YES</v>
      </c>
      <c r="J946" t="s">
        <v>952</v>
      </c>
      <c r="K946">
        <v>672129.596319</v>
      </c>
      <c r="L946" s="1">
        <f t="shared" si="58"/>
        <v>0</v>
      </c>
      <c r="M946" s="1">
        <f t="shared" si="59"/>
        <v>0</v>
      </c>
      <c r="N946" s="1">
        <f t="shared" si="60"/>
        <v>0</v>
      </c>
      <c r="O946" s="1"/>
    </row>
    <row r="947" spans="1:15" x14ac:dyDescent="0.25">
      <c r="A947">
        <v>1528</v>
      </c>
      <c r="B947">
        <v>6768.8431010000004</v>
      </c>
      <c r="C947">
        <v>0</v>
      </c>
      <c r="D947">
        <v>19378.393380000001</v>
      </c>
      <c r="E947">
        <v>0</v>
      </c>
      <c r="F947">
        <v>530477.99289999995</v>
      </c>
      <c r="G947">
        <v>0</v>
      </c>
      <c r="H947">
        <v>1528</v>
      </c>
      <c r="I947" t="str">
        <f t="shared" si="57"/>
        <v>YES</v>
      </c>
      <c r="J947" t="s">
        <v>953</v>
      </c>
      <c r="K947">
        <v>733005.21827299998</v>
      </c>
      <c r="L947" s="1">
        <f t="shared" si="58"/>
        <v>0</v>
      </c>
      <c r="M947" s="1">
        <f t="shared" si="59"/>
        <v>0</v>
      </c>
      <c r="N947" s="1">
        <f t="shared" si="60"/>
        <v>0</v>
      </c>
      <c r="O947" s="1"/>
    </row>
    <row r="948" spans="1:15" x14ac:dyDescent="0.25">
      <c r="A948">
        <v>1529</v>
      </c>
      <c r="B948">
        <v>3328.6540460000001</v>
      </c>
      <c r="C948">
        <v>0</v>
      </c>
      <c r="D948">
        <v>18039.946670000001</v>
      </c>
      <c r="E948">
        <v>0</v>
      </c>
      <c r="F948">
        <v>457376.45409999997</v>
      </c>
      <c r="G948">
        <v>0</v>
      </c>
      <c r="H948">
        <v>1529</v>
      </c>
      <c r="I948" t="str">
        <f t="shared" si="57"/>
        <v>YES</v>
      </c>
      <c r="J948" t="s">
        <v>954</v>
      </c>
      <c r="K948">
        <v>518634.48379700002</v>
      </c>
      <c r="L948" s="1">
        <f t="shared" si="58"/>
        <v>0</v>
      </c>
      <c r="M948" s="1">
        <f t="shared" si="59"/>
        <v>0</v>
      </c>
      <c r="N948" s="1">
        <f t="shared" si="60"/>
        <v>0</v>
      </c>
      <c r="O948" s="1"/>
    </row>
    <row r="949" spans="1:15" x14ac:dyDescent="0.25">
      <c r="A949">
        <v>1533</v>
      </c>
      <c r="B949">
        <v>16776.029900000001</v>
      </c>
      <c r="C949">
        <v>0</v>
      </c>
      <c r="D949">
        <v>84073.365900000004</v>
      </c>
      <c r="E949">
        <v>0</v>
      </c>
      <c r="F949">
        <v>375063.00900000002</v>
      </c>
      <c r="G949">
        <v>0</v>
      </c>
      <c r="H949">
        <v>1533</v>
      </c>
      <c r="I949" t="str">
        <f t="shared" si="57"/>
        <v>YES</v>
      </c>
      <c r="J949" t="s">
        <v>955</v>
      </c>
      <c r="K949">
        <v>853744.90095799998</v>
      </c>
      <c r="L949" s="1">
        <f t="shared" si="58"/>
        <v>0</v>
      </c>
      <c r="M949" s="1">
        <f t="shared" si="59"/>
        <v>0</v>
      </c>
      <c r="N949" s="1">
        <f t="shared" si="60"/>
        <v>0</v>
      </c>
      <c r="O949" s="1"/>
    </row>
    <row r="950" spans="1:15" x14ac:dyDescent="0.25">
      <c r="A950">
        <v>1534</v>
      </c>
      <c r="B950">
        <v>50129.087399999997</v>
      </c>
      <c r="C950">
        <v>0</v>
      </c>
      <c r="D950">
        <v>177263.894</v>
      </c>
      <c r="E950">
        <v>0</v>
      </c>
      <c r="F950">
        <v>848328.59660000005</v>
      </c>
      <c r="G950">
        <v>0</v>
      </c>
      <c r="H950">
        <v>1534</v>
      </c>
      <c r="I950" t="str">
        <f t="shared" si="57"/>
        <v>YES</v>
      </c>
      <c r="J950" t="s">
        <v>956</v>
      </c>
      <c r="K950">
        <v>752489.25543699996</v>
      </c>
      <c r="L950" s="1">
        <f t="shared" si="58"/>
        <v>0</v>
      </c>
      <c r="M950" s="1">
        <f t="shared" si="59"/>
        <v>0</v>
      </c>
      <c r="N950" s="1">
        <f t="shared" si="60"/>
        <v>0</v>
      </c>
      <c r="O950" s="1"/>
    </row>
    <row r="951" spans="1:15" x14ac:dyDescent="0.25">
      <c r="A951">
        <v>1535</v>
      </c>
      <c r="B951">
        <v>47792.70738</v>
      </c>
      <c r="C951">
        <v>0</v>
      </c>
      <c r="D951">
        <v>139015.64540000001</v>
      </c>
      <c r="E951">
        <v>0</v>
      </c>
      <c r="F951">
        <v>637389.02619999996</v>
      </c>
      <c r="G951">
        <v>0</v>
      </c>
      <c r="H951">
        <v>1535</v>
      </c>
      <c r="I951" t="str">
        <f t="shared" si="57"/>
        <v>YES</v>
      </c>
      <c r="J951" t="s">
        <v>957</v>
      </c>
      <c r="K951">
        <v>882305.29552699998</v>
      </c>
      <c r="L951" s="1">
        <f t="shared" si="58"/>
        <v>0</v>
      </c>
      <c r="M951" s="1">
        <f t="shared" si="59"/>
        <v>0</v>
      </c>
      <c r="N951" s="1">
        <f t="shared" si="60"/>
        <v>0</v>
      </c>
      <c r="O951" s="1"/>
    </row>
    <row r="952" spans="1:15" x14ac:dyDescent="0.25">
      <c r="A952">
        <v>1536</v>
      </c>
      <c r="B952">
        <v>29528.006239999999</v>
      </c>
      <c r="C952">
        <v>0</v>
      </c>
      <c r="D952">
        <v>128026.1283</v>
      </c>
      <c r="E952">
        <v>0</v>
      </c>
      <c r="F952">
        <v>649534.38740000001</v>
      </c>
      <c r="G952">
        <v>0</v>
      </c>
      <c r="H952">
        <v>1536</v>
      </c>
      <c r="I952" t="str">
        <f t="shared" si="57"/>
        <v>YES</v>
      </c>
      <c r="J952" t="s">
        <v>958</v>
      </c>
      <c r="K952">
        <v>1477564.4010600001</v>
      </c>
      <c r="L952" s="1">
        <f t="shared" si="58"/>
        <v>0</v>
      </c>
      <c r="M952" s="1">
        <f t="shared" si="59"/>
        <v>0</v>
      </c>
      <c r="N952" s="1">
        <f t="shared" si="60"/>
        <v>0</v>
      </c>
      <c r="O952" s="1"/>
    </row>
    <row r="953" spans="1:15" x14ac:dyDescent="0.25">
      <c r="A953">
        <v>1537</v>
      </c>
      <c r="B953">
        <v>86606.470289999997</v>
      </c>
      <c r="C953">
        <v>0</v>
      </c>
      <c r="D953">
        <v>404015.89069999999</v>
      </c>
      <c r="E953">
        <v>0</v>
      </c>
      <c r="F953">
        <v>1061200.473</v>
      </c>
      <c r="G953">
        <v>0</v>
      </c>
      <c r="H953">
        <v>1537</v>
      </c>
      <c r="I953" t="str">
        <f t="shared" si="57"/>
        <v>YES</v>
      </c>
      <c r="J953" t="s">
        <v>959</v>
      </c>
      <c r="K953">
        <v>159217.01079500001</v>
      </c>
      <c r="L953" s="1">
        <f t="shared" si="58"/>
        <v>0</v>
      </c>
      <c r="M953" s="1">
        <f t="shared" si="59"/>
        <v>0</v>
      </c>
      <c r="N953" s="1">
        <f t="shared" si="60"/>
        <v>0</v>
      </c>
      <c r="O953" s="1"/>
    </row>
    <row r="954" spans="1:15" x14ac:dyDescent="0.25">
      <c r="A954">
        <v>1538</v>
      </c>
      <c r="B954">
        <v>12894.25973</v>
      </c>
      <c r="C954">
        <v>0</v>
      </c>
      <c r="D954">
        <v>145024.90609999999</v>
      </c>
      <c r="E954">
        <v>0</v>
      </c>
      <c r="F954">
        <v>702900.43160000001</v>
      </c>
      <c r="G954">
        <v>0</v>
      </c>
      <c r="H954">
        <v>1538</v>
      </c>
      <c r="I954" t="str">
        <f t="shared" si="57"/>
        <v>YES</v>
      </c>
      <c r="J954" t="s">
        <v>960</v>
      </c>
      <c r="K954">
        <v>716214.46660799999</v>
      </c>
      <c r="L954" s="1">
        <f t="shared" si="58"/>
        <v>0</v>
      </c>
      <c r="M954" s="1">
        <f t="shared" si="59"/>
        <v>0</v>
      </c>
      <c r="N954" s="1">
        <f t="shared" si="60"/>
        <v>0</v>
      </c>
      <c r="O954" s="1"/>
    </row>
    <row r="955" spans="1:15" x14ac:dyDescent="0.25">
      <c r="A955">
        <v>1539</v>
      </c>
      <c r="B955">
        <v>116390.98209999999</v>
      </c>
      <c r="C955">
        <v>0</v>
      </c>
      <c r="D955">
        <v>539010.56949999998</v>
      </c>
      <c r="E955">
        <v>0</v>
      </c>
      <c r="F955">
        <v>1191782.9110000001</v>
      </c>
      <c r="G955">
        <v>0</v>
      </c>
      <c r="H955">
        <v>1539</v>
      </c>
      <c r="I955" t="str">
        <f t="shared" si="57"/>
        <v>YES</v>
      </c>
      <c r="J955" t="s">
        <v>961</v>
      </c>
      <c r="K955">
        <v>231178.61390999999</v>
      </c>
      <c r="L955" s="1">
        <f t="shared" si="58"/>
        <v>0</v>
      </c>
      <c r="M955" s="1">
        <f t="shared" si="59"/>
        <v>0</v>
      </c>
      <c r="N955" s="1">
        <f t="shared" si="60"/>
        <v>0</v>
      </c>
      <c r="O955" s="1"/>
    </row>
    <row r="956" spans="1:15" x14ac:dyDescent="0.25">
      <c r="A956">
        <v>1540</v>
      </c>
      <c r="B956">
        <v>76761.729890000002</v>
      </c>
      <c r="C956">
        <v>0</v>
      </c>
      <c r="D956">
        <v>315474.48349999997</v>
      </c>
      <c r="E956">
        <v>0</v>
      </c>
      <c r="F956">
        <v>1010444.912</v>
      </c>
      <c r="G956">
        <v>0</v>
      </c>
      <c r="H956">
        <v>1540</v>
      </c>
      <c r="I956" t="str">
        <f t="shared" si="57"/>
        <v>YES</v>
      </c>
      <c r="J956" t="s">
        <v>962</v>
      </c>
      <c r="K956">
        <v>492724.79221699998</v>
      </c>
      <c r="L956" s="1">
        <f t="shared" si="58"/>
        <v>0</v>
      </c>
      <c r="M956" s="1">
        <f t="shared" si="59"/>
        <v>0</v>
      </c>
      <c r="N956" s="1">
        <f t="shared" si="60"/>
        <v>0</v>
      </c>
      <c r="O956" s="1"/>
    </row>
    <row r="957" spans="1:15" x14ac:dyDescent="0.25">
      <c r="A957">
        <v>1541</v>
      </c>
      <c r="B957">
        <v>76947.440470000001</v>
      </c>
      <c r="C957">
        <v>0</v>
      </c>
      <c r="D957">
        <v>360375.64020000002</v>
      </c>
      <c r="E957">
        <v>0</v>
      </c>
      <c r="F957">
        <v>996586.51280000003</v>
      </c>
      <c r="G957">
        <v>0</v>
      </c>
      <c r="H957">
        <v>1541</v>
      </c>
      <c r="I957" t="str">
        <f t="shared" si="57"/>
        <v>YES</v>
      </c>
      <c r="J957" t="s">
        <v>963</v>
      </c>
      <c r="K957">
        <v>170184.407317</v>
      </c>
      <c r="L957" s="1">
        <f t="shared" si="58"/>
        <v>0</v>
      </c>
      <c r="M957" s="1">
        <f t="shared" si="59"/>
        <v>0</v>
      </c>
      <c r="N957" s="1">
        <f t="shared" si="60"/>
        <v>0</v>
      </c>
      <c r="O957" s="1"/>
    </row>
    <row r="958" spans="1:15" x14ac:dyDescent="0.25">
      <c r="A958">
        <v>1542</v>
      </c>
      <c r="B958">
        <v>20066.948400000001</v>
      </c>
      <c r="C958">
        <v>0</v>
      </c>
      <c r="D958">
        <v>71918.173379999993</v>
      </c>
      <c r="E958">
        <v>0</v>
      </c>
      <c r="F958">
        <v>333844.68119999999</v>
      </c>
      <c r="G958">
        <v>0</v>
      </c>
      <c r="H958">
        <v>1542</v>
      </c>
      <c r="I958" t="str">
        <f t="shared" si="57"/>
        <v>YES</v>
      </c>
      <c r="J958" t="s">
        <v>964</v>
      </c>
      <c r="K958">
        <v>479233.00558599998</v>
      </c>
      <c r="L958" s="1">
        <f t="shared" si="58"/>
        <v>0</v>
      </c>
      <c r="M958" s="1">
        <f t="shared" si="59"/>
        <v>0</v>
      </c>
      <c r="N958" s="1">
        <f t="shared" si="60"/>
        <v>0</v>
      </c>
      <c r="O958" s="1"/>
    </row>
    <row r="959" spans="1:15" x14ac:dyDescent="0.25">
      <c r="A959">
        <v>1543</v>
      </c>
      <c r="B959">
        <v>91014.136140000002</v>
      </c>
      <c r="C959">
        <v>0</v>
      </c>
      <c r="D959">
        <v>426362.46039999998</v>
      </c>
      <c r="E959">
        <v>0</v>
      </c>
      <c r="F959">
        <v>1077658.871</v>
      </c>
      <c r="G959">
        <v>0</v>
      </c>
      <c r="H959">
        <v>1543</v>
      </c>
      <c r="I959" t="str">
        <f t="shared" si="57"/>
        <v>YES</v>
      </c>
      <c r="J959" t="s">
        <v>965</v>
      </c>
      <c r="K959">
        <v>150749.093998</v>
      </c>
      <c r="L959" s="1">
        <f t="shared" si="58"/>
        <v>0</v>
      </c>
      <c r="M959" s="1">
        <f t="shared" si="59"/>
        <v>0</v>
      </c>
      <c r="N959" s="1">
        <f t="shared" si="60"/>
        <v>0</v>
      </c>
      <c r="O959" s="1"/>
    </row>
    <row r="960" spans="1:15" x14ac:dyDescent="0.25">
      <c r="A960">
        <v>1544</v>
      </c>
      <c r="B960">
        <v>79284.199059999999</v>
      </c>
      <c r="C960">
        <v>0</v>
      </c>
      <c r="D960">
        <v>395732.88880000002</v>
      </c>
      <c r="E960">
        <v>0</v>
      </c>
      <c r="F960">
        <v>1096769.0630000001</v>
      </c>
      <c r="G960">
        <v>0</v>
      </c>
      <c r="H960">
        <v>1544</v>
      </c>
      <c r="I960" t="str">
        <f t="shared" si="57"/>
        <v>YES</v>
      </c>
      <c r="J960" t="s">
        <v>966</v>
      </c>
      <c r="K960">
        <v>216403.31834200001</v>
      </c>
      <c r="L960" s="1">
        <f t="shared" si="58"/>
        <v>0</v>
      </c>
      <c r="M960" s="1">
        <f t="shared" si="59"/>
        <v>0</v>
      </c>
      <c r="N960" s="1">
        <f t="shared" si="60"/>
        <v>0</v>
      </c>
      <c r="O960" s="1"/>
    </row>
    <row r="961" spans="1:15" x14ac:dyDescent="0.25">
      <c r="A961">
        <v>1545</v>
      </c>
      <c r="B961">
        <v>88347.150200000004</v>
      </c>
      <c r="C961">
        <v>0</v>
      </c>
      <c r="D961">
        <v>453472.96850000002</v>
      </c>
      <c r="E961">
        <v>0</v>
      </c>
      <c r="F961">
        <v>1077233.0090000001</v>
      </c>
      <c r="G961">
        <v>0</v>
      </c>
      <c r="H961">
        <v>1545</v>
      </c>
      <c r="I961" t="str">
        <f t="shared" si="57"/>
        <v>YES</v>
      </c>
      <c r="J961" t="s">
        <v>967</v>
      </c>
      <c r="K961">
        <v>392063.33723800001</v>
      </c>
      <c r="L961" s="1">
        <f t="shared" si="58"/>
        <v>0</v>
      </c>
      <c r="M961" s="1">
        <f t="shared" si="59"/>
        <v>0</v>
      </c>
      <c r="N961" s="1">
        <f t="shared" si="60"/>
        <v>0</v>
      </c>
      <c r="O961" s="1"/>
    </row>
    <row r="962" spans="1:15" x14ac:dyDescent="0.25">
      <c r="A962">
        <v>1546</v>
      </c>
      <c r="B962">
        <v>12694.85967</v>
      </c>
      <c r="C962">
        <v>0</v>
      </c>
      <c r="D962">
        <v>130540.58409999999</v>
      </c>
      <c r="E962">
        <v>0</v>
      </c>
      <c r="F962">
        <v>563240.16639999999</v>
      </c>
      <c r="G962">
        <v>0</v>
      </c>
      <c r="H962">
        <v>1546</v>
      </c>
      <c r="I962" t="str">
        <f t="shared" ref="I962:I1025" si="61">IF(A962=H962,"YES","NO")</f>
        <v>YES</v>
      </c>
      <c r="J962" t="s">
        <v>968</v>
      </c>
      <c r="K962">
        <v>277186.41905000003</v>
      </c>
      <c r="L962" s="1">
        <f t="shared" si="58"/>
        <v>0</v>
      </c>
      <c r="M962" s="1">
        <f t="shared" si="59"/>
        <v>0</v>
      </c>
      <c r="N962" s="1">
        <f t="shared" si="60"/>
        <v>0</v>
      </c>
      <c r="O962" s="1"/>
    </row>
    <row r="963" spans="1:15" x14ac:dyDescent="0.25">
      <c r="A963">
        <v>1547</v>
      </c>
      <c r="B963">
        <v>68758.01586</v>
      </c>
      <c r="C963">
        <v>0</v>
      </c>
      <c r="D963">
        <v>390018.3075</v>
      </c>
      <c r="E963">
        <v>0</v>
      </c>
      <c r="F963">
        <v>957335.06909999996</v>
      </c>
      <c r="G963">
        <v>0</v>
      </c>
      <c r="H963">
        <v>1547</v>
      </c>
      <c r="I963" t="str">
        <f t="shared" si="61"/>
        <v>YES</v>
      </c>
      <c r="J963" t="s">
        <v>969</v>
      </c>
      <c r="K963">
        <v>252794.30409399999</v>
      </c>
      <c r="L963" s="1">
        <f t="shared" ref="L963:L1026" si="62">$U$2*$K963*C963</f>
        <v>0</v>
      </c>
      <c r="M963" s="1">
        <f t="shared" ref="M963:M1026" si="63">$U$3*$K963*E963</f>
        <v>0</v>
      </c>
      <c r="N963" s="1">
        <f t="shared" ref="N963:N1026" si="64">$U$4*$K963*G963</f>
        <v>0</v>
      </c>
      <c r="O963" s="1"/>
    </row>
    <row r="964" spans="1:15" x14ac:dyDescent="0.25">
      <c r="A964">
        <v>1548</v>
      </c>
      <c r="B964">
        <v>73843.330520000003</v>
      </c>
      <c r="C964">
        <v>0</v>
      </c>
      <c r="D964">
        <v>392977.07679999998</v>
      </c>
      <c r="E964">
        <v>0</v>
      </c>
      <c r="F964">
        <v>1004964.289</v>
      </c>
      <c r="G964">
        <v>0</v>
      </c>
      <c r="H964">
        <v>1548</v>
      </c>
      <c r="I964" t="str">
        <f t="shared" si="61"/>
        <v>YES</v>
      </c>
      <c r="J964" t="s">
        <v>970</v>
      </c>
      <c r="K964">
        <v>265397.400624</v>
      </c>
      <c r="L964" s="1">
        <f t="shared" si="62"/>
        <v>0</v>
      </c>
      <c r="M964" s="1">
        <f t="shared" si="63"/>
        <v>0</v>
      </c>
      <c r="N964" s="1">
        <f t="shared" si="64"/>
        <v>0</v>
      </c>
      <c r="O964" s="1"/>
    </row>
    <row r="965" spans="1:15" x14ac:dyDescent="0.25">
      <c r="A965">
        <v>1549</v>
      </c>
      <c r="B965">
        <v>53069.771930000003</v>
      </c>
      <c r="C965">
        <v>0</v>
      </c>
      <c r="D965">
        <v>232198.24710000001</v>
      </c>
      <c r="E965">
        <v>0</v>
      </c>
      <c r="F965">
        <v>877716.75950000004</v>
      </c>
      <c r="G965">
        <v>0</v>
      </c>
      <c r="H965">
        <v>1549</v>
      </c>
      <c r="I965" t="str">
        <f t="shared" si="61"/>
        <v>YES</v>
      </c>
      <c r="J965" t="s">
        <v>971</v>
      </c>
      <c r="K965">
        <v>944065.91420200001</v>
      </c>
      <c r="L965" s="1">
        <f t="shared" si="62"/>
        <v>0</v>
      </c>
      <c r="M965" s="1">
        <f t="shared" si="63"/>
        <v>0</v>
      </c>
      <c r="N965" s="1">
        <f t="shared" si="64"/>
        <v>0</v>
      </c>
      <c r="O965" s="1"/>
    </row>
    <row r="966" spans="1:15" x14ac:dyDescent="0.25">
      <c r="A966">
        <v>1550</v>
      </c>
      <c r="B966">
        <v>76344.127900000007</v>
      </c>
      <c r="C966">
        <v>0</v>
      </c>
      <c r="D966">
        <v>514260.20520000003</v>
      </c>
      <c r="E966">
        <v>0</v>
      </c>
      <c r="F966">
        <v>1009864.672</v>
      </c>
      <c r="G966">
        <v>0</v>
      </c>
      <c r="H966">
        <v>1550</v>
      </c>
      <c r="I966" t="str">
        <f t="shared" si="61"/>
        <v>YES</v>
      </c>
      <c r="J966" t="s">
        <v>972</v>
      </c>
      <c r="K966">
        <v>222978.714717</v>
      </c>
      <c r="L966" s="1">
        <f t="shared" si="62"/>
        <v>0</v>
      </c>
      <c r="M966" s="1">
        <f t="shared" si="63"/>
        <v>0</v>
      </c>
      <c r="N966" s="1">
        <f t="shared" si="64"/>
        <v>0</v>
      </c>
      <c r="O966" s="1"/>
    </row>
    <row r="967" spans="1:15" x14ac:dyDescent="0.25">
      <c r="A967">
        <v>1551</v>
      </c>
      <c r="B967">
        <v>16989.87542</v>
      </c>
      <c r="C967">
        <v>0</v>
      </c>
      <c r="D967">
        <v>259092.6882</v>
      </c>
      <c r="E967">
        <v>0</v>
      </c>
      <c r="F967">
        <v>853806.33400000003</v>
      </c>
      <c r="G967">
        <v>0</v>
      </c>
      <c r="H967">
        <v>1551</v>
      </c>
      <c r="I967" t="str">
        <f t="shared" si="61"/>
        <v>YES</v>
      </c>
      <c r="J967" t="s">
        <v>973</v>
      </c>
      <c r="K967">
        <v>1439744.16701</v>
      </c>
      <c r="L967" s="1">
        <f t="shared" si="62"/>
        <v>0</v>
      </c>
      <c r="M967" s="1">
        <f t="shared" si="63"/>
        <v>0</v>
      </c>
      <c r="N967" s="1">
        <f t="shared" si="64"/>
        <v>0</v>
      </c>
      <c r="O967" s="1"/>
    </row>
    <row r="968" spans="1:15" x14ac:dyDescent="0.25">
      <c r="A968">
        <v>1552</v>
      </c>
      <c r="B968">
        <v>98618.887889999998</v>
      </c>
      <c r="C968">
        <v>0</v>
      </c>
      <c r="D968">
        <v>639446.6102</v>
      </c>
      <c r="E968">
        <v>0</v>
      </c>
      <c r="F968">
        <v>1128799.469</v>
      </c>
      <c r="G968">
        <v>0</v>
      </c>
      <c r="H968">
        <v>1552</v>
      </c>
      <c r="I968" t="str">
        <f t="shared" si="61"/>
        <v>YES</v>
      </c>
      <c r="J968" t="s">
        <v>974</v>
      </c>
      <c r="K968">
        <v>206913.363083</v>
      </c>
      <c r="L968" s="1">
        <f t="shared" si="62"/>
        <v>0</v>
      </c>
      <c r="M968" s="1">
        <f t="shared" si="63"/>
        <v>0</v>
      </c>
      <c r="N968" s="1">
        <f t="shared" si="64"/>
        <v>0</v>
      </c>
      <c r="O968" s="1"/>
    </row>
    <row r="969" spans="1:15" x14ac:dyDescent="0.25">
      <c r="A969">
        <v>1553</v>
      </c>
      <c r="B969">
        <v>173758.61910000001</v>
      </c>
      <c r="C969">
        <v>0</v>
      </c>
      <c r="D969">
        <v>774407.44099999999</v>
      </c>
      <c r="E969">
        <v>0</v>
      </c>
      <c r="F969">
        <v>1313754.5349999999</v>
      </c>
      <c r="G969">
        <v>0</v>
      </c>
      <c r="H969">
        <v>1553</v>
      </c>
      <c r="I969" t="str">
        <f t="shared" si="61"/>
        <v>YES</v>
      </c>
      <c r="J969" t="s">
        <v>975</v>
      </c>
      <c r="K969">
        <v>69826.877719600001</v>
      </c>
      <c r="L969" s="1">
        <f t="shared" si="62"/>
        <v>0</v>
      </c>
      <c r="M969" s="1">
        <f t="shared" si="63"/>
        <v>0</v>
      </c>
      <c r="N969" s="1">
        <f t="shared" si="64"/>
        <v>0</v>
      </c>
      <c r="O969" s="1"/>
    </row>
    <row r="970" spans="1:15" x14ac:dyDescent="0.25">
      <c r="A970">
        <v>1554</v>
      </c>
      <c r="B970">
        <v>27384.856670000001</v>
      </c>
      <c r="C970">
        <v>0</v>
      </c>
      <c r="D970">
        <v>333176.54340000002</v>
      </c>
      <c r="E970">
        <v>0</v>
      </c>
      <c r="F970">
        <v>869431.27980000002</v>
      </c>
      <c r="G970">
        <v>0</v>
      </c>
      <c r="H970">
        <v>1554</v>
      </c>
      <c r="I970" t="str">
        <f t="shared" si="61"/>
        <v>YES</v>
      </c>
      <c r="J970" t="s">
        <v>976</v>
      </c>
      <c r="K970">
        <v>666315.743716</v>
      </c>
      <c r="L970" s="1">
        <f t="shared" si="62"/>
        <v>0</v>
      </c>
      <c r="M970" s="1">
        <f t="shared" si="63"/>
        <v>0</v>
      </c>
      <c r="N970" s="1">
        <f t="shared" si="64"/>
        <v>0</v>
      </c>
      <c r="O970" s="1"/>
    </row>
    <row r="971" spans="1:15" x14ac:dyDescent="0.25">
      <c r="A971">
        <v>1555</v>
      </c>
      <c r="B971">
        <v>45126.227590000002</v>
      </c>
      <c r="C971">
        <v>0</v>
      </c>
      <c r="D971">
        <v>189870.41390000001</v>
      </c>
      <c r="E971">
        <v>0</v>
      </c>
      <c r="F971">
        <v>804232.8602</v>
      </c>
      <c r="G971">
        <v>0</v>
      </c>
      <c r="H971">
        <v>1555</v>
      </c>
      <c r="I971" t="str">
        <f t="shared" si="61"/>
        <v>YES</v>
      </c>
      <c r="J971" t="s">
        <v>977</v>
      </c>
      <c r="K971">
        <v>642769.27019399998</v>
      </c>
      <c r="L971" s="1">
        <f t="shared" si="62"/>
        <v>0</v>
      </c>
      <c r="M971" s="1">
        <f t="shared" si="63"/>
        <v>0</v>
      </c>
      <c r="N971" s="1">
        <f t="shared" si="64"/>
        <v>0</v>
      </c>
      <c r="O971" s="1"/>
    </row>
    <row r="972" spans="1:15" x14ac:dyDescent="0.25">
      <c r="A972">
        <v>1556</v>
      </c>
      <c r="B972">
        <v>34036.87485</v>
      </c>
      <c r="C972">
        <v>0</v>
      </c>
      <c r="D972">
        <v>163581.33249999999</v>
      </c>
      <c r="E972">
        <v>0</v>
      </c>
      <c r="F972">
        <v>771257.54810000001</v>
      </c>
      <c r="G972">
        <v>0</v>
      </c>
      <c r="H972">
        <v>1556</v>
      </c>
      <c r="I972" t="str">
        <f t="shared" si="61"/>
        <v>YES</v>
      </c>
      <c r="J972" t="s">
        <v>978</v>
      </c>
      <c r="K972">
        <v>423628.14247999998</v>
      </c>
      <c r="L972" s="1">
        <f t="shared" si="62"/>
        <v>0</v>
      </c>
      <c r="M972" s="1">
        <f t="shared" si="63"/>
        <v>0</v>
      </c>
      <c r="N972" s="1">
        <f t="shared" si="64"/>
        <v>0</v>
      </c>
      <c r="O972" s="1"/>
    </row>
    <row r="973" spans="1:15" x14ac:dyDescent="0.25">
      <c r="A973">
        <v>1557</v>
      </c>
      <c r="B973">
        <v>60471.79062</v>
      </c>
      <c r="C973">
        <v>0</v>
      </c>
      <c r="D973">
        <v>247743.2151</v>
      </c>
      <c r="E973">
        <v>0</v>
      </c>
      <c r="F973">
        <v>855054.99540000001</v>
      </c>
      <c r="G973">
        <v>0</v>
      </c>
      <c r="H973">
        <v>1557</v>
      </c>
      <c r="I973" t="str">
        <f t="shared" si="61"/>
        <v>YES</v>
      </c>
      <c r="J973" t="s">
        <v>979</v>
      </c>
      <c r="K973">
        <v>882695.77426700003</v>
      </c>
      <c r="L973" s="1">
        <f t="shared" si="62"/>
        <v>0</v>
      </c>
      <c r="M973" s="1">
        <f t="shared" si="63"/>
        <v>0</v>
      </c>
      <c r="N973" s="1">
        <f t="shared" si="64"/>
        <v>0</v>
      </c>
      <c r="O973" s="1"/>
    </row>
    <row r="974" spans="1:15" x14ac:dyDescent="0.25">
      <c r="A974">
        <v>1558</v>
      </c>
      <c r="B974">
        <v>11107.28774</v>
      </c>
      <c r="C974">
        <v>0</v>
      </c>
      <c r="D974">
        <v>144226.50469999999</v>
      </c>
      <c r="E974">
        <v>0</v>
      </c>
      <c r="F974">
        <v>721466.87730000005</v>
      </c>
      <c r="G974">
        <v>0</v>
      </c>
      <c r="H974">
        <v>1558</v>
      </c>
      <c r="I974" t="str">
        <f t="shared" si="61"/>
        <v>YES</v>
      </c>
      <c r="J974" t="s">
        <v>980</v>
      </c>
      <c r="K974">
        <v>941436.03195700003</v>
      </c>
      <c r="L974" s="1">
        <f t="shared" si="62"/>
        <v>0</v>
      </c>
      <c r="M974" s="1">
        <f t="shared" si="63"/>
        <v>0</v>
      </c>
      <c r="N974" s="1">
        <f t="shared" si="64"/>
        <v>0</v>
      </c>
      <c r="O974" s="1"/>
    </row>
    <row r="975" spans="1:15" x14ac:dyDescent="0.25">
      <c r="A975">
        <v>1559</v>
      </c>
      <c r="B975">
        <v>7965.786814</v>
      </c>
      <c r="C975">
        <v>0</v>
      </c>
      <c r="D975">
        <v>175308.3149</v>
      </c>
      <c r="E975">
        <v>0</v>
      </c>
      <c r="F975">
        <v>709686.321</v>
      </c>
      <c r="G975">
        <v>0</v>
      </c>
      <c r="H975">
        <v>1559</v>
      </c>
      <c r="I975" t="str">
        <f t="shared" si="61"/>
        <v>YES</v>
      </c>
      <c r="J975" t="s">
        <v>981</v>
      </c>
      <c r="K975">
        <v>460575.844889</v>
      </c>
      <c r="L975" s="1">
        <f t="shared" si="62"/>
        <v>0</v>
      </c>
      <c r="M975" s="1">
        <f t="shared" si="63"/>
        <v>0</v>
      </c>
      <c r="N975" s="1">
        <f t="shared" si="64"/>
        <v>0</v>
      </c>
      <c r="O975" s="1"/>
    </row>
    <row r="976" spans="1:15" x14ac:dyDescent="0.25">
      <c r="A976">
        <v>1560</v>
      </c>
      <c r="B976">
        <v>2902.181196</v>
      </c>
      <c r="C976">
        <v>0</v>
      </c>
      <c r="D976">
        <v>131730.45370000001</v>
      </c>
      <c r="E976">
        <v>0</v>
      </c>
      <c r="F976">
        <v>657042.16960000002</v>
      </c>
      <c r="G976">
        <v>0</v>
      </c>
      <c r="H976">
        <v>1560</v>
      </c>
      <c r="I976" t="str">
        <f t="shared" si="61"/>
        <v>YES</v>
      </c>
      <c r="J976" t="s">
        <v>982</v>
      </c>
      <c r="K976">
        <v>1289606.4780999999</v>
      </c>
      <c r="L976" s="1">
        <f t="shared" si="62"/>
        <v>0</v>
      </c>
      <c r="M976" s="1">
        <f t="shared" si="63"/>
        <v>0</v>
      </c>
      <c r="N976" s="1">
        <f t="shared" si="64"/>
        <v>0</v>
      </c>
      <c r="O976" s="1"/>
    </row>
    <row r="977" spans="1:15" x14ac:dyDescent="0.25">
      <c r="A977">
        <v>1561</v>
      </c>
      <c r="B977">
        <v>2956.0001379999999</v>
      </c>
      <c r="C977">
        <v>0</v>
      </c>
      <c r="D977">
        <v>31623.595410000002</v>
      </c>
      <c r="E977">
        <v>0</v>
      </c>
      <c r="F977">
        <v>353091.23830000003</v>
      </c>
      <c r="G977">
        <v>0</v>
      </c>
      <c r="H977">
        <v>1561</v>
      </c>
      <c r="I977" t="str">
        <f t="shared" si="61"/>
        <v>YES</v>
      </c>
      <c r="J977" t="s">
        <v>983</v>
      </c>
      <c r="K977">
        <v>863740.23196300003</v>
      </c>
      <c r="L977" s="1">
        <f t="shared" si="62"/>
        <v>0</v>
      </c>
      <c r="M977" s="1">
        <f t="shared" si="63"/>
        <v>0</v>
      </c>
      <c r="N977" s="1">
        <f t="shared" si="64"/>
        <v>0</v>
      </c>
      <c r="O977" s="1"/>
    </row>
    <row r="978" spans="1:15" x14ac:dyDescent="0.25">
      <c r="A978">
        <v>1562</v>
      </c>
      <c r="B978">
        <v>252327.61060000001</v>
      </c>
      <c r="C978">
        <v>0</v>
      </c>
      <c r="D978">
        <v>850387.1152</v>
      </c>
      <c r="E978">
        <v>0</v>
      </c>
      <c r="F978">
        <v>1387757.9210000001</v>
      </c>
      <c r="G978">
        <v>0</v>
      </c>
      <c r="H978">
        <v>1562</v>
      </c>
      <c r="I978" t="str">
        <f t="shared" si="61"/>
        <v>YES</v>
      </c>
      <c r="J978" t="s">
        <v>984</v>
      </c>
      <c r="K978">
        <v>40704.095226999998</v>
      </c>
      <c r="L978" s="1">
        <f t="shared" si="62"/>
        <v>0</v>
      </c>
      <c r="M978" s="1">
        <f t="shared" si="63"/>
        <v>0</v>
      </c>
      <c r="N978" s="1">
        <f t="shared" si="64"/>
        <v>0</v>
      </c>
      <c r="O978" s="1"/>
    </row>
    <row r="979" spans="1:15" x14ac:dyDescent="0.25">
      <c r="A979">
        <v>1563</v>
      </c>
      <c r="B979">
        <v>7187.3955500000002</v>
      </c>
      <c r="C979">
        <v>0</v>
      </c>
      <c r="D979">
        <v>38432.381410000002</v>
      </c>
      <c r="E979">
        <v>0</v>
      </c>
      <c r="F979">
        <v>201085.5056</v>
      </c>
      <c r="G979">
        <v>0</v>
      </c>
      <c r="H979">
        <v>1563</v>
      </c>
      <c r="I979" t="str">
        <f t="shared" si="61"/>
        <v>YES</v>
      </c>
      <c r="J979" t="s">
        <v>985</v>
      </c>
      <c r="K979">
        <v>872427.53143800003</v>
      </c>
      <c r="L979" s="1">
        <f t="shared" si="62"/>
        <v>0</v>
      </c>
      <c r="M979" s="1">
        <f t="shared" si="63"/>
        <v>0</v>
      </c>
      <c r="N979" s="1">
        <f t="shared" si="64"/>
        <v>0</v>
      </c>
      <c r="O979" s="1"/>
    </row>
    <row r="980" spans="1:15" x14ac:dyDescent="0.25">
      <c r="A980">
        <v>1564</v>
      </c>
      <c r="B980">
        <v>4804.5313569999998</v>
      </c>
      <c r="C980">
        <v>0</v>
      </c>
      <c r="D980">
        <v>110471.3943</v>
      </c>
      <c r="E980">
        <v>0</v>
      </c>
      <c r="F980">
        <v>423011.45159999997</v>
      </c>
      <c r="G980">
        <v>0</v>
      </c>
      <c r="H980">
        <v>1564</v>
      </c>
      <c r="I980" t="str">
        <f t="shared" si="61"/>
        <v>YES</v>
      </c>
      <c r="J980" t="s">
        <v>986</v>
      </c>
      <c r="K980">
        <v>364827.89585799997</v>
      </c>
      <c r="L980" s="1">
        <f t="shared" si="62"/>
        <v>0</v>
      </c>
      <c r="M980" s="1">
        <f t="shared" si="63"/>
        <v>0</v>
      </c>
      <c r="N980" s="1">
        <f t="shared" si="64"/>
        <v>0</v>
      </c>
      <c r="O980" s="1"/>
    </row>
    <row r="981" spans="1:15" x14ac:dyDescent="0.25">
      <c r="A981">
        <v>1565</v>
      </c>
      <c r="B981">
        <v>20516.038690000001</v>
      </c>
      <c r="C981">
        <v>0</v>
      </c>
      <c r="D981">
        <v>132112.9339</v>
      </c>
      <c r="E981">
        <v>0</v>
      </c>
      <c r="F981">
        <v>543147.97790000006</v>
      </c>
      <c r="G981">
        <v>0</v>
      </c>
      <c r="H981">
        <v>1565</v>
      </c>
      <c r="I981" t="str">
        <f t="shared" si="61"/>
        <v>YES</v>
      </c>
      <c r="J981" t="s">
        <v>987</v>
      </c>
      <c r="K981">
        <v>1078800.90701</v>
      </c>
      <c r="L981" s="1">
        <f t="shared" si="62"/>
        <v>0</v>
      </c>
      <c r="M981" s="1">
        <f t="shared" si="63"/>
        <v>0</v>
      </c>
      <c r="N981" s="1">
        <f t="shared" si="64"/>
        <v>0</v>
      </c>
      <c r="O981" s="1"/>
    </row>
    <row r="982" spans="1:15" x14ac:dyDescent="0.25">
      <c r="A982">
        <v>1566</v>
      </c>
      <c r="B982">
        <v>3351.0580420000001</v>
      </c>
      <c r="C982">
        <v>0</v>
      </c>
      <c r="D982">
        <v>75276.956460000001</v>
      </c>
      <c r="E982">
        <v>0</v>
      </c>
      <c r="F982">
        <v>217313.27220000001</v>
      </c>
      <c r="G982">
        <v>0</v>
      </c>
      <c r="H982">
        <v>1566</v>
      </c>
      <c r="I982" t="str">
        <f t="shared" si="61"/>
        <v>YES</v>
      </c>
      <c r="J982" t="s">
        <v>988</v>
      </c>
      <c r="K982">
        <v>181640.718211</v>
      </c>
      <c r="L982" s="1">
        <f t="shared" si="62"/>
        <v>0</v>
      </c>
      <c r="M982" s="1">
        <f t="shared" si="63"/>
        <v>0</v>
      </c>
      <c r="N982" s="1">
        <f t="shared" si="64"/>
        <v>0</v>
      </c>
      <c r="O982" s="1"/>
    </row>
    <row r="983" spans="1:15" x14ac:dyDescent="0.25">
      <c r="A983">
        <v>1567</v>
      </c>
      <c r="B983">
        <v>10705.903130000001</v>
      </c>
      <c r="C983">
        <v>0</v>
      </c>
      <c r="D983">
        <v>109218.78350000001</v>
      </c>
      <c r="E983">
        <v>0</v>
      </c>
      <c r="F983">
        <v>522725.82679999998</v>
      </c>
      <c r="G983">
        <v>0</v>
      </c>
      <c r="H983">
        <v>1567</v>
      </c>
      <c r="I983" t="str">
        <f t="shared" si="61"/>
        <v>YES</v>
      </c>
      <c r="J983" t="s">
        <v>989</v>
      </c>
      <c r="K983">
        <v>684069.88513299997</v>
      </c>
      <c r="L983" s="1">
        <f t="shared" si="62"/>
        <v>0</v>
      </c>
      <c r="M983" s="1">
        <f t="shared" si="63"/>
        <v>0</v>
      </c>
      <c r="N983" s="1">
        <f t="shared" si="64"/>
        <v>0</v>
      </c>
      <c r="O983" s="1"/>
    </row>
    <row r="984" spans="1:15" x14ac:dyDescent="0.25">
      <c r="A984">
        <v>1568</v>
      </c>
      <c r="B984">
        <v>29106.806329999999</v>
      </c>
      <c r="C984">
        <v>0</v>
      </c>
      <c r="D984">
        <v>133437.1379</v>
      </c>
      <c r="E984">
        <v>0</v>
      </c>
      <c r="F984">
        <v>838852.59250000003</v>
      </c>
      <c r="G984">
        <v>0</v>
      </c>
      <c r="H984">
        <v>1568</v>
      </c>
      <c r="I984" t="str">
        <f t="shared" si="61"/>
        <v>YES</v>
      </c>
      <c r="J984" t="s">
        <v>990</v>
      </c>
      <c r="K984">
        <v>223442.94500599999</v>
      </c>
      <c r="L984" s="1">
        <f t="shared" si="62"/>
        <v>0</v>
      </c>
      <c r="M984" s="1">
        <f t="shared" si="63"/>
        <v>0</v>
      </c>
      <c r="N984" s="1">
        <f t="shared" si="64"/>
        <v>0</v>
      </c>
      <c r="O984" s="1"/>
    </row>
    <row r="985" spans="1:15" x14ac:dyDescent="0.25">
      <c r="A985">
        <v>1569</v>
      </c>
      <c r="B985">
        <v>19217.238799999999</v>
      </c>
      <c r="C985">
        <v>0</v>
      </c>
      <c r="D985">
        <v>128190.92479999999</v>
      </c>
      <c r="E985">
        <v>0</v>
      </c>
      <c r="F985">
        <v>657674.98389999999</v>
      </c>
      <c r="G985">
        <v>0</v>
      </c>
      <c r="H985">
        <v>1569</v>
      </c>
      <c r="I985" t="str">
        <f t="shared" si="61"/>
        <v>YES</v>
      </c>
      <c r="J985" t="s">
        <v>991</v>
      </c>
      <c r="K985">
        <v>875682.83442900004</v>
      </c>
      <c r="L985" s="1">
        <f t="shared" si="62"/>
        <v>0</v>
      </c>
      <c r="M985" s="1">
        <f t="shared" si="63"/>
        <v>0</v>
      </c>
      <c r="N985" s="1">
        <f t="shared" si="64"/>
        <v>0</v>
      </c>
      <c r="O985" s="1"/>
    </row>
    <row r="986" spans="1:15" x14ac:dyDescent="0.25">
      <c r="A986">
        <v>1570</v>
      </c>
      <c r="B986">
        <v>23267.388760000002</v>
      </c>
      <c r="C986">
        <v>0</v>
      </c>
      <c r="D986">
        <v>119818.064</v>
      </c>
      <c r="E986">
        <v>0</v>
      </c>
      <c r="F986">
        <v>712703.2352</v>
      </c>
      <c r="G986">
        <v>0</v>
      </c>
      <c r="H986">
        <v>1570</v>
      </c>
      <c r="I986" t="str">
        <f t="shared" si="61"/>
        <v>YES</v>
      </c>
      <c r="J986" t="s">
        <v>992</v>
      </c>
      <c r="K986">
        <v>326962.46428399999</v>
      </c>
      <c r="L986" s="1">
        <f t="shared" si="62"/>
        <v>0</v>
      </c>
      <c r="M986" s="1">
        <f t="shared" si="63"/>
        <v>0</v>
      </c>
      <c r="N986" s="1">
        <f t="shared" si="64"/>
        <v>0</v>
      </c>
      <c r="O986" s="1"/>
    </row>
    <row r="987" spans="1:15" x14ac:dyDescent="0.25">
      <c r="A987">
        <v>1571</v>
      </c>
      <c r="B987">
        <v>37705.080470000001</v>
      </c>
      <c r="C987">
        <v>0</v>
      </c>
      <c r="D987">
        <v>159400.51459999999</v>
      </c>
      <c r="E987">
        <v>0</v>
      </c>
      <c r="F987">
        <v>949003.41760000004</v>
      </c>
      <c r="G987">
        <v>0</v>
      </c>
      <c r="H987">
        <v>1571</v>
      </c>
      <c r="I987" t="str">
        <f t="shared" si="61"/>
        <v>YES</v>
      </c>
      <c r="J987" t="s">
        <v>993</v>
      </c>
      <c r="K987">
        <v>511463.938539</v>
      </c>
      <c r="L987" s="1">
        <f t="shared" si="62"/>
        <v>0</v>
      </c>
      <c r="M987" s="1">
        <f t="shared" si="63"/>
        <v>0</v>
      </c>
      <c r="N987" s="1">
        <f t="shared" si="64"/>
        <v>0</v>
      </c>
      <c r="O987" s="1"/>
    </row>
    <row r="988" spans="1:15" x14ac:dyDescent="0.25">
      <c r="A988">
        <v>1572</v>
      </c>
      <c r="B988">
        <v>3792.9058540000001</v>
      </c>
      <c r="C988">
        <v>0</v>
      </c>
      <c r="D988">
        <v>34884.04664</v>
      </c>
      <c r="E988">
        <v>0</v>
      </c>
      <c r="F988">
        <v>291680.47739999997</v>
      </c>
      <c r="G988">
        <v>0</v>
      </c>
      <c r="H988">
        <v>1572</v>
      </c>
      <c r="I988" t="str">
        <f t="shared" si="61"/>
        <v>YES</v>
      </c>
      <c r="J988" t="s">
        <v>994</v>
      </c>
      <c r="K988">
        <v>930198.03043000004</v>
      </c>
      <c r="L988" s="1">
        <f t="shared" si="62"/>
        <v>0</v>
      </c>
      <c r="M988" s="1">
        <f t="shared" si="63"/>
        <v>0</v>
      </c>
      <c r="N988" s="1">
        <f t="shared" si="64"/>
        <v>0</v>
      </c>
      <c r="O988" s="1"/>
    </row>
    <row r="989" spans="1:15" x14ac:dyDescent="0.25">
      <c r="A989">
        <v>1573</v>
      </c>
      <c r="B989">
        <v>29927.468680000002</v>
      </c>
      <c r="C989">
        <v>0</v>
      </c>
      <c r="D989">
        <v>160150.95329999999</v>
      </c>
      <c r="E989">
        <v>0</v>
      </c>
      <c r="F989">
        <v>952018.26950000005</v>
      </c>
      <c r="G989">
        <v>0</v>
      </c>
      <c r="H989">
        <v>1573</v>
      </c>
      <c r="I989" t="str">
        <f t="shared" si="61"/>
        <v>YES</v>
      </c>
      <c r="J989" t="s">
        <v>995</v>
      </c>
      <c r="K989">
        <v>345882.05229999998</v>
      </c>
      <c r="L989" s="1">
        <f t="shared" si="62"/>
        <v>0</v>
      </c>
      <c r="M989" s="1">
        <f t="shared" si="63"/>
        <v>0</v>
      </c>
      <c r="N989" s="1">
        <f t="shared" si="64"/>
        <v>0</v>
      </c>
      <c r="O989" s="1"/>
    </row>
    <row r="990" spans="1:15" x14ac:dyDescent="0.25">
      <c r="A990">
        <v>1574</v>
      </c>
      <c r="B990">
        <v>14221.66188</v>
      </c>
      <c r="C990">
        <v>0</v>
      </c>
      <c r="D990">
        <v>51174.68432</v>
      </c>
      <c r="E990">
        <v>0</v>
      </c>
      <c r="F990">
        <v>633329.15130000003</v>
      </c>
      <c r="G990">
        <v>0</v>
      </c>
      <c r="H990">
        <v>1574</v>
      </c>
      <c r="I990" t="str">
        <f t="shared" si="61"/>
        <v>YES</v>
      </c>
      <c r="J990" t="s">
        <v>996</v>
      </c>
      <c r="K990">
        <v>522144.30534399999</v>
      </c>
      <c r="L990" s="1">
        <f t="shared" si="62"/>
        <v>0</v>
      </c>
      <c r="M990" s="1">
        <f t="shared" si="63"/>
        <v>0</v>
      </c>
      <c r="N990" s="1">
        <f t="shared" si="64"/>
        <v>0</v>
      </c>
      <c r="O990" s="1"/>
    </row>
    <row r="991" spans="1:15" x14ac:dyDescent="0.25">
      <c r="A991">
        <v>1575</v>
      </c>
      <c r="B991">
        <v>23482.09388</v>
      </c>
      <c r="C991">
        <v>0</v>
      </c>
      <c r="D991">
        <v>89916.699420000004</v>
      </c>
      <c r="E991">
        <v>0</v>
      </c>
      <c r="F991">
        <v>624464.55680000002</v>
      </c>
      <c r="G991">
        <v>0</v>
      </c>
      <c r="H991">
        <v>1575</v>
      </c>
      <c r="I991" t="str">
        <f t="shared" si="61"/>
        <v>YES</v>
      </c>
      <c r="J991" t="s">
        <v>997</v>
      </c>
      <c r="K991">
        <v>470776.50970499997</v>
      </c>
      <c r="L991" s="1">
        <f t="shared" si="62"/>
        <v>0</v>
      </c>
      <c r="M991" s="1">
        <f t="shared" si="63"/>
        <v>0</v>
      </c>
      <c r="N991" s="1">
        <f t="shared" si="64"/>
        <v>0</v>
      </c>
      <c r="O991" s="1"/>
    </row>
    <row r="992" spans="1:15" x14ac:dyDescent="0.25">
      <c r="A992">
        <v>1576</v>
      </c>
      <c r="B992">
        <v>28046.997940000001</v>
      </c>
      <c r="C992">
        <v>0</v>
      </c>
      <c r="D992">
        <v>168504.25049999999</v>
      </c>
      <c r="E992">
        <v>0</v>
      </c>
      <c r="F992">
        <v>1049052.7549999999</v>
      </c>
      <c r="G992">
        <v>0</v>
      </c>
      <c r="H992">
        <v>1576</v>
      </c>
      <c r="I992" t="str">
        <f t="shared" si="61"/>
        <v>YES</v>
      </c>
      <c r="J992" t="s">
        <v>998</v>
      </c>
      <c r="K992">
        <v>83806.750270899996</v>
      </c>
      <c r="L992" s="1">
        <f t="shared" si="62"/>
        <v>0</v>
      </c>
      <c r="M992" s="1">
        <f t="shared" si="63"/>
        <v>0</v>
      </c>
      <c r="N992" s="1">
        <f t="shared" si="64"/>
        <v>0</v>
      </c>
      <c r="O992" s="1"/>
    </row>
    <row r="993" spans="1:15" x14ac:dyDescent="0.25">
      <c r="A993">
        <v>1577</v>
      </c>
      <c r="B993">
        <v>16336.631160000001</v>
      </c>
      <c r="C993">
        <v>0</v>
      </c>
      <c r="D993">
        <v>56628.882940000003</v>
      </c>
      <c r="E993">
        <v>0</v>
      </c>
      <c r="F993">
        <v>650308.15689999994</v>
      </c>
      <c r="G993">
        <v>0</v>
      </c>
      <c r="H993">
        <v>1577</v>
      </c>
      <c r="I993" t="str">
        <f t="shared" si="61"/>
        <v>YES</v>
      </c>
      <c r="J993" t="s">
        <v>999</v>
      </c>
      <c r="K993">
        <v>542259.81852099998</v>
      </c>
      <c r="L993" s="1">
        <f t="shared" si="62"/>
        <v>0</v>
      </c>
      <c r="M993" s="1">
        <f t="shared" si="63"/>
        <v>0</v>
      </c>
      <c r="N993" s="1">
        <f t="shared" si="64"/>
        <v>0</v>
      </c>
      <c r="O993" s="1"/>
    </row>
    <row r="994" spans="1:15" x14ac:dyDescent="0.25">
      <c r="A994">
        <v>1578</v>
      </c>
      <c r="B994">
        <v>23759.07836</v>
      </c>
      <c r="C994">
        <v>0</v>
      </c>
      <c r="D994">
        <v>66687.754620000007</v>
      </c>
      <c r="E994">
        <v>0</v>
      </c>
      <c r="F994">
        <v>500880.37040000001</v>
      </c>
      <c r="G994">
        <v>0</v>
      </c>
      <c r="H994">
        <v>1578</v>
      </c>
      <c r="I994" t="str">
        <f t="shared" si="61"/>
        <v>YES</v>
      </c>
      <c r="J994" t="s">
        <v>1000</v>
      </c>
      <c r="K994">
        <v>644289.13457600004</v>
      </c>
      <c r="L994" s="1">
        <f t="shared" si="62"/>
        <v>0</v>
      </c>
      <c r="M994" s="1">
        <f t="shared" si="63"/>
        <v>0</v>
      </c>
      <c r="N994" s="1">
        <f t="shared" si="64"/>
        <v>0</v>
      </c>
      <c r="O994" s="1"/>
    </row>
    <row r="995" spans="1:15" x14ac:dyDescent="0.25">
      <c r="A995">
        <v>1581</v>
      </c>
      <c r="B995">
        <v>33150.360670000002</v>
      </c>
      <c r="C995">
        <v>0</v>
      </c>
      <c r="D995">
        <v>155194.50520000001</v>
      </c>
      <c r="E995">
        <v>0</v>
      </c>
      <c r="F995">
        <v>941399.94</v>
      </c>
      <c r="G995">
        <v>0</v>
      </c>
      <c r="H995">
        <v>1581</v>
      </c>
      <c r="I995" t="str">
        <f t="shared" si="61"/>
        <v>YES</v>
      </c>
      <c r="J995" t="s">
        <v>1001</v>
      </c>
      <c r="K995">
        <v>112706.739395</v>
      </c>
      <c r="L995" s="1">
        <f t="shared" si="62"/>
        <v>0</v>
      </c>
      <c r="M995" s="1">
        <f t="shared" si="63"/>
        <v>0</v>
      </c>
      <c r="N995" s="1">
        <f t="shared" si="64"/>
        <v>0</v>
      </c>
      <c r="O995" s="1"/>
    </row>
    <row r="996" spans="1:15" x14ac:dyDescent="0.25">
      <c r="A996">
        <v>1582</v>
      </c>
      <c r="B996">
        <v>9660.9868669999996</v>
      </c>
      <c r="C996">
        <v>0</v>
      </c>
      <c r="D996">
        <v>67769.869149999999</v>
      </c>
      <c r="E996">
        <v>0</v>
      </c>
      <c r="F996">
        <v>359994.85840000003</v>
      </c>
      <c r="G996">
        <v>0</v>
      </c>
      <c r="H996">
        <v>1582</v>
      </c>
      <c r="I996" t="str">
        <f t="shared" si="61"/>
        <v>YES</v>
      </c>
      <c r="J996" t="s">
        <v>1002</v>
      </c>
      <c r="K996">
        <v>830689.04368400003</v>
      </c>
      <c r="L996" s="1">
        <f t="shared" si="62"/>
        <v>0</v>
      </c>
      <c r="M996" s="1">
        <f t="shared" si="63"/>
        <v>0</v>
      </c>
      <c r="N996" s="1">
        <f t="shared" si="64"/>
        <v>0</v>
      </c>
      <c r="O996" s="1"/>
    </row>
    <row r="997" spans="1:15" x14ac:dyDescent="0.25">
      <c r="A997">
        <v>1583</v>
      </c>
      <c r="B997">
        <v>35079.252999999997</v>
      </c>
      <c r="C997">
        <v>0</v>
      </c>
      <c r="D997">
        <v>242819.57130000001</v>
      </c>
      <c r="E997">
        <v>0</v>
      </c>
      <c r="F997">
        <v>1127227.304</v>
      </c>
      <c r="G997">
        <v>0</v>
      </c>
      <c r="H997">
        <v>1583</v>
      </c>
      <c r="I997" t="str">
        <f t="shared" si="61"/>
        <v>YES</v>
      </c>
      <c r="J997" t="s">
        <v>1003</v>
      </c>
      <c r="K997">
        <v>407884.24572399998</v>
      </c>
      <c r="L997" s="1">
        <f t="shared" si="62"/>
        <v>0</v>
      </c>
      <c r="M997" s="1">
        <f t="shared" si="63"/>
        <v>0</v>
      </c>
      <c r="N997" s="1">
        <f t="shared" si="64"/>
        <v>0</v>
      </c>
      <c r="O997" s="1"/>
    </row>
    <row r="998" spans="1:15" x14ac:dyDescent="0.25">
      <c r="A998">
        <v>1584</v>
      </c>
      <c r="B998">
        <v>36981.330650000004</v>
      </c>
      <c r="C998">
        <v>0</v>
      </c>
      <c r="D998">
        <v>237119.0289</v>
      </c>
      <c r="E998">
        <v>0</v>
      </c>
      <c r="F998">
        <v>1138562.618</v>
      </c>
      <c r="G998">
        <v>0</v>
      </c>
      <c r="H998">
        <v>1584</v>
      </c>
      <c r="I998" t="str">
        <f t="shared" si="61"/>
        <v>YES</v>
      </c>
      <c r="J998" t="s">
        <v>1004</v>
      </c>
      <c r="K998">
        <v>310284.22133700002</v>
      </c>
      <c r="L998" s="1">
        <f t="shared" si="62"/>
        <v>0</v>
      </c>
      <c r="M998" s="1">
        <f t="shared" si="63"/>
        <v>0</v>
      </c>
      <c r="N998" s="1">
        <f t="shared" si="64"/>
        <v>0</v>
      </c>
      <c r="O998" s="1"/>
    </row>
    <row r="999" spans="1:15" x14ac:dyDescent="0.25">
      <c r="A999">
        <v>1585</v>
      </c>
      <c r="B999">
        <v>29670.108209999999</v>
      </c>
      <c r="C999">
        <v>0</v>
      </c>
      <c r="D999">
        <v>146531.33660000001</v>
      </c>
      <c r="E999">
        <v>0</v>
      </c>
      <c r="F999">
        <v>917592.15720000002</v>
      </c>
      <c r="G999">
        <v>0</v>
      </c>
      <c r="H999">
        <v>1585</v>
      </c>
      <c r="I999" t="str">
        <f t="shared" si="61"/>
        <v>YES</v>
      </c>
      <c r="J999" t="s">
        <v>1005</v>
      </c>
      <c r="K999">
        <v>500268.48068099999</v>
      </c>
      <c r="L999" s="1">
        <f t="shared" si="62"/>
        <v>0</v>
      </c>
      <c r="M999" s="1">
        <f t="shared" si="63"/>
        <v>0</v>
      </c>
      <c r="N999" s="1">
        <f t="shared" si="64"/>
        <v>0</v>
      </c>
      <c r="O999" s="1"/>
    </row>
    <row r="1000" spans="1:15" x14ac:dyDescent="0.25">
      <c r="A1000">
        <v>1586</v>
      </c>
      <c r="B1000">
        <v>34444.769229999998</v>
      </c>
      <c r="C1000">
        <v>0</v>
      </c>
      <c r="D1000">
        <v>169521.80900000001</v>
      </c>
      <c r="E1000">
        <v>0</v>
      </c>
      <c r="F1000">
        <v>1016039.441</v>
      </c>
      <c r="G1000">
        <v>0</v>
      </c>
      <c r="H1000">
        <v>1586</v>
      </c>
      <c r="I1000" t="str">
        <f t="shared" si="61"/>
        <v>YES</v>
      </c>
      <c r="J1000" t="s">
        <v>1006</v>
      </c>
      <c r="K1000">
        <v>391854.96223499998</v>
      </c>
      <c r="L1000" s="1">
        <f t="shared" si="62"/>
        <v>0</v>
      </c>
      <c r="M1000" s="1">
        <f t="shared" si="63"/>
        <v>0</v>
      </c>
      <c r="N1000" s="1">
        <f t="shared" si="64"/>
        <v>0</v>
      </c>
      <c r="O1000" s="1"/>
    </row>
    <row r="1001" spans="1:15" x14ac:dyDescent="0.25">
      <c r="A1001">
        <v>1587</v>
      </c>
      <c r="B1001">
        <v>30376.514500000001</v>
      </c>
      <c r="C1001">
        <v>0</v>
      </c>
      <c r="D1001">
        <v>164010.03839999999</v>
      </c>
      <c r="E1001">
        <v>0</v>
      </c>
      <c r="F1001">
        <v>1033084.339</v>
      </c>
      <c r="G1001">
        <v>0</v>
      </c>
      <c r="H1001">
        <v>1587</v>
      </c>
      <c r="I1001" t="str">
        <f t="shared" si="61"/>
        <v>YES</v>
      </c>
      <c r="J1001" t="s">
        <v>1007</v>
      </c>
      <c r="K1001">
        <v>181776.49681099999</v>
      </c>
      <c r="L1001" s="1">
        <f t="shared" si="62"/>
        <v>0</v>
      </c>
      <c r="M1001" s="1">
        <f t="shared" si="63"/>
        <v>0</v>
      </c>
      <c r="N1001" s="1">
        <f t="shared" si="64"/>
        <v>0</v>
      </c>
      <c r="O1001" s="1"/>
    </row>
    <row r="1002" spans="1:15" x14ac:dyDescent="0.25">
      <c r="A1002">
        <v>1588</v>
      </c>
      <c r="B1002">
        <v>4656.6139219999995</v>
      </c>
      <c r="C1002">
        <v>0</v>
      </c>
      <c r="D1002">
        <v>57762.253340000003</v>
      </c>
      <c r="E1002">
        <v>0</v>
      </c>
      <c r="F1002">
        <v>355590.23509999999</v>
      </c>
      <c r="G1002">
        <v>0</v>
      </c>
      <c r="H1002">
        <v>1588</v>
      </c>
      <c r="I1002" t="str">
        <f t="shared" si="61"/>
        <v>YES</v>
      </c>
      <c r="J1002" t="s">
        <v>1008</v>
      </c>
      <c r="K1002">
        <v>1252059.40151</v>
      </c>
      <c r="L1002" s="1">
        <f t="shared" si="62"/>
        <v>0</v>
      </c>
      <c r="M1002" s="1">
        <f t="shared" si="63"/>
        <v>0</v>
      </c>
      <c r="N1002" s="1">
        <f t="shared" si="64"/>
        <v>0</v>
      </c>
      <c r="O1002" s="1"/>
    </row>
    <row r="1003" spans="1:15" x14ac:dyDescent="0.25">
      <c r="A1003">
        <v>1589</v>
      </c>
      <c r="B1003">
        <v>49145.210420000003</v>
      </c>
      <c r="C1003">
        <v>0</v>
      </c>
      <c r="D1003">
        <v>504971.83350000001</v>
      </c>
      <c r="E1003">
        <v>0</v>
      </c>
      <c r="F1003">
        <v>1325242.1499999999</v>
      </c>
      <c r="G1003">
        <v>0</v>
      </c>
      <c r="H1003">
        <v>1589</v>
      </c>
      <c r="I1003" t="str">
        <f t="shared" si="61"/>
        <v>YES</v>
      </c>
      <c r="J1003" t="s">
        <v>1009</v>
      </c>
      <c r="K1003">
        <v>223930.103565</v>
      </c>
      <c r="L1003" s="1">
        <f t="shared" si="62"/>
        <v>0</v>
      </c>
      <c r="M1003" s="1">
        <f t="shared" si="63"/>
        <v>0</v>
      </c>
      <c r="N1003" s="1">
        <f t="shared" si="64"/>
        <v>0</v>
      </c>
      <c r="O1003" s="1"/>
    </row>
    <row r="1004" spans="1:15" x14ac:dyDescent="0.25">
      <c r="A1004">
        <v>1590</v>
      </c>
      <c r="B1004">
        <v>21504.180120000001</v>
      </c>
      <c r="C1004">
        <v>0</v>
      </c>
      <c r="D1004">
        <v>140035.48439999999</v>
      </c>
      <c r="E1004">
        <v>0</v>
      </c>
      <c r="F1004">
        <v>1044378.0209999999</v>
      </c>
      <c r="G1004">
        <v>0</v>
      </c>
      <c r="H1004">
        <v>1590</v>
      </c>
      <c r="I1004" t="str">
        <f t="shared" si="61"/>
        <v>YES</v>
      </c>
      <c r="J1004" t="s">
        <v>1010</v>
      </c>
      <c r="K1004">
        <v>581748.82022200001</v>
      </c>
      <c r="L1004" s="1">
        <f t="shared" si="62"/>
        <v>0</v>
      </c>
      <c r="M1004" s="1">
        <f t="shared" si="63"/>
        <v>0</v>
      </c>
      <c r="N1004" s="1">
        <f t="shared" si="64"/>
        <v>0</v>
      </c>
      <c r="O1004" s="1"/>
    </row>
    <row r="1005" spans="1:15" x14ac:dyDescent="0.25">
      <c r="A1005">
        <v>1591</v>
      </c>
      <c r="B1005">
        <v>36193.948490000002</v>
      </c>
      <c r="C1005">
        <v>0</v>
      </c>
      <c r="D1005">
        <v>223388.8947</v>
      </c>
      <c r="E1005">
        <v>0</v>
      </c>
      <c r="F1005">
        <v>1175877.879</v>
      </c>
      <c r="G1005">
        <v>0</v>
      </c>
      <c r="H1005">
        <v>1591</v>
      </c>
      <c r="I1005" t="str">
        <f t="shared" si="61"/>
        <v>YES</v>
      </c>
      <c r="J1005" t="s">
        <v>1011</v>
      </c>
      <c r="K1005">
        <v>102691.801488</v>
      </c>
      <c r="L1005" s="1">
        <f t="shared" si="62"/>
        <v>0</v>
      </c>
      <c r="M1005" s="1">
        <f t="shared" si="63"/>
        <v>0</v>
      </c>
      <c r="N1005" s="1">
        <f t="shared" si="64"/>
        <v>0</v>
      </c>
      <c r="O1005" s="1"/>
    </row>
    <row r="1006" spans="1:15" x14ac:dyDescent="0.25">
      <c r="A1006">
        <v>1600</v>
      </c>
      <c r="B1006">
        <v>354.38495139999998</v>
      </c>
      <c r="C1006">
        <v>0</v>
      </c>
      <c r="D1006">
        <v>865.70129489999999</v>
      </c>
      <c r="E1006">
        <v>0</v>
      </c>
      <c r="F1006">
        <v>10871.692940000001</v>
      </c>
      <c r="G1006">
        <v>0</v>
      </c>
      <c r="H1006">
        <v>1600</v>
      </c>
      <c r="I1006" t="str">
        <f t="shared" si="61"/>
        <v>YES</v>
      </c>
      <c r="J1006" t="s">
        <v>1012</v>
      </c>
      <c r="K1006">
        <v>4622500.4824599996</v>
      </c>
      <c r="L1006" s="1">
        <f t="shared" si="62"/>
        <v>0</v>
      </c>
      <c r="M1006" s="1">
        <f t="shared" si="63"/>
        <v>0</v>
      </c>
      <c r="N1006" s="1">
        <f t="shared" si="64"/>
        <v>0</v>
      </c>
      <c r="O1006" s="1"/>
    </row>
    <row r="1007" spans="1:15" x14ac:dyDescent="0.25">
      <c r="A1007">
        <v>1601</v>
      </c>
      <c r="B1007">
        <v>2389.094286</v>
      </c>
      <c r="C1007">
        <v>0</v>
      </c>
      <c r="D1007">
        <v>2628.07555</v>
      </c>
      <c r="E1007">
        <v>0</v>
      </c>
      <c r="F1007">
        <v>14290.3676</v>
      </c>
      <c r="G1007">
        <v>0</v>
      </c>
      <c r="H1007">
        <v>1601</v>
      </c>
      <c r="I1007" t="str">
        <f t="shared" si="61"/>
        <v>YES</v>
      </c>
      <c r="J1007" t="s">
        <v>1013</v>
      </c>
      <c r="K1007">
        <v>10266871.7501</v>
      </c>
      <c r="L1007" s="1">
        <f t="shared" si="62"/>
        <v>0</v>
      </c>
      <c r="M1007" s="1">
        <f t="shared" si="63"/>
        <v>0</v>
      </c>
      <c r="N1007" s="1">
        <f t="shared" si="64"/>
        <v>0</v>
      </c>
      <c r="O1007" s="1"/>
    </row>
    <row r="1008" spans="1:15" x14ac:dyDescent="0.25">
      <c r="A1008">
        <v>1602</v>
      </c>
      <c r="B1008">
        <v>205.24545979999999</v>
      </c>
      <c r="C1008">
        <v>0</v>
      </c>
      <c r="D1008">
        <v>205.24545979999999</v>
      </c>
      <c r="E1008">
        <v>0</v>
      </c>
      <c r="F1008">
        <v>13662.43108</v>
      </c>
      <c r="G1008">
        <v>0</v>
      </c>
      <c r="H1008">
        <v>1602</v>
      </c>
      <c r="I1008" t="str">
        <f t="shared" si="61"/>
        <v>YES</v>
      </c>
      <c r="J1008" t="s">
        <v>1014</v>
      </c>
      <c r="K1008">
        <v>2330037.0547000002</v>
      </c>
      <c r="L1008" s="1">
        <f t="shared" si="62"/>
        <v>0</v>
      </c>
      <c r="M1008" s="1">
        <f t="shared" si="63"/>
        <v>0</v>
      </c>
      <c r="N1008" s="1">
        <f t="shared" si="64"/>
        <v>0</v>
      </c>
      <c r="O1008" s="1"/>
    </row>
    <row r="1009" spans="1:15" x14ac:dyDescent="0.25">
      <c r="A1009">
        <v>1603</v>
      </c>
      <c r="B1009">
        <v>394.77280630000001</v>
      </c>
      <c r="C1009">
        <v>0</v>
      </c>
      <c r="D1009">
        <v>10222.09246</v>
      </c>
      <c r="E1009">
        <v>0</v>
      </c>
      <c r="F1009">
        <v>33298.237710000001</v>
      </c>
      <c r="G1009">
        <v>0</v>
      </c>
      <c r="H1009">
        <v>1603</v>
      </c>
      <c r="I1009" t="str">
        <f t="shared" si="61"/>
        <v>YES</v>
      </c>
      <c r="J1009" t="s">
        <v>1015</v>
      </c>
      <c r="K1009">
        <v>3308687.9978700001</v>
      </c>
      <c r="L1009" s="1">
        <f t="shared" si="62"/>
        <v>0</v>
      </c>
      <c r="M1009" s="1">
        <f t="shared" si="63"/>
        <v>0</v>
      </c>
      <c r="N1009" s="1">
        <f t="shared" si="64"/>
        <v>0</v>
      </c>
      <c r="O1009" s="1"/>
    </row>
    <row r="1010" spans="1:15" x14ac:dyDescent="0.25">
      <c r="A1010">
        <v>1604</v>
      </c>
      <c r="B1010">
        <v>1045.8856470000001</v>
      </c>
      <c r="C1010">
        <v>0</v>
      </c>
      <c r="D1010">
        <v>10440.72147</v>
      </c>
      <c r="E1010">
        <v>0</v>
      </c>
      <c r="F1010">
        <v>30849.654589999998</v>
      </c>
      <c r="G1010">
        <v>0</v>
      </c>
      <c r="H1010">
        <v>1604</v>
      </c>
      <c r="I1010" t="str">
        <f t="shared" si="61"/>
        <v>YES</v>
      </c>
      <c r="J1010" t="s">
        <v>1016</v>
      </c>
      <c r="K1010">
        <v>2307156.8396299998</v>
      </c>
      <c r="L1010" s="1">
        <f t="shared" si="62"/>
        <v>0</v>
      </c>
      <c r="M1010" s="1">
        <f t="shared" si="63"/>
        <v>0</v>
      </c>
      <c r="N1010" s="1">
        <f t="shared" si="64"/>
        <v>0</v>
      </c>
      <c r="O1010" s="1"/>
    </row>
    <row r="1011" spans="1:15" x14ac:dyDescent="0.25">
      <c r="A1011">
        <v>1605</v>
      </c>
      <c r="B1011">
        <v>179.89538049999999</v>
      </c>
      <c r="C1011">
        <v>0</v>
      </c>
      <c r="D1011">
        <v>179.89538049999999</v>
      </c>
      <c r="E1011">
        <v>0</v>
      </c>
      <c r="F1011">
        <v>416.6828021</v>
      </c>
      <c r="G1011">
        <v>0</v>
      </c>
      <c r="H1011">
        <v>1605</v>
      </c>
      <c r="I1011" t="str">
        <f t="shared" si="61"/>
        <v>YES</v>
      </c>
      <c r="J1011" t="s">
        <v>1017</v>
      </c>
      <c r="K1011">
        <v>6404994.4438699996</v>
      </c>
      <c r="L1011" s="1">
        <f t="shared" si="62"/>
        <v>0</v>
      </c>
      <c r="M1011" s="1">
        <f t="shared" si="63"/>
        <v>0</v>
      </c>
      <c r="N1011" s="1">
        <f t="shared" si="64"/>
        <v>0</v>
      </c>
      <c r="O1011" s="1"/>
    </row>
    <row r="1012" spans="1:15" x14ac:dyDescent="0.25">
      <c r="A1012">
        <v>1606</v>
      </c>
      <c r="B1012">
        <v>865.70129489999999</v>
      </c>
      <c r="C1012">
        <v>0</v>
      </c>
      <c r="D1012">
        <v>12086.26908</v>
      </c>
      <c r="E1012">
        <v>0</v>
      </c>
      <c r="F1012">
        <v>41308.473010000002</v>
      </c>
      <c r="G1012">
        <v>0</v>
      </c>
      <c r="H1012">
        <v>1606</v>
      </c>
      <c r="I1012" t="str">
        <f t="shared" si="61"/>
        <v>YES</v>
      </c>
      <c r="J1012" t="s">
        <v>1018</v>
      </c>
      <c r="K1012">
        <v>2061848.3590500001</v>
      </c>
      <c r="L1012" s="1">
        <f t="shared" si="62"/>
        <v>0</v>
      </c>
      <c r="M1012" s="1">
        <f t="shared" si="63"/>
        <v>0</v>
      </c>
      <c r="N1012" s="1">
        <f t="shared" si="64"/>
        <v>0</v>
      </c>
      <c r="O1012" s="1"/>
    </row>
    <row r="1013" spans="1:15" x14ac:dyDescent="0.25">
      <c r="A1013">
        <v>1607</v>
      </c>
      <c r="B1013">
        <v>9483.836706</v>
      </c>
      <c r="C1013">
        <v>0</v>
      </c>
      <c r="D1013">
        <v>23080.567849999999</v>
      </c>
      <c r="E1013">
        <v>0</v>
      </c>
      <c r="F1013">
        <v>92607.790129999994</v>
      </c>
      <c r="G1013">
        <v>0</v>
      </c>
      <c r="H1013">
        <v>1607</v>
      </c>
      <c r="I1013" t="str">
        <f t="shared" si="61"/>
        <v>YES</v>
      </c>
      <c r="J1013" t="s">
        <v>1019</v>
      </c>
      <c r="K1013">
        <v>683054.36629399995</v>
      </c>
      <c r="L1013" s="1">
        <f t="shared" si="62"/>
        <v>0</v>
      </c>
      <c r="M1013" s="1">
        <f t="shared" si="63"/>
        <v>0</v>
      </c>
      <c r="N1013" s="1">
        <f t="shared" si="64"/>
        <v>0</v>
      </c>
      <c r="O1013" s="1"/>
    </row>
    <row r="1014" spans="1:15" x14ac:dyDescent="0.25">
      <c r="A1014">
        <v>1608</v>
      </c>
      <c r="B1014">
        <v>236.78742159999999</v>
      </c>
      <c r="C1014">
        <v>0</v>
      </c>
      <c r="D1014">
        <v>236.78742159999999</v>
      </c>
      <c r="E1014">
        <v>0</v>
      </c>
      <c r="F1014">
        <v>10747.539919999999</v>
      </c>
      <c r="G1014">
        <v>0</v>
      </c>
      <c r="H1014">
        <v>1608</v>
      </c>
      <c r="I1014" t="str">
        <f t="shared" si="61"/>
        <v>YES</v>
      </c>
      <c r="J1014" t="s">
        <v>1020</v>
      </c>
      <c r="K1014">
        <v>2163610.1498799999</v>
      </c>
      <c r="L1014" s="1">
        <f t="shared" si="62"/>
        <v>0</v>
      </c>
      <c r="M1014" s="1">
        <f t="shared" si="63"/>
        <v>0</v>
      </c>
      <c r="N1014" s="1">
        <f t="shared" si="64"/>
        <v>0</v>
      </c>
      <c r="O1014" s="1"/>
    </row>
    <row r="1015" spans="1:15" x14ac:dyDescent="0.25">
      <c r="A1015">
        <v>1609</v>
      </c>
      <c r="B1015">
        <v>15539.23509</v>
      </c>
      <c r="C1015">
        <v>0</v>
      </c>
      <c r="D1015">
        <v>33054.733209999999</v>
      </c>
      <c r="E1015">
        <v>0</v>
      </c>
      <c r="F1015">
        <v>176161.82339999999</v>
      </c>
      <c r="G1015">
        <v>0</v>
      </c>
      <c r="H1015">
        <v>1609</v>
      </c>
      <c r="I1015" t="str">
        <f t="shared" si="61"/>
        <v>YES</v>
      </c>
      <c r="J1015" t="s">
        <v>1021</v>
      </c>
      <c r="K1015">
        <v>472475.85551800003</v>
      </c>
      <c r="L1015" s="1">
        <f t="shared" si="62"/>
        <v>0</v>
      </c>
      <c r="M1015" s="1">
        <f t="shared" si="63"/>
        <v>0</v>
      </c>
      <c r="N1015" s="1">
        <f t="shared" si="64"/>
        <v>0</v>
      </c>
      <c r="O1015" s="1"/>
    </row>
    <row r="1016" spans="1:15" x14ac:dyDescent="0.25">
      <c r="A1016">
        <v>1612</v>
      </c>
      <c r="B1016">
        <v>290.57884610000002</v>
      </c>
      <c r="C1016">
        <v>0</v>
      </c>
      <c r="D1016">
        <v>290.57884610000002</v>
      </c>
      <c r="E1016">
        <v>0</v>
      </c>
      <c r="F1016">
        <v>290.57884610000002</v>
      </c>
      <c r="G1016">
        <v>0</v>
      </c>
      <c r="H1016">
        <v>1612</v>
      </c>
      <c r="I1016" t="str">
        <f t="shared" si="61"/>
        <v>YES</v>
      </c>
      <c r="J1016" t="s">
        <v>1022</v>
      </c>
      <c r="K1016">
        <v>315727.34422899998</v>
      </c>
      <c r="L1016" s="1">
        <f t="shared" si="62"/>
        <v>0</v>
      </c>
      <c r="M1016" s="1">
        <f t="shared" si="63"/>
        <v>0</v>
      </c>
      <c r="N1016" s="1">
        <f t="shared" si="64"/>
        <v>0</v>
      </c>
      <c r="O1016" s="1"/>
    </row>
    <row r="1017" spans="1:15" x14ac:dyDescent="0.25">
      <c r="A1017">
        <v>1613</v>
      </c>
      <c r="B1017">
        <v>290.57884610000002</v>
      </c>
      <c r="C1017">
        <v>0</v>
      </c>
      <c r="D1017">
        <v>290.57884610000002</v>
      </c>
      <c r="E1017">
        <v>0</v>
      </c>
      <c r="F1017">
        <v>290.57884610000002</v>
      </c>
      <c r="G1017">
        <v>0</v>
      </c>
      <c r="H1017">
        <v>1613</v>
      </c>
      <c r="I1017" t="str">
        <f t="shared" si="61"/>
        <v>YES</v>
      </c>
      <c r="J1017" t="s">
        <v>1023</v>
      </c>
      <c r="K1017">
        <v>2062137.1649499999</v>
      </c>
      <c r="L1017" s="1">
        <f t="shared" si="62"/>
        <v>0</v>
      </c>
      <c r="M1017" s="1">
        <f t="shared" si="63"/>
        <v>0</v>
      </c>
      <c r="N1017" s="1">
        <f t="shared" si="64"/>
        <v>0</v>
      </c>
      <c r="O1017" s="1"/>
    </row>
    <row r="1018" spans="1:15" x14ac:dyDescent="0.25">
      <c r="A1018">
        <v>1614</v>
      </c>
      <c r="B1018">
        <v>229.29119259999999</v>
      </c>
      <c r="C1018">
        <v>0</v>
      </c>
      <c r="D1018">
        <v>229.29119259999999</v>
      </c>
      <c r="E1018">
        <v>0</v>
      </c>
      <c r="F1018">
        <v>229.29119259999999</v>
      </c>
      <c r="G1018">
        <v>0</v>
      </c>
      <c r="H1018">
        <v>1614</v>
      </c>
      <c r="I1018" t="str">
        <f t="shared" si="61"/>
        <v>YES</v>
      </c>
      <c r="J1018" t="s">
        <v>1024</v>
      </c>
      <c r="K1018">
        <v>62663750.447300002</v>
      </c>
      <c r="L1018" s="1">
        <f t="shared" si="62"/>
        <v>0</v>
      </c>
      <c r="M1018" s="1">
        <f t="shared" si="63"/>
        <v>0</v>
      </c>
      <c r="N1018" s="1">
        <f t="shared" si="64"/>
        <v>0</v>
      </c>
      <c r="O1018" s="1"/>
    </row>
    <row r="1019" spans="1:15" x14ac:dyDescent="0.25">
      <c r="A1019">
        <v>1615</v>
      </c>
      <c r="B1019">
        <v>322.9601346</v>
      </c>
      <c r="C1019">
        <v>0</v>
      </c>
      <c r="D1019">
        <v>322.9601346</v>
      </c>
      <c r="E1019">
        <v>0</v>
      </c>
      <c r="F1019">
        <v>1175.776288</v>
      </c>
      <c r="G1019">
        <v>0</v>
      </c>
      <c r="H1019">
        <v>1615</v>
      </c>
      <c r="I1019" t="str">
        <f t="shared" si="61"/>
        <v>YES</v>
      </c>
      <c r="J1019" t="s">
        <v>1025</v>
      </c>
      <c r="K1019">
        <v>5049411.0776899997</v>
      </c>
      <c r="L1019" s="1">
        <f t="shared" si="62"/>
        <v>0</v>
      </c>
      <c r="M1019" s="1">
        <f t="shared" si="63"/>
        <v>0</v>
      </c>
      <c r="N1019" s="1">
        <f t="shared" si="64"/>
        <v>0</v>
      </c>
      <c r="O1019" s="1"/>
    </row>
    <row r="1020" spans="1:15" x14ac:dyDescent="0.25">
      <c r="A1020">
        <v>1616</v>
      </c>
      <c r="B1020">
        <v>463.46325150000001</v>
      </c>
      <c r="C1020">
        <v>0</v>
      </c>
      <c r="D1020">
        <v>1175.776288</v>
      </c>
      <c r="E1020">
        <v>0</v>
      </c>
      <c r="F1020">
        <v>10093.031569999999</v>
      </c>
      <c r="G1020">
        <v>0</v>
      </c>
      <c r="H1020">
        <v>1616</v>
      </c>
      <c r="I1020" t="str">
        <f t="shared" si="61"/>
        <v>YES</v>
      </c>
      <c r="J1020" t="s">
        <v>1026</v>
      </c>
      <c r="K1020">
        <v>4553153.9128900003</v>
      </c>
      <c r="L1020" s="1">
        <f t="shared" si="62"/>
        <v>0</v>
      </c>
      <c r="M1020" s="1">
        <f t="shared" si="63"/>
        <v>0</v>
      </c>
      <c r="N1020" s="1">
        <f t="shared" si="64"/>
        <v>0</v>
      </c>
      <c r="O1020" s="1"/>
    </row>
    <row r="1021" spans="1:15" x14ac:dyDescent="0.25">
      <c r="A1021">
        <v>1617</v>
      </c>
      <c r="B1021">
        <v>852.81615380000005</v>
      </c>
      <c r="C1021">
        <v>0</v>
      </c>
      <c r="D1021">
        <v>1091.7974180000001</v>
      </c>
      <c r="E1021">
        <v>0</v>
      </c>
      <c r="F1021">
        <v>11306.136780000001</v>
      </c>
      <c r="G1021">
        <v>0</v>
      </c>
      <c r="H1021">
        <v>1617</v>
      </c>
      <c r="I1021" t="str">
        <f t="shared" si="61"/>
        <v>YES</v>
      </c>
      <c r="J1021" t="s">
        <v>1027</v>
      </c>
      <c r="K1021">
        <v>1373472.74902</v>
      </c>
      <c r="L1021" s="1">
        <f t="shared" si="62"/>
        <v>0</v>
      </c>
      <c r="M1021" s="1">
        <f t="shared" si="63"/>
        <v>0</v>
      </c>
      <c r="N1021" s="1">
        <f t="shared" si="64"/>
        <v>0</v>
      </c>
      <c r="O1021" s="1"/>
    </row>
    <row r="1022" spans="1:15" x14ac:dyDescent="0.25">
      <c r="A1022">
        <v>1618</v>
      </c>
      <c r="B1022">
        <v>238.9812642</v>
      </c>
      <c r="C1022">
        <v>0</v>
      </c>
      <c r="D1022">
        <v>3480.8917040000001</v>
      </c>
      <c r="E1022">
        <v>0</v>
      </c>
      <c r="F1022">
        <v>18747.751960000001</v>
      </c>
      <c r="G1022">
        <v>0</v>
      </c>
      <c r="H1022">
        <v>1618</v>
      </c>
      <c r="I1022" t="str">
        <f t="shared" si="61"/>
        <v>YES</v>
      </c>
      <c r="J1022" t="s">
        <v>1028</v>
      </c>
      <c r="K1022">
        <v>5584597.7801900003</v>
      </c>
      <c r="L1022" s="1">
        <f t="shared" si="62"/>
        <v>0</v>
      </c>
      <c r="M1022" s="1">
        <f t="shared" si="63"/>
        <v>0</v>
      </c>
      <c r="N1022" s="1">
        <f t="shared" si="64"/>
        <v>0</v>
      </c>
      <c r="O1022" s="1"/>
    </row>
    <row r="1023" spans="1:15" x14ac:dyDescent="0.25">
      <c r="A1023">
        <v>1619</v>
      </c>
      <c r="B1023">
        <v>14619.35535</v>
      </c>
      <c r="C1023">
        <v>0</v>
      </c>
      <c r="D1023">
        <v>26150.89445</v>
      </c>
      <c r="E1023">
        <v>0</v>
      </c>
      <c r="F1023">
        <v>129278.5781</v>
      </c>
      <c r="G1023">
        <v>0</v>
      </c>
      <c r="H1023">
        <v>1619</v>
      </c>
      <c r="I1023" t="str">
        <f t="shared" si="61"/>
        <v>YES</v>
      </c>
      <c r="J1023" t="s">
        <v>1029</v>
      </c>
      <c r="K1023">
        <v>535131.42688899999</v>
      </c>
      <c r="L1023" s="1">
        <f t="shared" si="62"/>
        <v>0</v>
      </c>
      <c r="M1023" s="1">
        <f t="shared" si="63"/>
        <v>0</v>
      </c>
      <c r="N1023" s="1">
        <f t="shared" si="64"/>
        <v>0</v>
      </c>
      <c r="O1023" s="1"/>
    </row>
    <row r="1024" spans="1:15" x14ac:dyDescent="0.25">
      <c r="A1024">
        <v>1620</v>
      </c>
      <c r="B1024">
        <v>13629.850899999999</v>
      </c>
      <c r="C1024">
        <v>0</v>
      </c>
      <c r="D1024">
        <v>43394.743190000001</v>
      </c>
      <c r="E1024">
        <v>0</v>
      </c>
      <c r="F1024">
        <v>265101.59659999999</v>
      </c>
      <c r="G1024">
        <v>0</v>
      </c>
      <c r="H1024">
        <v>1620</v>
      </c>
      <c r="I1024" t="str">
        <f t="shared" si="61"/>
        <v>YES</v>
      </c>
      <c r="J1024" t="s">
        <v>1030</v>
      </c>
      <c r="K1024">
        <v>280796.90620099998</v>
      </c>
      <c r="L1024" s="1">
        <f t="shared" si="62"/>
        <v>0</v>
      </c>
      <c r="M1024" s="1">
        <f t="shared" si="63"/>
        <v>0</v>
      </c>
      <c r="N1024" s="1">
        <f t="shared" si="64"/>
        <v>0</v>
      </c>
      <c r="O1024" s="1"/>
    </row>
    <row r="1025" spans="1:15" x14ac:dyDescent="0.25">
      <c r="A1025">
        <v>1621</v>
      </c>
      <c r="B1025">
        <v>9222.9582009999995</v>
      </c>
      <c r="C1025">
        <v>0</v>
      </c>
      <c r="D1025">
        <v>23173.981299999999</v>
      </c>
      <c r="E1025">
        <v>0</v>
      </c>
      <c r="F1025">
        <v>83087.010219999996</v>
      </c>
      <c r="G1025">
        <v>0</v>
      </c>
      <c r="H1025">
        <v>1621</v>
      </c>
      <c r="I1025" t="str">
        <f t="shared" si="61"/>
        <v>YES</v>
      </c>
      <c r="J1025" t="s">
        <v>1031</v>
      </c>
      <c r="K1025">
        <v>740764.54385500005</v>
      </c>
      <c r="L1025" s="1">
        <f t="shared" si="62"/>
        <v>0</v>
      </c>
      <c r="M1025" s="1">
        <f t="shared" si="63"/>
        <v>0</v>
      </c>
      <c r="N1025" s="1">
        <f t="shared" si="64"/>
        <v>0</v>
      </c>
      <c r="O1025" s="1"/>
    </row>
    <row r="1026" spans="1:15" x14ac:dyDescent="0.25">
      <c r="A1026">
        <v>1622</v>
      </c>
      <c r="B1026">
        <v>732.19521859999998</v>
      </c>
      <c r="C1026">
        <v>0</v>
      </c>
      <c r="D1026">
        <v>9806.430214</v>
      </c>
      <c r="E1026">
        <v>0</v>
      </c>
      <c r="F1026">
        <v>23453.659329999999</v>
      </c>
      <c r="G1026">
        <v>0</v>
      </c>
      <c r="H1026">
        <v>1622</v>
      </c>
      <c r="I1026" t="str">
        <f t="shared" ref="I1026:I1089" si="65">IF(A1026=H1026,"YES","NO")</f>
        <v>YES</v>
      </c>
      <c r="J1026" t="s">
        <v>1032</v>
      </c>
      <c r="K1026">
        <v>3259646.9613999999</v>
      </c>
      <c r="L1026" s="1">
        <f t="shared" si="62"/>
        <v>0</v>
      </c>
      <c r="M1026" s="1">
        <f t="shared" si="63"/>
        <v>0</v>
      </c>
      <c r="N1026" s="1">
        <f t="shared" si="64"/>
        <v>0</v>
      </c>
      <c r="O1026" s="1"/>
    </row>
    <row r="1027" spans="1:15" x14ac:dyDescent="0.25">
      <c r="A1027">
        <v>1623</v>
      </c>
      <c r="B1027">
        <v>6782.4315370000004</v>
      </c>
      <c r="C1027">
        <v>0</v>
      </c>
      <c r="D1027">
        <v>16671.698260000001</v>
      </c>
      <c r="E1027">
        <v>0</v>
      </c>
      <c r="F1027">
        <v>33532.398759999996</v>
      </c>
      <c r="G1027">
        <v>0</v>
      </c>
      <c r="H1027">
        <v>1623</v>
      </c>
      <c r="I1027" t="str">
        <f t="shared" si="65"/>
        <v>YES</v>
      </c>
      <c r="J1027" t="s">
        <v>1033</v>
      </c>
      <c r="K1027">
        <v>680951.56252200005</v>
      </c>
      <c r="L1027" s="1">
        <f t="shared" ref="L1027:L1090" si="66">$U$2*$K1027*C1027</f>
        <v>0</v>
      </c>
      <c r="M1027" s="1">
        <f t="shared" ref="M1027:M1090" si="67">$U$3*$K1027*E1027</f>
        <v>0</v>
      </c>
      <c r="N1027" s="1">
        <f t="shared" ref="N1027:N1090" si="68">$U$4*$K1027*G1027</f>
        <v>0</v>
      </c>
      <c r="O1027" s="1"/>
    </row>
    <row r="1028" spans="1:15" x14ac:dyDescent="0.25">
      <c r="A1028">
        <v>1624</v>
      </c>
      <c r="B1028">
        <v>15026.928690000001</v>
      </c>
      <c r="C1028">
        <v>0</v>
      </c>
      <c r="D1028">
        <v>27231.012220000001</v>
      </c>
      <c r="E1028">
        <v>0</v>
      </c>
      <c r="F1028">
        <v>116836.0661</v>
      </c>
      <c r="G1028">
        <v>0</v>
      </c>
      <c r="H1028">
        <v>1624</v>
      </c>
      <c r="I1028" t="str">
        <f t="shared" si="65"/>
        <v>YES</v>
      </c>
      <c r="J1028" t="s">
        <v>1034</v>
      </c>
      <c r="K1028">
        <v>457652.42807099997</v>
      </c>
      <c r="L1028" s="1">
        <f t="shared" si="66"/>
        <v>0</v>
      </c>
      <c r="M1028" s="1">
        <f t="shared" si="67"/>
        <v>0</v>
      </c>
      <c r="N1028" s="1">
        <f t="shared" si="68"/>
        <v>0</v>
      </c>
      <c r="O1028" s="1"/>
    </row>
    <row r="1029" spans="1:15" x14ac:dyDescent="0.25">
      <c r="A1029">
        <v>1625</v>
      </c>
      <c r="B1029">
        <v>20040.480060000002</v>
      </c>
      <c r="C1029">
        <v>0</v>
      </c>
      <c r="D1029">
        <v>113611.98510000001</v>
      </c>
      <c r="E1029">
        <v>0</v>
      </c>
      <c r="F1029">
        <v>539867.14769999997</v>
      </c>
      <c r="G1029">
        <v>0</v>
      </c>
      <c r="H1029">
        <v>1625</v>
      </c>
      <c r="I1029" t="str">
        <f t="shared" si="65"/>
        <v>YES</v>
      </c>
      <c r="J1029" t="s">
        <v>1035</v>
      </c>
      <c r="K1029">
        <v>224322.82866100001</v>
      </c>
      <c r="L1029" s="1">
        <f t="shared" si="66"/>
        <v>0</v>
      </c>
      <c r="M1029" s="1">
        <f t="shared" si="67"/>
        <v>0</v>
      </c>
      <c r="N1029" s="1">
        <f t="shared" si="68"/>
        <v>0</v>
      </c>
      <c r="O1029" s="1"/>
    </row>
    <row r="1030" spans="1:15" x14ac:dyDescent="0.25">
      <c r="A1030">
        <v>1626</v>
      </c>
      <c r="B1030">
        <v>13390.6325</v>
      </c>
      <c r="C1030">
        <v>0</v>
      </c>
      <c r="D1030">
        <v>22395.145570000001</v>
      </c>
      <c r="E1030">
        <v>0</v>
      </c>
      <c r="F1030">
        <v>83826.867310000001</v>
      </c>
      <c r="G1030">
        <v>0</v>
      </c>
      <c r="H1030">
        <v>1626</v>
      </c>
      <c r="I1030" t="str">
        <f t="shared" si="65"/>
        <v>YES</v>
      </c>
      <c r="J1030" t="s">
        <v>1036</v>
      </c>
      <c r="K1030">
        <v>399926.61093999998</v>
      </c>
      <c r="L1030" s="1">
        <f t="shared" si="66"/>
        <v>0</v>
      </c>
      <c r="M1030" s="1">
        <f t="shared" si="67"/>
        <v>0</v>
      </c>
      <c r="N1030" s="1">
        <f t="shared" si="68"/>
        <v>0</v>
      </c>
      <c r="O1030" s="1"/>
    </row>
    <row r="1031" spans="1:15" x14ac:dyDescent="0.25">
      <c r="A1031">
        <v>1627</v>
      </c>
      <c r="B1031">
        <v>22495.182980000001</v>
      </c>
      <c r="C1031">
        <v>0</v>
      </c>
      <c r="D1031">
        <v>143581.43150000001</v>
      </c>
      <c r="E1031">
        <v>0</v>
      </c>
      <c r="F1031">
        <v>672268.06889999995</v>
      </c>
      <c r="G1031">
        <v>0</v>
      </c>
      <c r="H1031">
        <v>1627</v>
      </c>
      <c r="I1031" t="str">
        <f t="shared" si="65"/>
        <v>YES</v>
      </c>
      <c r="J1031" t="s">
        <v>1037</v>
      </c>
      <c r="K1031">
        <v>282376.567079</v>
      </c>
      <c r="L1031" s="1">
        <f t="shared" si="66"/>
        <v>0</v>
      </c>
      <c r="M1031" s="1">
        <f t="shared" si="67"/>
        <v>0</v>
      </c>
      <c r="N1031" s="1">
        <f t="shared" si="68"/>
        <v>0</v>
      </c>
      <c r="O1031" s="1"/>
    </row>
    <row r="1032" spans="1:15" x14ac:dyDescent="0.25">
      <c r="A1032">
        <v>1628</v>
      </c>
      <c r="B1032">
        <v>18189.83656</v>
      </c>
      <c r="C1032">
        <v>0</v>
      </c>
      <c r="D1032">
        <v>48222.214359999998</v>
      </c>
      <c r="E1032">
        <v>0</v>
      </c>
      <c r="F1032">
        <v>333408.5846</v>
      </c>
      <c r="G1032">
        <v>0</v>
      </c>
      <c r="H1032">
        <v>1628</v>
      </c>
      <c r="I1032" t="str">
        <f t="shared" si="65"/>
        <v>YES</v>
      </c>
      <c r="J1032" t="s">
        <v>1038</v>
      </c>
      <c r="K1032">
        <v>337918.936934</v>
      </c>
      <c r="L1032" s="1">
        <f t="shared" si="66"/>
        <v>0</v>
      </c>
      <c r="M1032" s="1">
        <f t="shared" si="67"/>
        <v>0</v>
      </c>
      <c r="N1032" s="1">
        <f t="shared" si="68"/>
        <v>0</v>
      </c>
      <c r="O1032" s="1"/>
    </row>
    <row r="1033" spans="1:15" x14ac:dyDescent="0.25">
      <c r="A1033">
        <v>1629</v>
      </c>
      <c r="B1033">
        <v>11730.16216</v>
      </c>
      <c r="C1033">
        <v>0</v>
      </c>
      <c r="D1033">
        <v>46827.270190000003</v>
      </c>
      <c r="E1033">
        <v>0</v>
      </c>
      <c r="F1033">
        <v>298413.951</v>
      </c>
      <c r="G1033">
        <v>0</v>
      </c>
      <c r="H1033">
        <v>1629</v>
      </c>
      <c r="I1033" t="str">
        <f t="shared" si="65"/>
        <v>YES</v>
      </c>
      <c r="J1033" t="s">
        <v>1039</v>
      </c>
      <c r="K1033">
        <v>688711.58427200001</v>
      </c>
      <c r="L1033" s="1">
        <f t="shared" si="66"/>
        <v>0</v>
      </c>
      <c r="M1033" s="1">
        <f t="shared" si="67"/>
        <v>0</v>
      </c>
      <c r="N1033" s="1">
        <f t="shared" si="68"/>
        <v>0</v>
      </c>
      <c r="O1033" s="1"/>
    </row>
    <row r="1034" spans="1:15" x14ac:dyDescent="0.25">
      <c r="A1034">
        <v>1630</v>
      </c>
      <c r="B1034">
        <v>22568.66619</v>
      </c>
      <c r="C1034">
        <v>0</v>
      </c>
      <c r="D1034">
        <v>93018.220230000006</v>
      </c>
      <c r="E1034">
        <v>0</v>
      </c>
      <c r="F1034">
        <v>458677.16190000001</v>
      </c>
      <c r="G1034">
        <v>0</v>
      </c>
      <c r="H1034">
        <v>1630</v>
      </c>
      <c r="I1034" t="str">
        <f t="shared" si="65"/>
        <v>YES</v>
      </c>
      <c r="J1034" t="s">
        <v>1040</v>
      </c>
      <c r="K1034">
        <v>124153.55577799999</v>
      </c>
      <c r="L1034" s="1">
        <f t="shared" si="66"/>
        <v>0</v>
      </c>
      <c r="M1034" s="1">
        <f t="shared" si="67"/>
        <v>0</v>
      </c>
      <c r="N1034" s="1">
        <f t="shared" si="68"/>
        <v>0</v>
      </c>
      <c r="O1034" s="1"/>
    </row>
    <row r="1035" spans="1:15" x14ac:dyDescent="0.25">
      <c r="A1035">
        <v>1631</v>
      </c>
      <c r="B1035">
        <v>19934.68736</v>
      </c>
      <c r="C1035">
        <v>0</v>
      </c>
      <c r="D1035">
        <v>107514.07</v>
      </c>
      <c r="E1035">
        <v>0</v>
      </c>
      <c r="F1035">
        <v>622913.54599999997</v>
      </c>
      <c r="G1035">
        <v>0</v>
      </c>
      <c r="H1035">
        <v>1631</v>
      </c>
      <c r="I1035" t="str">
        <f t="shared" si="65"/>
        <v>YES</v>
      </c>
      <c r="J1035" t="s">
        <v>1041</v>
      </c>
      <c r="K1035">
        <v>120735.453993</v>
      </c>
      <c r="L1035" s="1">
        <f t="shared" si="66"/>
        <v>0</v>
      </c>
      <c r="M1035" s="1">
        <f t="shared" si="67"/>
        <v>0</v>
      </c>
      <c r="N1035" s="1">
        <f t="shared" si="68"/>
        <v>0</v>
      </c>
      <c r="O1035" s="1"/>
    </row>
    <row r="1036" spans="1:15" x14ac:dyDescent="0.25">
      <c r="A1036">
        <v>1632</v>
      </c>
      <c r="B1036">
        <v>10530.420029999999</v>
      </c>
      <c r="C1036">
        <v>0</v>
      </c>
      <c r="D1036">
        <v>32956.377439999997</v>
      </c>
      <c r="E1036">
        <v>0</v>
      </c>
      <c r="F1036">
        <v>190069.6347</v>
      </c>
      <c r="G1036">
        <v>0</v>
      </c>
      <c r="H1036">
        <v>1632</v>
      </c>
      <c r="I1036" t="str">
        <f t="shared" si="65"/>
        <v>YES</v>
      </c>
      <c r="J1036" t="s">
        <v>1042</v>
      </c>
      <c r="K1036">
        <v>1364966.36069</v>
      </c>
      <c r="L1036" s="1">
        <f t="shared" si="66"/>
        <v>0</v>
      </c>
      <c r="M1036" s="1">
        <f t="shared" si="67"/>
        <v>0</v>
      </c>
      <c r="N1036" s="1">
        <f t="shared" si="68"/>
        <v>0</v>
      </c>
      <c r="O1036" s="1"/>
    </row>
    <row r="1037" spans="1:15" x14ac:dyDescent="0.25">
      <c r="A1037">
        <v>1633</v>
      </c>
      <c r="B1037">
        <v>15621.270259999999</v>
      </c>
      <c r="C1037">
        <v>0</v>
      </c>
      <c r="D1037">
        <v>34879.246599999999</v>
      </c>
      <c r="E1037">
        <v>0</v>
      </c>
      <c r="F1037">
        <v>204479.9522</v>
      </c>
      <c r="G1037">
        <v>0</v>
      </c>
      <c r="H1037">
        <v>1633</v>
      </c>
      <c r="I1037" t="str">
        <f t="shared" si="65"/>
        <v>YES</v>
      </c>
      <c r="J1037" t="s">
        <v>1043</v>
      </c>
      <c r="K1037">
        <v>442581.71502300003</v>
      </c>
      <c r="L1037" s="1">
        <f t="shared" si="66"/>
        <v>0</v>
      </c>
      <c r="M1037" s="1">
        <f t="shared" si="67"/>
        <v>0</v>
      </c>
      <c r="N1037" s="1">
        <f t="shared" si="68"/>
        <v>0</v>
      </c>
      <c r="O1037" s="1"/>
    </row>
    <row r="1038" spans="1:15" x14ac:dyDescent="0.25">
      <c r="A1038">
        <v>1634</v>
      </c>
      <c r="B1038">
        <v>15081.716780000001</v>
      </c>
      <c r="C1038">
        <v>0</v>
      </c>
      <c r="D1038">
        <v>37664.012159999998</v>
      </c>
      <c r="E1038">
        <v>0</v>
      </c>
      <c r="F1038">
        <v>259052.20120000001</v>
      </c>
      <c r="G1038">
        <v>0</v>
      </c>
      <c r="H1038">
        <v>1634</v>
      </c>
      <c r="I1038" t="str">
        <f t="shared" si="65"/>
        <v>YES</v>
      </c>
      <c r="J1038" t="s">
        <v>1044</v>
      </c>
      <c r="K1038">
        <v>849129.17789799999</v>
      </c>
      <c r="L1038" s="1">
        <f t="shared" si="66"/>
        <v>0</v>
      </c>
      <c r="M1038" s="1">
        <f t="shared" si="67"/>
        <v>0</v>
      </c>
      <c r="N1038" s="1">
        <f t="shared" si="68"/>
        <v>0</v>
      </c>
      <c r="O1038" s="1"/>
    </row>
    <row r="1039" spans="1:15" x14ac:dyDescent="0.25">
      <c r="A1039">
        <v>1635</v>
      </c>
      <c r="B1039">
        <v>19472.835179999998</v>
      </c>
      <c r="C1039">
        <v>0</v>
      </c>
      <c r="D1039">
        <v>100942.0592</v>
      </c>
      <c r="E1039">
        <v>0</v>
      </c>
      <c r="F1039">
        <v>557121.48580000002</v>
      </c>
      <c r="G1039">
        <v>0</v>
      </c>
      <c r="H1039">
        <v>1635</v>
      </c>
      <c r="I1039" t="str">
        <f t="shared" si="65"/>
        <v>YES</v>
      </c>
      <c r="J1039" t="s">
        <v>1045</v>
      </c>
      <c r="K1039">
        <v>160928.63076100001</v>
      </c>
      <c r="L1039" s="1">
        <f t="shared" si="66"/>
        <v>0</v>
      </c>
      <c r="M1039" s="1">
        <f t="shared" si="67"/>
        <v>0</v>
      </c>
      <c r="N1039" s="1">
        <f t="shared" si="68"/>
        <v>0</v>
      </c>
      <c r="O1039" s="1"/>
    </row>
    <row r="1040" spans="1:15" x14ac:dyDescent="0.25">
      <c r="A1040">
        <v>1637</v>
      </c>
      <c r="B1040">
        <v>379.3032164</v>
      </c>
      <c r="C1040">
        <v>0</v>
      </c>
      <c r="D1040">
        <v>8803.8201659999995</v>
      </c>
      <c r="E1040">
        <v>0</v>
      </c>
      <c r="F1040">
        <v>33742.066630000001</v>
      </c>
      <c r="G1040">
        <v>0</v>
      </c>
      <c r="H1040">
        <v>1637</v>
      </c>
      <c r="I1040" t="str">
        <f t="shared" si="65"/>
        <v>YES</v>
      </c>
      <c r="J1040" t="s">
        <v>1046</v>
      </c>
      <c r="K1040">
        <v>1989830.6100600001</v>
      </c>
      <c r="L1040" s="1">
        <f t="shared" si="66"/>
        <v>0</v>
      </c>
      <c r="M1040" s="1">
        <f t="shared" si="67"/>
        <v>0</v>
      </c>
      <c r="N1040" s="1">
        <f t="shared" si="68"/>
        <v>0</v>
      </c>
      <c r="O1040" s="1"/>
    </row>
    <row r="1041" spans="1:15" x14ac:dyDescent="0.25">
      <c r="A1041">
        <v>1638</v>
      </c>
      <c r="B1041">
        <v>2183.4131560000001</v>
      </c>
      <c r="C1041">
        <v>0</v>
      </c>
      <c r="D1041">
        <v>14090.55912</v>
      </c>
      <c r="E1041">
        <v>0</v>
      </c>
      <c r="F1041">
        <v>37205.376080000002</v>
      </c>
      <c r="G1041">
        <v>0</v>
      </c>
      <c r="H1041">
        <v>1638</v>
      </c>
      <c r="I1041" t="str">
        <f t="shared" si="65"/>
        <v>YES</v>
      </c>
      <c r="J1041" t="s">
        <v>1047</v>
      </c>
      <c r="K1041">
        <v>1445038.1560500001</v>
      </c>
      <c r="L1041" s="1">
        <f t="shared" si="66"/>
        <v>0</v>
      </c>
      <c r="M1041" s="1">
        <f t="shared" si="67"/>
        <v>0</v>
      </c>
      <c r="N1041" s="1">
        <f t="shared" si="68"/>
        <v>0</v>
      </c>
      <c r="O1041" s="1"/>
    </row>
    <row r="1042" spans="1:15" x14ac:dyDescent="0.25">
      <c r="A1042">
        <v>1639</v>
      </c>
      <c r="B1042">
        <v>2277.4385590000002</v>
      </c>
      <c r="C1042">
        <v>0</v>
      </c>
      <c r="D1042">
        <v>20717.596949999999</v>
      </c>
      <c r="E1042">
        <v>0</v>
      </c>
      <c r="F1042">
        <v>77454.286439999996</v>
      </c>
      <c r="G1042">
        <v>0</v>
      </c>
      <c r="H1042">
        <v>1639</v>
      </c>
      <c r="I1042" t="str">
        <f t="shared" si="65"/>
        <v>YES</v>
      </c>
      <c r="J1042" t="s">
        <v>1048</v>
      </c>
      <c r="K1042">
        <v>1617465.3713400001</v>
      </c>
      <c r="L1042" s="1">
        <f t="shared" si="66"/>
        <v>0</v>
      </c>
      <c r="M1042" s="1">
        <f t="shared" si="67"/>
        <v>0</v>
      </c>
      <c r="N1042" s="1">
        <f t="shared" si="68"/>
        <v>0</v>
      </c>
      <c r="O1042" s="1"/>
    </row>
    <row r="1043" spans="1:15" x14ac:dyDescent="0.25">
      <c r="A1043">
        <v>1640</v>
      </c>
      <c r="B1043">
        <v>10334.02087</v>
      </c>
      <c r="C1043">
        <v>0</v>
      </c>
      <c r="D1043">
        <v>36688.142390000001</v>
      </c>
      <c r="E1043">
        <v>0</v>
      </c>
      <c r="F1043">
        <v>250726.23860000001</v>
      </c>
      <c r="G1043">
        <v>0</v>
      </c>
      <c r="H1043">
        <v>1640</v>
      </c>
      <c r="I1043" t="str">
        <f t="shared" si="65"/>
        <v>YES</v>
      </c>
      <c r="J1043" t="s">
        <v>1049</v>
      </c>
      <c r="K1043">
        <v>455183.41965</v>
      </c>
      <c r="L1043" s="1">
        <f t="shared" si="66"/>
        <v>0</v>
      </c>
      <c r="M1043" s="1">
        <f t="shared" si="67"/>
        <v>0</v>
      </c>
      <c r="N1043" s="1">
        <f t="shared" si="68"/>
        <v>0</v>
      </c>
      <c r="O1043" s="1"/>
    </row>
    <row r="1044" spans="1:15" x14ac:dyDescent="0.25">
      <c r="A1044">
        <v>1641</v>
      </c>
      <c r="B1044">
        <v>2541.525838</v>
      </c>
      <c r="C1044">
        <v>0</v>
      </c>
      <c r="D1044">
        <v>21187.978139999999</v>
      </c>
      <c r="E1044">
        <v>0</v>
      </c>
      <c r="F1044">
        <v>69596.962939999998</v>
      </c>
      <c r="G1044">
        <v>0</v>
      </c>
      <c r="H1044">
        <v>1641</v>
      </c>
      <c r="I1044" t="str">
        <f t="shared" si="65"/>
        <v>YES</v>
      </c>
      <c r="J1044" t="s">
        <v>1050</v>
      </c>
      <c r="K1044">
        <v>568808.04195600003</v>
      </c>
      <c r="L1044" s="1">
        <f t="shared" si="66"/>
        <v>0</v>
      </c>
      <c r="M1044" s="1">
        <f t="shared" si="67"/>
        <v>0</v>
      </c>
      <c r="N1044" s="1">
        <f t="shared" si="68"/>
        <v>0</v>
      </c>
      <c r="O1044" s="1"/>
    </row>
    <row r="1045" spans="1:15" x14ac:dyDescent="0.25">
      <c r="A1045">
        <v>1642</v>
      </c>
      <c r="B1045">
        <v>3275.1727999999998</v>
      </c>
      <c r="C1045">
        <v>0</v>
      </c>
      <c r="D1045">
        <v>28289.406139999999</v>
      </c>
      <c r="E1045">
        <v>0</v>
      </c>
      <c r="F1045">
        <v>89832.328179999997</v>
      </c>
      <c r="G1045">
        <v>0</v>
      </c>
      <c r="H1045">
        <v>1642</v>
      </c>
      <c r="I1045" t="str">
        <f t="shared" si="65"/>
        <v>YES</v>
      </c>
      <c r="J1045" t="s">
        <v>1051</v>
      </c>
      <c r="K1045">
        <v>1078870.1653</v>
      </c>
      <c r="L1045" s="1">
        <f t="shared" si="66"/>
        <v>0</v>
      </c>
      <c r="M1045" s="1">
        <f t="shared" si="67"/>
        <v>0</v>
      </c>
      <c r="N1045" s="1">
        <f t="shared" si="68"/>
        <v>0</v>
      </c>
      <c r="O1045" s="1"/>
    </row>
    <row r="1046" spans="1:15" x14ac:dyDescent="0.25">
      <c r="A1046">
        <v>1643</v>
      </c>
      <c r="B1046">
        <v>6735.0372230000003</v>
      </c>
      <c r="C1046">
        <v>0</v>
      </c>
      <c r="D1046">
        <v>30478.37255</v>
      </c>
      <c r="E1046">
        <v>0</v>
      </c>
      <c r="F1046">
        <v>174031.23809999999</v>
      </c>
      <c r="G1046">
        <v>0</v>
      </c>
      <c r="H1046">
        <v>1643</v>
      </c>
      <c r="I1046" t="str">
        <f t="shared" si="65"/>
        <v>YES</v>
      </c>
      <c r="J1046" t="s">
        <v>1052</v>
      </c>
      <c r="K1046">
        <v>886997.87331499998</v>
      </c>
      <c r="L1046" s="1">
        <f t="shared" si="66"/>
        <v>0</v>
      </c>
      <c r="M1046" s="1">
        <f t="shared" si="67"/>
        <v>0</v>
      </c>
      <c r="N1046" s="1">
        <f t="shared" si="68"/>
        <v>0</v>
      </c>
      <c r="O1046" s="1"/>
    </row>
    <row r="1047" spans="1:15" x14ac:dyDescent="0.25">
      <c r="A1047">
        <v>1644</v>
      </c>
      <c r="B1047">
        <v>6440.8633200000004</v>
      </c>
      <c r="C1047">
        <v>0</v>
      </c>
      <c r="D1047">
        <v>31712.173279999999</v>
      </c>
      <c r="E1047">
        <v>0</v>
      </c>
      <c r="F1047">
        <v>137673.23050000001</v>
      </c>
      <c r="G1047">
        <v>0</v>
      </c>
      <c r="H1047">
        <v>1644</v>
      </c>
      <c r="I1047" t="str">
        <f t="shared" si="65"/>
        <v>YES</v>
      </c>
      <c r="J1047" t="s">
        <v>1053</v>
      </c>
      <c r="K1047">
        <v>962891.52092399995</v>
      </c>
      <c r="L1047" s="1">
        <f t="shared" si="66"/>
        <v>0</v>
      </c>
      <c r="M1047" s="1">
        <f t="shared" si="67"/>
        <v>0</v>
      </c>
      <c r="N1047" s="1">
        <f t="shared" si="68"/>
        <v>0</v>
      </c>
      <c r="O1047" s="1"/>
    </row>
    <row r="1048" spans="1:15" x14ac:dyDescent="0.25">
      <c r="A1048">
        <v>1645</v>
      </c>
      <c r="B1048">
        <v>5979.4944919999998</v>
      </c>
      <c r="C1048">
        <v>0</v>
      </c>
      <c r="D1048">
        <v>62169.695650000001</v>
      </c>
      <c r="E1048">
        <v>0</v>
      </c>
      <c r="F1048">
        <v>276533.22169999999</v>
      </c>
      <c r="G1048">
        <v>0</v>
      </c>
      <c r="H1048">
        <v>1645</v>
      </c>
      <c r="I1048" t="str">
        <f t="shared" si="65"/>
        <v>YES</v>
      </c>
      <c r="J1048" t="s">
        <v>1054</v>
      </c>
      <c r="K1048">
        <v>965324.17191000003</v>
      </c>
      <c r="L1048" s="1">
        <f t="shared" si="66"/>
        <v>0</v>
      </c>
      <c r="M1048" s="1">
        <f t="shared" si="67"/>
        <v>0</v>
      </c>
      <c r="N1048" s="1">
        <f t="shared" si="68"/>
        <v>0</v>
      </c>
      <c r="O1048" s="1"/>
    </row>
    <row r="1049" spans="1:15" x14ac:dyDescent="0.25">
      <c r="A1049">
        <v>1700</v>
      </c>
      <c r="B1049">
        <v>917.79045840000003</v>
      </c>
      <c r="C1049">
        <v>0</v>
      </c>
      <c r="D1049">
        <v>42672.159469999999</v>
      </c>
      <c r="E1049">
        <v>0</v>
      </c>
      <c r="F1049">
        <v>320873.52929999999</v>
      </c>
      <c r="G1049">
        <v>0</v>
      </c>
      <c r="H1049">
        <v>1700</v>
      </c>
      <c r="I1049" t="str">
        <f t="shared" si="65"/>
        <v>YES</v>
      </c>
      <c r="J1049" t="s">
        <v>1055</v>
      </c>
      <c r="K1049">
        <v>818194.34834400006</v>
      </c>
      <c r="L1049" s="1">
        <f t="shared" si="66"/>
        <v>0</v>
      </c>
      <c r="M1049" s="1">
        <f t="shared" si="67"/>
        <v>0</v>
      </c>
      <c r="N1049" s="1">
        <f t="shared" si="68"/>
        <v>0</v>
      </c>
      <c r="O1049" s="1"/>
    </row>
    <row r="1050" spans="1:15" x14ac:dyDescent="0.25">
      <c r="A1050">
        <v>1701</v>
      </c>
      <c r="B1050">
        <v>17624.568510000001</v>
      </c>
      <c r="C1050">
        <v>0</v>
      </c>
      <c r="D1050">
        <v>185480.05480000001</v>
      </c>
      <c r="E1050">
        <v>0</v>
      </c>
      <c r="F1050">
        <v>696389.76789999998</v>
      </c>
      <c r="G1050">
        <v>0</v>
      </c>
      <c r="H1050">
        <v>1701</v>
      </c>
      <c r="I1050" t="str">
        <f t="shared" si="65"/>
        <v>YES</v>
      </c>
      <c r="J1050" t="s">
        <v>1056</v>
      </c>
      <c r="K1050">
        <v>713358.72071699996</v>
      </c>
      <c r="L1050" s="1">
        <f t="shared" si="66"/>
        <v>0</v>
      </c>
      <c r="M1050" s="1">
        <f t="shared" si="67"/>
        <v>0</v>
      </c>
      <c r="N1050" s="1">
        <f t="shared" si="68"/>
        <v>0</v>
      </c>
      <c r="O1050" s="1"/>
    </row>
    <row r="1051" spans="1:15" x14ac:dyDescent="0.25">
      <c r="A1051">
        <v>1702</v>
      </c>
      <c r="B1051">
        <v>299.0684531</v>
      </c>
      <c r="C1051">
        <v>0</v>
      </c>
      <c r="D1051">
        <v>7523.2415019999999</v>
      </c>
      <c r="E1051">
        <v>0</v>
      </c>
      <c r="F1051">
        <v>39439.403780000001</v>
      </c>
      <c r="G1051">
        <v>0</v>
      </c>
      <c r="H1051">
        <v>1702</v>
      </c>
      <c r="I1051" t="str">
        <f t="shared" si="65"/>
        <v>YES</v>
      </c>
      <c r="J1051" t="s">
        <v>1057</v>
      </c>
      <c r="K1051">
        <v>3184521.9714799998</v>
      </c>
      <c r="L1051" s="1">
        <f t="shared" si="66"/>
        <v>0</v>
      </c>
      <c r="M1051" s="1">
        <f t="shared" si="67"/>
        <v>0</v>
      </c>
      <c r="N1051" s="1">
        <f t="shared" si="68"/>
        <v>0</v>
      </c>
      <c r="O1051" s="1"/>
    </row>
    <row r="1052" spans="1:15" x14ac:dyDescent="0.25">
      <c r="A1052">
        <v>1703</v>
      </c>
      <c r="B1052">
        <v>36697.562830000003</v>
      </c>
      <c r="C1052">
        <v>0</v>
      </c>
      <c r="D1052">
        <v>300312.72649999999</v>
      </c>
      <c r="E1052">
        <v>0</v>
      </c>
      <c r="F1052">
        <v>821054.53040000005</v>
      </c>
      <c r="G1052">
        <v>0</v>
      </c>
      <c r="H1052">
        <v>1703</v>
      </c>
      <c r="I1052" t="str">
        <f t="shared" si="65"/>
        <v>YES</v>
      </c>
      <c r="J1052" t="s">
        <v>1058</v>
      </c>
      <c r="K1052">
        <v>1345119.0056700001</v>
      </c>
      <c r="L1052" s="1">
        <f t="shared" si="66"/>
        <v>0</v>
      </c>
      <c r="M1052" s="1">
        <f t="shared" si="67"/>
        <v>0</v>
      </c>
      <c r="N1052" s="1">
        <f t="shared" si="68"/>
        <v>0</v>
      </c>
      <c r="O1052" s="1"/>
    </row>
    <row r="1053" spans="1:15" x14ac:dyDescent="0.25">
      <c r="A1053">
        <v>1704</v>
      </c>
      <c r="B1053">
        <v>5101.3450409999996</v>
      </c>
      <c r="C1053">
        <v>0</v>
      </c>
      <c r="D1053">
        <v>42511.100939999997</v>
      </c>
      <c r="E1053">
        <v>0</v>
      </c>
      <c r="F1053">
        <v>320964.54460000002</v>
      </c>
      <c r="G1053">
        <v>0</v>
      </c>
      <c r="H1053">
        <v>1704</v>
      </c>
      <c r="I1053" t="str">
        <f t="shared" si="65"/>
        <v>YES</v>
      </c>
      <c r="J1053" t="s">
        <v>1059</v>
      </c>
      <c r="K1053">
        <v>1299145.79375</v>
      </c>
      <c r="L1053" s="1">
        <f t="shared" si="66"/>
        <v>0</v>
      </c>
      <c r="M1053" s="1">
        <f t="shared" si="67"/>
        <v>0</v>
      </c>
      <c r="N1053" s="1">
        <f t="shared" si="68"/>
        <v>0</v>
      </c>
      <c r="O1053" s="1"/>
    </row>
    <row r="1054" spans="1:15" x14ac:dyDescent="0.25">
      <c r="A1054">
        <v>1705</v>
      </c>
      <c r="B1054">
        <v>21386.482929999998</v>
      </c>
      <c r="C1054">
        <v>0</v>
      </c>
      <c r="D1054">
        <v>220905.23139999999</v>
      </c>
      <c r="E1054">
        <v>0</v>
      </c>
      <c r="F1054">
        <v>785874.84400000004</v>
      </c>
      <c r="G1054">
        <v>0</v>
      </c>
      <c r="H1054">
        <v>1705</v>
      </c>
      <c r="I1054" t="str">
        <f t="shared" si="65"/>
        <v>YES</v>
      </c>
      <c r="J1054" t="s">
        <v>1060</v>
      </c>
      <c r="K1054">
        <v>1425893.3247100001</v>
      </c>
      <c r="L1054" s="1">
        <f t="shared" si="66"/>
        <v>0</v>
      </c>
      <c r="M1054" s="1">
        <f t="shared" si="67"/>
        <v>0</v>
      </c>
      <c r="N1054" s="1">
        <f t="shared" si="68"/>
        <v>0</v>
      </c>
      <c r="O1054" s="1"/>
    </row>
    <row r="1055" spans="1:15" x14ac:dyDescent="0.25">
      <c r="A1055">
        <v>1706</v>
      </c>
      <c r="B1055">
        <v>9619.4457490000004</v>
      </c>
      <c r="C1055">
        <v>0</v>
      </c>
      <c r="D1055">
        <v>150951.1017</v>
      </c>
      <c r="E1055">
        <v>0</v>
      </c>
      <c r="F1055">
        <v>672143.15610000002</v>
      </c>
      <c r="G1055">
        <v>0</v>
      </c>
      <c r="H1055">
        <v>1706</v>
      </c>
      <c r="I1055" t="str">
        <f t="shared" si="65"/>
        <v>YES</v>
      </c>
      <c r="J1055" t="s">
        <v>1061</v>
      </c>
      <c r="K1055">
        <v>926424.40329499997</v>
      </c>
      <c r="L1055" s="1">
        <f t="shared" si="66"/>
        <v>0</v>
      </c>
      <c r="M1055" s="1">
        <f t="shared" si="67"/>
        <v>0</v>
      </c>
      <c r="N1055" s="1">
        <f t="shared" si="68"/>
        <v>0</v>
      </c>
      <c r="O1055" s="1"/>
    </row>
    <row r="1056" spans="1:15" x14ac:dyDescent="0.25">
      <c r="A1056">
        <v>1707</v>
      </c>
      <c r="B1056">
        <v>1073.2375179999999</v>
      </c>
      <c r="C1056">
        <v>0</v>
      </c>
      <c r="D1056">
        <v>61792.086060000001</v>
      </c>
      <c r="E1056">
        <v>0</v>
      </c>
      <c r="F1056">
        <v>275086.64140000002</v>
      </c>
      <c r="G1056">
        <v>0</v>
      </c>
      <c r="H1056">
        <v>1707</v>
      </c>
      <c r="I1056" t="str">
        <f t="shared" si="65"/>
        <v>YES</v>
      </c>
      <c r="J1056" t="s">
        <v>1062</v>
      </c>
      <c r="K1056">
        <v>1016504.7050599999</v>
      </c>
      <c r="L1056" s="1">
        <f t="shared" si="66"/>
        <v>0</v>
      </c>
      <c r="M1056" s="1">
        <f t="shared" si="67"/>
        <v>0</v>
      </c>
      <c r="N1056" s="1">
        <f t="shared" si="68"/>
        <v>0</v>
      </c>
      <c r="O1056" s="1"/>
    </row>
    <row r="1057" spans="1:15" x14ac:dyDescent="0.25">
      <c r="A1057">
        <v>1708</v>
      </c>
      <c r="B1057">
        <v>3807.7362720000001</v>
      </c>
      <c r="C1057">
        <v>0</v>
      </c>
      <c r="D1057">
        <v>125286.48759999999</v>
      </c>
      <c r="E1057">
        <v>0</v>
      </c>
      <c r="F1057">
        <v>638715.76309999998</v>
      </c>
      <c r="G1057">
        <v>0</v>
      </c>
      <c r="H1057">
        <v>1708</v>
      </c>
      <c r="I1057" t="str">
        <f t="shared" si="65"/>
        <v>YES</v>
      </c>
      <c r="J1057" t="s">
        <v>1063</v>
      </c>
      <c r="K1057">
        <v>920621.891298</v>
      </c>
      <c r="L1057" s="1">
        <f t="shared" si="66"/>
        <v>0</v>
      </c>
      <c r="M1057" s="1">
        <f t="shared" si="67"/>
        <v>0</v>
      </c>
      <c r="N1057" s="1">
        <f t="shared" si="68"/>
        <v>0</v>
      </c>
      <c r="O1057" s="1"/>
    </row>
    <row r="1058" spans="1:15" x14ac:dyDescent="0.25">
      <c r="A1058">
        <v>1710</v>
      </c>
      <c r="B1058">
        <v>9766.8109750000003</v>
      </c>
      <c r="C1058">
        <v>0</v>
      </c>
      <c r="D1058">
        <v>145677.0753</v>
      </c>
      <c r="E1058">
        <v>0</v>
      </c>
      <c r="F1058">
        <v>702542.80090000003</v>
      </c>
      <c r="G1058">
        <v>0</v>
      </c>
      <c r="H1058">
        <v>1710</v>
      </c>
      <c r="I1058" t="str">
        <f t="shared" si="65"/>
        <v>YES</v>
      </c>
      <c r="J1058" t="s">
        <v>1064</v>
      </c>
      <c r="K1058">
        <v>2487476.13686</v>
      </c>
      <c r="L1058" s="1">
        <f t="shared" si="66"/>
        <v>0</v>
      </c>
      <c r="M1058" s="1">
        <f t="shared" si="67"/>
        <v>0</v>
      </c>
      <c r="N1058" s="1">
        <f t="shared" si="68"/>
        <v>0</v>
      </c>
      <c r="O1058" s="1"/>
    </row>
    <row r="1059" spans="1:15" x14ac:dyDescent="0.25">
      <c r="A1059">
        <v>1711</v>
      </c>
      <c r="B1059">
        <v>37194.210030000002</v>
      </c>
      <c r="C1059">
        <v>0</v>
      </c>
      <c r="D1059">
        <v>399349.6874</v>
      </c>
      <c r="E1059">
        <v>0</v>
      </c>
      <c r="F1059">
        <v>879359.16520000005</v>
      </c>
      <c r="G1059">
        <v>0</v>
      </c>
      <c r="H1059">
        <v>1711</v>
      </c>
      <c r="I1059" t="str">
        <f t="shared" si="65"/>
        <v>YES</v>
      </c>
      <c r="J1059" t="s">
        <v>1065</v>
      </c>
      <c r="K1059">
        <v>1503764.4485200001</v>
      </c>
      <c r="L1059" s="1">
        <f t="shared" si="66"/>
        <v>0</v>
      </c>
      <c r="M1059" s="1">
        <f t="shared" si="67"/>
        <v>0</v>
      </c>
      <c r="N1059" s="1">
        <f t="shared" si="68"/>
        <v>0</v>
      </c>
      <c r="O1059" s="1"/>
    </row>
    <row r="1060" spans="1:15" x14ac:dyDescent="0.25">
      <c r="A1060">
        <v>1712</v>
      </c>
      <c r="B1060">
        <v>29980.5746</v>
      </c>
      <c r="C1060">
        <v>0</v>
      </c>
      <c r="D1060">
        <v>357190.2352</v>
      </c>
      <c r="E1060">
        <v>0</v>
      </c>
      <c r="F1060">
        <v>791574.61360000004</v>
      </c>
      <c r="G1060">
        <v>0</v>
      </c>
      <c r="H1060">
        <v>1712</v>
      </c>
      <c r="I1060" t="str">
        <f t="shared" si="65"/>
        <v>YES</v>
      </c>
      <c r="J1060" t="s">
        <v>1066</v>
      </c>
      <c r="K1060">
        <v>2027493.5780799999</v>
      </c>
      <c r="L1060" s="1">
        <f t="shared" si="66"/>
        <v>0</v>
      </c>
      <c r="M1060" s="1">
        <f t="shared" si="67"/>
        <v>0</v>
      </c>
      <c r="N1060" s="1">
        <f t="shared" si="68"/>
        <v>0</v>
      </c>
      <c r="O1060" s="1"/>
    </row>
    <row r="1061" spans="1:15" x14ac:dyDescent="0.25">
      <c r="A1061">
        <v>1713</v>
      </c>
      <c r="B1061">
        <v>9785.4176480000006</v>
      </c>
      <c r="C1061">
        <v>0</v>
      </c>
      <c r="D1061">
        <v>169423.71309999999</v>
      </c>
      <c r="E1061">
        <v>0</v>
      </c>
      <c r="F1061">
        <v>715708.29590000003</v>
      </c>
      <c r="G1061">
        <v>0</v>
      </c>
      <c r="H1061">
        <v>1713</v>
      </c>
      <c r="I1061" t="str">
        <f t="shared" si="65"/>
        <v>YES</v>
      </c>
      <c r="J1061" t="s">
        <v>1067</v>
      </c>
      <c r="K1061">
        <v>1570459.7562200001</v>
      </c>
      <c r="L1061" s="1">
        <f t="shared" si="66"/>
        <v>0</v>
      </c>
      <c r="M1061" s="1">
        <f t="shared" si="67"/>
        <v>0</v>
      </c>
      <c r="N1061" s="1">
        <f t="shared" si="68"/>
        <v>0</v>
      </c>
      <c r="O1061" s="1"/>
    </row>
    <row r="1062" spans="1:15" x14ac:dyDescent="0.25">
      <c r="A1062">
        <v>1714</v>
      </c>
      <c r="B1062">
        <v>94149.781860000003</v>
      </c>
      <c r="C1062">
        <v>0</v>
      </c>
      <c r="D1062">
        <v>582656.59589999996</v>
      </c>
      <c r="E1062">
        <v>0</v>
      </c>
      <c r="F1062">
        <v>1028993.802</v>
      </c>
      <c r="G1062">
        <v>0</v>
      </c>
      <c r="H1062">
        <v>1714</v>
      </c>
      <c r="I1062" t="str">
        <f t="shared" si="65"/>
        <v>YES</v>
      </c>
      <c r="J1062" t="s">
        <v>1068</v>
      </c>
      <c r="K1062">
        <v>941094.40270500001</v>
      </c>
      <c r="L1062" s="1">
        <f t="shared" si="66"/>
        <v>0</v>
      </c>
      <c r="M1062" s="1">
        <f t="shared" si="67"/>
        <v>0</v>
      </c>
      <c r="N1062" s="1">
        <f t="shared" si="68"/>
        <v>0</v>
      </c>
      <c r="O1062" s="1"/>
    </row>
    <row r="1063" spans="1:15" x14ac:dyDescent="0.25">
      <c r="A1063">
        <v>1715</v>
      </c>
      <c r="B1063">
        <v>778.39056559999995</v>
      </c>
      <c r="C1063">
        <v>0</v>
      </c>
      <c r="D1063">
        <v>56603.185949999999</v>
      </c>
      <c r="E1063">
        <v>0</v>
      </c>
      <c r="F1063">
        <v>220652.48329999999</v>
      </c>
      <c r="G1063">
        <v>0</v>
      </c>
      <c r="H1063">
        <v>1715</v>
      </c>
      <c r="I1063" t="str">
        <f t="shared" si="65"/>
        <v>YES</v>
      </c>
      <c r="J1063" t="s">
        <v>1069</v>
      </c>
      <c r="K1063">
        <v>1490381.3962300001</v>
      </c>
      <c r="L1063" s="1">
        <f t="shared" si="66"/>
        <v>0</v>
      </c>
      <c r="M1063" s="1">
        <f t="shared" si="67"/>
        <v>0</v>
      </c>
      <c r="N1063" s="1">
        <f t="shared" si="68"/>
        <v>0</v>
      </c>
      <c r="O1063" s="1"/>
    </row>
    <row r="1064" spans="1:15" x14ac:dyDescent="0.25">
      <c r="A1064">
        <v>1716</v>
      </c>
      <c r="B1064">
        <v>37490.105799999998</v>
      </c>
      <c r="C1064">
        <v>0</v>
      </c>
      <c r="D1064">
        <v>396795.95750000002</v>
      </c>
      <c r="E1064">
        <v>0</v>
      </c>
      <c r="F1064">
        <v>883977.50159999996</v>
      </c>
      <c r="G1064">
        <v>0</v>
      </c>
      <c r="H1064">
        <v>1716</v>
      </c>
      <c r="I1064" t="str">
        <f t="shared" si="65"/>
        <v>YES</v>
      </c>
      <c r="J1064" t="s">
        <v>1070</v>
      </c>
      <c r="K1064">
        <v>978110.80229300004</v>
      </c>
      <c r="L1064" s="1">
        <f t="shared" si="66"/>
        <v>0</v>
      </c>
      <c r="M1064" s="1">
        <f t="shared" si="67"/>
        <v>0</v>
      </c>
      <c r="N1064" s="1">
        <f t="shared" si="68"/>
        <v>0</v>
      </c>
      <c r="O1064" s="1"/>
    </row>
    <row r="1065" spans="1:15" x14ac:dyDescent="0.25">
      <c r="A1065">
        <v>1717</v>
      </c>
      <c r="B1065">
        <v>2183.8464359999998</v>
      </c>
      <c r="C1065">
        <v>0</v>
      </c>
      <c r="D1065">
        <v>77427.429120000001</v>
      </c>
      <c r="E1065">
        <v>0</v>
      </c>
      <c r="F1065">
        <v>566977.71109999996</v>
      </c>
      <c r="G1065">
        <v>0</v>
      </c>
      <c r="H1065">
        <v>1717</v>
      </c>
      <c r="I1065" t="str">
        <f t="shared" si="65"/>
        <v>YES</v>
      </c>
      <c r="J1065" t="s">
        <v>1071</v>
      </c>
      <c r="K1065">
        <v>856367.39618699998</v>
      </c>
      <c r="L1065" s="1">
        <f t="shared" si="66"/>
        <v>0</v>
      </c>
      <c r="M1065" s="1">
        <f t="shared" si="67"/>
        <v>0</v>
      </c>
      <c r="N1065" s="1">
        <f t="shared" si="68"/>
        <v>0</v>
      </c>
      <c r="O1065" s="1"/>
    </row>
    <row r="1066" spans="1:15" x14ac:dyDescent="0.25">
      <c r="A1066">
        <v>1720</v>
      </c>
      <c r="B1066">
        <v>3700.7550900000001</v>
      </c>
      <c r="C1066">
        <v>0</v>
      </c>
      <c r="D1066">
        <v>38422.107360000002</v>
      </c>
      <c r="E1066">
        <v>0</v>
      </c>
      <c r="F1066">
        <v>270048.43109999999</v>
      </c>
      <c r="G1066">
        <v>0</v>
      </c>
      <c r="H1066">
        <v>1720</v>
      </c>
      <c r="I1066" t="str">
        <f t="shared" si="65"/>
        <v>YES</v>
      </c>
      <c r="J1066" t="s">
        <v>1072</v>
      </c>
      <c r="K1066">
        <v>1458674.9203699999</v>
      </c>
      <c r="L1066" s="1">
        <f t="shared" si="66"/>
        <v>0</v>
      </c>
      <c r="M1066" s="1">
        <f t="shared" si="67"/>
        <v>0</v>
      </c>
      <c r="N1066" s="1">
        <f t="shared" si="68"/>
        <v>0</v>
      </c>
      <c r="O1066" s="1"/>
    </row>
    <row r="1067" spans="1:15" x14ac:dyDescent="0.25">
      <c r="A1067">
        <v>1721</v>
      </c>
      <c r="B1067">
        <v>11518.675800000001</v>
      </c>
      <c r="C1067">
        <v>0</v>
      </c>
      <c r="D1067">
        <v>137195.7383</v>
      </c>
      <c r="E1067">
        <v>0</v>
      </c>
      <c r="F1067">
        <v>664513.90760000004</v>
      </c>
      <c r="G1067">
        <v>0</v>
      </c>
      <c r="H1067">
        <v>1721</v>
      </c>
      <c r="I1067" t="str">
        <f t="shared" si="65"/>
        <v>YES</v>
      </c>
      <c r="J1067" t="s">
        <v>1073</v>
      </c>
      <c r="K1067">
        <v>900235.51870899997</v>
      </c>
      <c r="L1067" s="1">
        <f t="shared" si="66"/>
        <v>0</v>
      </c>
      <c r="M1067" s="1">
        <f t="shared" si="67"/>
        <v>0</v>
      </c>
      <c r="N1067" s="1">
        <f t="shared" si="68"/>
        <v>0</v>
      </c>
      <c r="O1067" s="1"/>
    </row>
    <row r="1068" spans="1:15" x14ac:dyDescent="0.25">
      <c r="A1068">
        <v>1722</v>
      </c>
      <c r="B1068">
        <v>7421.6540779999996</v>
      </c>
      <c r="C1068">
        <v>0</v>
      </c>
      <c r="D1068">
        <v>54564.457269999999</v>
      </c>
      <c r="E1068">
        <v>0</v>
      </c>
      <c r="F1068">
        <v>422345.58159999998</v>
      </c>
      <c r="G1068">
        <v>0</v>
      </c>
      <c r="H1068">
        <v>1722</v>
      </c>
      <c r="I1068" t="str">
        <f t="shared" si="65"/>
        <v>YES</v>
      </c>
      <c r="J1068" t="s">
        <v>1074</v>
      </c>
      <c r="K1068">
        <v>757586.29365999997</v>
      </c>
      <c r="L1068" s="1">
        <f t="shared" si="66"/>
        <v>0</v>
      </c>
      <c r="M1068" s="1">
        <f t="shared" si="67"/>
        <v>0</v>
      </c>
      <c r="N1068" s="1">
        <f t="shared" si="68"/>
        <v>0</v>
      </c>
      <c r="O1068" s="1"/>
    </row>
    <row r="1069" spans="1:15" x14ac:dyDescent="0.25">
      <c r="A1069">
        <v>1723</v>
      </c>
      <c r="B1069">
        <v>824.15597309999998</v>
      </c>
      <c r="C1069">
        <v>0</v>
      </c>
      <c r="D1069">
        <v>3201.8337200000001</v>
      </c>
      <c r="E1069">
        <v>0</v>
      </c>
      <c r="F1069">
        <v>63700.500639999998</v>
      </c>
      <c r="G1069">
        <v>0</v>
      </c>
      <c r="H1069">
        <v>1723</v>
      </c>
      <c r="I1069" t="str">
        <f t="shared" si="65"/>
        <v>YES</v>
      </c>
      <c r="J1069" t="s">
        <v>1075</v>
      </c>
      <c r="K1069">
        <v>1885833.9403299999</v>
      </c>
      <c r="L1069" s="1">
        <f t="shared" si="66"/>
        <v>0</v>
      </c>
      <c r="M1069" s="1">
        <f t="shared" si="67"/>
        <v>0</v>
      </c>
      <c r="N1069" s="1">
        <f t="shared" si="68"/>
        <v>0</v>
      </c>
      <c r="O1069" s="1"/>
    </row>
    <row r="1070" spans="1:15" x14ac:dyDescent="0.25">
      <c r="A1070">
        <v>1724</v>
      </c>
      <c r="B1070">
        <v>8195.7074730000004</v>
      </c>
      <c r="C1070">
        <v>0</v>
      </c>
      <c r="D1070">
        <v>96192.191690000007</v>
      </c>
      <c r="E1070">
        <v>0</v>
      </c>
      <c r="F1070">
        <v>413412.79119999998</v>
      </c>
      <c r="G1070">
        <v>0</v>
      </c>
      <c r="H1070">
        <v>1724</v>
      </c>
      <c r="I1070" t="str">
        <f t="shared" si="65"/>
        <v>YES</v>
      </c>
      <c r="J1070" t="s">
        <v>1076</v>
      </c>
      <c r="K1070">
        <v>1553555.3892600001</v>
      </c>
      <c r="L1070" s="1">
        <f t="shared" si="66"/>
        <v>0</v>
      </c>
      <c r="M1070" s="1">
        <f t="shared" si="67"/>
        <v>0</v>
      </c>
      <c r="N1070" s="1">
        <f t="shared" si="68"/>
        <v>0</v>
      </c>
      <c r="O1070" s="1"/>
    </row>
    <row r="1071" spans="1:15" x14ac:dyDescent="0.25">
      <c r="A1071">
        <v>1725</v>
      </c>
      <c r="B1071">
        <v>13197.781419999999</v>
      </c>
      <c r="C1071">
        <v>0</v>
      </c>
      <c r="D1071">
        <v>77802.768400000001</v>
      </c>
      <c r="E1071">
        <v>0</v>
      </c>
      <c r="F1071">
        <v>243948.69839999999</v>
      </c>
      <c r="G1071">
        <v>0</v>
      </c>
      <c r="H1071">
        <v>1725</v>
      </c>
      <c r="I1071" t="str">
        <f t="shared" si="65"/>
        <v>YES</v>
      </c>
      <c r="J1071" t="s">
        <v>1077</v>
      </c>
      <c r="K1071">
        <v>1990178.1598700001</v>
      </c>
      <c r="L1071" s="1">
        <f t="shared" si="66"/>
        <v>0</v>
      </c>
      <c r="M1071" s="1">
        <f t="shared" si="67"/>
        <v>0</v>
      </c>
      <c r="N1071" s="1">
        <f t="shared" si="68"/>
        <v>0</v>
      </c>
      <c r="O1071" s="1"/>
    </row>
    <row r="1072" spans="1:15" x14ac:dyDescent="0.25">
      <c r="A1072">
        <v>1726</v>
      </c>
      <c r="B1072">
        <v>33336.419479999997</v>
      </c>
      <c r="C1072">
        <v>0</v>
      </c>
      <c r="D1072">
        <v>121289.9178</v>
      </c>
      <c r="E1072">
        <v>0</v>
      </c>
      <c r="F1072">
        <v>585690.09080000001</v>
      </c>
      <c r="G1072">
        <v>0</v>
      </c>
      <c r="H1072">
        <v>1726</v>
      </c>
      <c r="I1072" t="str">
        <f t="shared" si="65"/>
        <v>YES</v>
      </c>
      <c r="J1072" t="s">
        <v>1078</v>
      </c>
      <c r="K1072">
        <v>1686753.70569</v>
      </c>
      <c r="L1072" s="1">
        <f t="shared" si="66"/>
        <v>0</v>
      </c>
      <c r="M1072" s="1">
        <f t="shared" si="67"/>
        <v>0</v>
      </c>
      <c r="N1072" s="1">
        <f t="shared" si="68"/>
        <v>0</v>
      </c>
      <c r="O1072" s="1"/>
    </row>
    <row r="1073" spans="1:15" x14ac:dyDescent="0.25">
      <c r="A1073">
        <v>1729</v>
      </c>
      <c r="B1073">
        <v>272.491153</v>
      </c>
      <c r="C1073">
        <v>0</v>
      </c>
      <c r="D1073">
        <v>3955.700163</v>
      </c>
      <c r="E1073">
        <v>0</v>
      </c>
      <c r="F1073">
        <v>16888.037980000001</v>
      </c>
      <c r="G1073">
        <v>0</v>
      </c>
      <c r="H1073">
        <v>1729</v>
      </c>
      <c r="I1073" t="str">
        <f t="shared" si="65"/>
        <v>YES</v>
      </c>
      <c r="J1073" t="s">
        <v>1079</v>
      </c>
      <c r="K1073">
        <v>3472618.8413</v>
      </c>
      <c r="L1073" s="1">
        <f t="shared" si="66"/>
        <v>0</v>
      </c>
      <c r="M1073" s="1">
        <f t="shared" si="67"/>
        <v>0</v>
      </c>
      <c r="N1073" s="1">
        <f t="shared" si="68"/>
        <v>0</v>
      </c>
      <c r="O1073" s="1"/>
    </row>
    <row r="1074" spans="1:15" x14ac:dyDescent="0.25">
      <c r="A1074">
        <v>1730</v>
      </c>
      <c r="B1074">
        <v>2886.103709</v>
      </c>
      <c r="C1074">
        <v>0</v>
      </c>
      <c r="D1074">
        <v>4790.402728</v>
      </c>
      <c r="E1074">
        <v>0</v>
      </c>
      <c r="F1074">
        <v>28369.928650000002</v>
      </c>
      <c r="G1074">
        <v>0</v>
      </c>
      <c r="H1074">
        <v>1730</v>
      </c>
      <c r="I1074" t="str">
        <f t="shared" si="65"/>
        <v>YES</v>
      </c>
      <c r="J1074" t="s">
        <v>1080</v>
      </c>
      <c r="K1074">
        <v>5955470.57969</v>
      </c>
      <c r="L1074" s="1">
        <f t="shared" si="66"/>
        <v>0</v>
      </c>
      <c r="M1074" s="1">
        <f t="shared" si="67"/>
        <v>0</v>
      </c>
      <c r="N1074" s="1">
        <f t="shared" si="68"/>
        <v>0</v>
      </c>
      <c r="O1074" s="1"/>
    </row>
    <row r="1075" spans="1:15" x14ac:dyDescent="0.25">
      <c r="A1075">
        <v>1731</v>
      </c>
      <c r="B1075">
        <v>3094.7458839999999</v>
      </c>
      <c r="C1075">
        <v>0</v>
      </c>
      <c r="D1075">
        <v>10611.33202</v>
      </c>
      <c r="E1075">
        <v>0</v>
      </c>
      <c r="F1075">
        <v>101704.4599</v>
      </c>
      <c r="G1075">
        <v>0</v>
      </c>
      <c r="H1075">
        <v>1731</v>
      </c>
      <c r="I1075" t="str">
        <f t="shared" si="65"/>
        <v>YES</v>
      </c>
      <c r="J1075" t="s">
        <v>1081</v>
      </c>
      <c r="K1075">
        <v>2149119.69778</v>
      </c>
      <c r="L1075" s="1">
        <f t="shared" si="66"/>
        <v>0</v>
      </c>
      <c r="M1075" s="1">
        <f t="shared" si="67"/>
        <v>0</v>
      </c>
      <c r="N1075" s="1">
        <f t="shared" si="68"/>
        <v>0</v>
      </c>
      <c r="O1075" s="1"/>
    </row>
    <row r="1076" spans="1:15" x14ac:dyDescent="0.25">
      <c r="A1076">
        <v>1732</v>
      </c>
      <c r="B1076">
        <v>8586.8936059999996</v>
      </c>
      <c r="C1076">
        <v>0</v>
      </c>
      <c r="D1076">
        <v>51233.634359999996</v>
      </c>
      <c r="E1076">
        <v>0</v>
      </c>
      <c r="F1076">
        <v>363306.2757</v>
      </c>
      <c r="G1076">
        <v>0</v>
      </c>
      <c r="H1076">
        <v>1732</v>
      </c>
      <c r="I1076" t="str">
        <f t="shared" si="65"/>
        <v>YES</v>
      </c>
      <c r="J1076" t="s">
        <v>1082</v>
      </c>
      <c r="K1076">
        <v>644345.64249100001</v>
      </c>
      <c r="L1076" s="1">
        <f t="shared" si="66"/>
        <v>0</v>
      </c>
      <c r="M1076" s="1">
        <f t="shared" si="67"/>
        <v>0</v>
      </c>
      <c r="N1076" s="1">
        <f t="shared" si="68"/>
        <v>0</v>
      </c>
      <c r="O1076" s="1"/>
    </row>
    <row r="1077" spans="1:15" x14ac:dyDescent="0.25">
      <c r="A1077">
        <v>1733</v>
      </c>
      <c r="B1077">
        <v>2388.0043540000001</v>
      </c>
      <c r="C1077">
        <v>0</v>
      </c>
      <c r="D1077">
        <v>3691.4201870000002</v>
      </c>
      <c r="E1077">
        <v>0</v>
      </c>
      <c r="F1077">
        <v>22290.331180000001</v>
      </c>
      <c r="G1077">
        <v>0</v>
      </c>
      <c r="H1077">
        <v>1733</v>
      </c>
      <c r="I1077" t="str">
        <f t="shared" si="65"/>
        <v>YES</v>
      </c>
      <c r="J1077" t="s">
        <v>1083</v>
      </c>
      <c r="K1077">
        <v>1614018.7511199999</v>
      </c>
      <c r="L1077" s="1">
        <f t="shared" si="66"/>
        <v>0</v>
      </c>
      <c r="M1077" s="1">
        <f t="shared" si="67"/>
        <v>0</v>
      </c>
      <c r="N1077" s="1">
        <f t="shared" si="68"/>
        <v>0</v>
      </c>
      <c r="O1077" s="1"/>
    </row>
    <row r="1078" spans="1:15" x14ac:dyDescent="0.25">
      <c r="A1078">
        <v>1734</v>
      </c>
      <c r="B1078">
        <v>3031.7554289999998</v>
      </c>
      <c r="C1078">
        <v>0</v>
      </c>
      <c r="D1078">
        <v>14419.404630000001</v>
      </c>
      <c r="E1078">
        <v>0</v>
      </c>
      <c r="F1078">
        <v>121780.46189999999</v>
      </c>
      <c r="G1078">
        <v>0</v>
      </c>
      <c r="H1078">
        <v>1734</v>
      </c>
      <c r="I1078" t="str">
        <f t="shared" si="65"/>
        <v>YES</v>
      </c>
      <c r="J1078" t="s">
        <v>1084</v>
      </c>
      <c r="K1078">
        <v>839086.26555000001</v>
      </c>
      <c r="L1078" s="1">
        <f t="shared" si="66"/>
        <v>0</v>
      </c>
      <c r="M1078" s="1">
        <f t="shared" si="67"/>
        <v>0</v>
      </c>
      <c r="N1078" s="1">
        <f t="shared" si="68"/>
        <v>0</v>
      </c>
      <c r="O1078" s="1"/>
    </row>
    <row r="1079" spans="1:15" x14ac:dyDescent="0.25">
      <c r="A1079">
        <v>1735</v>
      </c>
      <c r="B1079">
        <v>542.55276990000004</v>
      </c>
      <c r="C1079">
        <v>0</v>
      </c>
      <c r="D1079">
        <v>3858.366759</v>
      </c>
      <c r="E1079">
        <v>0</v>
      </c>
      <c r="F1079">
        <v>25834.19731</v>
      </c>
      <c r="G1079">
        <v>0</v>
      </c>
      <c r="H1079">
        <v>1735</v>
      </c>
      <c r="I1079" t="str">
        <f t="shared" si="65"/>
        <v>YES</v>
      </c>
      <c r="J1079" t="s">
        <v>1085</v>
      </c>
      <c r="K1079">
        <v>1747957.1148900001</v>
      </c>
      <c r="L1079" s="1">
        <f t="shared" si="66"/>
        <v>0</v>
      </c>
      <c r="M1079" s="1">
        <f t="shared" si="67"/>
        <v>0</v>
      </c>
      <c r="N1079" s="1">
        <f t="shared" si="68"/>
        <v>0</v>
      </c>
      <c r="O1079" s="1"/>
    </row>
    <row r="1080" spans="1:15" x14ac:dyDescent="0.25">
      <c r="A1080">
        <v>1736</v>
      </c>
      <c r="B1080">
        <v>4015.5195349999999</v>
      </c>
      <c r="C1080">
        <v>0</v>
      </c>
      <c r="D1080">
        <v>16786.81553</v>
      </c>
      <c r="E1080">
        <v>0</v>
      </c>
      <c r="F1080">
        <v>481020.7745</v>
      </c>
      <c r="G1080">
        <v>0</v>
      </c>
      <c r="H1080">
        <v>1736</v>
      </c>
      <c r="I1080" t="str">
        <f t="shared" si="65"/>
        <v>YES</v>
      </c>
      <c r="J1080" t="s">
        <v>1086</v>
      </c>
      <c r="K1080">
        <v>1321499.7222800001</v>
      </c>
      <c r="L1080" s="1">
        <f t="shared" si="66"/>
        <v>0</v>
      </c>
      <c r="M1080" s="1">
        <f t="shared" si="67"/>
        <v>0</v>
      </c>
      <c r="N1080" s="1">
        <f t="shared" si="68"/>
        <v>0</v>
      </c>
      <c r="O1080" s="1"/>
    </row>
    <row r="1081" spans="1:15" x14ac:dyDescent="0.25">
      <c r="A1081">
        <v>1739</v>
      </c>
      <c r="B1081">
        <v>1494.326468</v>
      </c>
      <c r="C1081">
        <v>0</v>
      </c>
      <c r="D1081">
        <v>1494.326468</v>
      </c>
      <c r="E1081">
        <v>0</v>
      </c>
      <c r="F1081">
        <v>2995.8956389999998</v>
      </c>
      <c r="G1081">
        <v>0</v>
      </c>
      <c r="H1081">
        <v>1739</v>
      </c>
      <c r="I1081" t="str">
        <f t="shared" si="65"/>
        <v>YES</v>
      </c>
      <c r="J1081" t="s">
        <v>1087</v>
      </c>
      <c r="K1081">
        <v>11554165.9377</v>
      </c>
      <c r="L1081" s="1">
        <f t="shared" si="66"/>
        <v>0</v>
      </c>
      <c r="M1081" s="1">
        <f t="shared" si="67"/>
        <v>0</v>
      </c>
      <c r="N1081" s="1">
        <f t="shared" si="68"/>
        <v>0</v>
      </c>
      <c r="O1081" s="1"/>
    </row>
    <row r="1082" spans="1:15" x14ac:dyDescent="0.25">
      <c r="A1082">
        <v>1740</v>
      </c>
      <c r="B1082">
        <v>2013.0735910000001</v>
      </c>
      <c r="C1082">
        <v>0</v>
      </c>
      <c r="D1082">
        <v>16859.702519999999</v>
      </c>
      <c r="E1082">
        <v>0</v>
      </c>
      <c r="F1082">
        <v>148288.36480000001</v>
      </c>
      <c r="G1082">
        <v>0</v>
      </c>
      <c r="H1082">
        <v>1740</v>
      </c>
      <c r="I1082" t="str">
        <f t="shared" si="65"/>
        <v>YES</v>
      </c>
      <c r="J1082" t="s">
        <v>1088</v>
      </c>
      <c r="K1082">
        <v>1223042.4046700001</v>
      </c>
      <c r="L1082" s="1">
        <f t="shared" si="66"/>
        <v>0</v>
      </c>
      <c r="M1082" s="1">
        <f t="shared" si="67"/>
        <v>0</v>
      </c>
      <c r="N1082" s="1">
        <f t="shared" si="68"/>
        <v>0</v>
      </c>
      <c r="O1082" s="1"/>
    </row>
    <row r="1083" spans="1:15" x14ac:dyDescent="0.25">
      <c r="A1083">
        <v>1741</v>
      </c>
      <c r="B1083">
        <v>1730.913933</v>
      </c>
      <c r="C1083">
        <v>0</v>
      </c>
      <c r="D1083">
        <v>8586.5029040000009</v>
      </c>
      <c r="E1083">
        <v>0</v>
      </c>
      <c r="F1083">
        <v>56266.22782</v>
      </c>
      <c r="G1083">
        <v>0</v>
      </c>
      <c r="H1083">
        <v>1741</v>
      </c>
      <c r="I1083" t="str">
        <f t="shared" si="65"/>
        <v>YES</v>
      </c>
      <c r="J1083" t="s">
        <v>1089</v>
      </c>
      <c r="K1083">
        <v>971414.07475999999</v>
      </c>
      <c r="L1083" s="1">
        <f t="shared" si="66"/>
        <v>0</v>
      </c>
      <c r="M1083" s="1">
        <f t="shared" si="67"/>
        <v>0</v>
      </c>
      <c r="N1083" s="1">
        <f t="shared" si="68"/>
        <v>0</v>
      </c>
      <c r="O1083" s="1"/>
    </row>
    <row r="1084" spans="1:15" x14ac:dyDescent="0.25">
      <c r="A1084">
        <v>1742</v>
      </c>
      <c r="B1084">
        <v>14014.81279</v>
      </c>
      <c r="C1084">
        <v>0</v>
      </c>
      <c r="D1084">
        <v>145800.94010000001</v>
      </c>
      <c r="E1084">
        <v>0</v>
      </c>
      <c r="F1084">
        <v>649220.39390000002</v>
      </c>
      <c r="G1084">
        <v>0</v>
      </c>
      <c r="H1084">
        <v>1742</v>
      </c>
      <c r="I1084" t="str">
        <f t="shared" si="65"/>
        <v>YES</v>
      </c>
      <c r="J1084" t="s">
        <v>1090</v>
      </c>
      <c r="K1084">
        <v>887733.08433800004</v>
      </c>
      <c r="L1084" s="1">
        <f t="shared" si="66"/>
        <v>0</v>
      </c>
      <c r="M1084" s="1">
        <f t="shared" si="67"/>
        <v>0</v>
      </c>
      <c r="N1084" s="1">
        <f t="shared" si="68"/>
        <v>0</v>
      </c>
      <c r="O1084" s="1"/>
    </row>
    <row r="1085" spans="1:15" x14ac:dyDescent="0.25">
      <c r="A1085">
        <v>1743</v>
      </c>
      <c r="B1085">
        <v>2260.3449690000002</v>
      </c>
      <c r="C1085">
        <v>0</v>
      </c>
      <c r="D1085">
        <v>29551.63912</v>
      </c>
      <c r="E1085">
        <v>0</v>
      </c>
      <c r="F1085">
        <v>213325.0264</v>
      </c>
      <c r="G1085">
        <v>0</v>
      </c>
      <c r="H1085">
        <v>1743</v>
      </c>
      <c r="I1085" t="str">
        <f t="shared" si="65"/>
        <v>YES</v>
      </c>
      <c r="J1085" t="s">
        <v>1091</v>
      </c>
      <c r="K1085">
        <v>1338016.7951400001</v>
      </c>
      <c r="L1085" s="1">
        <f t="shared" si="66"/>
        <v>0</v>
      </c>
      <c r="M1085" s="1">
        <f t="shared" si="67"/>
        <v>0</v>
      </c>
      <c r="N1085" s="1">
        <f t="shared" si="68"/>
        <v>0</v>
      </c>
      <c r="O1085" s="1"/>
    </row>
    <row r="1086" spans="1:15" x14ac:dyDescent="0.25">
      <c r="A1086">
        <v>1744</v>
      </c>
      <c r="B1086">
        <v>2766.994099</v>
      </c>
      <c r="C1086">
        <v>0</v>
      </c>
      <c r="D1086">
        <v>34609.970889999997</v>
      </c>
      <c r="E1086">
        <v>0</v>
      </c>
      <c r="F1086">
        <v>227698.5246</v>
      </c>
      <c r="G1086">
        <v>0</v>
      </c>
      <c r="H1086">
        <v>1744</v>
      </c>
      <c r="I1086" t="str">
        <f t="shared" si="65"/>
        <v>YES</v>
      </c>
      <c r="J1086" t="s">
        <v>1092</v>
      </c>
      <c r="K1086">
        <v>1429426.1267200001</v>
      </c>
      <c r="L1086" s="1">
        <f t="shared" si="66"/>
        <v>0</v>
      </c>
      <c r="M1086" s="1">
        <f t="shared" si="67"/>
        <v>0</v>
      </c>
      <c r="N1086" s="1">
        <f t="shared" si="68"/>
        <v>0</v>
      </c>
      <c r="O1086" s="1"/>
    </row>
    <row r="1087" spans="1:15" x14ac:dyDescent="0.25">
      <c r="A1087">
        <v>1745</v>
      </c>
      <c r="B1087">
        <v>1295.9373660000001</v>
      </c>
      <c r="C1087">
        <v>0</v>
      </c>
      <c r="D1087">
        <v>13233.830089999999</v>
      </c>
      <c r="E1087">
        <v>0</v>
      </c>
      <c r="F1087">
        <v>135253.24559999999</v>
      </c>
      <c r="G1087">
        <v>0</v>
      </c>
      <c r="H1087">
        <v>1745</v>
      </c>
      <c r="I1087" t="str">
        <f t="shared" si="65"/>
        <v>YES</v>
      </c>
      <c r="J1087" t="s">
        <v>1093</v>
      </c>
      <c r="K1087">
        <v>3201446.1554700001</v>
      </c>
      <c r="L1087" s="1">
        <f t="shared" si="66"/>
        <v>0</v>
      </c>
      <c r="M1087" s="1">
        <f t="shared" si="67"/>
        <v>0</v>
      </c>
      <c r="N1087" s="1">
        <f t="shared" si="68"/>
        <v>0</v>
      </c>
      <c r="O1087" s="1"/>
    </row>
    <row r="1088" spans="1:15" x14ac:dyDescent="0.25">
      <c r="A1088">
        <v>1748</v>
      </c>
      <c r="B1088">
        <v>556.61594200000002</v>
      </c>
      <c r="C1088">
        <v>0</v>
      </c>
      <c r="D1088">
        <v>3101.999957</v>
      </c>
      <c r="E1088">
        <v>0</v>
      </c>
      <c r="F1088">
        <v>21025.734639999999</v>
      </c>
      <c r="G1088">
        <v>0</v>
      </c>
      <c r="H1088">
        <v>1748</v>
      </c>
      <c r="I1088" t="str">
        <f t="shared" si="65"/>
        <v>YES</v>
      </c>
      <c r="J1088" t="s">
        <v>1094</v>
      </c>
      <c r="K1088">
        <v>4095585.4641499999</v>
      </c>
      <c r="L1088" s="1">
        <f t="shared" si="66"/>
        <v>0</v>
      </c>
      <c r="M1088" s="1">
        <f t="shared" si="67"/>
        <v>0</v>
      </c>
      <c r="N1088" s="1">
        <f t="shared" si="68"/>
        <v>0</v>
      </c>
      <c r="O1088" s="1"/>
    </row>
    <row r="1089" spans="1:15" x14ac:dyDescent="0.25">
      <c r="A1089">
        <v>1749</v>
      </c>
      <c r="B1089">
        <v>5491.0428149999998</v>
      </c>
      <c r="C1089">
        <v>0</v>
      </c>
      <c r="D1089">
        <v>21800.932949999999</v>
      </c>
      <c r="E1089">
        <v>0</v>
      </c>
      <c r="F1089">
        <v>112881.32180000001</v>
      </c>
      <c r="G1089">
        <v>0</v>
      </c>
      <c r="H1089">
        <v>1749</v>
      </c>
      <c r="I1089" t="str">
        <f t="shared" si="65"/>
        <v>YES</v>
      </c>
      <c r="J1089" t="s">
        <v>1095</v>
      </c>
      <c r="K1089">
        <v>1701153.5356399999</v>
      </c>
      <c r="L1089" s="1">
        <f t="shared" si="66"/>
        <v>0</v>
      </c>
      <c r="M1089" s="1">
        <f t="shared" si="67"/>
        <v>0</v>
      </c>
      <c r="N1089" s="1">
        <f t="shared" si="68"/>
        <v>0</v>
      </c>
      <c r="O1089" s="1"/>
    </row>
    <row r="1090" spans="1:15" x14ac:dyDescent="0.25">
      <c r="A1090">
        <v>1750</v>
      </c>
      <c r="B1090">
        <v>1148.992757</v>
      </c>
      <c r="C1090">
        <v>0</v>
      </c>
      <c r="D1090">
        <v>15950.19541</v>
      </c>
      <c r="E1090">
        <v>0</v>
      </c>
      <c r="F1090">
        <v>64424.600160000002</v>
      </c>
      <c r="G1090">
        <v>0</v>
      </c>
      <c r="H1090">
        <v>1750</v>
      </c>
      <c r="I1090" t="str">
        <f t="shared" ref="I1090:I1153" si="69">IF(A1090=H1090,"YES","NO")</f>
        <v>YES</v>
      </c>
      <c r="J1090" t="s">
        <v>1096</v>
      </c>
      <c r="K1090">
        <v>619829.61948400002</v>
      </c>
      <c r="L1090" s="1">
        <f t="shared" si="66"/>
        <v>0</v>
      </c>
      <c r="M1090" s="1">
        <f t="shared" si="67"/>
        <v>0</v>
      </c>
      <c r="N1090" s="1">
        <f t="shared" si="68"/>
        <v>0</v>
      </c>
      <c r="O1090" s="1"/>
    </row>
    <row r="1091" spans="1:15" x14ac:dyDescent="0.25">
      <c r="A1091">
        <v>1751</v>
      </c>
      <c r="B1091">
        <v>13596.671759999999</v>
      </c>
      <c r="C1091">
        <v>0</v>
      </c>
      <c r="D1091">
        <v>88800.379430000001</v>
      </c>
      <c r="E1091">
        <v>0</v>
      </c>
      <c r="F1091">
        <v>536491.10530000005</v>
      </c>
      <c r="G1091">
        <v>0</v>
      </c>
      <c r="H1091">
        <v>1751</v>
      </c>
      <c r="I1091" t="str">
        <f t="shared" si="69"/>
        <v>YES</v>
      </c>
      <c r="J1091" t="s">
        <v>1097</v>
      </c>
      <c r="K1091">
        <v>1234551.2671999999</v>
      </c>
      <c r="L1091" s="1">
        <f t="shared" ref="L1091:L1154" si="70">$U$2*$K1091*C1091</f>
        <v>0</v>
      </c>
      <c r="M1091" s="1">
        <f t="shared" ref="M1091:M1154" si="71">$U$3*$K1091*E1091</f>
        <v>0</v>
      </c>
      <c r="N1091" s="1">
        <f t="shared" ref="N1091:N1154" si="72">$U$4*$K1091*G1091</f>
        <v>0</v>
      </c>
      <c r="O1091" s="1"/>
    </row>
    <row r="1092" spans="1:15" x14ac:dyDescent="0.25">
      <c r="A1092">
        <v>1752</v>
      </c>
      <c r="B1092">
        <v>4701.0024240000002</v>
      </c>
      <c r="C1092">
        <v>0</v>
      </c>
      <c r="D1092">
        <v>24289.029429999999</v>
      </c>
      <c r="E1092">
        <v>0</v>
      </c>
      <c r="F1092">
        <v>149611.08720000001</v>
      </c>
      <c r="G1092">
        <v>0</v>
      </c>
      <c r="H1092">
        <v>1752</v>
      </c>
      <c r="I1092" t="str">
        <f t="shared" si="69"/>
        <v>YES</v>
      </c>
      <c r="J1092" t="s">
        <v>1098</v>
      </c>
      <c r="K1092">
        <v>976996.29651799996</v>
      </c>
      <c r="L1092" s="1">
        <f t="shared" si="70"/>
        <v>0</v>
      </c>
      <c r="M1092" s="1">
        <f t="shared" si="71"/>
        <v>0</v>
      </c>
      <c r="N1092" s="1">
        <f t="shared" si="72"/>
        <v>0</v>
      </c>
      <c r="O1092" s="1"/>
    </row>
    <row r="1093" spans="1:15" x14ac:dyDescent="0.25">
      <c r="A1093">
        <v>1753</v>
      </c>
      <c r="B1093">
        <v>13572.34319</v>
      </c>
      <c r="C1093">
        <v>0</v>
      </c>
      <c r="D1093">
        <v>133971.79889999999</v>
      </c>
      <c r="E1093">
        <v>0</v>
      </c>
      <c r="F1093">
        <v>641818.4828</v>
      </c>
      <c r="G1093">
        <v>0</v>
      </c>
      <c r="H1093">
        <v>1753</v>
      </c>
      <c r="I1093" t="str">
        <f t="shared" si="69"/>
        <v>YES</v>
      </c>
      <c r="J1093" t="s">
        <v>1099</v>
      </c>
      <c r="K1093">
        <v>959771.03182399995</v>
      </c>
      <c r="L1093" s="1">
        <f t="shared" si="70"/>
        <v>0</v>
      </c>
      <c r="M1093" s="1">
        <f t="shared" si="71"/>
        <v>0</v>
      </c>
      <c r="N1093" s="1">
        <f t="shared" si="72"/>
        <v>0</v>
      </c>
      <c r="O1093" s="1"/>
    </row>
    <row r="1094" spans="1:15" x14ac:dyDescent="0.25">
      <c r="A1094">
        <v>1754</v>
      </c>
      <c r="B1094">
        <v>2070.657745</v>
      </c>
      <c r="C1094">
        <v>0</v>
      </c>
      <c r="D1094">
        <v>11558.698899999999</v>
      </c>
      <c r="E1094">
        <v>0</v>
      </c>
      <c r="F1094">
        <v>98373.858630000002</v>
      </c>
      <c r="G1094">
        <v>0</v>
      </c>
      <c r="H1094">
        <v>1754</v>
      </c>
      <c r="I1094" t="str">
        <f t="shared" si="69"/>
        <v>YES</v>
      </c>
      <c r="J1094" t="s">
        <v>1100</v>
      </c>
      <c r="K1094">
        <v>1571836.92851</v>
      </c>
      <c r="L1094" s="1">
        <f t="shared" si="70"/>
        <v>0</v>
      </c>
      <c r="M1094" s="1">
        <f t="shared" si="71"/>
        <v>0</v>
      </c>
      <c r="N1094" s="1">
        <f t="shared" si="72"/>
        <v>0</v>
      </c>
      <c r="O1094" s="1"/>
    </row>
    <row r="1095" spans="1:15" x14ac:dyDescent="0.25">
      <c r="A1095">
        <v>1755</v>
      </c>
      <c r="B1095">
        <v>3203.1988839999999</v>
      </c>
      <c r="C1095">
        <v>0</v>
      </c>
      <c r="D1095">
        <v>8521.0578210000003</v>
      </c>
      <c r="E1095">
        <v>0</v>
      </c>
      <c r="F1095">
        <v>35189.477610000002</v>
      </c>
      <c r="G1095">
        <v>0</v>
      </c>
      <c r="H1095">
        <v>1755</v>
      </c>
      <c r="I1095" t="str">
        <f t="shared" si="69"/>
        <v>YES</v>
      </c>
      <c r="J1095" t="s">
        <v>1101</v>
      </c>
      <c r="K1095">
        <v>2142205.1806600001</v>
      </c>
      <c r="L1095" s="1">
        <f t="shared" si="70"/>
        <v>0</v>
      </c>
      <c r="M1095" s="1">
        <f t="shared" si="71"/>
        <v>0</v>
      </c>
      <c r="N1095" s="1">
        <f t="shared" si="72"/>
        <v>0</v>
      </c>
      <c r="O1095" s="1"/>
    </row>
    <row r="1096" spans="1:15" x14ac:dyDescent="0.25">
      <c r="A1096">
        <v>1800</v>
      </c>
      <c r="B1096">
        <v>35268.378140000001</v>
      </c>
      <c r="C1096">
        <v>0</v>
      </c>
      <c r="D1096">
        <v>342007.40389999998</v>
      </c>
      <c r="E1096">
        <v>0</v>
      </c>
      <c r="F1096">
        <v>761669.98670000001</v>
      </c>
      <c r="G1096">
        <v>0</v>
      </c>
      <c r="H1096">
        <v>1800</v>
      </c>
      <c r="I1096" t="str">
        <f t="shared" si="69"/>
        <v>YES</v>
      </c>
      <c r="J1096" t="s">
        <v>1102</v>
      </c>
      <c r="K1096">
        <v>650457.25314599997</v>
      </c>
      <c r="L1096" s="1">
        <f t="shared" si="70"/>
        <v>0</v>
      </c>
      <c r="M1096" s="1">
        <f t="shared" si="71"/>
        <v>0</v>
      </c>
      <c r="N1096" s="1">
        <f t="shared" si="72"/>
        <v>0</v>
      </c>
      <c r="O1096" s="1"/>
    </row>
    <row r="1097" spans="1:15" x14ac:dyDescent="0.25">
      <c r="A1097">
        <v>1801</v>
      </c>
      <c r="B1097">
        <v>23075.762910000001</v>
      </c>
      <c r="C1097">
        <v>0</v>
      </c>
      <c r="D1097">
        <v>481853.4817</v>
      </c>
      <c r="E1097">
        <v>0</v>
      </c>
      <c r="F1097">
        <v>830617.76500000001</v>
      </c>
      <c r="G1097">
        <v>0</v>
      </c>
      <c r="H1097">
        <v>1801</v>
      </c>
      <c r="I1097" t="str">
        <f t="shared" si="69"/>
        <v>YES</v>
      </c>
      <c r="J1097" t="s">
        <v>1103</v>
      </c>
      <c r="K1097">
        <v>392282.357066</v>
      </c>
      <c r="L1097" s="1">
        <f t="shared" si="70"/>
        <v>0</v>
      </c>
      <c r="M1097" s="1">
        <f t="shared" si="71"/>
        <v>0</v>
      </c>
      <c r="N1097" s="1">
        <f t="shared" si="72"/>
        <v>0</v>
      </c>
      <c r="O1097" s="1"/>
    </row>
    <row r="1098" spans="1:15" x14ac:dyDescent="0.25">
      <c r="A1098">
        <v>1802</v>
      </c>
      <c r="B1098">
        <v>55866.420169999998</v>
      </c>
      <c r="C1098">
        <v>0</v>
      </c>
      <c r="D1098">
        <v>465581.75520000001</v>
      </c>
      <c r="E1098">
        <v>0</v>
      </c>
      <c r="F1098">
        <v>983667.96640000003</v>
      </c>
      <c r="G1098">
        <v>0</v>
      </c>
      <c r="H1098">
        <v>1802</v>
      </c>
      <c r="I1098" t="str">
        <f t="shared" si="69"/>
        <v>YES</v>
      </c>
      <c r="J1098" t="s">
        <v>1104</v>
      </c>
      <c r="K1098">
        <v>494141.23603099998</v>
      </c>
      <c r="L1098" s="1">
        <f t="shared" si="70"/>
        <v>0</v>
      </c>
      <c r="M1098" s="1">
        <f t="shared" si="71"/>
        <v>0</v>
      </c>
      <c r="N1098" s="1">
        <f t="shared" si="72"/>
        <v>0</v>
      </c>
      <c r="O1098" s="1"/>
    </row>
    <row r="1099" spans="1:15" x14ac:dyDescent="0.25">
      <c r="A1099">
        <v>1803</v>
      </c>
      <c r="B1099">
        <v>105601.33719999999</v>
      </c>
      <c r="C1099">
        <v>0</v>
      </c>
      <c r="D1099">
        <v>647568.72389999998</v>
      </c>
      <c r="E1099">
        <v>0</v>
      </c>
      <c r="F1099">
        <v>1072255.8149999999</v>
      </c>
      <c r="G1099">
        <v>0</v>
      </c>
      <c r="H1099">
        <v>1803</v>
      </c>
      <c r="I1099" t="str">
        <f t="shared" si="69"/>
        <v>YES</v>
      </c>
      <c r="J1099" t="s">
        <v>1105</v>
      </c>
      <c r="K1099">
        <v>194876.95516700001</v>
      </c>
      <c r="L1099" s="1">
        <f t="shared" si="70"/>
        <v>0</v>
      </c>
      <c r="M1099" s="1">
        <f t="shared" si="71"/>
        <v>0</v>
      </c>
      <c r="N1099" s="1">
        <f t="shared" si="72"/>
        <v>0</v>
      </c>
      <c r="O1099" s="1"/>
    </row>
    <row r="1100" spans="1:15" x14ac:dyDescent="0.25">
      <c r="A1100">
        <v>1804</v>
      </c>
      <c r="B1100">
        <v>67821.354479999995</v>
      </c>
      <c r="C1100">
        <v>0</v>
      </c>
      <c r="D1100">
        <v>569969.58490000002</v>
      </c>
      <c r="E1100">
        <v>0</v>
      </c>
      <c r="F1100">
        <v>983472.22140000004</v>
      </c>
      <c r="G1100">
        <v>0</v>
      </c>
      <c r="H1100">
        <v>1804</v>
      </c>
      <c r="I1100" t="str">
        <f t="shared" si="69"/>
        <v>YES</v>
      </c>
      <c r="J1100" t="s">
        <v>1106</v>
      </c>
      <c r="K1100">
        <v>728236.26938900002</v>
      </c>
      <c r="L1100" s="1">
        <f t="shared" si="70"/>
        <v>0</v>
      </c>
      <c r="M1100" s="1">
        <f t="shared" si="71"/>
        <v>0</v>
      </c>
      <c r="N1100" s="1">
        <f t="shared" si="72"/>
        <v>0</v>
      </c>
      <c r="O1100" s="1"/>
    </row>
    <row r="1101" spans="1:15" x14ac:dyDescent="0.25">
      <c r="A1101">
        <v>1805</v>
      </c>
      <c r="B1101">
        <v>277350.30180000002</v>
      </c>
      <c r="C1101">
        <v>0</v>
      </c>
      <c r="D1101">
        <v>826712.95090000005</v>
      </c>
      <c r="E1101">
        <v>0</v>
      </c>
      <c r="F1101">
        <v>1266958.1669999999</v>
      </c>
      <c r="G1101">
        <v>0</v>
      </c>
      <c r="H1101">
        <v>1805</v>
      </c>
      <c r="I1101" t="str">
        <f t="shared" si="69"/>
        <v>YES</v>
      </c>
      <c r="J1101" t="s">
        <v>1107</v>
      </c>
      <c r="K1101">
        <v>121598.68614999999</v>
      </c>
      <c r="L1101" s="1">
        <f t="shared" si="70"/>
        <v>0</v>
      </c>
      <c r="M1101" s="1">
        <f t="shared" si="71"/>
        <v>0</v>
      </c>
      <c r="N1101" s="1">
        <f t="shared" si="72"/>
        <v>0</v>
      </c>
      <c r="O1101" s="1"/>
    </row>
    <row r="1102" spans="1:15" x14ac:dyDescent="0.25">
      <c r="A1102">
        <v>1806</v>
      </c>
      <c r="B1102">
        <v>365299.82900000003</v>
      </c>
      <c r="C1102">
        <v>0</v>
      </c>
      <c r="D1102">
        <v>913659.21950000001</v>
      </c>
      <c r="E1102">
        <v>0</v>
      </c>
      <c r="F1102">
        <v>1338934.3</v>
      </c>
      <c r="G1102">
        <v>746.68700000000001</v>
      </c>
      <c r="H1102">
        <v>1806</v>
      </c>
      <c r="I1102" t="str">
        <f t="shared" si="69"/>
        <v>YES</v>
      </c>
      <c r="J1102" t="s">
        <v>1108</v>
      </c>
      <c r="K1102">
        <v>93233.082871799998</v>
      </c>
      <c r="L1102" s="1">
        <f t="shared" si="70"/>
        <v>0</v>
      </c>
      <c r="M1102" s="1">
        <f t="shared" si="71"/>
        <v>0</v>
      </c>
      <c r="N1102" s="1">
        <f t="shared" si="72"/>
        <v>355041.24784650822</v>
      </c>
      <c r="O1102" s="1"/>
    </row>
    <row r="1103" spans="1:15" x14ac:dyDescent="0.25">
      <c r="A1103">
        <v>1807</v>
      </c>
      <c r="B1103">
        <v>123925.5049</v>
      </c>
      <c r="C1103">
        <v>0</v>
      </c>
      <c r="D1103">
        <v>681714.79639999999</v>
      </c>
      <c r="E1103">
        <v>0</v>
      </c>
      <c r="F1103">
        <v>1142420.5009999999</v>
      </c>
      <c r="G1103">
        <v>0</v>
      </c>
      <c r="H1103">
        <v>1807</v>
      </c>
      <c r="I1103" t="str">
        <f t="shared" si="69"/>
        <v>YES</v>
      </c>
      <c r="J1103" t="s">
        <v>1109</v>
      </c>
      <c r="K1103">
        <v>573847.60132300004</v>
      </c>
      <c r="L1103" s="1">
        <f t="shared" si="70"/>
        <v>0</v>
      </c>
      <c r="M1103" s="1">
        <f t="shared" si="71"/>
        <v>0</v>
      </c>
      <c r="N1103" s="1">
        <f t="shared" si="72"/>
        <v>0</v>
      </c>
      <c r="O1103" s="1"/>
    </row>
    <row r="1104" spans="1:15" x14ac:dyDescent="0.25">
      <c r="A1104">
        <v>1808</v>
      </c>
      <c r="B1104">
        <v>132550.9051</v>
      </c>
      <c r="C1104">
        <v>0</v>
      </c>
      <c r="D1104">
        <v>641047.89749999996</v>
      </c>
      <c r="E1104">
        <v>0</v>
      </c>
      <c r="F1104">
        <v>1064046.8740000001</v>
      </c>
      <c r="G1104">
        <v>0</v>
      </c>
      <c r="H1104">
        <v>1808</v>
      </c>
      <c r="I1104" t="str">
        <f t="shared" si="69"/>
        <v>YES</v>
      </c>
      <c r="J1104" t="s">
        <v>1110</v>
      </c>
      <c r="K1104">
        <v>935529.43397899996</v>
      </c>
      <c r="L1104" s="1">
        <f t="shared" si="70"/>
        <v>0</v>
      </c>
      <c r="M1104" s="1">
        <f t="shared" si="71"/>
        <v>0</v>
      </c>
      <c r="N1104" s="1">
        <f t="shared" si="72"/>
        <v>0</v>
      </c>
      <c r="O1104" s="1"/>
    </row>
    <row r="1105" spans="1:15" x14ac:dyDescent="0.25">
      <c r="A1105">
        <v>1809</v>
      </c>
      <c r="B1105">
        <v>153397.628</v>
      </c>
      <c r="C1105">
        <v>0</v>
      </c>
      <c r="D1105">
        <v>684339.86820000003</v>
      </c>
      <c r="E1105">
        <v>0</v>
      </c>
      <c r="F1105">
        <v>1121986.2690000001</v>
      </c>
      <c r="G1105">
        <v>0</v>
      </c>
      <c r="H1105">
        <v>1809</v>
      </c>
      <c r="I1105" t="str">
        <f t="shared" si="69"/>
        <v>YES</v>
      </c>
      <c r="J1105" t="s">
        <v>1111</v>
      </c>
      <c r="K1105">
        <v>295017.44603699999</v>
      </c>
      <c r="L1105" s="1">
        <f t="shared" si="70"/>
        <v>0</v>
      </c>
      <c r="M1105" s="1">
        <f t="shared" si="71"/>
        <v>0</v>
      </c>
      <c r="N1105" s="1">
        <f t="shared" si="72"/>
        <v>0</v>
      </c>
      <c r="O1105" s="1"/>
    </row>
    <row r="1106" spans="1:15" x14ac:dyDescent="0.25">
      <c r="A1106">
        <v>1810</v>
      </c>
      <c r="B1106">
        <v>150446.20129999999</v>
      </c>
      <c r="C1106">
        <v>0</v>
      </c>
      <c r="D1106">
        <v>679116.45600000001</v>
      </c>
      <c r="E1106">
        <v>0</v>
      </c>
      <c r="F1106">
        <v>1115925.9839999999</v>
      </c>
      <c r="G1106">
        <v>0</v>
      </c>
      <c r="H1106">
        <v>1810</v>
      </c>
      <c r="I1106" t="str">
        <f t="shared" si="69"/>
        <v>YES</v>
      </c>
      <c r="J1106" t="s">
        <v>1112</v>
      </c>
      <c r="K1106">
        <v>425336.18336700002</v>
      </c>
      <c r="L1106" s="1">
        <f t="shared" si="70"/>
        <v>0</v>
      </c>
      <c r="M1106" s="1">
        <f t="shared" si="71"/>
        <v>0</v>
      </c>
      <c r="N1106" s="1">
        <f t="shared" si="72"/>
        <v>0</v>
      </c>
      <c r="O1106" s="1"/>
    </row>
    <row r="1107" spans="1:15" x14ac:dyDescent="0.25">
      <c r="A1107">
        <v>1811</v>
      </c>
      <c r="B1107">
        <v>241285.59039999999</v>
      </c>
      <c r="C1107">
        <v>0</v>
      </c>
      <c r="D1107">
        <v>800590.89760000003</v>
      </c>
      <c r="E1107">
        <v>0</v>
      </c>
      <c r="F1107">
        <v>1252113.926</v>
      </c>
      <c r="G1107">
        <v>0</v>
      </c>
      <c r="H1107">
        <v>1811</v>
      </c>
      <c r="I1107" t="str">
        <f t="shared" si="69"/>
        <v>YES</v>
      </c>
      <c r="J1107" t="s">
        <v>1113</v>
      </c>
      <c r="K1107">
        <v>83296.761230100004</v>
      </c>
      <c r="L1107" s="1">
        <f t="shared" si="70"/>
        <v>0</v>
      </c>
      <c r="M1107" s="1">
        <f t="shared" si="71"/>
        <v>0</v>
      </c>
      <c r="N1107" s="1">
        <f t="shared" si="72"/>
        <v>0</v>
      </c>
      <c r="O1107" s="1"/>
    </row>
    <row r="1108" spans="1:15" x14ac:dyDescent="0.25">
      <c r="A1108">
        <v>1812</v>
      </c>
      <c r="B1108">
        <v>234580.3401</v>
      </c>
      <c r="C1108">
        <v>0</v>
      </c>
      <c r="D1108">
        <v>773505.44960000005</v>
      </c>
      <c r="E1108">
        <v>0</v>
      </c>
      <c r="F1108">
        <v>1227221.128</v>
      </c>
      <c r="G1108">
        <v>0</v>
      </c>
      <c r="H1108">
        <v>1812</v>
      </c>
      <c r="I1108" t="str">
        <f t="shared" si="69"/>
        <v>YES</v>
      </c>
      <c r="J1108" t="s">
        <v>1114</v>
      </c>
      <c r="K1108">
        <v>71611.847815000001</v>
      </c>
      <c r="L1108" s="1">
        <f t="shared" si="70"/>
        <v>0</v>
      </c>
      <c r="M1108" s="1">
        <f t="shared" si="71"/>
        <v>0</v>
      </c>
      <c r="N1108" s="1">
        <f t="shared" si="72"/>
        <v>0</v>
      </c>
      <c r="O1108" s="1"/>
    </row>
    <row r="1109" spans="1:15" x14ac:dyDescent="0.25">
      <c r="A1109">
        <v>1813</v>
      </c>
      <c r="B1109">
        <v>23342.467820000002</v>
      </c>
      <c r="C1109">
        <v>0</v>
      </c>
      <c r="D1109">
        <v>262648.31430000003</v>
      </c>
      <c r="E1109">
        <v>0</v>
      </c>
      <c r="F1109">
        <v>810801.76890000002</v>
      </c>
      <c r="G1109">
        <v>0</v>
      </c>
      <c r="H1109">
        <v>1813</v>
      </c>
      <c r="I1109" t="str">
        <f t="shared" si="69"/>
        <v>YES</v>
      </c>
      <c r="J1109" t="s">
        <v>1115</v>
      </c>
      <c r="K1109">
        <v>738236.39932600001</v>
      </c>
      <c r="L1109" s="1">
        <f t="shared" si="70"/>
        <v>0</v>
      </c>
      <c r="M1109" s="1">
        <f t="shared" si="71"/>
        <v>0</v>
      </c>
      <c r="N1109" s="1">
        <f t="shared" si="72"/>
        <v>0</v>
      </c>
      <c r="O1109" s="1"/>
    </row>
    <row r="1110" spans="1:15" x14ac:dyDescent="0.25">
      <c r="A1110">
        <v>1814</v>
      </c>
      <c r="B1110">
        <v>1758.3371500000001</v>
      </c>
      <c r="C1110">
        <v>0</v>
      </c>
      <c r="D1110">
        <v>46001.759870000002</v>
      </c>
      <c r="E1110">
        <v>0</v>
      </c>
      <c r="F1110">
        <v>357654.30910000001</v>
      </c>
      <c r="G1110">
        <v>0</v>
      </c>
      <c r="H1110">
        <v>1814</v>
      </c>
      <c r="I1110" t="str">
        <f t="shared" si="69"/>
        <v>YES</v>
      </c>
      <c r="J1110" t="s">
        <v>1116</v>
      </c>
      <c r="K1110">
        <v>1098304.59146</v>
      </c>
      <c r="L1110" s="1">
        <f t="shared" si="70"/>
        <v>0</v>
      </c>
      <c r="M1110" s="1">
        <f t="shared" si="71"/>
        <v>0</v>
      </c>
      <c r="N1110" s="1">
        <f t="shared" si="72"/>
        <v>0</v>
      </c>
      <c r="O1110" s="1"/>
    </row>
    <row r="1111" spans="1:15" x14ac:dyDescent="0.25">
      <c r="A1111">
        <v>1815</v>
      </c>
      <c r="B1111">
        <v>42990.629639999999</v>
      </c>
      <c r="C1111">
        <v>0</v>
      </c>
      <c r="D1111">
        <v>348506.9938</v>
      </c>
      <c r="E1111">
        <v>0</v>
      </c>
      <c r="F1111">
        <v>880828.54839999997</v>
      </c>
      <c r="G1111">
        <v>0</v>
      </c>
      <c r="H1111">
        <v>1815</v>
      </c>
      <c r="I1111" t="str">
        <f t="shared" si="69"/>
        <v>YES</v>
      </c>
      <c r="J1111" t="s">
        <v>1117</v>
      </c>
      <c r="K1111">
        <v>701166.81556300004</v>
      </c>
      <c r="L1111" s="1">
        <f t="shared" si="70"/>
        <v>0</v>
      </c>
      <c r="M1111" s="1">
        <f t="shared" si="71"/>
        <v>0</v>
      </c>
      <c r="N1111" s="1">
        <f t="shared" si="72"/>
        <v>0</v>
      </c>
      <c r="O1111" s="1"/>
    </row>
    <row r="1112" spans="1:15" x14ac:dyDescent="0.25">
      <c r="A1112">
        <v>1816</v>
      </c>
      <c r="B1112">
        <v>19165.577389999999</v>
      </c>
      <c r="C1112">
        <v>0</v>
      </c>
      <c r="D1112">
        <v>400822.06530000002</v>
      </c>
      <c r="E1112">
        <v>0</v>
      </c>
      <c r="F1112">
        <v>794543.35389999999</v>
      </c>
      <c r="G1112">
        <v>0</v>
      </c>
      <c r="H1112">
        <v>1816</v>
      </c>
      <c r="I1112" t="str">
        <f t="shared" si="69"/>
        <v>YES</v>
      </c>
      <c r="J1112" t="s">
        <v>1118</v>
      </c>
      <c r="K1112">
        <v>1099940.8468800001</v>
      </c>
      <c r="L1112" s="1">
        <f t="shared" si="70"/>
        <v>0</v>
      </c>
      <c r="M1112" s="1">
        <f t="shared" si="71"/>
        <v>0</v>
      </c>
      <c r="N1112" s="1">
        <f t="shared" si="72"/>
        <v>0</v>
      </c>
      <c r="O1112" s="1"/>
    </row>
    <row r="1113" spans="1:15" x14ac:dyDescent="0.25">
      <c r="A1113">
        <v>1817</v>
      </c>
      <c r="B1113">
        <v>18787.83467</v>
      </c>
      <c r="C1113">
        <v>0</v>
      </c>
      <c r="D1113">
        <v>341148.58380000002</v>
      </c>
      <c r="E1113">
        <v>0</v>
      </c>
      <c r="F1113">
        <v>761876.19660000002</v>
      </c>
      <c r="G1113">
        <v>0</v>
      </c>
      <c r="H1113">
        <v>1817</v>
      </c>
      <c r="I1113" t="str">
        <f t="shared" si="69"/>
        <v>YES</v>
      </c>
      <c r="J1113" t="s">
        <v>1119</v>
      </c>
      <c r="K1113">
        <v>630896.22621500003</v>
      </c>
      <c r="L1113" s="1">
        <f t="shared" si="70"/>
        <v>0</v>
      </c>
      <c r="M1113" s="1">
        <f t="shared" si="71"/>
        <v>0</v>
      </c>
      <c r="N1113" s="1">
        <f t="shared" si="72"/>
        <v>0</v>
      </c>
      <c r="O1113" s="1"/>
    </row>
    <row r="1114" spans="1:15" x14ac:dyDescent="0.25">
      <c r="A1114">
        <v>1818</v>
      </c>
      <c r="B1114">
        <v>33800.43075</v>
      </c>
      <c r="C1114">
        <v>0</v>
      </c>
      <c r="D1114">
        <v>471253.12890000001</v>
      </c>
      <c r="E1114">
        <v>0</v>
      </c>
      <c r="F1114">
        <v>839123.76269999996</v>
      </c>
      <c r="G1114">
        <v>0</v>
      </c>
      <c r="H1114">
        <v>1818</v>
      </c>
      <c r="I1114" t="str">
        <f t="shared" si="69"/>
        <v>YES</v>
      </c>
      <c r="J1114" t="s">
        <v>1120</v>
      </c>
      <c r="K1114">
        <v>259983.08181500001</v>
      </c>
      <c r="L1114" s="1">
        <f t="shared" si="70"/>
        <v>0</v>
      </c>
      <c r="M1114" s="1">
        <f t="shared" si="71"/>
        <v>0</v>
      </c>
      <c r="N1114" s="1">
        <f t="shared" si="72"/>
        <v>0</v>
      </c>
      <c r="O1114" s="1"/>
    </row>
    <row r="1115" spans="1:15" x14ac:dyDescent="0.25">
      <c r="A1115">
        <v>1819</v>
      </c>
      <c r="B1115">
        <v>55368.35527</v>
      </c>
      <c r="C1115">
        <v>0</v>
      </c>
      <c r="D1115">
        <v>515617.86080000002</v>
      </c>
      <c r="E1115">
        <v>0</v>
      </c>
      <c r="F1115">
        <v>879176.70860000001</v>
      </c>
      <c r="G1115">
        <v>0</v>
      </c>
      <c r="H1115">
        <v>1819</v>
      </c>
      <c r="I1115" t="str">
        <f t="shared" si="69"/>
        <v>YES</v>
      </c>
      <c r="J1115" t="s">
        <v>1121</v>
      </c>
      <c r="K1115">
        <v>257580.04911600001</v>
      </c>
      <c r="L1115" s="1">
        <f t="shared" si="70"/>
        <v>0</v>
      </c>
      <c r="M1115" s="1">
        <f t="shared" si="71"/>
        <v>0</v>
      </c>
      <c r="N1115" s="1">
        <f t="shared" si="72"/>
        <v>0</v>
      </c>
      <c r="O1115" s="1"/>
    </row>
    <row r="1116" spans="1:15" x14ac:dyDescent="0.25">
      <c r="A1116">
        <v>1820</v>
      </c>
      <c r="B1116">
        <v>107193.32460000001</v>
      </c>
      <c r="C1116">
        <v>0</v>
      </c>
      <c r="D1116">
        <v>608896.13320000004</v>
      </c>
      <c r="E1116">
        <v>0</v>
      </c>
      <c r="F1116">
        <v>991880.97420000006</v>
      </c>
      <c r="G1116">
        <v>0</v>
      </c>
      <c r="H1116">
        <v>1820</v>
      </c>
      <c r="I1116" t="str">
        <f t="shared" si="69"/>
        <v>YES</v>
      </c>
      <c r="J1116" t="s">
        <v>1122</v>
      </c>
      <c r="K1116">
        <v>555648.61508100003</v>
      </c>
      <c r="L1116" s="1">
        <f t="shared" si="70"/>
        <v>0</v>
      </c>
      <c r="M1116" s="1">
        <f t="shared" si="71"/>
        <v>0</v>
      </c>
      <c r="N1116" s="1">
        <f t="shared" si="72"/>
        <v>0</v>
      </c>
      <c r="O1116" s="1"/>
    </row>
    <row r="1117" spans="1:15" x14ac:dyDescent="0.25">
      <c r="A1117">
        <v>1821</v>
      </c>
      <c r="B1117">
        <v>20999.155640000001</v>
      </c>
      <c r="C1117">
        <v>0</v>
      </c>
      <c r="D1117">
        <v>500888.81540000002</v>
      </c>
      <c r="E1117">
        <v>0</v>
      </c>
      <c r="F1117">
        <v>860512.82609999995</v>
      </c>
      <c r="G1117">
        <v>0</v>
      </c>
      <c r="H1117">
        <v>1821</v>
      </c>
      <c r="I1117" t="str">
        <f t="shared" si="69"/>
        <v>YES</v>
      </c>
      <c r="J1117" t="s">
        <v>1123</v>
      </c>
      <c r="K1117">
        <v>185411.94442799999</v>
      </c>
      <c r="L1117" s="1">
        <f t="shared" si="70"/>
        <v>0</v>
      </c>
      <c r="M1117" s="1">
        <f t="shared" si="71"/>
        <v>0</v>
      </c>
      <c r="N1117" s="1">
        <f t="shared" si="72"/>
        <v>0</v>
      </c>
      <c r="O1117" s="1"/>
    </row>
    <row r="1118" spans="1:15" x14ac:dyDescent="0.25">
      <c r="A1118">
        <v>1823</v>
      </c>
      <c r="B1118">
        <v>17460.833879999998</v>
      </c>
      <c r="C1118">
        <v>0</v>
      </c>
      <c r="D1118">
        <v>345257.7708</v>
      </c>
      <c r="E1118">
        <v>0</v>
      </c>
      <c r="F1118">
        <v>777270.67249999999</v>
      </c>
      <c r="G1118">
        <v>0</v>
      </c>
      <c r="H1118">
        <v>1823</v>
      </c>
      <c r="I1118" t="str">
        <f t="shared" si="69"/>
        <v>YES</v>
      </c>
      <c r="J1118" t="s">
        <v>1124</v>
      </c>
      <c r="K1118">
        <v>912326.08397299994</v>
      </c>
      <c r="L1118" s="1">
        <f t="shared" si="70"/>
        <v>0</v>
      </c>
      <c r="M1118" s="1">
        <f t="shared" si="71"/>
        <v>0</v>
      </c>
      <c r="N1118" s="1">
        <f t="shared" si="72"/>
        <v>0</v>
      </c>
      <c r="O1118" s="1"/>
    </row>
    <row r="1119" spans="1:15" x14ac:dyDescent="0.25">
      <c r="A1119">
        <v>1824</v>
      </c>
      <c r="B1119">
        <v>19968.710330000002</v>
      </c>
      <c r="C1119">
        <v>0</v>
      </c>
      <c r="D1119">
        <v>426386.14</v>
      </c>
      <c r="E1119">
        <v>0</v>
      </c>
      <c r="F1119">
        <v>822168.95030000003</v>
      </c>
      <c r="G1119">
        <v>0</v>
      </c>
      <c r="H1119">
        <v>1824</v>
      </c>
      <c r="I1119" t="str">
        <f t="shared" si="69"/>
        <v>YES</v>
      </c>
      <c r="J1119" t="s">
        <v>1125</v>
      </c>
      <c r="K1119">
        <v>541394.58033499995</v>
      </c>
      <c r="L1119" s="1">
        <f t="shared" si="70"/>
        <v>0</v>
      </c>
      <c r="M1119" s="1">
        <f t="shared" si="71"/>
        <v>0</v>
      </c>
      <c r="N1119" s="1">
        <f t="shared" si="72"/>
        <v>0</v>
      </c>
      <c r="O1119" s="1"/>
    </row>
    <row r="1120" spans="1:15" x14ac:dyDescent="0.25">
      <c r="A1120">
        <v>1825</v>
      </c>
      <c r="B1120">
        <v>105496.38800000001</v>
      </c>
      <c r="C1120">
        <v>0</v>
      </c>
      <c r="D1120">
        <v>595112.14280000003</v>
      </c>
      <c r="E1120">
        <v>0</v>
      </c>
      <c r="F1120">
        <v>968225.46219999995</v>
      </c>
      <c r="G1120">
        <v>0</v>
      </c>
      <c r="H1120">
        <v>1825</v>
      </c>
      <c r="I1120" t="str">
        <f t="shared" si="69"/>
        <v>YES</v>
      </c>
      <c r="J1120" t="s">
        <v>1126</v>
      </c>
      <c r="K1120">
        <v>138015.29327299999</v>
      </c>
      <c r="L1120" s="1">
        <f t="shared" si="70"/>
        <v>0</v>
      </c>
      <c r="M1120" s="1">
        <f t="shared" si="71"/>
        <v>0</v>
      </c>
      <c r="N1120" s="1">
        <f t="shared" si="72"/>
        <v>0</v>
      </c>
      <c r="O1120" s="1"/>
    </row>
    <row r="1121" spans="1:15" x14ac:dyDescent="0.25">
      <c r="A1121">
        <v>1826</v>
      </c>
      <c r="B1121">
        <v>17241.703870000001</v>
      </c>
      <c r="C1121">
        <v>0</v>
      </c>
      <c r="D1121">
        <v>257484.79749999999</v>
      </c>
      <c r="E1121">
        <v>0</v>
      </c>
      <c r="F1121">
        <v>725902.35439999995</v>
      </c>
      <c r="G1121">
        <v>0</v>
      </c>
      <c r="H1121">
        <v>1826</v>
      </c>
      <c r="I1121" t="str">
        <f t="shared" si="69"/>
        <v>YES</v>
      </c>
      <c r="J1121" t="s">
        <v>1127</v>
      </c>
      <c r="K1121">
        <v>869367.52624000004</v>
      </c>
      <c r="L1121" s="1">
        <f t="shared" si="70"/>
        <v>0</v>
      </c>
      <c r="M1121" s="1">
        <f t="shared" si="71"/>
        <v>0</v>
      </c>
      <c r="N1121" s="1">
        <f t="shared" si="72"/>
        <v>0</v>
      </c>
      <c r="O1121" s="1"/>
    </row>
    <row r="1122" spans="1:15" x14ac:dyDescent="0.25">
      <c r="A1122">
        <v>1827</v>
      </c>
      <c r="B1122">
        <v>13892.71925</v>
      </c>
      <c r="C1122">
        <v>0</v>
      </c>
      <c r="D1122">
        <v>138169.57199999999</v>
      </c>
      <c r="E1122">
        <v>0</v>
      </c>
      <c r="F1122">
        <v>706600.6679</v>
      </c>
      <c r="G1122">
        <v>0</v>
      </c>
      <c r="H1122">
        <v>1827</v>
      </c>
      <c r="I1122" t="str">
        <f t="shared" si="69"/>
        <v>YES</v>
      </c>
      <c r="J1122" t="s">
        <v>1128</v>
      </c>
      <c r="K1122">
        <v>673359.33306099998</v>
      </c>
      <c r="L1122" s="1">
        <f t="shared" si="70"/>
        <v>0</v>
      </c>
      <c r="M1122" s="1">
        <f t="shared" si="71"/>
        <v>0</v>
      </c>
      <c r="N1122" s="1">
        <f t="shared" si="72"/>
        <v>0</v>
      </c>
      <c r="O1122" s="1"/>
    </row>
    <row r="1123" spans="1:15" x14ac:dyDescent="0.25">
      <c r="A1123">
        <v>1828</v>
      </c>
      <c r="B1123">
        <v>38359.486519999999</v>
      </c>
      <c r="C1123">
        <v>0</v>
      </c>
      <c r="D1123">
        <v>434973.47480000003</v>
      </c>
      <c r="E1123">
        <v>0</v>
      </c>
      <c r="F1123">
        <v>796029.72690000001</v>
      </c>
      <c r="G1123">
        <v>0</v>
      </c>
      <c r="H1123">
        <v>1828</v>
      </c>
      <c r="I1123" t="str">
        <f t="shared" si="69"/>
        <v>YES</v>
      </c>
      <c r="J1123" t="s">
        <v>1129</v>
      </c>
      <c r="K1123">
        <v>690690.20981399994</v>
      </c>
      <c r="L1123" s="1">
        <f t="shared" si="70"/>
        <v>0</v>
      </c>
      <c r="M1123" s="1">
        <f t="shared" si="71"/>
        <v>0</v>
      </c>
      <c r="N1123" s="1">
        <f t="shared" si="72"/>
        <v>0</v>
      </c>
      <c r="O1123" s="1"/>
    </row>
    <row r="1124" spans="1:15" x14ac:dyDescent="0.25">
      <c r="A1124">
        <v>1829</v>
      </c>
      <c r="B1124">
        <v>51730.132700000002</v>
      </c>
      <c r="C1124">
        <v>0</v>
      </c>
      <c r="D1124">
        <v>351397.20030000003</v>
      </c>
      <c r="E1124">
        <v>0</v>
      </c>
      <c r="F1124">
        <v>764166.63049999997</v>
      </c>
      <c r="G1124">
        <v>0</v>
      </c>
      <c r="H1124">
        <v>1829</v>
      </c>
      <c r="I1124" t="str">
        <f t="shared" si="69"/>
        <v>YES</v>
      </c>
      <c r="J1124" t="s">
        <v>1130</v>
      </c>
      <c r="K1124">
        <v>636564.92431799998</v>
      </c>
      <c r="L1124" s="1">
        <f t="shared" si="70"/>
        <v>0</v>
      </c>
      <c r="M1124" s="1">
        <f t="shared" si="71"/>
        <v>0</v>
      </c>
      <c r="N1124" s="1">
        <f t="shared" si="72"/>
        <v>0</v>
      </c>
      <c r="O1124" s="1"/>
    </row>
    <row r="1125" spans="1:15" x14ac:dyDescent="0.25">
      <c r="A1125">
        <v>1830</v>
      </c>
      <c r="B1125">
        <v>5409.272363</v>
      </c>
      <c r="C1125">
        <v>0</v>
      </c>
      <c r="D1125">
        <v>56646.0933</v>
      </c>
      <c r="E1125">
        <v>0</v>
      </c>
      <c r="F1125">
        <v>517909.74829999998</v>
      </c>
      <c r="G1125">
        <v>0</v>
      </c>
      <c r="H1125">
        <v>1830</v>
      </c>
      <c r="I1125" t="str">
        <f t="shared" si="69"/>
        <v>YES</v>
      </c>
      <c r="J1125" t="s">
        <v>1131</v>
      </c>
      <c r="K1125">
        <v>1369331.7630700001</v>
      </c>
      <c r="L1125" s="1">
        <f t="shared" si="70"/>
        <v>0</v>
      </c>
      <c r="M1125" s="1">
        <f t="shared" si="71"/>
        <v>0</v>
      </c>
      <c r="N1125" s="1">
        <f t="shared" si="72"/>
        <v>0</v>
      </c>
      <c r="O1125" s="1"/>
    </row>
    <row r="1126" spans="1:15" x14ac:dyDescent="0.25">
      <c r="A1126">
        <v>1831</v>
      </c>
      <c r="B1126">
        <v>109823.7599</v>
      </c>
      <c r="C1126">
        <v>0</v>
      </c>
      <c r="D1126">
        <v>495549.71620000002</v>
      </c>
      <c r="E1126">
        <v>0</v>
      </c>
      <c r="F1126">
        <v>870536.10719999997</v>
      </c>
      <c r="G1126">
        <v>0</v>
      </c>
      <c r="H1126">
        <v>1831</v>
      </c>
      <c r="I1126" t="str">
        <f t="shared" si="69"/>
        <v>YES</v>
      </c>
      <c r="J1126" t="s">
        <v>1132</v>
      </c>
      <c r="K1126">
        <v>783892.68622100004</v>
      </c>
      <c r="L1126" s="1">
        <f t="shared" si="70"/>
        <v>0</v>
      </c>
      <c r="M1126" s="1">
        <f t="shared" si="71"/>
        <v>0</v>
      </c>
      <c r="N1126" s="1">
        <f t="shared" si="72"/>
        <v>0</v>
      </c>
      <c r="O1126" s="1"/>
    </row>
    <row r="1127" spans="1:15" x14ac:dyDescent="0.25">
      <c r="A1127">
        <v>1832</v>
      </c>
      <c r="B1127">
        <v>155149.1679</v>
      </c>
      <c r="C1127">
        <v>0</v>
      </c>
      <c r="D1127">
        <v>660251.9669</v>
      </c>
      <c r="E1127">
        <v>0</v>
      </c>
      <c r="F1127">
        <v>1087603.3189999999</v>
      </c>
      <c r="G1127">
        <v>0</v>
      </c>
      <c r="H1127">
        <v>1832</v>
      </c>
      <c r="I1127" t="str">
        <f t="shared" si="69"/>
        <v>YES</v>
      </c>
      <c r="J1127" t="s">
        <v>1133</v>
      </c>
      <c r="K1127">
        <v>238638.25104</v>
      </c>
      <c r="L1127" s="1">
        <f t="shared" si="70"/>
        <v>0</v>
      </c>
      <c r="M1127" s="1">
        <f t="shared" si="71"/>
        <v>0</v>
      </c>
      <c r="N1127" s="1">
        <f t="shared" si="72"/>
        <v>0</v>
      </c>
      <c r="O1127" s="1"/>
    </row>
    <row r="1128" spans="1:15" x14ac:dyDescent="0.25">
      <c r="A1128">
        <v>1833</v>
      </c>
      <c r="B1128">
        <v>4754.1761749999996</v>
      </c>
      <c r="C1128">
        <v>0</v>
      </c>
      <c r="D1128">
        <v>61549.897550000002</v>
      </c>
      <c r="E1128">
        <v>0</v>
      </c>
      <c r="F1128">
        <v>543445.98069999996</v>
      </c>
      <c r="G1128">
        <v>0</v>
      </c>
      <c r="H1128">
        <v>1833</v>
      </c>
      <c r="I1128" t="str">
        <f t="shared" si="69"/>
        <v>YES</v>
      </c>
      <c r="J1128" t="s">
        <v>1134</v>
      </c>
      <c r="K1128">
        <v>381277.61633400002</v>
      </c>
      <c r="L1128" s="1">
        <f t="shared" si="70"/>
        <v>0</v>
      </c>
      <c r="M1128" s="1">
        <f t="shared" si="71"/>
        <v>0</v>
      </c>
      <c r="N1128" s="1">
        <f t="shared" si="72"/>
        <v>0</v>
      </c>
      <c r="O1128" s="1"/>
    </row>
    <row r="1129" spans="1:15" x14ac:dyDescent="0.25">
      <c r="A1129">
        <v>1834</v>
      </c>
      <c r="B1129">
        <v>15241.421909999999</v>
      </c>
      <c r="C1129">
        <v>0</v>
      </c>
      <c r="D1129">
        <v>189898.7611</v>
      </c>
      <c r="E1129">
        <v>0</v>
      </c>
      <c r="F1129">
        <v>637040.67169999995</v>
      </c>
      <c r="G1129">
        <v>0</v>
      </c>
      <c r="H1129">
        <v>1834</v>
      </c>
      <c r="I1129" t="str">
        <f t="shared" si="69"/>
        <v>YES</v>
      </c>
      <c r="J1129" t="s">
        <v>1135</v>
      </c>
      <c r="K1129">
        <v>991300.89118799998</v>
      </c>
      <c r="L1129" s="1">
        <f t="shared" si="70"/>
        <v>0</v>
      </c>
      <c r="M1129" s="1">
        <f t="shared" si="71"/>
        <v>0</v>
      </c>
      <c r="N1129" s="1">
        <f t="shared" si="72"/>
        <v>0</v>
      </c>
      <c r="O1129" s="1"/>
    </row>
    <row r="1130" spans="1:15" x14ac:dyDescent="0.25">
      <c r="A1130">
        <v>1835</v>
      </c>
      <c r="B1130">
        <v>22657.968730000001</v>
      </c>
      <c r="C1130">
        <v>0</v>
      </c>
      <c r="D1130">
        <v>390204.75099999999</v>
      </c>
      <c r="E1130">
        <v>0</v>
      </c>
      <c r="F1130">
        <v>757654.33700000006</v>
      </c>
      <c r="G1130">
        <v>0</v>
      </c>
      <c r="H1130">
        <v>1835</v>
      </c>
      <c r="I1130" t="str">
        <f t="shared" si="69"/>
        <v>YES</v>
      </c>
      <c r="J1130" t="s">
        <v>1136</v>
      </c>
      <c r="K1130">
        <v>682616.94981899997</v>
      </c>
      <c r="L1130" s="1">
        <f t="shared" si="70"/>
        <v>0</v>
      </c>
      <c r="M1130" s="1">
        <f t="shared" si="71"/>
        <v>0</v>
      </c>
      <c r="N1130" s="1">
        <f t="shared" si="72"/>
        <v>0</v>
      </c>
      <c r="O1130" s="1"/>
    </row>
    <row r="1131" spans="1:15" x14ac:dyDescent="0.25">
      <c r="A1131">
        <v>1836</v>
      </c>
      <c r="B1131">
        <v>171664.8566</v>
      </c>
      <c r="C1131">
        <v>0</v>
      </c>
      <c r="D1131">
        <v>661687.94090000005</v>
      </c>
      <c r="E1131">
        <v>0</v>
      </c>
      <c r="F1131">
        <v>1097325.3729999999</v>
      </c>
      <c r="G1131">
        <v>0</v>
      </c>
      <c r="H1131">
        <v>1836</v>
      </c>
      <c r="I1131" t="str">
        <f t="shared" si="69"/>
        <v>YES</v>
      </c>
      <c r="J1131" t="s">
        <v>1137</v>
      </c>
      <c r="K1131">
        <v>244193.26857799999</v>
      </c>
      <c r="L1131" s="1">
        <f t="shared" si="70"/>
        <v>0</v>
      </c>
      <c r="M1131" s="1">
        <f t="shared" si="71"/>
        <v>0</v>
      </c>
      <c r="N1131" s="1">
        <f t="shared" si="72"/>
        <v>0</v>
      </c>
      <c r="O1131" s="1"/>
    </row>
    <row r="1132" spans="1:15" x14ac:dyDescent="0.25">
      <c r="A1132">
        <v>1837</v>
      </c>
      <c r="B1132">
        <v>225940.17509999999</v>
      </c>
      <c r="C1132">
        <v>0</v>
      </c>
      <c r="D1132">
        <v>693967.5943</v>
      </c>
      <c r="E1132">
        <v>0</v>
      </c>
      <c r="F1132">
        <v>1144468.5460000001</v>
      </c>
      <c r="G1132">
        <v>0</v>
      </c>
      <c r="H1132">
        <v>1837</v>
      </c>
      <c r="I1132" t="str">
        <f t="shared" si="69"/>
        <v>YES</v>
      </c>
      <c r="J1132" t="s">
        <v>1138</v>
      </c>
      <c r="K1132">
        <v>58499.922488700002</v>
      </c>
      <c r="L1132" s="1">
        <f t="shared" si="70"/>
        <v>0</v>
      </c>
      <c r="M1132" s="1">
        <f t="shared" si="71"/>
        <v>0</v>
      </c>
      <c r="N1132" s="1">
        <f t="shared" si="72"/>
        <v>0</v>
      </c>
      <c r="O1132" s="1"/>
    </row>
    <row r="1133" spans="1:15" x14ac:dyDescent="0.25">
      <c r="A1133">
        <v>1838</v>
      </c>
      <c r="B1133">
        <v>83273.203529999999</v>
      </c>
      <c r="C1133">
        <v>0</v>
      </c>
      <c r="D1133">
        <v>546563.73970000003</v>
      </c>
      <c r="E1133">
        <v>0</v>
      </c>
      <c r="F1133">
        <v>896204.51390000002</v>
      </c>
      <c r="G1133">
        <v>0</v>
      </c>
      <c r="H1133">
        <v>1838</v>
      </c>
      <c r="I1133" t="str">
        <f t="shared" si="69"/>
        <v>YES</v>
      </c>
      <c r="J1133" t="s">
        <v>1139</v>
      </c>
      <c r="K1133">
        <v>271258.82410000003</v>
      </c>
      <c r="L1133" s="1">
        <f t="shared" si="70"/>
        <v>0</v>
      </c>
      <c r="M1133" s="1">
        <f t="shared" si="71"/>
        <v>0</v>
      </c>
      <c r="N1133" s="1">
        <f t="shared" si="72"/>
        <v>0</v>
      </c>
      <c r="O1133" s="1"/>
    </row>
    <row r="1134" spans="1:15" x14ac:dyDescent="0.25">
      <c r="A1134">
        <v>1839</v>
      </c>
      <c r="B1134">
        <v>181481.83410000001</v>
      </c>
      <c r="C1134">
        <v>0</v>
      </c>
      <c r="D1134">
        <v>598260.75260000001</v>
      </c>
      <c r="E1134">
        <v>0</v>
      </c>
      <c r="F1134">
        <v>1015590.349</v>
      </c>
      <c r="G1134">
        <v>0</v>
      </c>
      <c r="H1134">
        <v>1839</v>
      </c>
      <c r="I1134" t="str">
        <f t="shared" si="69"/>
        <v>YES</v>
      </c>
      <c r="J1134" t="s">
        <v>1140</v>
      </c>
      <c r="K1134">
        <v>397693.15597099997</v>
      </c>
      <c r="L1134" s="1">
        <f t="shared" si="70"/>
        <v>0</v>
      </c>
      <c r="M1134" s="1">
        <f t="shared" si="71"/>
        <v>0</v>
      </c>
      <c r="N1134" s="1">
        <f t="shared" si="72"/>
        <v>0</v>
      </c>
      <c r="O1134" s="1"/>
    </row>
    <row r="1135" spans="1:15" x14ac:dyDescent="0.25">
      <c r="A1135">
        <v>1840</v>
      </c>
      <c r="B1135">
        <v>90833.56151</v>
      </c>
      <c r="C1135">
        <v>0</v>
      </c>
      <c r="D1135">
        <v>536182.40139999997</v>
      </c>
      <c r="E1135">
        <v>0</v>
      </c>
      <c r="F1135">
        <v>881380.74380000005</v>
      </c>
      <c r="G1135">
        <v>0</v>
      </c>
      <c r="H1135">
        <v>1840</v>
      </c>
      <c r="I1135" t="str">
        <f t="shared" si="69"/>
        <v>YES</v>
      </c>
      <c r="J1135" t="s">
        <v>1141</v>
      </c>
      <c r="K1135">
        <v>561283.56307200005</v>
      </c>
      <c r="L1135" s="1">
        <f t="shared" si="70"/>
        <v>0</v>
      </c>
      <c r="M1135" s="1">
        <f t="shared" si="71"/>
        <v>0</v>
      </c>
      <c r="N1135" s="1">
        <f t="shared" si="72"/>
        <v>0</v>
      </c>
      <c r="O1135" s="1"/>
    </row>
    <row r="1136" spans="1:15" x14ac:dyDescent="0.25">
      <c r="A1136">
        <v>1841</v>
      </c>
      <c r="B1136">
        <v>108912.45140000001</v>
      </c>
      <c r="C1136">
        <v>0</v>
      </c>
      <c r="D1136">
        <v>470769.92239999998</v>
      </c>
      <c r="E1136">
        <v>0</v>
      </c>
      <c r="F1136">
        <v>843022.72580000001</v>
      </c>
      <c r="G1136">
        <v>0</v>
      </c>
      <c r="H1136">
        <v>1841</v>
      </c>
      <c r="I1136" t="str">
        <f t="shared" si="69"/>
        <v>YES</v>
      </c>
      <c r="J1136" t="s">
        <v>1142</v>
      </c>
      <c r="K1136">
        <v>547573.96945700003</v>
      </c>
      <c r="L1136" s="1">
        <f t="shared" si="70"/>
        <v>0</v>
      </c>
      <c r="M1136" s="1">
        <f t="shared" si="71"/>
        <v>0</v>
      </c>
      <c r="N1136" s="1">
        <f t="shared" si="72"/>
        <v>0</v>
      </c>
      <c r="O1136" s="1"/>
    </row>
    <row r="1137" spans="1:15" x14ac:dyDescent="0.25">
      <c r="A1137">
        <v>1842</v>
      </c>
      <c r="B1137">
        <v>182931.97690000001</v>
      </c>
      <c r="C1137">
        <v>0</v>
      </c>
      <c r="D1137">
        <v>656359.12269999995</v>
      </c>
      <c r="E1137">
        <v>0</v>
      </c>
      <c r="F1137">
        <v>1076810.389</v>
      </c>
      <c r="G1137">
        <v>0</v>
      </c>
      <c r="H1137">
        <v>1842</v>
      </c>
      <c r="I1137" t="str">
        <f t="shared" si="69"/>
        <v>YES</v>
      </c>
      <c r="J1137" t="s">
        <v>1143</v>
      </c>
      <c r="K1137">
        <v>285239.54073499999</v>
      </c>
      <c r="L1137" s="1">
        <f t="shared" si="70"/>
        <v>0</v>
      </c>
      <c r="M1137" s="1">
        <f t="shared" si="71"/>
        <v>0</v>
      </c>
      <c r="N1137" s="1">
        <f t="shared" si="72"/>
        <v>0</v>
      </c>
      <c r="O1137" s="1"/>
    </row>
    <row r="1138" spans="1:15" x14ac:dyDescent="0.25">
      <c r="A1138">
        <v>1843</v>
      </c>
      <c r="B1138">
        <v>146639.4289</v>
      </c>
      <c r="C1138">
        <v>0</v>
      </c>
      <c r="D1138">
        <v>636768.05920000002</v>
      </c>
      <c r="E1138">
        <v>0</v>
      </c>
      <c r="F1138">
        <v>1056097.8770000001</v>
      </c>
      <c r="G1138">
        <v>0</v>
      </c>
      <c r="H1138">
        <v>1843</v>
      </c>
      <c r="I1138" t="str">
        <f t="shared" si="69"/>
        <v>YES</v>
      </c>
      <c r="J1138" t="s">
        <v>1144</v>
      </c>
      <c r="K1138">
        <v>232336.43709399999</v>
      </c>
      <c r="L1138" s="1">
        <f t="shared" si="70"/>
        <v>0</v>
      </c>
      <c r="M1138" s="1">
        <f t="shared" si="71"/>
        <v>0</v>
      </c>
      <c r="N1138" s="1">
        <f t="shared" si="72"/>
        <v>0</v>
      </c>
      <c r="O1138" s="1"/>
    </row>
    <row r="1139" spans="1:15" x14ac:dyDescent="0.25">
      <c r="A1139">
        <v>1844</v>
      </c>
      <c r="B1139">
        <v>451056.19280000002</v>
      </c>
      <c r="C1139">
        <v>0</v>
      </c>
      <c r="D1139">
        <v>841488.3726</v>
      </c>
      <c r="E1139">
        <v>0</v>
      </c>
      <c r="F1139">
        <v>1337335.9539999999</v>
      </c>
      <c r="G1139">
        <v>1395.9580000000001</v>
      </c>
      <c r="H1139">
        <v>1844</v>
      </c>
      <c r="I1139" t="str">
        <f t="shared" si="69"/>
        <v>YES</v>
      </c>
      <c r="J1139" t="s">
        <v>1145</v>
      </c>
      <c r="K1139">
        <v>80001.248380899997</v>
      </c>
      <c r="L1139" s="1">
        <f t="shared" si="70"/>
        <v>0</v>
      </c>
      <c r="M1139" s="1">
        <f t="shared" si="71"/>
        <v>0</v>
      </c>
      <c r="N1139" s="1">
        <f t="shared" si="72"/>
        <v>569559.75170525245</v>
      </c>
      <c r="O1139" s="1"/>
    </row>
    <row r="1140" spans="1:15" x14ac:dyDescent="0.25">
      <c r="A1140">
        <v>1845</v>
      </c>
      <c r="B1140">
        <v>238179.4958</v>
      </c>
      <c r="C1140">
        <v>0</v>
      </c>
      <c r="D1140">
        <v>717808.99670000002</v>
      </c>
      <c r="E1140">
        <v>0</v>
      </c>
      <c r="F1140">
        <v>1174570.3049999999</v>
      </c>
      <c r="G1140">
        <v>0</v>
      </c>
      <c r="H1140">
        <v>1845</v>
      </c>
      <c r="I1140" t="str">
        <f t="shared" si="69"/>
        <v>YES</v>
      </c>
      <c r="J1140" t="s">
        <v>1146</v>
      </c>
      <c r="K1140">
        <v>78233.193266899994</v>
      </c>
      <c r="L1140" s="1">
        <f t="shared" si="70"/>
        <v>0</v>
      </c>
      <c r="M1140" s="1">
        <f t="shared" si="71"/>
        <v>0</v>
      </c>
      <c r="N1140" s="1">
        <f t="shared" si="72"/>
        <v>0</v>
      </c>
      <c r="O1140" s="1"/>
    </row>
    <row r="1141" spans="1:15" x14ac:dyDescent="0.25">
      <c r="A1141">
        <v>1846</v>
      </c>
      <c r="B1141">
        <v>291342.0197</v>
      </c>
      <c r="C1141">
        <v>0</v>
      </c>
      <c r="D1141">
        <v>729764.59950000001</v>
      </c>
      <c r="E1141">
        <v>0</v>
      </c>
      <c r="F1141">
        <v>1202796.99</v>
      </c>
      <c r="G1141">
        <v>0</v>
      </c>
      <c r="H1141">
        <v>1846</v>
      </c>
      <c r="I1141" t="str">
        <f t="shared" si="69"/>
        <v>YES</v>
      </c>
      <c r="J1141" t="s">
        <v>1147</v>
      </c>
      <c r="K1141">
        <v>131116.627431</v>
      </c>
      <c r="L1141" s="1">
        <f t="shared" si="70"/>
        <v>0</v>
      </c>
      <c r="M1141" s="1">
        <f t="shared" si="71"/>
        <v>0</v>
      </c>
      <c r="N1141" s="1">
        <f t="shared" si="72"/>
        <v>0</v>
      </c>
      <c r="O1141" s="1"/>
    </row>
    <row r="1142" spans="1:15" x14ac:dyDescent="0.25">
      <c r="A1142">
        <v>1847</v>
      </c>
      <c r="B1142">
        <v>452.38708459999998</v>
      </c>
      <c r="C1142">
        <v>0</v>
      </c>
      <c r="D1142">
        <v>15371.356470000001</v>
      </c>
      <c r="E1142">
        <v>0</v>
      </c>
      <c r="F1142">
        <v>311800.60950000002</v>
      </c>
      <c r="G1142">
        <v>0</v>
      </c>
      <c r="H1142">
        <v>1847</v>
      </c>
      <c r="I1142" t="str">
        <f t="shared" si="69"/>
        <v>YES</v>
      </c>
      <c r="J1142" t="s">
        <v>1148</v>
      </c>
      <c r="K1142">
        <v>2338621.5109600001</v>
      </c>
      <c r="L1142" s="1">
        <f t="shared" si="70"/>
        <v>0</v>
      </c>
      <c r="M1142" s="1">
        <f t="shared" si="71"/>
        <v>0</v>
      </c>
      <c r="N1142" s="1">
        <f t="shared" si="72"/>
        <v>0</v>
      </c>
      <c r="O1142" s="1"/>
    </row>
    <row r="1143" spans="1:15" x14ac:dyDescent="0.25">
      <c r="A1143">
        <v>1848</v>
      </c>
      <c r="B1143">
        <v>23576.457590000002</v>
      </c>
      <c r="C1143">
        <v>0</v>
      </c>
      <c r="D1143">
        <v>331013.70789999998</v>
      </c>
      <c r="E1143">
        <v>0</v>
      </c>
      <c r="F1143">
        <v>699970.56149999995</v>
      </c>
      <c r="G1143">
        <v>0</v>
      </c>
      <c r="H1143">
        <v>1848</v>
      </c>
      <c r="I1143" t="str">
        <f t="shared" si="69"/>
        <v>YES</v>
      </c>
      <c r="J1143" t="s">
        <v>1149</v>
      </c>
      <c r="K1143">
        <v>676408.59523700003</v>
      </c>
      <c r="L1143" s="1">
        <f t="shared" si="70"/>
        <v>0</v>
      </c>
      <c r="M1143" s="1">
        <f t="shared" si="71"/>
        <v>0</v>
      </c>
      <c r="N1143" s="1">
        <f t="shared" si="72"/>
        <v>0</v>
      </c>
      <c r="O1143" s="1"/>
    </row>
    <row r="1144" spans="1:15" x14ac:dyDescent="0.25">
      <c r="A1144">
        <v>1849</v>
      </c>
      <c r="B1144">
        <v>6829.8905279999999</v>
      </c>
      <c r="C1144">
        <v>0</v>
      </c>
      <c r="D1144">
        <v>96043.618570000006</v>
      </c>
      <c r="E1144">
        <v>0</v>
      </c>
      <c r="F1144">
        <v>549143.3138</v>
      </c>
      <c r="G1144">
        <v>0</v>
      </c>
      <c r="H1144">
        <v>1849</v>
      </c>
      <c r="I1144" t="str">
        <f t="shared" si="69"/>
        <v>YES</v>
      </c>
      <c r="J1144" t="s">
        <v>1150</v>
      </c>
      <c r="K1144">
        <v>910493.55269000004</v>
      </c>
      <c r="L1144" s="1">
        <f t="shared" si="70"/>
        <v>0</v>
      </c>
      <c r="M1144" s="1">
        <f t="shared" si="71"/>
        <v>0</v>
      </c>
      <c r="N1144" s="1">
        <f t="shared" si="72"/>
        <v>0</v>
      </c>
      <c r="O1144" s="1"/>
    </row>
    <row r="1145" spans="1:15" x14ac:dyDescent="0.25">
      <c r="A1145">
        <v>1850</v>
      </c>
      <c r="B1145">
        <v>239329.2194</v>
      </c>
      <c r="C1145">
        <v>0</v>
      </c>
      <c r="D1145">
        <v>642270.70779999997</v>
      </c>
      <c r="E1145">
        <v>0</v>
      </c>
      <c r="F1145">
        <v>1077350.463</v>
      </c>
      <c r="G1145">
        <v>0</v>
      </c>
      <c r="H1145">
        <v>1850</v>
      </c>
      <c r="I1145" t="str">
        <f t="shared" si="69"/>
        <v>YES</v>
      </c>
      <c r="J1145" t="s">
        <v>1151</v>
      </c>
      <c r="K1145">
        <v>773995.22744100005</v>
      </c>
      <c r="L1145" s="1">
        <f t="shared" si="70"/>
        <v>0</v>
      </c>
      <c r="M1145" s="1">
        <f t="shared" si="71"/>
        <v>0</v>
      </c>
      <c r="N1145" s="1">
        <f t="shared" si="72"/>
        <v>0</v>
      </c>
      <c r="O1145" s="1"/>
    </row>
    <row r="1146" spans="1:15" x14ac:dyDescent="0.25">
      <c r="A1146">
        <v>1851</v>
      </c>
      <c r="B1146">
        <v>19843.725559999999</v>
      </c>
      <c r="C1146">
        <v>0</v>
      </c>
      <c r="D1146">
        <v>416806.5675</v>
      </c>
      <c r="E1146">
        <v>0</v>
      </c>
      <c r="F1146">
        <v>733384.70770000003</v>
      </c>
      <c r="G1146">
        <v>0</v>
      </c>
      <c r="H1146">
        <v>1851</v>
      </c>
      <c r="I1146" t="str">
        <f t="shared" si="69"/>
        <v>YES</v>
      </c>
      <c r="J1146" t="s">
        <v>1152</v>
      </c>
      <c r="K1146">
        <v>711825.94461200002</v>
      </c>
      <c r="L1146" s="1">
        <f t="shared" si="70"/>
        <v>0</v>
      </c>
      <c r="M1146" s="1">
        <f t="shared" si="71"/>
        <v>0</v>
      </c>
      <c r="N1146" s="1">
        <f t="shared" si="72"/>
        <v>0</v>
      </c>
      <c r="O1146" s="1"/>
    </row>
    <row r="1147" spans="1:15" x14ac:dyDescent="0.25">
      <c r="A1147">
        <v>1852</v>
      </c>
      <c r="B1147">
        <v>3504.3216080000002</v>
      </c>
      <c r="C1147">
        <v>0</v>
      </c>
      <c r="D1147">
        <v>158280.28709999999</v>
      </c>
      <c r="E1147">
        <v>0</v>
      </c>
      <c r="F1147">
        <v>576487.85869999998</v>
      </c>
      <c r="G1147">
        <v>0</v>
      </c>
      <c r="H1147">
        <v>1852</v>
      </c>
      <c r="I1147" t="str">
        <f t="shared" si="69"/>
        <v>YES</v>
      </c>
      <c r="J1147" t="s">
        <v>1153</v>
      </c>
      <c r="K1147">
        <v>1407979.0232800001</v>
      </c>
      <c r="L1147" s="1">
        <f t="shared" si="70"/>
        <v>0</v>
      </c>
      <c r="M1147" s="1">
        <f t="shared" si="71"/>
        <v>0</v>
      </c>
      <c r="N1147" s="1">
        <f t="shared" si="72"/>
        <v>0</v>
      </c>
      <c r="O1147" s="1"/>
    </row>
    <row r="1148" spans="1:15" x14ac:dyDescent="0.25">
      <c r="A1148">
        <v>1853</v>
      </c>
      <c r="B1148">
        <v>164738.0386</v>
      </c>
      <c r="C1148">
        <v>0</v>
      </c>
      <c r="D1148">
        <v>567324.69169999997</v>
      </c>
      <c r="E1148">
        <v>0</v>
      </c>
      <c r="F1148">
        <v>963410.88219999999</v>
      </c>
      <c r="G1148">
        <v>0</v>
      </c>
      <c r="H1148">
        <v>1853</v>
      </c>
      <c r="I1148" t="str">
        <f t="shared" si="69"/>
        <v>YES</v>
      </c>
      <c r="J1148" t="s">
        <v>1154</v>
      </c>
      <c r="K1148">
        <v>580836.64387200004</v>
      </c>
      <c r="L1148" s="1">
        <f t="shared" si="70"/>
        <v>0</v>
      </c>
      <c r="M1148" s="1">
        <f t="shared" si="71"/>
        <v>0</v>
      </c>
      <c r="N1148" s="1">
        <f t="shared" si="72"/>
        <v>0</v>
      </c>
      <c r="O1148" s="1"/>
    </row>
    <row r="1149" spans="1:15" x14ac:dyDescent="0.25">
      <c r="A1149">
        <v>1854</v>
      </c>
      <c r="B1149">
        <v>185256.16219999999</v>
      </c>
      <c r="C1149">
        <v>0</v>
      </c>
      <c r="D1149">
        <v>575713.79339999997</v>
      </c>
      <c r="E1149">
        <v>0</v>
      </c>
      <c r="F1149">
        <v>981907.60789999994</v>
      </c>
      <c r="G1149">
        <v>0</v>
      </c>
      <c r="H1149">
        <v>1854</v>
      </c>
      <c r="I1149" t="str">
        <f t="shared" si="69"/>
        <v>YES</v>
      </c>
      <c r="J1149" t="s">
        <v>1155</v>
      </c>
      <c r="K1149">
        <v>549569.92771399999</v>
      </c>
      <c r="L1149" s="1">
        <f t="shared" si="70"/>
        <v>0</v>
      </c>
      <c r="M1149" s="1">
        <f t="shared" si="71"/>
        <v>0</v>
      </c>
      <c r="N1149" s="1">
        <f t="shared" si="72"/>
        <v>0</v>
      </c>
      <c r="O1149" s="1"/>
    </row>
    <row r="1150" spans="1:15" x14ac:dyDescent="0.25">
      <c r="A1150">
        <v>1855</v>
      </c>
      <c r="B1150">
        <v>120590.7553</v>
      </c>
      <c r="C1150">
        <v>0</v>
      </c>
      <c r="D1150">
        <v>527333.44420000003</v>
      </c>
      <c r="E1150">
        <v>0</v>
      </c>
      <c r="F1150">
        <v>886451.59169999999</v>
      </c>
      <c r="G1150">
        <v>0</v>
      </c>
      <c r="H1150">
        <v>1855</v>
      </c>
      <c r="I1150" t="str">
        <f t="shared" si="69"/>
        <v>YES</v>
      </c>
      <c r="J1150" t="s">
        <v>1156</v>
      </c>
      <c r="K1150">
        <v>613250.577055</v>
      </c>
      <c r="L1150" s="1">
        <f t="shared" si="70"/>
        <v>0</v>
      </c>
      <c r="M1150" s="1">
        <f t="shared" si="71"/>
        <v>0</v>
      </c>
      <c r="N1150" s="1">
        <f t="shared" si="72"/>
        <v>0</v>
      </c>
      <c r="O1150" s="1"/>
    </row>
    <row r="1151" spans="1:15" x14ac:dyDescent="0.25">
      <c r="A1151">
        <v>1856</v>
      </c>
      <c r="B1151">
        <v>14196.551369999999</v>
      </c>
      <c r="C1151">
        <v>0</v>
      </c>
      <c r="D1151">
        <v>406963.92950000003</v>
      </c>
      <c r="E1151">
        <v>0</v>
      </c>
      <c r="F1151">
        <v>712183.70129999996</v>
      </c>
      <c r="G1151">
        <v>0</v>
      </c>
      <c r="H1151">
        <v>1856</v>
      </c>
      <c r="I1151" t="str">
        <f t="shared" si="69"/>
        <v>YES</v>
      </c>
      <c r="J1151" t="s">
        <v>1157</v>
      </c>
      <c r="K1151">
        <v>1447844.9905099999</v>
      </c>
      <c r="L1151" s="1">
        <f t="shared" si="70"/>
        <v>0</v>
      </c>
      <c r="M1151" s="1">
        <f t="shared" si="71"/>
        <v>0</v>
      </c>
      <c r="N1151" s="1">
        <f t="shared" si="72"/>
        <v>0</v>
      </c>
      <c r="O1151" s="1"/>
    </row>
    <row r="1152" spans="1:15" x14ac:dyDescent="0.25">
      <c r="A1152">
        <v>1857</v>
      </c>
      <c r="B1152">
        <v>243984.27350000001</v>
      </c>
      <c r="C1152">
        <v>0</v>
      </c>
      <c r="D1152">
        <v>652655.75029999996</v>
      </c>
      <c r="E1152">
        <v>0</v>
      </c>
      <c r="F1152">
        <v>1068878.2169999999</v>
      </c>
      <c r="G1152">
        <v>0</v>
      </c>
      <c r="H1152">
        <v>1857</v>
      </c>
      <c r="I1152" t="str">
        <f t="shared" si="69"/>
        <v>YES</v>
      </c>
      <c r="J1152" t="s">
        <v>1158</v>
      </c>
      <c r="K1152">
        <v>721312.53770900005</v>
      </c>
      <c r="L1152" s="1">
        <f t="shared" si="70"/>
        <v>0</v>
      </c>
      <c r="M1152" s="1">
        <f t="shared" si="71"/>
        <v>0</v>
      </c>
      <c r="N1152" s="1">
        <f t="shared" si="72"/>
        <v>0</v>
      </c>
      <c r="O1152" s="1"/>
    </row>
    <row r="1153" spans="1:15" x14ac:dyDescent="0.25">
      <c r="A1153">
        <v>1900</v>
      </c>
      <c r="B1153">
        <v>221769.0013</v>
      </c>
      <c r="C1153">
        <v>0</v>
      </c>
      <c r="D1153">
        <v>639054.72609999997</v>
      </c>
      <c r="E1153">
        <v>0</v>
      </c>
      <c r="F1153">
        <v>1040347.374</v>
      </c>
      <c r="G1153">
        <v>0</v>
      </c>
      <c r="H1153">
        <v>1900</v>
      </c>
      <c r="I1153" t="str">
        <f t="shared" si="69"/>
        <v>YES</v>
      </c>
      <c r="J1153" t="s">
        <v>1159</v>
      </c>
      <c r="K1153">
        <v>252685.054298</v>
      </c>
      <c r="L1153" s="1">
        <f t="shared" si="70"/>
        <v>0</v>
      </c>
      <c r="M1153" s="1">
        <f t="shared" si="71"/>
        <v>0</v>
      </c>
      <c r="N1153" s="1">
        <f t="shared" si="72"/>
        <v>0</v>
      </c>
      <c r="O1153" s="1"/>
    </row>
    <row r="1154" spans="1:15" x14ac:dyDescent="0.25">
      <c r="A1154">
        <v>1901</v>
      </c>
      <c r="B1154">
        <v>11066.49386</v>
      </c>
      <c r="C1154">
        <v>0</v>
      </c>
      <c r="D1154">
        <v>284644.049</v>
      </c>
      <c r="E1154">
        <v>0</v>
      </c>
      <c r="F1154">
        <v>640203.37199999997</v>
      </c>
      <c r="G1154">
        <v>0</v>
      </c>
      <c r="H1154">
        <v>1901</v>
      </c>
      <c r="I1154" t="str">
        <f t="shared" ref="I1154:I1217" si="73">IF(A1154=H1154,"YES","NO")</f>
        <v>YES</v>
      </c>
      <c r="J1154" t="s">
        <v>1160</v>
      </c>
      <c r="K1154">
        <v>383945.949089</v>
      </c>
      <c r="L1154" s="1">
        <f t="shared" si="70"/>
        <v>0</v>
      </c>
      <c r="M1154" s="1">
        <f t="shared" si="71"/>
        <v>0</v>
      </c>
      <c r="N1154" s="1">
        <f t="shared" si="72"/>
        <v>0</v>
      </c>
      <c r="O1154" s="1"/>
    </row>
    <row r="1155" spans="1:15" x14ac:dyDescent="0.25">
      <c r="A1155">
        <v>1902</v>
      </c>
      <c r="B1155">
        <v>134010.52179999999</v>
      </c>
      <c r="C1155">
        <v>0</v>
      </c>
      <c r="D1155">
        <v>549531.3101</v>
      </c>
      <c r="E1155">
        <v>0</v>
      </c>
      <c r="F1155">
        <v>902760.99230000004</v>
      </c>
      <c r="G1155">
        <v>0</v>
      </c>
      <c r="H1155">
        <v>1902</v>
      </c>
      <c r="I1155" t="str">
        <f t="shared" si="73"/>
        <v>YES</v>
      </c>
      <c r="J1155" t="s">
        <v>1161</v>
      </c>
      <c r="K1155">
        <v>940909.07605399995</v>
      </c>
      <c r="L1155" s="1">
        <f t="shared" ref="L1155:L1218" si="74">$U$2*$K1155*C1155</f>
        <v>0</v>
      </c>
      <c r="M1155" s="1">
        <f t="shared" ref="M1155:M1218" si="75">$U$3*$K1155*E1155</f>
        <v>0</v>
      </c>
      <c r="N1155" s="1">
        <f t="shared" ref="N1155:N1218" si="76">$U$4*$K1155*G1155</f>
        <v>0</v>
      </c>
      <c r="O1155" s="1"/>
    </row>
    <row r="1156" spans="1:15" x14ac:dyDescent="0.25">
      <c r="A1156">
        <v>1903</v>
      </c>
      <c r="B1156">
        <v>150799.2819</v>
      </c>
      <c r="C1156">
        <v>0</v>
      </c>
      <c r="D1156">
        <v>587397.47329999995</v>
      </c>
      <c r="E1156">
        <v>0</v>
      </c>
      <c r="F1156">
        <v>1008634.988</v>
      </c>
      <c r="G1156">
        <v>0</v>
      </c>
      <c r="H1156">
        <v>1903</v>
      </c>
      <c r="I1156" t="str">
        <f t="shared" si="73"/>
        <v>YES</v>
      </c>
      <c r="J1156" t="s">
        <v>1162</v>
      </c>
      <c r="K1156">
        <v>441501.32905200002</v>
      </c>
      <c r="L1156" s="1">
        <f t="shared" si="74"/>
        <v>0</v>
      </c>
      <c r="M1156" s="1">
        <f t="shared" si="75"/>
        <v>0</v>
      </c>
      <c r="N1156" s="1">
        <f t="shared" si="76"/>
        <v>0</v>
      </c>
      <c r="O1156" s="1"/>
    </row>
    <row r="1157" spans="1:15" x14ac:dyDescent="0.25">
      <c r="A1157">
        <v>1904</v>
      </c>
      <c r="B1157">
        <v>75216.913560000001</v>
      </c>
      <c r="C1157">
        <v>0</v>
      </c>
      <c r="D1157">
        <v>529459.86820000003</v>
      </c>
      <c r="E1157">
        <v>0</v>
      </c>
      <c r="F1157">
        <v>926311.81980000006</v>
      </c>
      <c r="G1157">
        <v>0</v>
      </c>
      <c r="H1157">
        <v>1904</v>
      </c>
      <c r="I1157" t="str">
        <f t="shared" si="73"/>
        <v>YES</v>
      </c>
      <c r="J1157" t="s">
        <v>1163</v>
      </c>
      <c r="K1157">
        <v>396202.47924800002</v>
      </c>
      <c r="L1157" s="1">
        <f t="shared" si="74"/>
        <v>0</v>
      </c>
      <c r="M1157" s="1">
        <f t="shared" si="75"/>
        <v>0</v>
      </c>
      <c r="N1157" s="1">
        <f t="shared" si="76"/>
        <v>0</v>
      </c>
      <c r="O1157" s="1"/>
    </row>
    <row r="1158" spans="1:15" x14ac:dyDescent="0.25">
      <c r="A1158">
        <v>1905</v>
      </c>
      <c r="B1158">
        <v>244520.54569999999</v>
      </c>
      <c r="C1158">
        <v>0</v>
      </c>
      <c r="D1158">
        <v>628712.88069999998</v>
      </c>
      <c r="E1158">
        <v>0</v>
      </c>
      <c r="F1158">
        <v>1078270.976</v>
      </c>
      <c r="G1158">
        <v>0</v>
      </c>
      <c r="H1158">
        <v>1905</v>
      </c>
      <c r="I1158" t="str">
        <f t="shared" si="73"/>
        <v>YES</v>
      </c>
      <c r="J1158" t="s">
        <v>1164</v>
      </c>
      <c r="K1158">
        <v>301090.87833600002</v>
      </c>
      <c r="L1158" s="1">
        <f t="shared" si="74"/>
        <v>0</v>
      </c>
      <c r="M1158" s="1">
        <f t="shared" si="75"/>
        <v>0</v>
      </c>
      <c r="N1158" s="1">
        <f t="shared" si="76"/>
        <v>0</v>
      </c>
      <c r="O1158" s="1"/>
    </row>
    <row r="1159" spans="1:15" x14ac:dyDescent="0.25">
      <c r="A1159">
        <v>1906</v>
      </c>
      <c r="B1159">
        <v>101572.7129</v>
      </c>
      <c r="C1159">
        <v>0</v>
      </c>
      <c r="D1159">
        <v>554611.44440000004</v>
      </c>
      <c r="E1159">
        <v>0</v>
      </c>
      <c r="F1159">
        <v>948456.81140000001</v>
      </c>
      <c r="G1159">
        <v>0</v>
      </c>
      <c r="H1159">
        <v>1906</v>
      </c>
      <c r="I1159" t="str">
        <f t="shared" si="73"/>
        <v>YES</v>
      </c>
      <c r="J1159" t="s">
        <v>1165</v>
      </c>
      <c r="K1159">
        <v>193594.57615099999</v>
      </c>
      <c r="L1159" s="1">
        <f t="shared" si="74"/>
        <v>0</v>
      </c>
      <c r="M1159" s="1">
        <f t="shared" si="75"/>
        <v>0</v>
      </c>
      <c r="N1159" s="1">
        <f t="shared" si="76"/>
        <v>0</v>
      </c>
      <c r="O1159" s="1"/>
    </row>
    <row r="1160" spans="1:15" x14ac:dyDescent="0.25">
      <c r="A1160">
        <v>1907</v>
      </c>
      <c r="B1160">
        <v>7810.8507540000001</v>
      </c>
      <c r="C1160">
        <v>0</v>
      </c>
      <c r="D1160">
        <v>373058.79609999998</v>
      </c>
      <c r="E1160">
        <v>0</v>
      </c>
      <c r="F1160">
        <v>697307.28749999998</v>
      </c>
      <c r="G1160">
        <v>0</v>
      </c>
      <c r="H1160">
        <v>1907</v>
      </c>
      <c r="I1160" t="str">
        <f t="shared" si="73"/>
        <v>YES</v>
      </c>
      <c r="J1160" t="s">
        <v>1166</v>
      </c>
      <c r="K1160">
        <v>323203.044956</v>
      </c>
      <c r="L1160" s="1">
        <f t="shared" si="74"/>
        <v>0</v>
      </c>
      <c r="M1160" s="1">
        <f t="shared" si="75"/>
        <v>0</v>
      </c>
      <c r="N1160" s="1">
        <f t="shared" si="76"/>
        <v>0</v>
      </c>
      <c r="O1160" s="1"/>
    </row>
    <row r="1161" spans="1:15" x14ac:dyDescent="0.25">
      <c r="A1161">
        <v>1908</v>
      </c>
      <c r="B1161">
        <v>166255.54569999999</v>
      </c>
      <c r="C1161">
        <v>0</v>
      </c>
      <c r="D1161">
        <v>650693.90099999995</v>
      </c>
      <c r="E1161">
        <v>0</v>
      </c>
      <c r="F1161">
        <v>1068173.5630000001</v>
      </c>
      <c r="G1161">
        <v>0</v>
      </c>
      <c r="H1161">
        <v>1908</v>
      </c>
      <c r="I1161" t="str">
        <f t="shared" si="73"/>
        <v>YES</v>
      </c>
      <c r="J1161" t="s">
        <v>1167</v>
      </c>
      <c r="K1161">
        <v>119122.08425</v>
      </c>
      <c r="L1161" s="1">
        <f t="shared" si="74"/>
        <v>0</v>
      </c>
      <c r="M1161" s="1">
        <f t="shared" si="75"/>
        <v>0</v>
      </c>
      <c r="N1161" s="1">
        <f t="shared" si="76"/>
        <v>0</v>
      </c>
      <c r="O1161" s="1"/>
    </row>
    <row r="1162" spans="1:15" x14ac:dyDescent="0.25">
      <c r="A1162">
        <v>1910</v>
      </c>
      <c r="B1162">
        <v>130662.7834</v>
      </c>
      <c r="C1162">
        <v>0</v>
      </c>
      <c r="D1162">
        <v>569703.91159999999</v>
      </c>
      <c r="E1162">
        <v>0</v>
      </c>
      <c r="F1162">
        <v>946225.47600000002</v>
      </c>
      <c r="G1162">
        <v>0</v>
      </c>
      <c r="H1162">
        <v>1910</v>
      </c>
      <c r="I1162" t="str">
        <f t="shared" si="73"/>
        <v>YES</v>
      </c>
      <c r="J1162" t="s">
        <v>1168</v>
      </c>
      <c r="K1162">
        <v>252965.885759</v>
      </c>
      <c r="L1162" s="1">
        <f t="shared" si="74"/>
        <v>0</v>
      </c>
      <c r="M1162" s="1">
        <f t="shared" si="75"/>
        <v>0</v>
      </c>
      <c r="N1162" s="1">
        <f t="shared" si="76"/>
        <v>0</v>
      </c>
      <c r="O1162" s="1"/>
    </row>
    <row r="1163" spans="1:15" x14ac:dyDescent="0.25">
      <c r="A1163">
        <v>1911</v>
      </c>
      <c r="B1163">
        <v>173065.7788</v>
      </c>
      <c r="C1163">
        <v>0</v>
      </c>
      <c r="D1163">
        <v>644517.29709999997</v>
      </c>
      <c r="E1163">
        <v>0</v>
      </c>
      <c r="F1163">
        <v>1047559.023</v>
      </c>
      <c r="G1163">
        <v>0</v>
      </c>
      <c r="H1163">
        <v>1911</v>
      </c>
      <c r="I1163" t="str">
        <f t="shared" si="73"/>
        <v>YES</v>
      </c>
      <c r="J1163" t="s">
        <v>1169</v>
      </c>
      <c r="K1163">
        <v>96931.4957459</v>
      </c>
      <c r="L1163" s="1">
        <f t="shared" si="74"/>
        <v>0</v>
      </c>
      <c r="M1163" s="1">
        <f t="shared" si="75"/>
        <v>0</v>
      </c>
      <c r="N1163" s="1">
        <f t="shared" si="76"/>
        <v>0</v>
      </c>
      <c r="O1163" s="1"/>
    </row>
    <row r="1164" spans="1:15" x14ac:dyDescent="0.25">
      <c r="A1164">
        <v>1912</v>
      </c>
      <c r="B1164">
        <v>177878.72659999999</v>
      </c>
      <c r="C1164">
        <v>0</v>
      </c>
      <c r="D1164">
        <v>630968.9926</v>
      </c>
      <c r="E1164">
        <v>0</v>
      </c>
      <c r="F1164">
        <v>1053737.2139999999</v>
      </c>
      <c r="G1164">
        <v>0</v>
      </c>
      <c r="H1164">
        <v>1912</v>
      </c>
      <c r="I1164" t="str">
        <f t="shared" si="73"/>
        <v>YES</v>
      </c>
      <c r="J1164" t="s">
        <v>1170</v>
      </c>
      <c r="K1164">
        <v>176549.673365</v>
      </c>
      <c r="L1164" s="1">
        <f t="shared" si="74"/>
        <v>0</v>
      </c>
      <c r="M1164" s="1">
        <f t="shared" si="75"/>
        <v>0</v>
      </c>
      <c r="N1164" s="1">
        <f t="shared" si="76"/>
        <v>0</v>
      </c>
      <c r="O1164" s="1"/>
    </row>
    <row r="1165" spans="1:15" x14ac:dyDescent="0.25">
      <c r="A1165">
        <v>1913</v>
      </c>
      <c r="B1165">
        <v>277814.65639999998</v>
      </c>
      <c r="C1165">
        <v>0</v>
      </c>
      <c r="D1165">
        <v>710425.37479999999</v>
      </c>
      <c r="E1165">
        <v>0</v>
      </c>
      <c r="F1165">
        <v>1159791.1299999999</v>
      </c>
      <c r="G1165">
        <v>0</v>
      </c>
      <c r="H1165">
        <v>1913</v>
      </c>
      <c r="I1165" t="str">
        <f t="shared" si="73"/>
        <v>YES</v>
      </c>
      <c r="J1165" t="s">
        <v>1171</v>
      </c>
      <c r="K1165">
        <v>373315.77311399998</v>
      </c>
      <c r="L1165" s="1">
        <f t="shared" si="74"/>
        <v>0</v>
      </c>
      <c r="M1165" s="1">
        <f t="shared" si="75"/>
        <v>0</v>
      </c>
      <c r="N1165" s="1">
        <f t="shared" si="76"/>
        <v>0</v>
      </c>
      <c r="O1165" s="1"/>
    </row>
    <row r="1166" spans="1:15" x14ac:dyDescent="0.25">
      <c r="A1166">
        <v>1914</v>
      </c>
      <c r="B1166">
        <v>213204.50169999999</v>
      </c>
      <c r="C1166">
        <v>0</v>
      </c>
      <c r="D1166">
        <v>675998.57440000004</v>
      </c>
      <c r="E1166">
        <v>0</v>
      </c>
      <c r="F1166">
        <v>1114619.8459999999</v>
      </c>
      <c r="G1166">
        <v>0</v>
      </c>
      <c r="H1166">
        <v>1914</v>
      </c>
      <c r="I1166" t="str">
        <f t="shared" si="73"/>
        <v>YES</v>
      </c>
      <c r="J1166" t="s">
        <v>1172</v>
      </c>
      <c r="K1166">
        <v>116014.347841</v>
      </c>
      <c r="L1166" s="1">
        <f t="shared" si="74"/>
        <v>0</v>
      </c>
      <c r="M1166" s="1">
        <f t="shared" si="75"/>
        <v>0</v>
      </c>
      <c r="N1166" s="1">
        <f t="shared" si="76"/>
        <v>0</v>
      </c>
      <c r="O1166" s="1"/>
    </row>
    <row r="1167" spans="1:15" x14ac:dyDescent="0.25">
      <c r="A1167">
        <v>1915</v>
      </c>
      <c r="B1167">
        <v>206855.95680000001</v>
      </c>
      <c r="C1167">
        <v>0</v>
      </c>
      <c r="D1167">
        <v>651131.56209999998</v>
      </c>
      <c r="E1167">
        <v>0</v>
      </c>
      <c r="F1167">
        <v>1082876.497</v>
      </c>
      <c r="G1167">
        <v>0</v>
      </c>
      <c r="H1167">
        <v>1915</v>
      </c>
      <c r="I1167" t="str">
        <f t="shared" si="73"/>
        <v>YES</v>
      </c>
      <c r="J1167" t="s">
        <v>1173</v>
      </c>
      <c r="K1167">
        <v>171650.313008</v>
      </c>
      <c r="L1167" s="1">
        <f t="shared" si="74"/>
        <v>0</v>
      </c>
      <c r="M1167" s="1">
        <f t="shared" si="75"/>
        <v>0</v>
      </c>
      <c r="N1167" s="1">
        <f t="shared" si="76"/>
        <v>0</v>
      </c>
      <c r="O1167" s="1"/>
    </row>
    <row r="1168" spans="1:15" x14ac:dyDescent="0.25">
      <c r="A1168">
        <v>1916</v>
      </c>
      <c r="B1168">
        <v>325326.71669999999</v>
      </c>
      <c r="C1168">
        <v>0</v>
      </c>
      <c r="D1168">
        <v>755381.67720000003</v>
      </c>
      <c r="E1168">
        <v>0</v>
      </c>
      <c r="F1168">
        <v>1231100.067</v>
      </c>
      <c r="G1168">
        <v>0</v>
      </c>
      <c r="H1168">
        <v>1916</v>
      </c>
      <c r="I1168" t="str">
        <f t="shared" si="73"/>
        <v>YES</v>
      </c>
      <c r="J1168" t="s">
        <v>1174</v>
      </c>
      <c r="K1168">
        <v>431491.84165299998</v>
      </c>
      <c r="L1168" s="1">
        <f t="shared" si="74"/>
        <v>0</v>
      </c>
      <c r="M1168" s="1">
        <f t="shared" si="75"/>
        <v>0</v>
      </c>
      <c r="N1168" s="1">
        <f t="shared" si="76"/>
        <v>0</v>
      </c>
      <c r="O1168" s="1"/>
    </row>
    <row r="1169" spans="1:15" x14ac:dyDescent="0.25">
      <c r="A1169">
        <v>1917</v>
      </c>
      <c r="B1169">
        <v>324896.75540000002</v>
      </c>
      <c r="C1169">
        <v>0</v>
      </c>
      <c r="D1169">
        <v>754047.86239999998</v>
      </c>
      <c r="E1169">
        <v>0</v>
      </c>
      <c r="F1169">
        <v>1238182.557</v>
      </c>
      <c r="G1169">
        <v>0</v>
      </c>
      <c r="H1169">
        <v>1917</v>
      </c>
      <c r="I1169" t="str">
        <f t="shared" si="73"/>
        <v>YES</v>
      </c>
      <c r="J1169" t="s">
        <v>1175</v>
      </c>
      <c r="K1169">
        <v>406136.38447699999</v>
      </c>
      <c r="L1169" s="1">
        <f t="shared" si="74"/>
        <v>0</v>
      </c>
      <c r="M1169" s="1">
        <f t="shared" si="75"/>
        <v>0</v>
      </c>
      <c r="N1169" s="1">
        <f t="shared" si="76"/>
        <v>0</v>
      </c>
      <c r="O1169" s="1"/>
    </row>
    <row r="1170" spans="1:15" x14ac:dyDescent="0.25">
      <c r="A1170">
        <v>1918</v>
      </c>
      <c r="B1170">
        <v>388447.33010000002</v>
      </c>
      <c r="C1170">
        <v>0</v>
      </c>
      <c r="D1170">
        <v>767041.00970000005</v>
      </c>
      <c r="E1170">
        <v>0</v>
      </c>
      <c r="F1170">
        <v>1246894.149</v>
      </c>
      <c r="G1170">
        <v>0</v>
      </c>
      <c r="H1170">
        <v>1918</v>
      </c>
      <c r="I1170" t="str">
        <f t="shared" si="73"/>
        <v>YES</v>
      </c>
      <c r="J1170" t="s">
        <v>1176</v>
      </c>
      <c r="K1170">
        <v>260376.222476</v>
      </c>
      <c r="L1170" s="1">
        <f t="shared" si="74"/>
        <v>0</v>
      </c>
      <c r="M1170" s="1">
        <f t="shared" si="75"/>
        <v>0</v>
      </c>
      <c r="N1170" s="1">
        <f t="shared" si="76"/>
        <v>0</v>
      </c>
      <c r="O1170" s="1"/>
    </row>
    <row r="1171" spans="1:15" x14ac:dyDescent="0.25">
      <c r="A1171">
        <v>1919</v>
      </c>
      <c r="B1171">
        <v>359433.22570000001</v>
      </c>
      <c r="C1171">
        <v>0</v>
      </c>
      <c r="D1171">
        <v>747715.07680000004</v>
      </c>
      <c r="E1171">
        <v>0</v>
      </c>
      <c r="F1171">
        <v>1228771.6089999999</v>
      </c>
      <c r="G1171">
        <v>487.41899999999998</v>
      </c>
      <c r="H1171">
        <v>1919</v>
      </c>
      <c r="I1171" t="str">
        <f t="shared" si="73"/>
        <v>YES</v>
      </c>
      <c r="J1171" t="s">
        <v>1177</v>
      </c>
      <c r="K1171">
        <v>551595.97701999999</v>
      </c>
      <c r="L1171" s="1">
        <f t="shared" si="74"/>
        <v>0</v>
      </c>
      <c r="M1171" s="1">
        <f t="shared" si="75"/>
        <v>0</v>
      </c>
      <c r="N1171" s="1">
        <f t="shared" si="76"/>
        <v>1371177.633567868</v>
      </c>
      <c r="O1171" s="1"/>
    </row>
    <row r="1172" spans="1:15" x14ac:dyDescent="0.25">
      <c r="A1172">
        <v>1922</v>
      </c>
      <c r="B1172">
        <v>27620.696070000002</v>
      </c>
      <c r="C1172">
        <v>0</v>
      </c>
      <c r="D1172">
        <v>476920.43560000003</v>
      </c>
      <c r="E1172">
        <v>0</v>
      </c>
      <c r="F1172">
        <v>835523.58790000004</v>
      </c>
      <c r="G1172">
        <v>0</v>
      </c>
      <c r="H1172">
        <v>1922</v>
      </c>
      <c r="I1172" t="str">
        <f t="shared" si="73"/>
        <v>YES</v>
      </c>
      <c r="J1172" t="s">
        <v>1178</v>
      </c>
      <c r="K1172">
        <v>917833.89851199999</v>
      </c>
      <c r="L1172" s="1">
        <f t="shared" si="74"/>
        <v>0</v>
      </c>
      <c r="M1172" s="1">
        <f t="shared" si="75"/>
        <v>0</v>
      </c>
      <c r="N1172" s="1">
        <f t="shared" si="76"/>
        <v>0</v>
      </c>
      <c r="O1172" s="1"/>
    </row>
    <row r="1173" spans="1:15" x14ac:dyDescent="0.25">
      <c r="A1173">
        <v>1923</v>
      </c>
      <c r="B1173">
        <v>17924.379110000002</v>
      </c>
      <c r="C1173">
        <v>0</v>
      </c>
      <c r="D1173">
        <v>458576.4325</v>
      </c>
      <c r="E1173">
        <v>0</v>
      </c>
      <c r="F1173">
        <v>812611.6152</v>
      </c>
      <c r="G1173">
        <v>0</v>
      </c>
      <c r="H1173">
        <v>1923</v>
      </c>
      <c r="I1173" t="str">
        <f t="shared" si="73"/>
        <v>YES</v>
      </c>
      <c r="J1173" t="s">
        <v>1179</v>
      </c>
      <c r="K1173">
        <v>687930.30011399998</v>
      </c>
      <c r="L1173" s="1">
        <f t="shared" si="74"/>
        <v>0</v>
      </c>
      <c r="M1173" s="1">
        <f t="shared" si="75"/>
        <v>0</v>
      </c>
      <c r="N1173" s="1">
        <f t="shared" si="76"/>
        <v>0</v>
      </c>
      <c r="O1173" s="1"/>
    </row>
    <row r="1174" spans="1:15" x14ac:dyDescent="0.25">
      <c r="A1174">
        <v>1924</v>
      </c>
      <c r="B1174">
        <v>16461.750489999999</v>
      </c>
      <c r="C1174">
        <v>0</v>
      </c>
      <c r="D1174">
        <v>423309.13699999999</v>
      </c>
      <c r="E1174">
        <v>0</v>
      </c>
      <c r="F1174">
        <v>758196.98910000001</v>
      </c>
      <c r="G1174">
        <v>0</v>
      </c>
      <c r="H1174">
        <v>1924</v>
      </c>
      <c r="I1174" t="str">
        <f t="shared" si="73"/>
        <v>YES</v>
      </c>
      <c r="J1174" t="s">
        <v>1180</v>
      </c>
      <c r="K1174">
        <v>693447.45464600006</v>
      </c>
      <c r="L1174" s="1">
        <f t="shared" si="74"/>
        <v>0</v>
      </c>
      <c r="M1174" s="1">
        <f t="shared" si="75"/>
        <v>0</v>
      </c>
      <c r="N1174" s="1">
        <f t="shared" si="76"/>
        <v>0</v>
      </c>
      <c r="O1174" s="1"/>
    </row>
    <row r="1175" spans="1:15" x14ac:dyDescent="0.25">
      <c r="A1175">
        <v>1925</v>
      </c>
      <c r="B1175">
        <v>55154.168680000002</v>
      </c>
      <c r="C1175">
        <v>0</v>
      </c>
      <c r="D1175">
        <v>526444.93359999999</v>
      </c>
      <c r="E1175">
        <v>0</v>
      </c>
      <c r="F1175">
        <v>926522.57649999997</v>
      </c>
      <c r="G1175">
        <v>0</v>
      </c>
      <c r="H1175">
        <v>1925</v>
      </c>
      <c r="I1175" t="str">
        <f t="shared" si="73"/>
        <v>YES</v>
      </c>
      <c r="J1175" t="s">
        <v>1181</v>
      </c>
      <c r="K1175">
        <v>328426.28039500001</v>
      </c>
      <c r="L1175" s="1">
        <f t="shared" si="74"/>
        <v>0</v>
      </c>
      <c r="M1175" s="1">
        <f t="shared" si="75"/>
        <v>0</v>
      </c>
      <c r="N1175" s="1">
        <f t="shared" si="76"/>
        <v>0</v>
      </c>
      <c r="O1175" s="1"/>
    </row>
    <row r="1176" spans="1:15" x14ac:dyDescent="0.25">
      <c r="A1176">
        <v>1926</v>
      </c>
      <c r="B1176">
        <v>120465.3318</v>
      </c>
      <c r="C1176">
        <v>0</v>
      </c>
      <c r="D1176">
        <v>616026.60739999998</v>
      </c>
      <c r="E1176">
        <v>0</v>
      </c>
      <c r="F1176">
        <v>1019127.36</v>
      </c>
      <c r="G1176">
        <v>0</v>
      </c>
      <c r="H1176">
        <v>1926</v>
      </c>
      <c r="I1176" t="str">
        <f t="shared" si="73"/>
        <v>YES</v>
      </c>
      <c r="J1176" t="s">
        <v>1182</v>
      </c>
      <c r="K1176">
        <v>51589.692036699998</v>
      </c>
      <c r="L1176" s="1">
        <f t="shared" si="74"/>
        <v>0</v>
      </c>
      <c r="M1176" s="1">
        <f t="shared" si="75"/>
        <v>0</v>
      </c>
      <c r="N1176" s="1">
        <f t="shared" si="76"/>
        <v>0</v>
      </c>
      <c r="O1176" s="1"/>
    </row>
    <row r="1177" spans="1:15" x14ac:dyDescent="0.25">
      <c r="A1177">
        <v>1927</v>
      </c>
      <c r="B1177">
        <v>117606.76360000001</v>
      </c>
      <c r="C1177">
        <v>0</v>
      </c>
      <c r="D1177">
        <v>601242.7781</v>
      </c>
      <c r="E1177">
        <v>0</v>
      </c>
      <c r="F1177">
        <v>1015212.3419999999</v>
      </c>
      <c r="G1177">
        <v>0</v>
      </c>
      <c r="H1177">
        <v>1927</v>
      </c>
      <c r="I1177" t="str">
        <f t="shared" si="73"/>
        <v>YES</v>
      </c>
      <c r="J1177" t="s">
        <v>1183</v>
      </c>
      <c r="K1177">
        <v>275958.375933</v>
      </c>
      <c r="L1177" s="1">
        <f t="shared" si="74"/>
        <v>0</v>
      </c>
      <c r="M1177" s="1">
        <f t="shared" si="75"/>
        <v>0</v>
      </c>
      <c r="N1177" s="1">
        <f t="shared" si="76"/>
        <v>0</v>
      </c>
      <c r="O1177" s="1"/>
    </row>
    <row r="1178" spans="1:15" x14ac:dyDescent="0.25">
      <c r="A1178">
        <v>1928</v>
      </c>
      <c r="B1178">
        <v>14448.08964</v>
      </c>
      <c r="C1178">
        <v>0</v>
      </c>
      <c r="D1178">
        <v>342837.46620000002</v>
      </c>
      <c r="E1178">
        <v>0</v>
      </c>
      <c r="F1178">
        <v>696148.13379999995</v>
      </c>
      <c r="G1178">
        <v>0</v>
      </c>
      <c r="H1178">
        <v>1928</v>
      </c>
      <c r="I1178" t="str">
        <f t="shared" si="73"/>
        <v>YES</v>
      </c>
      <c r="J1178" t="s">
        <v>1184</v>
      </c>
      <c r="K1178">
        <v>257326.00714</v>
      </c>
      <c r="L1178" s="1">
        <f t="shared" si="74"/>
        <v>0</v>
      </c>
      <c r="M1178" s="1">
        <f t="shared" si="75"/>
        <v>0</v>
      </c>
      <c r="N1178" s="1">
        <f t="shared" si="76"/>
        <v>0</v>
      </c>
      <c r="O1178" s="1"/>
    </row>
    <row r="1179" spans="1:15" x14ac:dyDescent="0.25">
      <c r="A1179">
        <v>1929</v>
      </c>
      <c r="B1179">
        <v>93551.515029999995</v>
      </c>
      <c r="C1179">
        <v>0</v>
      </c>
      <c r="D1179">
        <v>553471.84970000002</v>
      </c>
      <c r="E1179">
        <v>0</v>
      </c>
      <c r="F1179">
        <v>938302.85739999998</v>
      </c>
      <c r="G1179">
        <v>0</v>
      </c>
      <c r="H1179">
        <v>1929</v>
      </c>
      <c r="I1179" t="str">
        <f t="shared" si="73"/>
        <v>YES</v>
      </c>
      <c r="J1179" t="s">
        <v>1185</v>
      </c>
      <c r="K1179">
        <v>313593.79086200002</v>
      </c>
      <c r="L1179" s="1">
        <f t="shared" si="74"/>
        <v>0</v>
      </c>
      <c r="M1179" s="1">
        <f t="shared" si="75"/>
        <v>0</v>
      </c>
      <c r="N1179" s="1">
        <f t="shared" si="76"/>
        <v>0</v>
      </c>
      <c r="O1179" s="1"/>
    </row>
    <row r="1180" spans="1:15" x14ac:dyDescent="0.25">
      <c r="A1180">
        <v>1930</v>
      </c>
      <c r="B1180">
        <v>18449.786349999998</v>
      </c>
      <c r="C1180">
        <v>0</v>
      </c>
      <c r="D1180">
        <v>450778.00589999999</v>
      </c>
      <c r="E1180">
        <v>0</v>
      </c>
      <c r="F1180">
        <v>819871.09620000003</v>
      </c>
      <c r="G1180">
        <v>0</v>
      </c>
      <c r="H1180">
        <v>1930</v>
      </c>
      <c r="I1180" t="str">
        <f t="shared" si="73"/>
        <v>YES</v>
      </c>
      <c r="J1180" t="s">
        <v>1186</v>
      </c>
      <c r="K1180">
        <v>243745.64309600001</v>
      </c>
      <c r="L1180" s="1">
        <f t="shared" si="74"/>
        <v>0</v>
      </c>
      <c r="M1180" s="1">
        <f t="shared" si="75"/>
        <v>0</v>
      </c>
      <c r="N1180" s="1">
        <f t="shared" si="76"/>
        <v>0</v>
      </c>
      <c r="O1180" s="1"/>
    </row>
    <row r="1181" spans="1:15" x14ac:dyDescent="0.25">
      <c r="A1181">
        <v>1931</v>
      </c>
      <c r="B1181">
        <v>17545.855879999999</v>
      </c>
      <c r="C1181">
        <v>0</v>
      </c>
      <c r="D1181">
        <v>444523.26919999998</v>
      </c>
      <c r="E1181">
        <v>0</v>
      </c>
      <c r="F1181">
        <v>795773.66830000002</v>
      </c>
      <c r="G1181">
        <v>0</v>
      </c>
      <c r="H1181">
        <v>1931</v>
      </c>
      <c r="I1181" t="str">
        <f t="shared" si="73"/>
        <v>YES</v>
      </c>
      <c r="J1181" t="s">
        <v>1187</v>
      </c>
      <c r="K1181">
        <v>234021.360533</v>
      </c>
      <c r="L1181" s="1">
        <f t="shared" si="74"/>
        <v>0</v>
      </c>
      <c r="M1181" s="1">
        <f t="shared" si="75"/>
        <v>0</v>
      </c>
      <c r="N1181" s="1">
        <f t="shared" si="76"/>
        <v>0</v>
      </c>
      <c r="O1181" s="1"/>
    </row>
    <row r="1182" spans="1:15" x14ac:dyDescent="0.25">
      <c r="A1182">
        <v>1932</v>
      </c>
      <c r="B1182">
        <v>5304.8497729999999</v>
      </c>
      <c r="C1182">
        <v>0</v>
      </c>
      <c r="D1182">
        <v>17545.855879999999</v>
      </c>
      <c r="E1182">
        <v>0</v>
      </c>
      <c r="F1182">
        <v>450600.3737</v>
      </c>
      <c r="G1182">
        <v>0</v>
      </c>
      <c r="H1182">
        <v>1932</v>
      </c>
      <c r="I1182" t="str">
        <f t="shared" si="73"/>
        <v>YES</v>
      </c>
      <c r="J1182" t="s">
        <v>1188</v>
      </c>
      <c r="K1182">
        <v>1469431.9106699999</v>
      </c>
      <c r="L1182" s="1">
        <f t="shared" si="74"/>
        <v>0</v>
      </c>
      <c r="M1182" s="1">
        <f t="shared" si="75"/>
        <v>0</v>
      </c>
      <c r="N1182" s="1">
        <f t="shared" si="76"/>
        <v>0</v>
      </c>
      <c r="O1182" s="1"/>
    </row>
    <row r="1183" spans="1:15" x14ac:dyDescent="0.25">
      <c r="A1183">
        <v>1933</v>
      </c>
      <c r="B1183">
        <v>17119.15451</v>
      </c>
      <c r="C1183">
        <v>0</v>
      </c>
      <c r="D1183">
        <v>461130.32410000003</v>
      </c>
      <c r="E1183">
        <v>0</v>
      </c>
      <c r="F1183">
        <v>792956.56299999997</v>
      </c>
      <c r="G1183">
        <v>0</v>
      </c>
      <c r="H1183">
        <v>1933</v>
      </c>
      <c r="I1183" t="str">
        <f t="shared" si="73"/>
        <v>YES</v>
      </c>
      <c r="J1183" t="s">
        <v>1189</v>
      </c>
      <c r="K1183">
        <v>509176.546638</v>
      </c>
      <c r="L1183" s="1">
        <f t="shared" si="74"/>
        <v>0</v>
      </c>
      <c r="M1183" s="1">
        <f t="shared" si="75"/>
        <v>0</v>
      </c>
      <c r="N1183" s="1">
        <f t="shared" si="76"/>
        <v>0</v>
      </c>
      <c r="O1183" s="1"/>
    </row>
    <row r="1184" spans="1:15" x14ac:dyDescent="0.25">
      <c r="A1184">
        <v>1934</v>
      </c>
      <c r="B1184">
        <v>18221.793529999999</v>
      </c>
      <c r="C1184">
        <v>0</v>
      </c>
      <c r="D1184">
        <v>445462.46590000001</v>
      </c>
      <c r="E1184">
        <v>0</v>
      </c>
      <c r="F1184">
        <v>806057.06480000005</v>
      </c>
      <c r="G1184">
        <v>0</v>
      </c>
      <c r="H1184">
        <v>1934</v>
      </c>
      <c r="I1184" t="str">
        <f t="shared" si="73"/>
        <v>YES</v>
      </c>
      <c r="J1184" t="s">
        <v>1190</v>
      </c>
      <c r="K1184">
        <v>338788.840539</v>
      </c>
      <c r="L1184" s="1">
        <f t="shared" si="74"/>
        <v>0</v>
      </c>
      <c r="M1184" s="1">
        <f t="shared" si="75"/>
        <v>0</v>
      </c>
      <c r="N1184" s="1">
        <f t="shared" si="76"/>
        <v>0</v>
      </c>
      <c r="O1184" s="1"/>
    </row>
    <row r="1185" spans="1:15" x14ac:dyDescent="0.25">
      <c r="A1185">
        <v>1935</v>
      </c>
      <c r="B1185">
        <v>6484.1431249999996</v>
      </c>
      <c r="C1185">
        <v>0</v>
      </c>
      <c r="D1185">
        <v>76040.034039999999</v>
      </c>
      <c r="E1185">
        <v>0</v>
      </c>
      <c r="F1185">
        <v>536179.5882</v>
      </c>
      <c r="G1185">
        <v>0</v>
      </c>
      <c r="H1185">
        <v>1935</v>
      </c>
      <c r="I1185" t="str">
        <f t="shared" si="73"/>
        <v>YES</v>
      </c>
      <c r="J1185" t="s">
        <v>1191</v>
      </c>
      <c r="K1185">
        <v>576820.77669800003</v>
      </c>
      <c r="L1185" s="1">
        <f t="shared" si="74"/>
        <v>0</v>
      </c>
      <c r="M1185" s="1">
        <f t="shared" si="75"/>
        <v>0</v>
      </c>
      <c r="N1185" s="1">
        <f t="shared" si="76"/>
        <v>0</v>
      </c>
      <c r="O1185" s="1"/>
    </row>
    <row r="1186" spans="1:15" x14ac:dyDescent="0.25">
      <c r="A1186">
        <v>1936</v>
      </c>
      <c r="B1186">
        <v>13528.77432</v>
      </c>
      <c r="C1186">
        <v>0</v>
      </c>
      <c r="D1186">
        <v>302106.62729999999</v>
      </c>
      <c r="E1186">
        <v>0</v>
      </c>
      <c r="F1186">
        <v>664838.37289999996</v>
      </c>
      <c r="G1186">
        <v>0</v>
      </c>
      <c r="H1186">
        <v>1936</v>
      </c>
      <c r="I1186" t="str">
        <f t="shared" si="73"/>
        <v>YES</v>
      </c>
      <c r="J1186" t="s">
        <v>1192</v>
      </c>
      <c r="K1186">
        <v>1071933.76492</v>
      </c>
      <c r="L1186" s="1">
        <f t="shared" si="74"/>
        <v>0</v>
      </c>
      <c r="M1186" s="1">
        <f t="shared" si="75"/>
        <v>0</v>
      </c>
      <c r="N1186" s="1">
        <f t="shared" si="76"/>
        <v>0</v>
      </c>
      <c r="O1186" s="1"/>
    </row>
    <row r="1187" spans="1:15" x14ac:dyDescent="0.25">
      <c r="A1187">
        <v>1937</v>
      </c>
      <c r="B1187">
        <v>5071.3331310000003</v>
      </c>
      <c r="C1187">
        <v>0</v>
      </c>
      <c r="D1187">
        <v>28836.07329</v>
      </c>
      <c r="E1187">
        <v>0</v>
      </c>
      <c r="F1187">
        <v>518662.3946</v>
      </c>
      <c r="G1187">
        <v>0</v>
      </c>
      <c r="H1187">
        <v>1937</v>
      </c>
      <c r="I1187" t="str">
        <f t="shared" si="73"/>
        <v>YES</v>
      </c>
      <c r="J1187" t="s">
        <v>1193</v>
      </c>
      <c r="K1187">
        <v>665412.799673</v>
      </c>
      <c r="L1187" s="1">
        <f t="shared" si="74"/>
        <v>0</v>
      </c>
      <c r="M1187" s="1">
        <f t="shared" si="75"/>
        <v>0</v>
      </c>
      <c r="N1187" s="1">
        <f t="shared" si="76"/>
        <v>0</v>
      </c>
      <c r="O1187" s="1"/>
    </row>
    <row r="1188" spans="1:15" x14ac:dyDescent="0.25">
      <c r="A1188">
        <v>1940</v>
      </c>
      <c r="B1188">
        <v>400095.93150000001</v>
      </c>
      <c r="C1188">
        <v>0</v>
      </c>
      <c r="D1188">
        <v>738755.72620000003</v>
      </c>
      <c r="E1188">
        <v>0</v>
      </c>
      <c r="F1188">
        <v>1229026.149</v>
      </c>
      <c r="G1188">
        <v>0</v>
      </c>
      <c r="H1188">
        <v>1940</v>
      </c>
      <c r="I1188" t="str">
        <f t="shared" si="73"/>
        <v>YES</v>
      </c>
      <c r="J1188" t="s">
        <v>1194</v>
      </c>
      <c r="K1188">
        <v>151813.35855400001</v>
      </c>
      <c r="L1188" s="1">
        <f t="shared" si="74"/>
        <v>0</v>
      </c>
      <c r="M1188" s="1">
        <f t="shared" si="75"/>
        <v>0</v>
      </c>
      <c r="N1188" s="1">
        <f t="shared" si="76"/>
        <v>0</v>
      </c>
      <c r="O1188" s="1"/>
    </row>
    <row r="1189" spans="1:15" x14ac:dyDescent="0.25">
      <c r="A1189">
        <v>1941</v>
      </c>
      <c r="B1189">
        <v>313484.36489999999</v>
      </c>
      <c r="C1189">
        <v>0</v>
      </c>
      <c r="D1189">
        <v>669743.20039999997</v>
      </c>
      <c r="E1189">
        <v>0</v>
      </c>
      <c r="F1189">
        <v>1160795.0619999999</v>
      </c>
      <c r="G1189">
        <v>0</v>
      </c>
      <c r="H1189">
        <v>1941</v>
      </c>
      <c r="I1189" t="str">
        <f t="shared" si="73"/>
        <v>YES</v>
      </c>
      <c r="J1189" t="s">
        <v>1195</v>
      </c>
      <c r="K1189">
        <v>435598.68769499997</v>
      </c>
      <c r="L1189" s="1">
        <f t="shared" si="74"/>
        <v>0</v>
      </c>
      <c r="M1189" s="1">
        <f t="shared" si="75"/>
        <v>0</v>
      </c>
      <c r="N1189" s="1">
        <f t="shared" si="76"/>
        <v>0</v>
      </c>
      <c r="O1189" s="1"/>
    </row>
    <row r="1190" spans="1:15" x14ac:dyDescent="0.25">
      <c r="A1190">
        <v>1942</v>
      </c>
      <c r="B1190">
        <v>167045.00949999999</v>
      </c>
      <c r="C1190">
        <v>0</v>
      </c>
      <c r="D1190">
        <v>556292.272</v>
      </c>
      <c r="E1190">
        <v>0</v>
      </c>
      <c r="F1190">
        <v>930250.10629999998</v>
      </c>
      <c r="G1190">
        <v>0</v>
      </c>
      <c r="H1190">
        <v>1942</v>
      </c>
      <c r="I1190" t="str">
        <f t="shared" si="73"/>
        <v>YES</v>
      </c>
      <c r="J1190" t="s">
        <v>1196</v>
      </c>
      <c r="K1190">
        <v>543005.62668800005</v>
      </c>
      <c r="L1190" s="1">
        <f t="shared" si="74"/>
        <v>0</v>
      </c>
      <c r="M1190" s="1">
        <f t="shared" si="75"/>
        <v>0</v>
      </c>
      <c r="N1190" s="1">
        <f t="shared" si="76"/>
        <v>0</v>
      </c>
      <c r="O1190" s="1"/>
    </row>
    <row r="1191" spans="1:15" x14ac:dyDescent="0.25">
      <c r="A1191">
        <v>1943</v>
      </c>
      <c r="B1191">
        <v>380319.97149999999</v>
      </c>
      <c r="C1191">
        <v>0</v>
      </c>
      <c r="D1191">
        <v>735310.23250000004</v>
      </c>
      <c r="E1191">
        <v>0</v>
      </c>
      <c r="F1191">
        <v>1205344.74</v>
      </c>
      <c r="G1191">
        <v>0</v>
      </c>
      <c r="H1191">
        <v>1943</v>
      </c>
      <c r="I1191" t="str">
        <f t="shared" si="73"/>
        <v>YES</v>
      </c>
      <c r="J1191" t="s">
        <v>1197</v>
      </c>
      <c r="K1191">
        <v>159604.335689</v>
      </c>
      <c r="L1191" s="1">
        <f t="shared" si="74"/>
        <v>0</v>
      </c>
      <c r="M1191" s="1">
        <f t="shared" si="75"/>
        <v>0</v>
      </c>
      <c r="N1191" s="1">
        <f t="shared" si="76"/>
        <v>0</v>
      </c>
      <c r="O1191" s="1"/>
    </row>
    <row r="1192" spans="1:15" x14ac:dyDescent="0.25">
      <c r="A1192">
        <v>1944</v>
      </c>
      <c r="B1192">
        <v>50796.720739999997</v>
      </c>
      <c r="C1192">
        <v>0</v>
      </c>
      <c r="D1192">
        <v>499771.87709999998</v>
      </c>
      <c r="E1192">
        <v>0</v>
      </c>
      <c r="F1192">
        <v>859946.40350000001</v>
      </c>
      <c r="G1192">
        <v>0</v>
      </c>
      <c r="H1192">
        <v>1944</v>
      </c>
      <c r="I1192" t="str">
        <f t="shared" si="73"/>
        <v>YES</v>
      </c>
      <c r="J1192" t="s">
        <v>1198</v>
      </c>
      <c r="K1192">
        <v>388360.18939000001</v>
      </c>
      <c r="L1192" s="1">
        <f t="shared" si="74"/>
        <v>0</v>
      </c>
      <c r="M1192" s="1">
        <f t="shared" si="75"/>
        <v>0</v>
      </c>
      <c r="N1192" s="1">
        <f t="shared" si="76"/>
        <v>0</v>
      </c>
      <c r="O1192" s="1"/>
    </row>
    <row r="1193" spans="1:15" x14ac:dyDescent="0.25">
      <c r="A1193">
        <v>1945</v>
      </c>
      <c r="B1193">
        <v>519230.30839999998</v>
      </c>
      <c r="C1193">
        <v>0</v>
      </c>
      <c r="D1193">
        <v>913221.14599999995</v>
      </c>
      <c r="E1193">
        <v>0</v>
      </c>
      <c r="F1193">
        <v>1345850.9709999999</v>
      </c>
      <c r="G1193">
        <v>0</v>
      </c>
      <c r="H1193">
        <v>1945</v>
      </c>
      <c r="I1193" t="str">
        <f t="shared" si="73"/>
        <v>YES</v>
      </c>
      <c r="J1193" t="s">
        <v>1199</v>
      </c>
      <c r="K1193">
        <v>304806.98476299999</v>
      </c>
      <c r="L1193" s="1">
        <f t="shared" si="74"/>
        <v>0</v>
      </c>
      <c r="M1193" s="1">
        <f t="shared" si="75"/>
        <v>0</v>
      </c>
      <c r="N1193" s="1">
        <f t="shared" si="76"/>
        <v>0</v>
      </c>
      <c r="O1193" s="1"/>
    </row>
    <row r="1194" spans="1:15" x14ac:dyDescent="0.25">
      <c r="A1194">
        <v>1946</v>
      </c>
      <c r="B1194">
        <v>281867.30800000002</v>
      </c>
      <c r="C1194">
        <v>0</v>
      </c>
      <c r="D1194">
        <v>674127.41540000006</v>
      </c>
      <c r="E1194">
        <v>0</v>
      </c>
      <c r="F1194">
        <v>1121695.422</v>
      </c>
      <c r="G1194">
        <v>746.68799999999999</v>
      </c>
      <c r="H1194">
        <v>1946</v>
      </c>
      <c r="I1194" t="str">
        <f t="shared" si="73"/>
        <v>YES</v>
      </c>
      <c r="J1194" t="s">
        <v>1200</v>
      </c>
      <c r="K1194">
        <v>222794.99213999999</v>
      </c>
      <c r="L1194" s="1">
        <f t="shared" si="74"/>
        <v>0</v>
      </c>
      <c r="M1194" s="1">
        <f t="shared" si="75"/>
        <v>0</v>
      </c>
      <c r="N1194" s="1">
        <f t="shared" si="76"/>
        <v>848427.57016426488</v>
      </c>
      <c r="O1194" s="1"/>
    </row>
    <row r="1195" spans="1:15" x14ac:dyDescent="0.25">
      <c r="A1195">
        <v>1947</v>
      </c>
      <c r="B1195">
        <v>538819.43770000001</v>
      </c>
      <c r="C1195">
        <v>0</v>
      </c>
      <c r="D1195">
        <v>974262.90830000001</v>
      </c>
      <c r="E1195">
        <v>0</v>
      </c>
      <c r="F1195">
        <v>1425049.8060000001</v>
      </c>
      <c r="G1195">
        <v>441.18700000000001</v>
      </c>
      <c r="H1195">
        <v>1947</v>
      </c>
      <c r="I1195" t="str">
        <f t="shared" si="73"/>
        <v>YES</v>
      </c>
      <c r="J1195" t="s">
        <v>1201</v>
      </c>
      <c r="K1195">
        <v>98380.798809500004</v>
      </c>
      <c r="L1195" s="1">
        <f t="shared" si="74"/>
        <v>0</v>
      </c>
      <c r="M1195" s="1">
        <f t="shared" si="75"/>
        <v>0</v>
      </c>
      <c r="N1195" s="1">
        <f t="shared" si="76"/>
        <v>221362.08037027111</v>
      </c>
      <c r="O1195" s="1"/>
    </row>
    <row r="1196" spans="1:15" x14ac:dyDescent="0.25">
      <c r="A1196">
        <v>1948</v>
      </c>
      <c r="B1196">
        <v>463682.00199999998</v>
      </c>
      <c r="C1196">
        <v>0</v>
      </c>
      <c r="D1196">
        <v>873374.10419999994</v>
      </c>
      <c r="E1196">
        <v>0</v>
      </c>
      <c r="F1196">
        <v>1335064.415</v>
      </c>
      <c r="G1196">
        <v>232.32400000000001</v>
      </c>
      <c r="H1196">
        <v>1948</v>
      </c>
      <c r="I1196" t="str">
        <f t="shared" si="73"/>
        <v>YES</v>
      </c>
      <c r="J1196" t="s">
        <v>1202</v>
      </c>
      <c r="K1196">
        <v>119976.390377</v>
      </c>
      <c r="L1196" s="1">
        <f t="shared" si="74"/>
        <v>0</v>
      </c>
      <c r="M1196" s="1">
        <f t="shared" si="75"/>
        <v>0</v>
      </c>
      <c r="N1196" s="1">
        <f t="shared" si="76"/>
        <v>142154.3140815254</v>
      </c>
      <c r="O1196" s="1"/>
    </row>
    <row r="1197" spans="1:15" x14ac:dyDescent="0.25">
      <c r="A1197">
        <v>1949</v>
      </c>
      <c r="B1197">
        <v>315545.78970000002</v>
      </c>
      <c r="C1197">
        <v>0</v>
      </c>
      <c r="D1197">
        <v>741515.55599999998</v>
      </c>
      <c r="E1197">
        <v>0</v>
      </c>
      <c r="F1197">
        <v>1210524.4550000001</v>
      </c>
      <c r="G1197">
        <v>0</v>
      </c>
      <c r="H1197">
        <v>1949</v>
      </c>
      <c r="I1197" t="str">
        <f t="shared" si="73"/>
        <v>YES</v>
      </c>
      <c r="J1197" t="s">
        <v>1203</v>
      </c>
      <c r="K1197">
        <v>62791.113725000003</v>
      </c>
      <c r="L1197" s="1">
        <f t="shared" si="74"/>
        <v>0</v>
      </c>
      <c r="M1197" s="1">
        <f t="shared" si="75"/>
        <v>0</v>
      </c>
      <c r="N1197" s="1">
        <f t="shared" si="76"/>
        <v>0</v>
      </c>
      <c r="O1197" s="1"/>
    </row>
    <row r="1198" spans="1:15" x14ac:dyDescent="0.25">
      <c r="A1198">
        <v>1950</v>
      </c>
      <c r="B1198">
        <v>395326.16100000002</v>
      </c>
      <c r="C1198">
        <v>0</v>
      </c>
      <c r="D1198">
        <v>783042.96100000001</v>
      </c>
      <c r="E1198">
        <v>0</v>
      </c>
      <c r="F1198">
        <v>1263959.1159999999</v>
      </c>
      <c r="G1198">
        <v>746.68799999999999</v>
      </c>
      <c r="H1198">
        <v>1950</v>
      </c>
      <c r="I1198" t="str">
        <f t="shared" si="73"/>
        <v>YES</v>
      </c>
      <c r="J1198" t="s">
        <v>1204</v>
      </c>
      <c r="K1198">
        <v>306207.14974299999</v>
      </c>
      <c r="L1198" s="1">
        <f t="shared" si="74"/>
        <v>0</v>
      </c>
      <c r="M1198" s="1">
        <f t="shared" si="75"/>
        <v>0</v>
      </c>
      <c r="N1198" s="1">
        <f t="shared" si="76"/>
        <v>1166070.1415592362</v>
      </c>
      <c r="O1198" s="1"/>
    </row>
    <row r="1199" spans="1:15" x14ac:dyDescent="0.25">
      <c r="A1199">
        <v>1951</v>
      </c>
      <c r="B1199">
        <v>573376.3811</v>
      </c>
      <c r="C1199">
        <v>0</v>
      </c>
      <c r="D1199">
        <v>1026006.527</v>
      </c>
      <c r="E1199">
        <v>0</v>
      </c>
      <c r="F1199">
        <v>1441035.5390000001</v>
      </c>
      <c r="G1199">
        <v>1539.5160000000001</v>
      </c>
      <c r="H1199">
        <v>1951</v>
      </c>
      <c r="I1199" t="str">
        <f t="shared" si="73"/>
        <v>YES</v>
      </c>
      <c r="J1199" t="s">
        <v>1205</v>
      </c>
      <c r="K1199">
        <v>86588.463766800007</v>
      </c>
      <c r="L1199" s="1">
        <f t="shared" si="74"/>
        <v>0</v>
      </c>
      <c r="M1199" s="1">
        <f t="shared" si="75"/>
        <v>0</v>
      </c>
      <c r="N1199" s="1">
        <f t="shared" si="76"/>
        <v>679852.05946048535</v>
      </c>
      <c r="O1199" s="1"/>
    </row>
    <row r="1200" spans="1:15" x14ac:dyDescent="0.25">
      <c r="A1200">
        <v>1952</v>
      </c>
      <c r="B1200">
        <v>491741.96990000003</v>
      </c>
      <c r="C1200">
        <v>0</v>
      </c>
      <c r="D1200">
        <v>897905.74650000001</v>
      </c>
      <c r="E1200">
        <v>0</v>
      </c>
      <c r="F1200">
        <v>1355897.716</v>
      </c>
      <c r="G1200">
        <v>232.32400000000001</v>
      </c>
      <c r="H1200">
        <v>1952</v>
      </c>
      <c r="I1200" t="str">
        <f t="shared" si="73"/>
        <v>YES</v>
      </c>
      <c r="J1200" t="s">
        <v>1206</v>
      </c>
      <c r="K1200">
        <v>51600.121320699996</v>
      </c>
      <c r="L1200" s="1">
        <f t="shared" si="74"/>
        <v>0</v>
      </c>
      <c r="M1200" s="1">
        <f t="shared" si="75"/>
        <v>0</v>
      </c>
      <c r="N1200" s="1">
        <f t="shared" si="76"/>
        <v>61138.52758712256</v>
      </c>
      <c r="O1200" s="1"/>
    </row>
    <row r="1201" spans="1:15" x14ac:dyDescent="0.25">
      <c r="A1201">
        <v>1953</v>
      </c>
      <c r="B1201">
        <v>510026.8469</v>
      </c>
      <c r="C1201">
        <v>0</v>
      </c>
      <c r="D1201">
        <v>917272.58669999999</v>
      </c>
      <c r="E1201">
        <v>0</v>
      </c>
      <c r="F1201">
        <v>1375388.037</v>
      </c>
      <c r="G1201">
        <v>0</v>
      </c>
      <c r="H1201">
        <v>1953</v>
      </c>
      <c r="I1201" t="str">
        <f t="shared" si="73"/>
        <v>YES</v>
      </c>
      <c r="J1201" t="s">
        <v>1207</v>
      </c>
      <c r="K1201">
        <v>45464.368529599997</v>
      </c>
      <c r="L1201" s="1">
        <f t="shared" si="74"/>
        <v>0</v>
      </c>
      <c r="M1201" s="1">
        <f t="shared" si="75"/>
        <v>0</v>
      </c>
      <c r="N1201" s="1">
        <f t="shared" si="76"/>
        <v>0</v>
      </c>
      <c r="O1201" s="1"/>
    </row>
    <row r="1202" spans="1:15" x14ac:dyDescent="0.25">
      <c r="A1202">
        <v>1954</v>
      </c>
      <c r="B1202">
        <v>396288.97499999998</v>
      </c>
      <c r="C1202">
        <v>0</v>
      </c>
      <c r="D1202">
        <v>782510.67709999997</v>
      </c>
      <c r="E1202">
        <v>0</v>
      </c>
      <c r="F1202">
        <v>1261973.69</v>
      </c>
      <c r="G1202">
        <v>2977.7150000000001</v>
      </c>
      <c r="H1202">
        <v>1954</v>
      </c>
      <c r="I1202" t="str">
        <f t="shared" si="73"/>
        <v>YES</v>
      </c>
      <c r="J1202" t="s">
        <v>1208</v>
      </c>
      <c r="K1202">
        <v>180007.06928500001</v>
      </c>
      <c r="L1202" s="1">
        <f t="shared" si="74"/>
        <v>0</v>
      </c>
      <c r="M1202" s="1">
        <f t="shared" si="75"/>
        <v>0</v>
      </c>
      <c r="N1202" s="1">
        <f t="shared" si="76"/>
        <v>2733649.7266115174</v>
      </c>
      <c r="O1202" s="1"/>
    </row>
    <row r="1203" spans="1:15" x14ac:dyDescent="0.25">
      <c r="A1203">
        <v>1955</v>
      </c>
      <c r="B1203">
        <v>580875.98620000004</v>
      </c>
      <c r="C1203">
        <v>0</v>
      </c>
      <c r="D1203">
        <v>999974.48219999997</v>
      </c>
      <c r="E1203">
        <v>0</v>
      </c>
      <c r="F1203">
        <v>1416672.784</v>
      </c>
      <c r="G1203">
        <v>2033.433</v>
      </c>
      <c r="H1203">
        <v>1955</v>
      </c>
      <c r="I1203" t="str">
        <f t="shared" si="73"/>
        <v>YES</v>
      </c>
      <c r="J1203" t="s">
        <v>1209</v>
      </c>
      <c r="K1203">
        <v>25195.662602100001</v>
      </c>
      <c r="L1203" s="1">
        <f t="shared" si="74"/>
        <v>0</v>
      </c>
      <c r="M1203" s="1">
        <f t="shared" si="75"/>
        <v>0</v>
      </c>
      <c r="N1203" s="1">
        <f t="shared" si="76"/>
        <v>261291.82813907764</v>
      </c>
      <c r="O1203" s="1"/>
    </row>
    <row r="1204" spans="1:15" x14ac:dyDescent="0.25">
      <c r="A1204">
        <v>1956</v>
      </c>
      <c r="B1204">
        <v>490418.26929999999</v>
      </c>
      <c r="C1204">
        <v>0</v>
      </c>
      <c r="D1204">
        <v>882053.29119999998</v>
      </c>
      <c r="E1204">
        <v>0</v>
      </c>
      <c r="F1204">
        <v>1327578.591</v>
      </c>
      <c r="G1204">
        <v>412.548</v>
      </c>
      <c r="H1204">
        <v>1956</v>
      </c>
      <c r="I1204" t="str">
        <f t="shared" si="73"/>
        <v>YES</v>
      </c>
      <c r="J1204" t="s">
        <v>1210</v>
      </c>
      <c r="K1204">
        <v>92630.840915199995</v>
      </c>
      <c r="L1204" s="1">
        <f t="shared" si="74"/>
        <v>0</v>
      </c>
      <c r="M1204" s="1">
        <f t="shared" si="75"/>
        <v>0</v>
      </c>
      <c r="N1204" s="1">
        <f t="shared" si="76"/>
        <v>194894.80760520804</v>
      </c>
      <c r="O1204" s="1"/>
    </row>
    <row r="1205" spans="1:15" x14ac:dyDescent="0.25">
      <c r="A1205">
        <v>1957</v>
      </c>
      <c r="B1205">
        <v>540194.6237</v>
      </c>
      <c r="C1205">
        <v>0</v>
      </c>
      <c r="D1205">
        <v>940906.2463</v>
      </c>
      <c r="E1205">
        <v>0</v>
      </c>
      <c r="F1205">
        <v>1377150.0560000001</v>
      </c>
      <c r="G1205">
        <v>0</v>
      </c>
      <c r="H1205">
        <v>1957</v>
      </c>
      <c r="I1205" t="str">
        <f t="shared" si="73"/>
        <v>YES</v>
      </c>
      <c r="J1205" t="s">
        <v>1211</v>
      </c>
      <c r="K1205">
        <v>105749.976758</v>
      </c>
      <c r="L1205" s="1">
        <f t="shared" si="74"/>
        <v>0</v>
      </c>
      <c r="M1205" s="1">
        <f t="shared" si="75"/>
        <v>0</v>
      </c>
      <c r="N1205" s="1">
        <f t="shared" si="76"/>
        <v>0</v>
      </c>
      <c r="O1205" s="1"/>
    </row>
    <row r="1206" spans="1:15" x14ac:dyDescent="0.25">
      <c r="A1206">
        <v>1958</v>
      </c>
      <c r="B1206">
        <v>440354.11109999998</v>
      </c>
      <c r="C1206">
        <v>0</v>
      </c>
      <c r="D1206">
        <v>794380.27159999998</v>
      </c>
      <c r="E1206">
        <v>0</v>
      </c>
      <c r="F1206">
        <v>1246931.5190000001</v>
      </c>
      <c r="G1206">
        <v>2463.3510000000001</v>
      </c>
      <c r="H1206">
        <v>1958</v>
      </c>
      <c r="I1206" t="str">
        <f t="shared" si="73"/>
        <v>YES</v>
      </c>
      <c r="J1206" t="s">
        <v>1212</v>
      </c>
      <c r="K1206">
        <v>246662.74338500001</v>
      </c>
      <c r="L1206" s="1">
        <f t="shared" si="74"/>
        <v>0</v>
      </c>
      <c r="M1206" s="1">
        <f t="shared" si="75"/>
        <v>0</v>
      </c>
      <c r="N1206" s="1">
        <f t="shared" si="76"/>
        <v>3098846.2694589342</v>
      </c>
      <c r="O1206" s="1"/>
    </row>
    <row r="1207" spans="1:15" x14ac:dyDescent="0.25">
      <c r="A1207">
        <v>1959</v>
      </c>
      <c r="B1207">
        <v>300112.31099999999</v>
      </c>
      <c r="C1207">
        <v>0</v>
      </c>
      <c r="D1207">
        <v>688492.47719999996</v>
      </c>
      <c r="E1207">
        <v>0</v>
      </c>
      <c r="F1207">
        <v>1147216.709</v>
      </c>
      <c r="G1207">
        <v>0</v>
      </c>
      <c r="H1207">
        <v>1959</v>
      </c>
      <c r="I1207" t="str">
        <f t="shared" si="73"/>
        <v>YES</v>
      </c>
      <c r="J1207" t="s">
        <v>1213</v>
      </c>
      <c r="K1207">
        <v>164305.01116699999</v>
      </c>
      <c r="L1207" s="1">
        <f t="shared" si="74"/>
        <v>0</v>
      </c>
      <c r="M1207" s="1">
        <f t="shared" si="75"/>
        <v>0</v>
      </c>
      <c r="N1207" s="1">
        <f t="shared" si="76"/>
        <v>0</v>
      </c>
      <c r="O1207" s="1"/>
    </row>
    <row r="1208" spans="1:15" x14ac:dyDescent="0.25">
      <c r="A1208">
        <v>1960</v>
      </c>
      <c r="B1208">
        <v>575404.92590000003</v>
      </c>
      <c r="C1208">
        <v>0</v>
      </c>
      <c r="D1208">
        <v>992720.52339999995</v>
      </c>
      <c r="E1208">
        <v>0</v>
      </c>
      <c r="F1208">
        <v>1410977.077</v>
      </c>
      <c r="G1208">
        <v>2033.433</v>
      </c>
      <c r="H1208">
        <v>1960</v>
      </c>
      <c r="I1208" t="str">
        <f t="shared" si="73"/>
        <v>YES</v>
      </c>
      <c r="J1208" t="s">
        <v>1214</v>
      </c>
      <c r="K1208">
        <v>201909.16870400001</v>
      </c>
      <c r="L1208" s="1">
        <f t="shared" si="74"/>
        <v>0</v>
      </c>
      <c r="M1208" s="1">
        <f t="shared" si="75"/>
        <v>0</v>
      </c>
      <c r="N1208" s="1">
        <f t="shared" si="76"/>
        <v>2093900.7098909325</v>
      </c>
      <c r="O1208" s="1"/>
    </row>
    <row r="1209" spans="1:15" x14ac:dyDescent="0.25">
      <c r="A1209">
        <v>1961</v>
      </c>
      <c r="B1209">
        <v>450520.28149999998</v>
      </c>
      <c r="C1209">
        <v>0</v>
      </c>
      <c r="D1209">
        <v>866446.40060000005</v>
      </c>
      <c r="E1209">
        <v>0</v>
      </c>
      <c r="F1209">
        <v>1301455.496</v>
      </c>
      <c r="G1209">
        <v>0</v>
      </c>
      <c r="H1209">
        <v>1961</v>
      </c>
      <c r="I1209" t="str">
        <f t="shared" si="73"/>
        <v>YES</v>
      </c>
      <c r="J1209" t="s">
        <v>1215</v>
      </c>
      <c r="K1209">
        <v>64843.149473799996</v>
      </c>
      <c r="L1209" s="1">
        <f t="shared" si="74"/>
        <v>0</v>
      </c>
      <c r="M1209" s="1">
        <f t="shared" si="75"/>
        <v>0</v>
      </c>
      <c r="N1209" s="1">
        <f t="shared" si="76"/>
        <v>0</v>
      </c>
      <c r="O1209" s="1"/>
    </row>
    <row r="1210" spans="1:15" x14ac:dyDescent="0.25">
      <c r="A1210">
        <v>1962</v>
      </c>
      <c r="B1210">
        <v>583195.08609999996</v>
      </c>
      <c r="C1210">
        <v>0</v>
      </c>
      <c r="D1210">
        <v>1031766.632</v>
      </c>
      <c r="E1210">
        <v>0</v>
      </c>
      <c r="F1210">
        <v>1440112.9950000001</v>
      </c>
      <c r="G1210">
        <v>1539.5160000000001</v>
      </c>
      <c r="H1210">
        <v>1962</v>
      </c>
      <c r="I1210" t="str">
        <f t="shared" si="73"/>
        <v>YES</v>
      </c>
      <c r="J1210" t="s">
        <v>1216</v>
      </c>
      <c r="K1210">
        <v>40333.614568199999</v>
      </c>
      <c r="L1210" s="1">
        <f t="shared" si="74"/>
        <v>0</v>
      </c>
      <c r="M1210" s="1">
        <f t="shared" si="75"/>
        <v>0</v>
      </c>
      <c r="N1210" s="1">
        <f t="shared" si="76"/>
        <v>316680.64932444267</v>
      </c>
      <c r="O1210" s="1"/>
    </row>
    <row r="1211" spans="1:15" x14ac:dyDescent="0.25">
      <c r="A1211">
        <v>1963</v>
      </c>
      <c r="B1211">
        <v>584528.87049999996</v>
      </c>
      <c r="C1211">
        <v>0</v>
      </c>
      <c r="D1211">
        <v>995534.37670000002</v>
      </c>
      <c r="E1211">
        <v>0</v>
      </c>
      <c r="F1211">
        <v>1426713.8859999999</v>
      </c>
      <c r="G1211">
        <v>0</v>
      </c>
      <c r="H1211">
        <v>1963</v>
      </c>
      <c r="I1211" t="str">
        <f t="shared" si="73"/>
        <v>YES</v>
      </c>
      <c r="J1211" t="s">
        <v>1217</v>
      </c>
      <c r="K1211">
        <v>18236.712626</v>
      </c>
      <c r="L1211" s="1">
        <f t="shared" si="74"/>
        <v>0</v>
      </c>
      <c r="M1211" s="1">
        <f t="shared" si="75"/>
        <v>0</v>
      </c>
      <c r="N1211" s="1">
        <f t="shared" si="76"/>
        <v>0</v>
      </c>
      <c r="O1211" s="1"/>
    </row>
    <row r="1212" spans="1:15" x14ac:dyDescent="0.25">
      <c r="A1212">
        <v>2000</v>
      </c>
      <c r="B1212">
        <v>1425.9722469999999</v>
      </c>
      <c r="C1212">
        <v>0</v>
      </c>
      <c r="D1212">
        <v>6801.5320359999996</v>
      </c>
      <c r="E1212">
        <v>0</v>
      </c>
      <c r="F1212">
        <v>19102.580310000001</v>
      </c>
      <c r="G1212">
        <v>0</v>
      </c>
      <c r="H1212">
        <v>2000</v>
      </c>
      <c r="I1212" t="str">
        <f t="shared" si="73"/>
        <v>YES</v>
      </c>
      <c r="J1212" t="s">
        <v>1218</v>
      </c>
      <c r="K1212">
        <v>3136945.8018</v>
      </c>
      <c r="L1212" s="1">
        <f t="shared" si="74"/>
        <v>0</v>
      </c>
      <c r="M1212" s="1">
        <f t="shared" si="75"/>
        <v>0</v>
      </c>
      <c r="N1212" s="1">
        <f t="shared" si="76"/>
        <v>0</v>
      </c>
      <c r="O1212" s="1"/>
    </row>
    <row r="1213" spans="1:15" x14ac:dyDescent="0.25">
      <c r="A1213">
        <v>2001</v>
      </c>
      <c r="B1213">
        <v>4238.426692</v>
      </c>
      <c r="C1213">
        <v>0</v>
      </c>
      <c r="D1213">
        <v>13537.7916</v>
      </c>
      <c r="E1213">
        <v>0</v>
      </c>
      <c r="F1213">
        <v>30429.889940000001</v>
      </c>
      <c r="G1213">
        <v>0</v>
      </c>
      <c r="H1213">
        <v>2001</v>
      </c>
      <c r="I1213" t="str">
        <f t="shared" si="73"/>
        <v>YES</v>
      </c>
      <c r="J1213" t="s">
        <v>1219</v>
      </c>
      <c r="K1213">
        <v>1452657.4904400001</v>
      </c>
      <c r="L1213" s="1">
        <f t="shared" si="74"/>
        <v>0</v>
      </c>
      <c r="M1213" s="1">
        <f t="shared" si="75"/>
        <v>0</v>
      </c>
      <c r="N1213" s="1">
        <f t="shared" si="76"/>
        <v>0</v>
      </c>
      <c r="O1213" s="1"/>
    </row>
    <row r="1214" spans="1:15" x14ac:dyDescent="0.25">
      <c r="A1214">
        <v>2002</v>
      </c>
      <c r="B1214">
        <v>1425.0547349999999</v>
      </c>
      <c r="C1214">
        <v>0</v>
      </c>
      <c r="D1214">
        <v>4238.426692</v>
      </c>
      <c r="E1214">
        <v>0</v>
      </c>
      <c r="F1214">
        <v>13537.7916</v>
      </c>
      <c r="G1214">
        <v>0</v>
      </c>
      <c r="H1214">
        <v>2002</v>
      </c>
      <c r="I1214" t="str">
        <f t="shared" si="73"/>
        <v>YES</v>
      </c>
      <c r="J1214" t="s">
        <v>1220</v>
      </c>
      <c r="K1214">
        <v>1947130.40124</v>
      </c>
      <c r="L1214" s="1">
        <f t="shared" si="74"/>
        <v>0</v>
      </c>
      <c r="M1214" s="1">
        <f t="shared" si="75"/>
        <v>0</v>
      </c>
      <c r="N1214" s="1">
        <f t="shared" si="76"/>
        <v>0</v>
      </c>
      <c r="O1214" s="1"/>
    </row>
    <row r="1215" spans="1:15" x14ac:dyDescent="0.25">
      <c r="A1215">
        <v>2003</v>
      </c>
      <c r="B1215">
        <v>1988.722274</v>
      </c>
      <c r="C1215">
        <v>0</v>
      </c>
      <c r="D1215">
        <v>8426.4572370000005</v>
      </c>
      <c r="E1215">
        <v>0</v>
      </c>
      <c r="F1215">
        <v>23659.50088</v>
      </c>
      <c r="G1215">
        <v>0</v>
      </c>
      <c r="H1215">
        <v>2003</v>
      </c>
      <c r="I1215" t="str">
        <f t="shared" si="73"/>
        <v>YES</v>
      </c>
      <c r="J1215" t="s">
        <v>1221</v>
      </c>
      <c r="K1215">
        <v>763296.65298899997</v>
      </c>
      <c r="L1215" s="1">
        <f t="shared" si="74"/>
        <v>0</v>
      </c>
      <c r="M1215" s="1">
        <f t="shared" si="75"/>
        <v>0</v>
      </c>
      <c r="N1215" s="1">
        <f t="shared" si="76"/>
        <v>0</v>
      </c>
      <c r="O1215" s="1"/>
    </row>
    <row r="1216" spans="1:15" x14ac:dyDescent="0.25">
      <c r="A1216">
        <v>2004</v>
      </c>
      <c r="B1216">
        <v>3371.1195379999999</v>
      </c>
      <c r="C1216">
        <v>0</v>
      </c>
      <c r="D1216">
        <v>13168.150170000001</v>
      </c>
      <c r="E1216">
        <v>0</v>
      </c>
      <c r="F1216">
        <v>28887.0514</v>
      </c>
      <c r="G1216">
        <v>0</v>
      </c>
      <c r="H1216">
        <v>2004</v>
      </c>
      <c r="I1216" t="str">
        <f t="shared" si="73"/>
        <v>YES</v>
      </c>
      <c r="J1216" t="s">
        <v>1222</v>
      </c>
      <c r="K1216">
        <v>1289052.4259299999</v>
      </c>
      <c r="L1216" s="1">
        <f t="shared" si="74"/>
        <v>0</v>
      </c>
      <c r="M1216" s="1">
        <f t="shared" si="75"/>
        <v>0</v>
      </c>
      <c r="N1216" s="1">
        <f t="shared" si="76"/>
        <v>0</v>
      </c>
      <c r="O1216" s="1"/>
    </row>
    <row r="1217" spans="1:15" x14ac:dyDescent="0.25">
      <c r="A1217">
        <v>2007</v>
      </c>
      <c r="B1217">
        <v>51.879855829999997</v>
      </c>
      <c r="C1217">
        <v>0</v>
      </c>
      <c r="D1217">
        <v>51.879855829999997</v>
      </c>
      <c r="E1217">
        <v>0</v>
      </c>
      <c r="F1217">
        <v>51.879855829999997</v>
      </c>
      <c r="G1217">
        <v>0</v>
      </c>
      <c r="H1217">
        <v>2007</v>
      </c>
      <c r="I1217" t="str">
        <f t="shared" si="73"/>
        <v>YES</v>
      </c>
      <c r="J1217" t="s">
        <v>1223</v>
      </c>
      <c r="K1217">
        <v>47872858.1976</v>
      </c>
      <c r="L1217" s="1">
        <f t="shared" si="74"/>
        <v>0</v>
      </c>
      <c r="M1217" s="1">
        <f t="shared" si="75"/>
        <v>0</v>
      </c>
      <c r="N1217" s="1">
        <f t="shared" si="76"/>
        <v>0</v>
      </c>
      <c r="O1217" s="1"/>
    </row>
    <row r="1218" spans="1:15" x14ac:dyDescent="0.25">
      <c r="A1218">
        <v>2008</v>
      </c>
      <c r="B1218">
        <v>2494.4847119999999</v>
      </c>
      <c r="C1218">
        <v>0</v>
      </c>
      <c r="D1218">
        <v>13782.166429999999</v>
      </c>
      <c r="E1218">
        <v>0</v>
      </c>
      <c r="F1218">
        <v>27861.7022</v>
      </c>
      <c r="G1218">
        <v>0</v>
      </c>
      <c r="H1218">
        <v>2008</v>
      </c>
      <c r="I1218" t="str">
        <f t="shared" ref="I1218:I1281" si="77">IF(A1218=H1218,"YES","NO")</f>
        <v>YES</v>
      </c>
      <c r="J1218" t="s">
        <v>1224</v>
      </c>
      <c r="K1218">
        <v>545239.86125700001</v>
      </c>
      <c r="L1218" s="1">
        <f t="shared" si="74"/>
        <v>0</v>
      </c>
      <c r="M1218" s="1">
        <f t="shared" si="75"/>
        <v>0</v>
      </c>
      <c r="N1218" s="1">
        <f t="shared" si="76"/>
        <v>0</v>
      </c>
      <c r="O1218" s="1"/>
    </row>
    <row r="1219" spans="1:15" x14ac:dyDescent="0.25">
      <c r="A1219">
        <v>2009</v>
      </c>
      <c r="B1219">
        <v>2494.4847119999999</v>
      </c>
      <c r="C1219">
        <v>0</v>
      </c>
      <c r="D1219">
        <v>6971.7113440000003</v>
      </c>
      <c r="E1219">
        <v>0</v>
      </c>
      <c r="F1219">
        <v>25072.662960000001</v>
      </c>
      <c r="G1219">
        <v>0</v>
      </c>
      <c r="H1219">
        <v>2009</v>
      </c>
      <c r="I1219" t="str">
        <f t="shared" si="77"/>
        <v>YES</v>
      </c>
      <c r="J1219" t="s">
        <v>1225</v>
      </c>
      <c r="K1219">
        <v>1770329.48587</v>
      </c>
      <c r="L1219" s="1">
        <f t="shared" ref="L1219:L1282" si="78">$U$2*$K1219*C1219</f>
        <v>0</v>
      </c>
      <c r="M1219" s="1">
        <f t="shared" ref="M1219:M1282" si="79">$U$3*$K1219*E1219</f>
        <v>0</v>
      </c>
      <c r="N1219" s="1">
        <f t="shared" ref="N1219:N1282" si="80">$U$4*$K1219*G1219</f>
        <v>0</v>
      </c>
      <c r="O1219" s="1"/>
    </row>
    <row r="1220" spans="1:15" x14ac:dyDescent="0.25">
      <c r="A1220">
        <v>2010</v>
      </c>
      <c r="B1220">
        <v>616.59505039999999</v>
      </c>
      <c r="C1220">
        <v>0</v>
      </c>
      <c r="D1220">
        <v>10181.261549999999</v>
      </c>
      <c r="E1220">
        <v>0</v>
      </c>
      <c r="F1220">
        <v>21286.19785</v>
      </c>
      <c r="G1220">
        <v>0</v>
      </c>
      <c r="H1220">
        <v>2010</v>
      </c>
      <c r="I1220" t="str">
        <f t="shared" si="77"/>
        <v>YES</v>
      </c>
      <c r="J1220" t="s">
        <v>1226</v>
      </c>
      <c r="K1220">
        <v>2461723.4072799999</v>
      </c>
      <c r="L1220" s="1">
        <f t="shared" si="78"/>
        <v>0</v>
      </c>
      <c r="M1220" s="1">
        <f t="shared" si="79"/>
        <v>0</v>
      </c>
      <c r="N1220" s="1">
        <f t="shared" si="80"/>
        <v>0</v>
      </c>
      <c r="O1220" s="1"/>
    </row>
    <row r="1221" spans="1:15" x14ac:dyDescent="0.25">
      <c r="A1221">
        <v>2011</v>
      </c>
      <c r="B1221">
        <v>89.713294050000002</v>
      </c>
      <c r="C1221">
        <v>0</v>
      </c>
      <c r="D1221">
        <v>89.713294050000002</v>
      </c>
      <c r="E1221">
        <v>0</v>
      </c>
      <c r="F1221">
        <v>7099.5125799999996</v>
      </c>
      <c r="G1221">
        <v>0</v>
      </c>
      <c r="H1221">
        <v>2011</v>
      </c>
      <c r="I1221" t="str">
        <f t="shared" si="77"/>
        <v>YES</v>
      </c>
      <c r="J1221" t="s">
        <v>1227</v>
      </c>
      <c r="K1221">
        <v>2593969.00189</v>
      </c>
      <c r="L1221" s="1">
        <f t="shared" si="78"/>
        <v>0</v>
      </c>
      <c r="M1221" s="1">
        <f t="shared" si="79"/>
        <v>0</v>
      </c>
      <c r="N1221" s="1">
        <f t="shared" si="80"/>
        <v>0</v>
      </c>
      <c r="O1221" s="1"/>
    </row>
    <row r="1222" spans="1:15" x14ac:dyDescent="0.25">
      <c r="A1222">
        <v>2012</v>
      </c>
      <c r="B1222">
        <v>279.8578862</v>
      </c>
      <c r="C1222">
        <v>0</v>
      </c>
      <c r="D1222">
        <v>279.8578862</v>
      </c>
      <c r="E1222">
        <v>0</v>
      </c>
      <c r="F1222">
        <v>279.8578862</v>
      </c>
      <c r="G1222">
        <v>0</v>
      </c>
      <c r="H1222">
        <v>2012</v>
      </c>
      <c r="I1222" t="str">
        <f t="shared" si="77"/>
        <v>YES</v>
      </c>
      <c r="J1222" t="s">
        <v>1228</v>
      </c>
      <c r="K1222">
        <v>2378360.26743</v>
      </c>
      <c r="L1222" s="1">
        <f t="shared" si="78"/>
        <v>0</v>
      </c>
      <c r="M1222" s="1">
        <f t="shared" si="79"/>
        <v>0</v>
      </c>
      <c r="N1222" s="1">
        <f t="shared" si="80"/>
        <v>0</v>
      </c>
      <c r="O1222" s="1"/>
    </row>
    <row r="1223" spans="1:15" x14ac:dyDescent="0.25">
      <c r="A1223">
        <v>2013</v>
      </c>
      <c r="B1223">
        <v>191.1882052</v>
      </c>
      <c r="C1223">
        <v>0</v>
      </c>
      <c r="D1223">
        <v>1011.438848</v>
      </c>
      <c r="E1223">
        <v>0</v>
      </c>
      <c r="F1223">
        <v>2067.5548039999999</v>
      </c>
      <c r="G1223">
        <v>0</v>
      </c>
      <c r="H1223">
        <v>2013</v>
      </c>
      <c r="I1223" t="str">
        <f t="shared" si="77"/>
        <v>YES</v>
      </c>
      <c r="J1223" t="s">
        <v>1229</v>
      </c>
      <c r="K1223">
        <v>3061675.60891</v>
      </c>
      <c r="L1223" s="1">
        <f t="shared" si="78"/>
        <v>0</v>
      </c>
      <c r="M1223" s="1">
        <f t="shared" si="79"/>
        <v>0</v>
      </c>
      <c r="N1223" s="1">
        <f t="shared" si="80"/>
        <v>0</v>
      </c>
      <c r="O1223" s="1"/>
    </row>
    <row r="1224" spans="1:15" x14ac:dyDescent="0.25">
      <c r="A1224">
        <v>2014</v>
      </c>
      <c r="B1224">
        <v>603.21318310000004</v>
      </c>
      <c r="C1224">
        <v>0</v>
      </c>
      <c r="D1224">
        <v>10505.55819</v>
      </c>
      <c r="E1224">
        <v>0</v>
      </c>
      <c r="F1224">
        <v>24803.16001</v>
      </c>
      <c r="G1224">
        <v>0</v>
      </c>
      <c r="H1224">
        <v>2014</v>
      </c>
      <c r="I1224" t="str">
        <f t="shared" si="77"/>
        <v>YES</v>
      </c>
      <c r="J1224" t="s">
        <v>1230</v>
      </c>
      <c r="K1224">
        <v>1117357.0577</v>
      </c>
      <c r="L1224" s="1">
        <f t="shared" si="78"/>
        <v>0</v>
      </c>
      <c r="M1224" s="1">
        <f t="shared" si="79"/>
        <v>0</v>
      </c>
      <c r="N1224" s="1">
        <f t="shared" si="80"/>
        <v>0</v>
      </c>
      <c r="O1224" s="1"/>
    </row>
    <row r="1225" spans="1:15" x14ac:dyDescent="0.25">
      <c r="A1225">
        <v>2015</v>
      </c>
      <c r="B1225">
        <v>1183.4401210000001</v>
      </c>
      <c r="C1225">
        <v>0</v>
      </c>
      <c r="D1225">
        <v>9439.0626749999992</v>
      </c>
      <c r="E1225">
        <v>0</v>
      </c>
      <c r="F1225">
        <v>37808.125339999999</v>
      </c>
      <c r="G1225">
        <v>0</v>
      </c>
      <c r="H1225">
        <v>2015</v>
      </c>
      <c r="I1225" t="str">
        <f t="shared" si="77"/>
        <v>YES</v>
      </c>
      <c r="J1225" t="s">
        <v>1231</v>
      </c>
      <c r="K1225">
        <v>2661873.9310099999</v>
      </c>
      <c r="L1225" s="1">
        <f t="shared" si="78"/>
        <v>0</v>
      </c>
      <c r="M1225" s="1">
        <f t="shared" si="79"/>
        <v>0</v>
      </c>
      <c r="N1225" s="1">
        <f t="shared" si="80"/>
        <v>0</v>
      </c>
      <c r="O1225" s="1"/>
    </row>
    <row r="1226" spans="1:15" x14ac:dyDescent="0.25">
      <c r="A1226">
        <v>2018</v>
      </c>
      <c r="B1226">
        <v>420.18394480000001</v>
      </c>
      <c r="C1226">
        <v>0</v>
      </c>
      <c r="D1226">
        <v>4688.5019119999997</v>
      </c>
      <c r="E1226">
        <v>0</v>
      </c>
      <c r="F1226">
        <v>13168.150170000001</v>
      </c>
      <c r="G1226">
        <v>0</v>
      </c>
      <c r="H1226">
        <v>2018</v>
      </c>
      <c r="I1226" t="str">
        <f t="shared" si="77"/>
        <v>YES</v>
      </c>
      <c r="J1226" t="s">
        <v>1232</v>
      </c>
      <c r="K1226">
        <v>748517.26651500002</v>
      </c>
      <c r="L1226" s="1">
        <f t="shared" si="78"/>
        <v>0</v>
      </c>
      <c r="M1226" s="1">
        <f t="shared" si="79"/>
        <v>0</v>
      </c>
      <c r="N1226" s="1">
        <f t="shared" si="80"/>
        <v>0</v>
      </c>
      <c r="O1226" s="1"/>
    </row>
    <row r="1227" spans="1:15" x14ac:dyDescent="0.25">
      <c r="A1227">
        <v>2019</v>
      </c>
      <c r="B1227">
        <v>9381.6286049999999</v>
      </c>
      <c r="C1227">
        <v>0</v>
      </c>
      <c r="D1227">
        <v>19102.580310000001</v>
      </c>
      <c r="E1227">
        <v>0</v>
      </c>
      <c r="F1227">
        <v>39681.456910000001</v>
      </c>
      <c r="G1227">
        <v>0</v>
      </c>
      <c r="H1227">
        <v>2019</v>
      </c>
      <c r="I1227" t="str">
        <f t="shared" si="77"/>
        <v>YES</v>
      </c>
      <c r="J1227" t="s">
        <v>1233</v>
      </c>
      <c r="K1227">
        <v>1292230.17539</v>
      </c>
      <c r="L1227" s="1">
        <f t="shared" si="78"/>
        <v>0</v>
      </c>
      <c r="M1227" s="1">
        <f t="shared" si="79"/>
        <v>0</v>
      </c>
      <c r="N1227" s="1">
        <f t="shared" si="80"/>
        <v>0</v>
      </c>
      <c r="O1227" s="1"/>
    </row>
    <row r="1228" spans="1:15" x14ac:dyDescent="0.25">
      <c r="A1228">
        <v>2020</v>
      </c>
      <c r="B1228">
        <v>2286.5273229999998</v>
      </c>
      <c r="C1228">
        <v>0</v>
      </c>
      <c r="D1228">
        <v>9864.0800190000009</v>
      </c>
      <c r="E1228">
        <v>0</v>
      </c>
      <c r="F1228">
        <v>28887.0514</v>
      </c>
      <c r="G1228">
        <v>0</v>
      </c>
      <c r="H1228">
        <v>2020</v>
      </c>
      <c r="I1228" t="str">
        <f t="shared" si="77"/>
        <v>YES</v>
      </c>
      <c r="J1228" t="s">
        <v>1234</v>
      </c>
      <c r="K1228">
        <v>920124.43099200004</v>
      </c>
      <c r="L1228" s="1">
        <f t="shared" si="78"/>
        <v>0</v>
      </c>
      <c r="M1228" s="1">
        <f t="shared" si="79"/>
        <v>0</v>
      </c>
      <c r="N1228" s="1">
        <f t="shared" si="80"/>
        <v>0</v>
      </c>
      <c r="O1228" s="1"/>
    </row>
    <row r="1229" spans="1:15" x14ac:dyDescent="0.25">
      <c r="A1229">
        <v>2021</v>
      </c>
      <c r="B1229">
        <v>2705.5973730000001</v>
      </c>
      <c r="C1229">
        <v>0</v>
      </c>
      <c r="D1229">
        <v>15114.56424</v>
      </c>
      <c r="E1229">
        <v>0</v>
      </c>
      <c r="F1229">
        <v>31371.355189999998</v>
      </c>
      <c r="G1229">
        <v>0</v>
      </c>
      <c r="H1229">
        <v>2021</v>
      </c>
      <c r="I1229" t="str">
        <f t="shared" si="77"/>
        <v>YES</v>
      </c>
      <c r="J1229" t="s">
        <v>1235</v>
      </c>
      <c r="K1229">
        <v>1011509.18119</v>
      </c>
      <c r="L1229" s="1">
        <f t="shared" si="78"/>
        <v>0</v>
      </c>
      <c r="M1229" s="1">
        <f t="shared" si="79"/>
        <v>0</v>
      </c>
      <c r="N1229" s="1">
        <f t="shared" si="80"/>
        <v>0</v>
      </c>
      <c r="O1229" s="1"/>
    </row>
    <row r="1230" spans="1:15" x14ac:dyDescent="0.25">
      <c r="A1230">
        <v>2022</v>
      </c>
      <c r="B1230">
        <v>11382.07584</v>
      </c>
      <c r="C1230">
        <v>0</v>
      </c>
      <c r="D1230">
        <v>30050.20522</v>
      </c>
      <c r="E1230">
        <v>0</v>
      </c>
      <c r="F1230">
        <v>54428.795169999998</v>
      </c>
      <c r="G1230">
        <v>0</v>
      </c>
      <c r="H1230">
        <v>2022</v>
      </c>
      <c r="I1230" t="str">
        <f t="shared" si="77"/>
        <v>YES</v>
      </c>
      <c r="J1230" t="s">
        <v>1236</v>
      </c>
      <c r="K1230">
        <v>1195229.51367</v>
      </c>
      <c r="L1230" s="1">
        <f t="shared" si="78"/>
        <v>0</v>
      </c>
      <c r="M1230" s="1">
        <f t="shared" si="79"/>
        <v>0</v>
      </c>
      <c r="N1230" s="1">
        <f t="shared" si="80"/>
        <v>0</v>
      </c>
      <c r="O1230" s="1"/>
    </row>
    <row r="1231" spans="1:15" x14ac:dyDescent="0.25">
      <c r="A1231">
        <v>2023</v>
      </c>
      <c r="B1231">
        <v>9255.7899280000001</v>
      </c>
      <c r="C1231">
        <v>0</v>
      </c>
      <c r="D1231">
        <v>29828.891100000001</v>
      </c>
      <c r="E1231">
        <v>0</v>
      </c>
      <c r="F1231">
        <v>46855.563159999998</v>
      </c>
      <c r="G1231">
        <v>0</v>
      </c>
      <c r="H1231">
        <v>2023</v>
      </c>
      <c r="I1231" t="str">
        <f t="shared" si="77"/>
        <v>YES</v>
      </c>
      <c r="J1231" t="s">
        <v>1237</v>
      </c>
      <c r="K1231">
        <v>620232.63309200003</v>
      </c>
      <c r="L1231" s="1">
        <f t="shared" si="78"/>
        <v>0</v>
      </c>
      <c r="M1231" s="1">
        <f t="shared" si="79"/>
        <v>0</v>
      </c>
      <c r="N1231" s="1">
        <f t="shared" si="80"/>
        <v>0</v>
      </c>
      <c r="O1231" s="1"/>
    </row>
    <row r="1232" spans="1:15" x14ac:dyDescent="0.25">
      <c r="A1232">
        <v>2025</v>
      </c>
      <c r="B1232">
        <v>11172.65958</v>
      </c>
      <c r="C1232">
        <v>0</v>
      </c>
      <c r="D1232">
        <v>25107.215609999999</v>
      </c>
      <c r="E1232">
        <v>0</v>
      </c>
      <c r="F1232">
        <v>45947.935319999997</v>
      </c>
      <c r="G1232">
        <v>0</v>
      </c>
      <c r="H1232">
        <v>2025</v>
      </c>
      <c r="I1232" t="str">
        <f t="shared" si="77"/>
        <v>YES</v>
      </c>
      <c r="J1232" t="s">
        <v>1238</v>
      </c>
      <c r="K1232">
        <v>1439144.5138699999</v>
      </c>
      <c r="L1232" s="1">
        <f t="shared" si="78"/>
        <v>0</v>
      </c>
      <c r="M1232" s="1">
        <f t="shared" si="79"/>
        <v>0</v>
      </c>
      <c r="N1232" s="1">
        <f t="shared" si="80"/>
        <v>0</v>
      </c>
      <c r="O1232" s="1"/>
    </row>
    <row r="1233" spans="1:15" x14ac:dyDescent="0.25">
      <c r="A1233">
        <v>2026</v>
      </c>
      <c r="B1233">
        <v>7375.9561329999997</v>
      </c>
      <c r="C1233">
        <v>0</v>
      </c>
      <c r="D1233">
        <v>23407.38854</v>
      </c>
      <c r="E1233">
        <v>0</v>
      </c>
      <c r="F1233">
        <v>43193.672030000002</v>
      </c>
      <c r="G1233">
        <v>0</v>
      </c>
      <c r="H1233">
        <v>2026</v>
      </c>
      <c r="I1233" t="str">
        <f t="shared" si="77"/>
        <v>YES</v>
      </c>
      <c r="J1233" t="s">
        <v>1239</v>
      </c>
      <c r="K1233">
        <v>837615.05790599994</v>
      </c>
      <c r="L1233" s="1">
        <f t="shared" si="78"/>
        <v>0</v>
      </c>
      <c r="M1233" s="1">
        <f t="shared" si="79"/>
        <v>0</v>
      </c>
      <c r="N1233" s="1">
        <f t="shared" si="80"/>
        <v>0</v>
      </c>
      <c r="O1233" s="1"/>
    </row>
    <row r="1234" spans="1:15" x14ac:dyDescent="0.25">
      <c r="A1234">
        <v>2027</v>
      </c>
      <c r="B1234">
        <v>8119.8082949999998</v>
      </c>
      <c r="C1234">
        <v>0</v>
      </c>
      <c r="D1234">
        <v>19036.259549999999</v>
      </c>
      <c r="E1234">
        <v>0</v>
      </c>
      <c r="F1234">
        <v>31558.78197</v>
      </c>
      <c r="G1234">
        <v>0</v>
      </c>
      <c r="H1234">
        <v>2027</v>
      </c>
      <c r="I1234" t="str">
        <f t="shared" si="77"/>
        <v>YES</v>
      </c>
      <c r="J1234" t="s">
        <v>1240</v>
      </c>
      <c r="K1234">
        <v>1372105.9145500001</v>
      </c>
      <c r="L1234" s="1">
        <f t="shared" si="78"/>
        <v>0</v>
      </c>
      <c r="M1234" s="1">
        <f t="shared" si="79"/>
        <v>0</v>
      </c>
      <c r="N1234" s="1">
        <f t="shared" si="80"/>
        <v>0</v>
      </c>
      <c r="O1234" s="1"/>
    </row>
    <row r="1235" spans="1:15" x14ac:dyDescent="0.25">
      <c r="A1235">
        <v>2028</v>
      </c>
      <c r="B1235">
        <v>18021.248</v>
      </c>
      <c r="C1235">
        <v>0</v>
      </c>
      <c r="D1235">
        <v>30773.48877</v>
      </c>
      <c r="E1235">
        <v>0</v>
      </c>
      <c r="F1235">
        <v>79096.291410000005</v>
      </c>
      <c r="G1235">
        <v>0</v>
      </c>
      <c r="H1235">
        <v>2028</v>
      </c>
      <c r="I1235" t="str">
        <f t="shared" si="77"/>
        <v>YES</v>
      </c>
      <c r="J1235" t="s">
        <v>1241</v>
      </c>
      <c r="K1235">
        <v>370616.335594</v>
      </c>
      <c r="L1235" s="1">
        <f t="shared" si="78"/>
        <v>0</v>
      </c>
      <c r="M1235" s="1">
        <f t="shared" si="79"/>
        <v>0</v>
      </c>
      <c r="N1235" s="1">
        <f t="shared" si="80"/>
        <v>0</v>
      </c>
      <c r="O1235" s="1"/>
    </row>
    <row r="1236" spans="1:15" x14ac:dyDescent="0.25">
      <c r="A1236">
        <v>2029</v>
      </c>
      <c r="B1236">
        <v>21301.873360000001</v>
      </c>
      <c r="C1236">
        <v>0</v>
      </c>
      <c r="D1236">
        <v>44212.4035</v>
      </c>
      <c r="E1236">
        <v>0</v>
      </c>
      <c r="F1236">
        <v>93860.664539999998</v>
      </c>
      <c r="G1236">
        <v>0</v>
      </c>
      <c r="H1236">
        <v>2029</v>
      </c>
      <c r="I1236" t="str">
        <f t="shared" si="77"/>
        <v>YES</v>
      </c>
      <c r="J1236" t="s">
        <v>1242</v>
      </c>
      <c r="K1236">
        <v>164643.42032599999</v>
      </c>
      <c r="L1236" s="1">
        <f t="shared" si="78"/>
        <v>0</v>
      </c>
      <c r="M1236" s="1">
        <f t="shared" si="79"/>
        <v>0</v>
      </c>
      <c r="N1236" s="1">
        <f t="shared" si="80"/>
        <v>0</v>
      </c>
      <c r="O1236" s="1"/>
    </row>
    <row r="1237" spans="1:15" x14ac:dyDescent="0.25">
      <c r="A1237">
        <v>2030</v>
      </c>
      <c r="B1237">
        <v>12937.37715</v>
      </c>
      <c r="C1237">
        <v>0</v>
      </c>
      <c r="D1237">
        <v>30997.891909999998</v>
      </c>
      <c r="E1237">
        <v>0</v>
      </c>
      <c r="F1237">
        <v>77928.609370000006</v>
      </c>
      <c r="G1237">
        <v>0</v>
      </c>
      <c r="H1237">
        <v>2030</v>
      </c>
      <c r="I1237" t="str">
        <f t="shared" si="77"/>
        <v>YES</v>
      </c>
      <c r="J1237" t="s">
        <v>1243</v>
      </c>
      <c r="K1237">
        <v>1277596.6282899999</v>
      </c>
      <c r="L1237" s="1">
        <f t="shared" si="78"/>
        <v>0</v>
      </c>
      <c r="M1237" s="1">
        <f t="shared" si="79"/>
        <v>0</v>
      </c>
      <c r="N1237" s="1">
        <f t="shared" si="80"/>
        <v>0</v>
      </c>
      <c r="O1237" s="1"/>
    </row>
    <row r="1238" spans="1:15" x14ac:dyDescent="0.25">
      <c r="A1238">
        <v>2031</v>
      </c>
      <c r="B1238">
        <v>10391.73653</v>
      </c>
      <c r="C1238">
        <v>0</v>
      </c>
      <c r="D1238">
        <v>19257.174080000001</v>
      </c>
      <c r="E1238">
        <v>0</v>
      </c>
      <c r="F1238">
        <v>41047.531869999999</v>
      </c>
      <c r="G1238">
        <v>0</v>
      </c>
      <c r="H1238">
        <v>2031</v>
      </c>
      <c r="I1238" t="str">
        <f t="shared" si="77"/>
        <v>YES</v>
      </c>
      <c r="J1238" t="s">
        <v>1244</v>
      </c>
      <c r="K1238">
        <v>689743.04089099995</v>
      </c>
      <c r="L1238" s="1">
        <f t="shared" si="78"/>
        <v>0</v>
      </c>
      <c r="M1238" s="1">
        <f t="shared" si="79"/>
        <v>0</v>
      </c>
      <c r="N1238" s="1">
        <f t="shared" si="80"/>
        <v>0</v>
      </c>
      <c r="O1238" s="1"/>
    </row>
    <row r="1239" spans="1:15" x14ac:dyDescent="0.25">
      <c r="A1239">
        <v>2032</v>
      </c>
      <c r="B1239">
        <v>9702.6486150000001</v>
      </c>
      <c r="C1239">
        <v>0</v>
      </c>
      <c r="D1239">
        <v>18966.368180000001</v>
      </c>
      <c r="E1239">
        <v>0</v>
      </c>
      <c r="F1239">
        <v>41258.113839999998</v>
      </c>
      <c r="G1239">
        <v>0</v>
      </c>
      <c r="H1239">
        <v>2032</v>
      </c>
      <c r="I1239" t="str">
        <f t="shared" si="77"/>
        <v>YES</v>
      </c>
      <c r="J1239" t="s">
        <v>1245</v>
      </c>
      <c r="K1239">
        <v>936581.26628700003</v>
      </c>
      <c r="L1239" s="1">
        <f t="shared" si="78"/>
        <v>0</v>
      </c>
      <c r="M1239" s="1">
        <f t="shared" si="79"/>
        <v>0</v>
      </c>
      <c r="N1239" s="1">
        <f t="shared" si="80"/>
        <v>0</v>
      </c>
      <c r="O1239" s="1"/>
    </row>
    <row r="1240" spans="1:15" x14ac:dyDescent="0.25">
      <c r="A1240">
        <v>2033</v>
      </c>
      <c r="B1240">
        <v>14668.2809</v>
      </c>
      <c r="C1240">
        <v>0</v>
      </c>
      <c r="D1240">
        <v>38918.23416</v>
      </c>
      <c r="E1240">
        <v>0</v>
      </c>
      <c r="F1240">
        <v>85142.728090000004</v>
      </c>
      <c r="G1240">
        <v>0</v>
      </c>
      <c r="H1240">
        <v>2033</v>
      </c>
      <c r="I1240" t="str">
        <f t="shared" si="77"/>
        <v>YES</v>
      </c>
      <c r="J1240" t="s">
        <v>1246</v>
      </c>
      <c r="K1240">
        <v>329552.11867499998</v>
      </c>
      <c r="L1240" s="1">
        <f t="shared" si="78"/>
        <v>0</v>
      </c>
      <c r="M1240" s="1">
        <f t="shared" si="79"/>
        <v>0</v>
      </c>
      <c r="N1240" s="1">
        <f t="shared" si="80"/>
        <v>0</v>
      </c>
      <c r="O1240" s="1"/>
    </row>
    <row r="1241" spans="1:15" x14ac:dyDescent="0.25">
      <c r="A1241">
        <v>2034</v>
      </c>
      <c r="B1241">
        <v>12237.03722</v>
      </c>
      <c r="C1241">
        <v>0</v>
      </c>
      <c r="D1241">
        <v>27169.789649999999</v>
      </c>
      <c r="E1241">
        <v>0</v>
      </c>
      <c r="F1241">
        <v>76449.012560000003</v>
      </c>
      <c r="G1241">
        <v>0</v>
      </c>
      <c r="H1241">
        <v>2034</v>
      </c>
      <c r="I1241" t="str">
        <f t="shared" si="77"/>
        <v>YES</v>
      </c>
      <c r="J1241" t="s">
        <v>1247</v>
      </c>
      <c r="K1241">
        <v>1155517.3628100001</v>
      </c>
      <c r="L1241" s="1">
        <f t="shared" si="78"/>
        <v>0</v>
      </c>
      <c r="M1241" s="1">
        <f t="shared" si="79"/>
        <v>0</v>
      </c>
      <c r="N1241" s="1">
        <f t="shared" si="80"/>
        <v>0</v>
      </c>
      <c r="O1241" s="1"/>
    </row>
    <row r="1242" spans="1:15" x14ac:dyDescent="0.25">
      <c r="A1242">
        <v>2035</v>
      </c>
      <c r="B1242">
        <v>8704.9951170000004</v>
      </c>
      <c r="C1242">
        <v>0</v>
      </c>
      <c r="D1242">
        <v>35041.358350000002</v>
      </c>
      <c r="E1242">
        <v>0</v>
      </c>
      <c r="F1242">
        <v>81403.781950000004</v>
      </c>
      <c r="G1242">
        <v>0</v>
      </c>
      <c r="H1242">
        <v>2035</v>
      </c>
      <c r="I1242" t="str">
        <f t="shared" si="77"/>
        <v>YES</v>
      </c>
      <c r="J1242" t="s">
        <v>1248</v>
      </c>
      <c r="K1242">
        <v>1159050.3974899999</v>
      </c>
      <c r="L1242" s="1">
        <f t="shared" si="78"/>
        <v>0</v>
      </c>
      <c r="M1242" s="1">
        <f t="shared" si="79"/>
        <v>0</v>
      </c>
      <c r="N1242" s="1">
        <f t="shared" si="80"/>
        <v>0</v>
      </c>
      <c r="O1242" s="1"/>
    </row>
    <row r="1243" spans="1:15" x14ac:dyDescent="0.25">
      <c r="A1243">
        <v>2036</v>
      </c>
      <c r="B1243">
        <v>3197.0280720000001</v>
      </c>
      <c r="C1243">
        <v>0</v>
      </c>
      <c r="D1243">
        <v>22572.034179999999</v>
      </c>
      <c r="E1243">
        <v>0</v>
      </c>
      <c r="F1243">
        <v>43772.620280000003</v>
      </c>
      <c r="G1243">
        <v>0</v>
      </c>
      <c r="H1243">
        <v>2036</v>
      </c>
      <c r="I1243" t="str">
        <f t="shared" si="77"/>
        <v>YES</v>
      </c>
      <c r="J1243" t="s">
        <v>1249</v>
      </c>
      <c r="K1243">
        <v>821686.68620400003</v>
      </c>
      <c r="L1243" s="1">
        <f t="shared" si="78"/>
        <v>0</v>
      </c>
      <c r="M1243" s="1">
        <f t="shared" si="79"/>
        <v>0</v>
      </c>
      <c r="N1243" s="1">
        <f t="shared" si="80"/>
        <v>0</v>
      </c>
      <c r="O1243" s="1"/>
    </row>
    <row r="1244" spans="1:15" x14ac:dyDescent="0.25">
      <c r="A1244">
        <v>2037</v>
      </c>
      <c r="B1244">
        <v>9502.6773649999996</v>
      </c>
      <c r="C1244">
        <v>0</v>
      </c>
      <c r="D1244">
        <v>37202.503369999999</v>
      </c>
      <c r="E1244">
        <v>0</v>
      </c>
      <c r="F1244">
        <v>83419.647889999993</v>
      </c>
      <c r="G1244">
        <v>0</v>
      </c>
      <c r="H1244">
        <v>2037</v>
      </c>
      <c r="I1244" t="str">
        <f t="shared" si="77"/>
        <v>YES</v>
      </c>
      <c r="J1244" t="s">
        <v>1250</v>
      </c>
      <c r="K1244">
        <v>1088131.20554</v>
      </c>
      <c r="L1244" s="1">
        <f t="shared" si="78"/>
        <v>0</v>
      </c>
      <c r="M1244" s="1">
        <f t="shared" si="79"/>
        <v>0</v>
      </c>
      <c r="N1244" s="1">
        <f t="shared" si="80"/>
        <v>0</v>
      </c>
      <c r="O1244" s="1"/>
    </row>
    <row r="1245" spans="1:15" x14ac:dyDescent="0.25">
      <c r="A1245">
        <v>2100</v>
      </c>
      <c r="B1245">
        <v>5702.0060810000004</v>
      </c>
      <c r="C1245">
        <v>0</v>
      </c>
      <c r="D1245">
        <v>35043.5841</v>
      </c>
      <c r="E1245">
        <v>0</v>
      </c>
      <c r="F1245">
        <v>73816.758560000002</v>
      </c>
      <c r="G1245">
        <v>0</v>
      </c>
      <c r="H1245">
        <v>2100</v>
      </c>
      <c r="I1245" t="str">
        <f t="shared" si="77"/>
        <v>YES</v>
      </c>
      <c r="J1245" t="s">
        <v>1251</v>
      </c>
      <c r="K1245">
        <v>685506.94965199998</v>
      </c>
      <c r="L1245" s="1">
        <f t="shared" si="78"/>
        <v>0</v>
      </c>
      <c r="M1245" s="1">
        <f t="shared" si="79"/>
        <v>0</v>
      </c>
      <c r="N1245" s="1">
        <f t="shared" si="80"/>
        <v>0</v>
      </c>
      <c r="O1245" s="1"/>
    </row>
    <row r="1246" spans="1:15" x14ac:dyDescent="0.25">
      <c r="A1246">
        <v>2101</v>
      </c>
      <c r="B1246">
        <v>8848.2341550000001</v>
      </c>
      <c r="C1246">
        <v>0</v>
      </c>
      <c r="D1246">
        <v>28303.710760000002</v>
      </c>
      <c r="E1246">
        <v>0</v>
      </c>
      <c r="F1246">
        <v>94703.737420000005</v>
      </c>
      <c r="G1246">
        <v>0</v>
      </c>
      <c r="H1246">
        <v>2101</v>
      </c>
      <c r="I1246" t="str">
        <f t="shared" si="77"/>
        <v>YES</v>
      </c>
      <c r="J1246" t="s">
        <v>1252</v>
      </c>
      <c r="K1246">
        <v>979778.97372200002</v>
      </c>
      <c r="L1246" s="1">
        <f t="shared" si="78"/>
        <v>0</v>
      </c>
      <c r="M1246" s="1">
        <f t="shared" si="79"/>
        <v>0</v>
      </c>
      <c r="N1246" s="1">
        <f t="shared" si="80"/>
        <v>0</v>
      </c>
      <c r="O1246" s="1"/>
    </row>
    <row r="1247" spans="1:15" x14ac:dyDescent="0.25">
      <c r="A1247">
        <v>2102</v>
      </c>
      <c r="B1247">
        <v>14994.986650000001</v>
      </c>
      <c r="C1247">
        <v>0</v>
      </c>
      <c r="D1247">
        <v>38421.189839999999</v>
      </c>
      <c r="E1247">
        <v>0</v>
      </c>
      <c r="F1247">
        <v>108450.25410000001</v>
      </c>
      <c r="G1247">
        <v>0</v>
      </c>
      <c r="H1247">
        <v>2102</v>
      </c>
      <c r="I1247" t="str">
        <f t="shared" si="77"/>
        <v>YES</v>
      </c>
      <c r="J1247" t="s">
        <v>1253</v>
      </c>
      <c r="K1247">
        <v>790261.09090299997</v>
      </c>
      <c r="L1247" s="1">
        <f t="shared" si="78"/>
        <v>0</v>
      </c>
      <c r="M1247" s="1">
        <f t="shared" si="79"/>
        <v>0</v>
      </c>
      <c r="N1247" s="1">
        <f t="shared" si="80"/>
        <v>0</v>
      </c>
      <c r="O1247" s="1"/>
    </row>
    <row r="1248" spans="1:15" x14ac:dyDescent="0.25">
      <c r="A1248">
        <v>2103</v>
      </c>
      <c r="B1248">
        <v>25123.143779999999</v>
      </c>
      <c r="C1248">
        <v>0</v>
      </c>
      <c r="D1248">
        <v>55605.428670000001</v>
      </c>
      <c r="E1248">
        <v>0</v>
      </c>
      <c r="F1248">
        <v>148546.1329</v>
      </c>
      <c r="G1248">
        <v>0</v>
      </c>
      <c r="H1248">
        <v>2103</v>
      </c>
      <c r="I1248" t="str">
        <f t="shared" si="77"/>
        <v>YES</v>
      </c>
      <c r="J1248" t="s">
        <v>1254</v>
      </c>
      <c r="K1248">
        <v>782873.70758299995</v>
      </c>
      <c r="L1248" s="1">
        <f t="shared" si="78"/>
        <v>0</v>
      </c>
      <c r="M1248" s="1">
        <f t="shared" si="79"/>
        <v>0</v>
      </c>
      <c r="N1248" s="1">
        <f t="shared" si="80"/>
        <v>0</v>
      </c>
      <c r="O1248" s="1"/>
    </row>
    <row r="1249" spans="1:15" x14ac:dyDescent="0.25">
      <c r="A1249">
        <v>2104</v>
      </c>
      <c r="B1249">
        <v>10069.21902</v>
      </c>
      <c r="C1249">
        <v>0</v>
      </c>
      <c r="D1249">
        <v>38900.032290000003</v>
      </c>
      <c r="E1249">
        <v>0</v>
      </c>
      <c r="F1249">
        <v>100122.6882</v>
      </c>
      <c r="G1249">
        <v>0</v>
      </c>
      <c r="H1249">
        <v>2104</v>
      </c>
      <c r="I1249" t="str">
        <f t="shared" si="77"/>
        <v>YES</v>
      </c>
      <c r="J1249" t="s">
        <v>1255</v>
      </c>
      <c r="K1249">
        <v>567488.84526700003</v>
      </c>
      <c r="L1249" s="1">
        <f t="shared" si="78"/>
        <v>0</v>
      </c>
      <c r="M1249" s="1">
        <f t="shared" si="79"/>
        <v>0</v>
      </c>
      <c r="N1249" s="1">
        <f t="shared" si="80"/>
        <v>0</v>
      </c>
      <c r="O1249" s="1"/>
    </row>
    <row r="1250" spans="1:15" x14ac:dyDescent="0.25">
      <c r="A1250">
        <v>2105</v>
      </c>
      <c r="B1250">
        <v>18152.723409999999</v>
      </c>
      <c r="C1250">
        <v>0</v>
      </c>
      <c r="D1250">
        <v>44724.645470000003</v>
      </c>
      <c r="E1250">
        <v>0</v>
      </c>
      <c r="F1250">
        <v>112124.894</v>
      </c>
      <c r="G1250">
        <v>0</v>
      </c>
      <c r="H1250">
        <v>2105</v>
      </c>
      <c r="I1250" t="str">
        <f t="shared" si="77"/>
        <v>YES</v>
      </c>
      <c r="J1250" t="s">
        <v>1256</v>
      </c>
      <c r="K1250">
        <v>526863.88352100004</v>
      </c>
      <c r="L1250" s="1">
        <f t="shared" si="78"/>
        <v>0</v>
      </c>
      <c r="M1250" s="1">
        <f t="shared" si="79"/>
        <v>0</v>
      </c>
      <c r="N1250" s="1">
        <f t="shared" si="80"/>
        <v>0</v>
      </c>
      <c r="O1250" s="1"/>
    </row>
    <row r="1251" spans="1:15" x14ac:dyDescent="0.25">
      <c r="A1251">
        <v>2107</v>
      </c>
      <c r="B1251">
        <v>47391.728419999999</v>
      </c>
      <c r="C1251">
        <v>0</v>
      </c>
      <c r="D1251">
        <v>81292.258919999993</v>
      </c>
      <c r="E1251">
        <v>0</v>
      </c>
      <c r="F1251">
        <v>508111.6986</v>
      </c>
      <c r="G1251">
        <v>0</v>
      </c>
      <c r="H1251">
        <v>2107</v>
      </c>
      <c r="I1251" t="str">
        <f t="shared" si="77"/>
        <v>YES</v>
      </c>
      <c r="J1251" t="s">
        <v>1257</v>
      </c>
      <c r="K1251">
        <v>207473.33726</v>
      </c>
      <c r="L1251" s="1">
        <f t="shared" si="78"/>
        <v>0</v>
      </c>
      <c r="M1251" s="1">
        <f t="shared" si="79"/>
        <v>0</v>
      </c>
      <c r="N1251" s="1">
        <f t="shared" si="80"/>
        <v>0</v>
      </c>
      <c r="O1251" s="1"/>
    </row>
    <row r="1252" spans="1:15" x14ac:dyDescent="0.25">
      <c r="A1252">
        <v>2108</v>
      </c>
      <c r="B1252">
        <v>908.30495510000003</v>
      </c>
      <c r="C1252">
        <v>0</v>
      </c>
      <c r="D1252">
        <v>9242.1799219999994</v>
      </c>
      <c r="E1252">
        <v>0</v>
      </c>
      <c r="F1252">
        <v>51401.776169999997</v>
      </c>
      <c r="G1252">
        <v>0</v>
      </c>
      <c r="H1252">
        <v>2108</v>
      </c>
      <c r="I1252" t="str">
        <f t="shared" si="77"/>
        <v>YES</v>
      </c>
      <c r="J1252" t="s">
        <v>1258</v>
      </c>
      <c r="K1252">
        <v>5788835.18915</v>
      </c>
      <c r="L1252" s="1">
        <f t="shared" si="78"/>
        <v>0</v>
      </c>
      <c r="M1252" s="1">
        <f t="shared" si="79"/>
        <v>0</v>
      </c>
      <c r="N1252" s="1">
        <f t="shared" si="80"/>
        <v>0</v>
      </c>
      <c r="O1252" s="1"/>
    </row>
    <row r="1253" spans="1:15" x14ac:dyDescent="0.25">
      <c r="A1253">
        <v>2109</v>
      </c>
      <c r="B1253">
        <v>8112.0103349999999</v>
      </c>
      <c r="C1253">
        <v>0</v>
      </c>
      <c r="D1253">
        <v>35623.359770000003</v>
      </c>
      <c r="E1253">
        <v>0</v>
      </c>
      <c r="F1253">
        <v>78887.107210000002</v>
      </c>
      <c r="G1253">
        <v>0</v>
      </c>
      <c r="H1253">
        <v>2109</v>
      </c>
      <c r="I1253" t="str">
        <f t="shared" si="77"/>
        <v>YES</v>
      </c>
      <c r="J1253" t="s">
        <v>1259</v>
      </c>
      <c r="K1253">
        <v>719023.92783199996</v>
      </c>
      <c r="L1253" s="1">
        <f t="shared" si="78"/>
        <v>0</v>
      </c>
      <c r="M1253" s="1">
        <f t="shared" si="79"/>
        <v>0</v>
      </c>
      <c r="N1253" s="1">
        <f t="shared" si="80"/>
        <v>0</v>
      </c>
      <c r="O1253" s="1"/>
    </row>
    <row r="1254" spans="1:15" x14ac:dyDescent="0.25">
      <c r="A1254">
        <v>2110</v>
      </c>
      <c r="B1254">
        <v>8302.9768530000001</v>
      </c>
      <c r="C1254">
        <v>0</v>
      </c>
      <c r="D1254">
        <v>36214.827299999997</v>
      </c>
      <c r="E1254">
        <v>0</v>
      </c>
      <c r="F1254">
        <v>75126.700060000003</v>
      </c>
      <c r="G1254">
        <v>0</v>
      </c>
      <c r="H1254">
        <v>2110</v>
      </c>
      <c r="I1254" t="str">
        <f t="shared" si="77"/>
        <v>YES</v>
      </c>
      <c r="J1254" t="s">
        <v>1260</v>
      </c>
      <c r="K1254">
        <v>970100.94656900002</v>
      </c>
      <c r="L1254" s="1">
        <f t="shared" si="78"/>
        <v>0</v>
      </c>
      <c r="M1254" s="1">
        <f t="shared" si="79"/>
        <v>0</v>
      </c>
      <c r="N1254" s="1">
        <f t="shared" si="80"/>
        <v>0</v>
      </c>
      <c r="O1254" s="1"/>
    </row>
    <row r="1255" spans="1:15" x14ac:dyDescent="0.25">
      <c r="A1255">
        <v>2113</v>
      </c>
      <c r="B1255">
        <v>23011.959449999998</v>
      </c>
      <c r="C1255">
        <v>0</v>
      </c>
      <c r="D1255">
        <v>62501.239629999996</v>
      </c>
      <c r="E1255">
        <v>0</v>
      </c>
      <c r="F1255">
        <v>259162.52439999999</v>
      </c>
      <c r="G1255">
        <v>0</v>
      </c>
      <c r="H1255">
        <v>2113</v>
      </c>
      <c r="I1255" t="str">
        <f t="shared" si="77"/>
        <v>YES</v>
      </c>
      <c r="J1255" t="s">
        <v>1261</v>
      </c>
      <c r="K1255">
        <v>672310.01452500001</v>
      </c>
      <c r="L1255" s="1">
        <f t="shared" si="78"/>
        <v>0</v>
      </c>
      <c r="M1255" s="1">
        <f t="shared" si="79"/>
        <v>0</v>
      </c>
      <c r="N1255" s="1">
        <f t="shared" si="80"/>
        <v>0</v>
      </c>
      <c r="O1255" s="1"/>
    </row>
    <row r="1256" spans="1:15" x14ac:dyDescent="0.25">
      <c r="A1256">
        <v>2114</v>
      </c>
      <c r="B1256">
        <v>17217.36161</v>
      </c>
      <c r="C1256">
        <v>0</v>
      </c>
      <c r="D1256">
        <v>53029.575510000002</v>
      </c>
      <c r="E1256">
        <v>0</v>
      </c>
      <c r="F1256">
        <v>119857.29090000001</v>
      </c>
      <c r="G1256">
        <v>0</v>
      </c>
      <c r="H1256">
        <v>2114</v>
      </c>
      <c r="I1256" t="str">
        <f t="shared" si="77"/>
        <v>YES</v>
      </c>
      <c r="J1256" t="s">
        <v>1262</v>
      </c>
      <c r="K1256">
        <v>420079.46409099997</v>
      </c>
      <c r="L1256" s="1">
        <f t="shared" si="78"/>
        <v>0</v>
      </c>
      <c r="M1256" s="1">
        <f t="shared" si="79"/>
        <v>0</v>
      </c>
      <c r="N1256" s="1">
        <f t="shared" si="80"/>
        <v>0</v>
      </c>
      <c r="O1256" s="1"/>
    </row>
    <row r="1257" spans="1:15" x14ac:dyDescent="0.25">
      <c r="A1257">
        <v>2115</v>
      </c>
      <c r="B1257">
        <v>35266.504300000001</v>
      </c>
      <c r="C1257">
        <v>0</v>
      </c>
      <c r="D1257">
        <v>79451.054189999995</v>
      </c>
      <c r="E1257">
        <v>0</v>
      </c>
      <c r="F1257">
        <v>482660.99209999997</v>
      </c>
      <c r="G1257">
        <v>0</v>
      </c>
      <c r="H1257">
        <v>2115</v>
      </c>
      <c r="I1257" t="str">
        <f t="shared" si="77"/>
        <v>YES</v>
      </c>
      <c r="J1257" t="s">
        <v>1263</v>
      </c>
      <c r="K1257">
        <v>196618.18228400001</v>
      </c>
      <c r="L1257" s="1">
        <f t="shared" si="78"/>
        <v>0</v>
      </c>
      <c r="M1257" s="1">
        <f t="shared" si="79"/>
        <v>0</v>
      </c>
      <c r="N1257" s="1">
        <f t="shared" si="80"/>
        <v>0</v>
      </c>
      <c r="O1257" s="1"/>
    </row>
    <row r="1258" spans="1:15" x14ac:dyDescent="0.25">
      <c r="A1258">
        <v>2116</v>
      </c>
      <c r="B1258">
        <v>17681.73054</v>
      </c>
      <c r="C1258">
        <v>0</v>
      </c>
      <c r="D1258">
        <v>62501.239629999996</v>
      </c>
      <c r="E1258">
        <v>0</v>
      </c>
      <c r="F1258">
        <v>192124.4798</v>
      </c>
      <c r="G1258">
        <v>0</v>
      </c>
      <c r="H1258">
        <v>2116</v>
      </c>
      <c r="I1258" t="str">
        <f t="shared" si="77"/>
        <v>YES</v>
      </c>
      <c r="J1258" t="s">
        <v>1264</v>
      </c>
      <c r="K1258">
        <v>347962.74816900003</v>
      </c>
      <c r="L1258" s="1">
        <f t="shared" si="78"/>
        <v>0</v>
      </c>
      <c r="M1258" s="1">
        <f t="shared" si="79"/>
        <v>0</v>
      </c>
      <c r="N1258" s="1">
        <f t="shared" si="80"/>
        <v>0</v>
      </c>
      <c r="O1258" s="1"/>
    </row>
    <row r="1259" spans="1:15" x14ac:dyDescent="0.25">
      <c r="A1259">
        <v>2117</v>
      </c>
      <c r="B1259">
        <v>14694.325409999999</v>
      </c>
      <c r="C1259">
        <v>0</v>
      </c>
      <c r="D1259">
        <v>51356.145040000003</v>
      </c>
      <c r="E1259">
        <v>0</v>
      </c>
      <c r="F1259">
        <v>106725.3523</v>
      </c>
      <c r="G1259">
        <v>0</v>
      </c>
      <c r="H1259">
        <v>2117</v>
      </c>
      <c r="I1259" t="str">
        <f t="shared" si="77"/>
        <v>YES</v>
      </c>
      <c r="J1259" t="s">
        <v>1265</v>
      </c>
      <c r="K1259">
        <v>561114.98992600001</v>
      </c>
      <c r="L1259" s="1">
        <f t="shared" si="78"/>
        <v>0</v>
      </c>
      <c r="M1259" s="1">
        <f t="shared" si="79"/>
        <v>0</v>
      </c>
      <c r="N1259" s="1">
        <f t="shared" si="80"/>
        <v>0</v>
      </c>
      <c r="O1259" s="1"/>
    </row>
    <row r="1260" spans="1:15" x14ac:dyDescent="0.25">
      <c r="A1260">
        <v>2118</v>
      </c>
      <c r="B1260">
        <v>19316.271929999999</v>
      </c>
      <c r="C1260">
        <v>0</v>
      </c>
      <c r="D1260">
        <v>62424.019039999999</v>
      </c>
      <c r="E1260">
        <v>0</v>
      </c>
      <c r="F1260">
        <v>238714.63759999999</v>
      </c>
      <c r="G1260">
        <v>0</v>
      </c>
      <c r="H1260">
        <v>2118</v>
      </c>
      <c r="I1260" t="str">
        <f t="shared" si="77"/>
        <v>YES</v>
      </c>
      <c r="J1260" t="s">
        <v>1266</v>
      </c>
      <c r="K1260">
        <v>515109.07723</v>
      </c>
      <c r="L1260" s="1">
        <f t="shared" si="78"/>
        <v>0</v>
      </c>
      <c r="M1260" s="1">
        <f t="shared" si="79"/>
        <v>0</v>
      </c>
      <c r="N1260" s="1">
        <f t="shared" si="80"/>
        <v>0</v>
      </c>
      <c r="O1260" s="1"/>
    </row>
    <row r="1261" spans="1:15" x14ac:dyDescent="0.25">
      <c r="A1261">
        <v>2119</v>
      </c>
      <c r="B1261">
        <v>17014.594730000001</v>
      </c>
      <c r="C1261">
        <v>0</v>
      </c>
      <c r="D1261">
        <v>57050.602709999999</v>
      </c>
      <c r="E1261">
        <v>0</v>
      </c>
      <c r="F1261">
        <v>187561.62349999999</v>
      </c>
      <c r="G1261">
        <v>0</v>
      </c>
      <c r="H1261">
        <v>2119</v>
      </c>
      <c r="I1261" t="str">
        <f t="shared" si="77"/>
        <v>YES</v>
      </c>
      <c r="J1261" t="s">
        <v>1267</v>
      </c>
      <c r="K1261">
        <v>559746.29813500005</v>
      </c>
      <c r="L1261" s="1">
        <f t="shared" si="78"/>
        <v>0</v>
      </c>
      <c r="M1261" s="1">
        <f t="shared" si="79"/>
        <v>0</v>
      </c>
      <c r="N1261" s="1">
        <f t="shared" si="80"/>
        <v>0</v>
      </c>
      <c r="O1261" s="1"/>
    </row>
    <row r="1262" spans="1:15" x14ac:dyDescent="0.25">
      <c r="A1262">
        <v>2120</v>
      </c>
      <c r="B1262">
        <v>18777.545259999999</v>
      </c>
      <c r="C1262">
        <v>0</v>
      </c>
      <c r="D1262">
        <v>58688.870569999999</v>
      </c>
      <c r="E1262">
        <v>0</v>
      </c>
      <c r="F1262">
        <v>174379.0723</v>
      </c>
      <c r="G1262">
        <v>0</v>
      </c>
      <c r="H1262">
        <v>2120</v>
      </c>
      <c r="I1262" t="str">
        <f t="shared" si="77"/>
        <v>YES</v>
      </c>
      <c r="J1262" t="s">
        <v>1268</v>
      </c>
      <c r="K1262">
        <v>585467.81635700003</v>
      </c>
      <c r="L1262" s="1">
        <f t="shared" si="78"/>
        <v>0</v>
      </c>
      <c r="M1262" s="1">
        <f t="shared" si="79"/>
        <v>0</v>
      </c>
      <c r="N1262" s="1">
        <f t="shared" si="80"/>
        <v>0</v>
      </c>
      <c r="O1262" s="1"/>
    </row>
    <row r="1263" spans="1:15" x14ac:dyDescent="0.25">
      <c r="A1263">
        <v>2123</v>
      </c>
      <c r="B1263">
        <v>2920.6982119999998</v>
      </c>
      <c r="C1263">
        <v>0</v>
      </c>
      <c r="D1263">
        <v>42838.051319999999</v>
      </c>
      <c r="E1263">
        <v>0</v>
      </c>
      <c r="F1263">
        <v>369517.48109999998</v>
      </c>
      <c r="G1263">
        <v>0</v>
      </c>
      <c r="H1263">
        <v>2123</v>
      </c>
      <c r="I1263" t="str">
        <f t="shared" si="77"/>
        <v>YES</v>
      </c>
      <c r="J1263" t="s">
        <v>1269</v>
      </c>
      <c r="K1263">
        <v>985179.70847299998</v>
      </c>
      <c r="L1263" s="1">
        <f t="shared" si="78"/>
        <v>0</v>
      </c>
      <c r="M1263" s="1">
        <f t="shared" si="79"/>
        <v>0</v>
      </c>
      <c r="N1263" s="1">
        <f t="shared" si="80"/>
        <v>0</v>
      </c>
      <c r="O1263" s="1"/>
    </row>
    <row r="1264" spans="1:15" x14ac:dyDescent="0.25">
      <c r="A1264">
        <v>2124</v>
      </c>
      <c r="B1264">
        <v>1869.4103419999999</v>
      </c>
      <c r="C1264">
        <v>0</v>
      </c>
      <c r="D1264">
        <v>26993.275870000001</v>
      </c>
      <c r="E1264">
        <v>0</v>
      </c>
      <c r="F1264">
        <v>341775.95490000001</v>
      </c>
      <c r="G1264">
        <v>0</v>
      </c>
      <c r="H1264">
        <v>2124</v>
      </c>
      <c r="I1264" t="str">
        <f t="shared" si="77"/>
        <v>YES</v>
      </c>
      <c r="J1264" t="s">
        <v>1270</v>
      </c>
      <c r="K1264">
        <v>2005847.20832</v>
      </c>
      <c r="L1264" s="1">
        <f t="shared" si="78"/>
        <v>0</v>
      </c>
      <c r="M1264" s="1">
        <f t="shared" si="79"/>
        <v>0</v>
      </c>
      <c r="N1264" s="1">
        <f t="shared" si="80"/>
        <v>0</v>
      </c>
      <c r="O1264" s="1"/>
    </row>
    <row r="1265" spans="1:15" x14ac:dyDescent="0.25">
      <c r="A1265">
        <v>2125</v>
      </c>
      <c r="B1265">
        <v>1388.0690509999999</v>
      </c>
      <c r="C1265">
        <v>0</v>
      </c>
      <c r="D1265">
        <v>8355.0321449999992</v>
      </c>
      <c r="E1265">
        <v>0</v>
      </c>
      <c r="F1265">
        <v>51644.010459999998</v>
      </c>
      <c r="G1265">
        <v>0</v>
      </c>
      <c r="H1265">
        <v>2125</v>
      </c>
      <c r="I1265" t="str">
        <f t="shared" si="77"/>
        <v>YES</v>
      </c>
      <c r="J1265" t="s">
        <v>1271</v>
      </c>
      <c r="K1265">
        <v>3238298.6935800002</v>
      </c>
      <c r="L1265" s="1">
        <f t="shared" si="78"/>
        <v>0</v>
      </c>
      <c r="M1265" s="1">
        <f t="shared" si="79"/>
        <v>0</v>
      </c>
      <c r="N1265" s="1">
        <f t="shared" si="80"/>
        <v>0</v>
      </c>
      <c r="O1265" s="1"/>
    </row>
    <row r="1266" spans="1:15" x14ac:dyDescent="0.25">
      <c r="A1266">
        <v>2126</v>
      </c>
      <c r="B1266">
        <v>2343.9747600000001</v>
      </c>
      <c r="C1266">
        <v>0</v>
      </c>
      <c r="D1266">
        <v>39967.49955</v>
      </c>
      <c r="E1266">
        <v>0</v>
      </c>
      <c r="F1266">
        <v>264750.01520000002</v>
      </c>
      <c r="G1266">
        <v>0</v>
      </c>
      <c r="H1266">
        <v>2126</v>
      </c>
      <c r="I1266" t="str">
        <f t="shared" si="77"/>
        <v>YES</v>
      </c>
      <c r="J1266" t="s">
        <v>1272</v>
      </c>
      <c r="K1266">
        <v>2685137.61418</v>
      </c>
      <c r="L1266" s="1">
        <f t="shared" si="78"/>
        <v>0</v>
      </c>
      <c r="M1266" s="1">
        <f t="shared" si="79"/>
        <v>0</v>
      </c>
      <c r="N1266" s="1">
        <f t="shared" si="80"/>
        <v>0</v>
      </c>
      <c r="O1266" s="1"/>
    </row>
    <row r="1267" spans="1:15" x14ac:dyDescent="0.25">
      <c r="A1267">
        <v>2127</v>
      </c>
      <c r="B1267">
        <v>608.86246510000001</v>
      </c>
      <c r="C1267">
        <v>0</v>
      </c>
      <c r="D1267">
        <v>11890.54232</v>
      </c>
      <c r="E1267">
        <v>0</v>
      </c>
      <c r="F1267">
        <v>36056.993020000002</v>
      </c>
      <c r="G1267">
        <v>0</v>
      </c>
      <c r="H1267">
        <v>2127</v>
      </c>
      <c r="I1267" t="str">
        <f t="shared" si="77"/>
        <v>YES</v>
      </c>
      <c r="J1267" t="s">
        <v>1273</v>
      </c>
      <c r="K1267">
        <v>593014.84429799998</v>
      </c>
      <c r="L1267" s="1">
        <f t="shared" si="78"/>
        <v>0</v>
      </c>
      <c r="M1267" s="1">
        <f t="shared" si="79"/>
        <v>0</v>
      </c>
      <c r="N1267" s="1">
        <f t="shared" si="80"/>
        <v>0</v>
      </c>
      <c r="O1267" s="1"/>
    </row>
    <row r="1268" spans="1:15" x14ac:dyDescent="0.25">
      <c r="A1268">
        <v>2128</v>
      </c>
      <c r="B1268">
        <v>8474.646514</v>
      </c>
      <c r="C1268">
        <v>0</v>
      </c>
      <c r="D1268">
        <v>19661.129099999998</v>
      </c>
      <c r="E1268">
        <v>0</v>
      </c>
      <c r="F1268">
        <v>96238.266350000005</v>
      </c>
      <c r="G1268">
        <v>0</v>
      </c>
      <c r="H1268">
        <v>2128</v>
      </c>
      <c r="I1268" t="str">
        <f t="shared" si="77"/>
        <v>YES</v>
      </c>
      <c r="J1268" t="s">
        <v>1274</v>
      </c>
      <c r="K1268">
        <v>553208.37231200002</v>
      </c>
      <c r="L1268" s="1">
        <f t="shared" si="78"/>
        <v>0</v>
      </c>
      <c r="M1268" s="1">
        <f t="shared" si="79"/>
        <v>0</v>
      </c>
      <c r="N1268" s="1">
        <f t="shared" si="80"/>
        <v>0</v>
      </c>
      <c r="O1268" s="1"/>
    </row>
    <row r="1269" spans="1:15" x14ac:dyDescent="0.25">
      <c r="A1269">
        <v>2129</v>
      </c>
      <c r="B1269">
        <v>4099.7210869999999</v>
      </c>
      <c r="C1269">
        <v>0</v>
      </c>
      <c r="D1269">
        <v>8994.5018999999993</v>
      </c>
      <c r="E1269">
        <v>0</v>
      </c>
      <c r="F1269">
        <v>35381.272749999996</v>
      </c>
      <c r="G1269">
        <v>0</v>
      </c>
      <c r="H1269">
        <v>2129</v>
      </c>
      <c r="I1269" t="str">
        <f t="shared" si="77"/>
        <v>YES</v>
      </c>
      <c r="J1269" t="s">
        <v>1275</v>
      </c>
      <c r="K1269">
        <v>2238799.13882</v>
      </c>
      <c r="L1269" s="1">
        <f t="shared" si="78"/>
        <v>0</v>
      </c>
      <c r="M1269" s="1">
        <f t="shared" si="79"/>
        <v>0</v>
      </c>
      <c r="N1269" s="1">
        <f t="shared" si="80"/>
        <v>0</v>
      </c>
      <c r="O1269" s="1"/>
    </row>
    <row r="1270" spans="1:15" x14ac:dyDescent="0.25">
      <c r="A1270">
        <v>2130</v>
      </c>
      <c r="B1270">
        <v>753.30005300000005</v>
      </c>
      <c r="C1270">
        <v>0</v>
      </c>
      <c r="D1270">
        <v>940.13966519999997</v>
      </c>
      <c r="E1270">
        <v>0</v>
      </c>
      <c r="F1270">
        <v>1518.7419</v>
      </c>
      <c r="G1270">
        <v>0</v>
      </c>
      <c r="H1270">
        <v>2130</v>
      </c>
      <c r="I1270" t="str">
        <f t="shared" si="77"/>
        <v>YES</v>
      </c>
      <c r="J1270" t="s">
        <v>1276</v>
      </c>
      <c r="K1270">
        <v>7252561.7940199999</v>
      </c>
      <c r="L1270" s="1">
        <f t="shared" si="78"/>
        <v>0</v>
      </c>
      <c r="M1270" s="1">
        <f t="shared" si="79"/>
        <v>0</v>
      </c>
      <c r="N1270" s="1">
        <f t="shared" si="80"/>
        <v>0</v>
      </c>
      <c r="O1270" s="1"/>
    </row>
    <row r="1271" spans="1:15" x14ac:dyDescent="0.25">
      <c r="A1271">
        <v>2131</v>
      </c>
      <c r="B1271">
        <v>817.18709269999999</v>
      </c>
      <c r="C1271">
        <v>0</v>
      </c>
      <c r="D1271">
        <v>1896.3844180000001</v>
      </c>
      <c r="E1271">
        <v>0</v>
      </c>
      <c r="F1271">
        <v>16349.284830000001</v>
      </c>
      <c r="G1271">
        <v>0</v>
      </c>
      <c r="H1271">
        <v>2131</v>
      </c>
      <c r="I1271" t="str">
        <f t="shared" si="77"/>
        <v>YES</v>
      </c>
      <c r="J1271" t="s">
        <v>1277</v>
      </c>
      <c r="K1271">
        <v>5665904.0046100002</v>
      </c>
      <c r="L1271" s="1">
        <f t="shared" si="78"/>
        <v>0</v>
      </c>
      <c r="M1271" s="1">
        <f t="shared" si="79"/>
        <v>0</v>
      </c>
      <c r="N1271" s="1">
        <f t="shared" si="80"/>
        <v>0</v>
      </c>
      <c r="O1271" s="1"/>
    </row>
    <row r="1272" spans="1:15" x14ac:dyDescent="0.25">
      <c r="A1272">
        <v>2132</v>
      </c>
      <c r="B1272">
        <v>341.95310060000003</v>
      </c>
      <c r="C1272">
        <v>0</v>
      </c>
      <c r="D1272">
        <v>1518.7419</v>
      </c>
      <c r="E1272">
        <v>0</v>
      </c>
      <c r="F1272">
        <v>3560.8298129999998</v>
      </c>
      <c r="G1272">
        <v>0</v>
      </c>
      <c r="H1272">
        <v>2132</v>
      </c>
      <c r="I1272" t="str">
        <f t="shared" si="77"/>
        <v>YES</v>
      </c>
      <c r="J1272" t="s">
        <v>1278</v>
      </c>
      <c r="K1272">
        <v>2225993.8171799998</v>
      </c>
      <c r="L1272" s="1">
        <f t="shared" si="78"/>
        <v>0</v>
      </c>
      <c r="M1272" s="1">
        <f t="shared" si="79"/>
        <v>0</v>
      </c>
      <c r="N1272" s="1">
        <f t="shared" si="80"/>
        <v>0</v>
      </c>
      <c r="O1272" s="1"/>
    </row>
    <row r="1273" spans="1:15" x14ac:dyDescent="0.25">
      <c r="A1273">
        <v>2133</v>
      </c>
      <c r="B1273">
        <v>2493.6769920000002</v>
      </c>
      <c r="C1273">
        <v>0</v>
      </c>
      <c r="D1273">
        <v>20520.73186</v>
      </c>
      <c r="E1273">
        <v>0</v>
      </c>
      <c r="F1273">
        <v>70522.832800000004</v>
      </c>
      <c r="G1273">
        <v>0</v>
      </c>
      <c r="H1273">
        <v>2133</v>
      </c>
      <c r="I1273" t="str">
        <f t="shared" si="77"/>
        <v>YES</v>
      </c>
      <c r="J1273" t="s">
        <v>1279</v>
      </c>
      <c r="K1273">
        <v>1347851.9698600001</v>
      </c>
      <c r="L1273" s="1">
        <f t="shared" si="78"/>
        <v>0</v>
      </c>
      <c r="M1273" s="1">
        <f t="shared" si="79"/>
        <v>0</v>
      </c>
      <c r="N1273" s="1">
        <f t="shared" si="80"/>
        <v>0</v>
      </c>
      <c r="O1273" s="1"/>
    </row>
    <row r="1274" spans="1:15" x14ac:dyDescent="0.25">
      <c r="A1274">
        <v>2134</v>
      </c>
      <c r="B1274">
        <v>599.28489809999996</v>
      </c>
      <c r="C1274">
        <v>0</v>
      </c>
      <c r="D1274">
        <v>2163.4821120000001</v>
      </c>
      <c r="E1274">
        <v>0</v>
      </c>
      <c r="F1274">
        <v>16314.88553</v>
      </c>
      <c r="G1274">
        <v>0</v>
      </c>
      <c r="H1274">
        <v>2134</v>
      </c>
      <c r="I1274" t="str">
        <f t="shared" si="77"/>
        <v>YES</v>
      </c>
      <c r="J1274" t="s">
        <v>1280</v>
      </c>
      <c r="K1274">
        <v>3952373.8448000001</v>
      </c>
      <c r="L1274" s="1">
        <f t="shared" si="78"/>
        <v>0</v>
      </c>
      <c r="M1274" s="1">
        <f t="shared" si="79"/>
        <v>0</v>
      </c>
      <c r="N1274" s="1">
        <f t="shared" si="80"/>
        <v>0</v>
      </c>
      <c r="O1274" s="1"/>
    </row>
    <row r="1275" spans="1:15" x14ac:dyDescent="0.25">
      <c r="A1275">
        <v>2135</v>
      </c>
      <c r="B1275">
        <v>10947.83843</v>
      </c>
      <c r="C1275">
        <v>0</v>
      </c>
      <c r="D1275">
        <v>43273.609929999999</v>
      </c>
      <c r="E1275">
        <v>0</v>
      </c>
      <c r="F1275">
        <v>430559.34039999999</v>
      </c>
      <c r="G1275">
        <v>0</v>
      </c>
      <c r="H1275">
        <v>2135</v>
      </c>
      <c r="I1275" t="str">
        <f t="shared" si="77"/>
        <v>YES</v>
      </c>
      <c r="J1275" t="s">
        <v>1281</v>
      </c>
      <c r="K1275">
        <v>506438.58898300002</v>
      </c>
      <c r="L1275" s="1">
        <f t="shared" si="78"/>
        <v>0</v>
      </c>
      <c r="M1275" s="1">
        <f t="shared" si="79"/>
        <v>0</v>
      </c>
      <c r="N1275" s="1">
        <f t="shared" si="80"/>
        <v>0</v>
      </c>
      <c r="O1275" s="1"/>
    </row>
    <row r="1276" spans="1:15" x14ac:dyDescent="0.25">
      <c r="A1276">
        <v>2136</v>
      </c>
      <c r="B1276">
        <v>8031.6341410000005</v>
      </c>
      <c r="C1276">
        <v>0</v>
      </c>
      <c r="D1276">
        <v>18453.697619999999</v>
      </c>
      <c r="E1276">
        <v>0</v>
      </c>
      <c r="F1276">
        <v>58102.383840000002</v>
      </c>
      <c r="G1276">
        <v>0</v>
      </c>
      <c r="H1276">
        <v>2136</v>
      </c>
      <c r="I1276" t="str">
        <f t="shared" si="77"/>
        <v>YES</v>
      </c>
      <c r="J1276" t="s">
        <v>1282</v>
      </c>
      <c r="K1276">
        <v>690842.28722399997</v>
      </c>
      <c r="L1276" s="1">
        <f t="shared" si="78"/>
        <v>0</v>
      </c>
      <c r="M1276" s="1">
        <f t="shared" si="79"/>
        <v>0</v>
      </c>
      <c r="N1276" s="1">
        <f t="shared" si="80"/>
        <v>0</v>
      </c>
      <c r="O1276" s="1"/>
    </row>
    <row r="1277" spans="1:15" x14ac:dyDescent="0.25">
      <c r="A1277">
        <v>2137</v>
      </c>
      <c r="B1277">
        <v>2675.49325</v>
      </c>
      <c r="C1277">
        <v>0</v>
      </c>
      <c r="D1277">
        <v>10867.18043</v>
      </c>
      <c r="E1277">
        <v>0</v>
      </c>
      <c r="F1277">
        <v>29521.747329999998</v>
      </c>
      <c r="G1277">
        <v>0</v>
      </c>
      <c r="H1277">
        <v>2137</v>
      </c>
      <c r="I1277" t="str">
        <f t="shared" si="77"/>
        <v>YES</v>
      </c>
      <c r="J1277" t="s">
        <v>1283</v>
      </c>
      <c r="K1277">
        <v>1766740.1120500001</v>
      </c>
      <c r="L1277" s="1">
        <f t="shared" si="78"/>
        <v>0</v>
      </c>
      <c r="M1277" s="1">
        <f t="shared" si="79"/>
        <v>0</v>
      </c>
      <c r="N1277" s="1">
        <f t="shared" si="80"/>
        <v>0</v>
      </c>
      <c r="O1277" s="1"/>
    </row>
    <row r="1278" spans="1:15" x14ac:dyDescent="0.25">
      <c r="A1278">
        <v>2138</v>
      </c>
      <c r="B1278">
        <v>12764.001</v>
      </c>
      <c r="C1278">
        <v>0</v>
      </c>
      <c r="D1278">
        <v>66445.111600000004</v>
      </c>
      <c r="E1278">
        <v>0</v>
      </c>
      <c r="F1278">
        <v>413242.13140000001</v>
      </c>
      <c r="G1278">
        <v>0</v>
      </c>
      <c r="H1278">
        <v>2138</v>
      </c>
      <c r="I1278" t="str">
        <f t="shared" si="77"/>
        <v>YES</v>
      </c>
      <c r="J1278" t="s">
        <v>1284</v>
      </c>
      <c r="K1278">
        <v>420617.23083299998</v>
      </c>
      <c r="L1278" s="1">
        <f t="shared" si="78"/>
        <v>0</v>
      </c>
      <c r="M1278" s="1">
        <f t="shared" si="79"/>
        <v>0</v>
      </c>
      <c r="N1278" s="1">
        <f t="shared" si="80"/>
        <v>0</v>
      </c>
      <c r="O1278" s="1"/>
    </row>
    <row r="1279" spans="1:15" x14ac:dyDescent="0.25">
      <c r="A1279">
        <v>2139</v>
      </c>
      <c r="B1279">
        <v>13879.62184</v>
      </c>
      <c r="C1279">
        <v>0</v>
      </c>
      <c r="D1279">
        <v>53705.47406</v>
      </c>
      <c r="E1279">
        <v>0</v>
      </c>
      <c r="F1279">
        <v>292877.96279999998</v>
      </c>
      <c r="G1279">
        <v>0</v>
      </c>
      <c r="H1279">
        <v>2139</v>
      </c>
      <c r="I1279" t="str">
        <f t="shared" si="77"/>
        <v>YES</v>
      </c>
      <c r="J1279" t="s">
        <v>1285</v>
      </c>
      <c r="K1279">
        <v>735885.17266899999</v>
      </c>
      <c r="L1279" s="1">
        <f t="shared" si="78"/>
        <v>0</v>
      </c>
      <c r="M1279" s="1">
        <f t="shared" si="79"/>
        <v>0</v>
      </c>
      <c r="N1279" s="1">
        <f t="shared" si="80"/>
        <v>0</v>
      </c>
      <c r="O1279" s="1"/>
    </row>
    <row r="1280" spans="1:15" x14ac:dyDescent="0.25">
      <c r="A1280">
        <v>2140</v>
      </c>
      <c r="B1280">
        <v>14981.85881</v>
      </c>
      <c r="C1280">
        <v>0</v>
      </c>
      <c r="D1280">
        <v>71049.681100000002</v>
      </c>
      <c r="E1280">
        <v>0</v>
      </c>
      <c r="F1280">
        <v>421777.10110000003</v>
      </c>
      <c r="G1280">
        <v>0</v>
      </c>
      <c r="H1280">
        <v>2140</v>
      </c>
      <c r="I1280" t="str">
        <f t="shared" si="77"/>
        <v>YES</v>
      </c>
      <c r="J1280" t="s">
        <v>1286</v>
      </c>
      <c r="K1280">
        <v>154552.38547199999</v>
      </c>
      <c r="L1280" s="1">
        <f t="shared" si="78"/>
        <v>0</v>
      </c>
      <c r="M1280" s="1">
        <f t="shared" si="79"/>
        <v>0</v>
      </c>
      <c r="N1280" s="1">
        <f t="shared" si="80"/>
        <v>0</v>
      </c>
      <c r="O1280" s="1"/>
    </row>
    <row r="1281" spans="1:15" x14ac:dyDescent="0.25">
      <c r="A1281">
        <v>2141</v>
      </c>
      <c r="B1281">
        <v>10425.74415</v>
      </c>
      <c r="C1281">
        <v>0</v>
      </c>
      <c r="D1281">
        <v>36361.690150000002</v>
      </c>
      <c r="E1281">
        <v>0</v>
      </c>
      <c r="F1281">
        <v>137145.94709999999</v>
      </c>
      <c r="G1281">
        <v>0</v>
      </c>
      <c r="H1281">
        <v>2141</v>
      </c>
      <c r="I1281" t="str">
        <f t="shared" si="77"/>
        <v>YES</v>
      </c>
      <c r="J1281" t="s">
        <v>1287</v>
      </c>
      <c r="K1281">
        <v>959021.31027599995</v>
      </c>
      <c r="L1281" s="1">
        <f t="shared" si="78"/>
        <v>0</v>
      </c>
      <c r="M1281" s="1">
        <f t="shared" si="79"/>
        <v>0</v>
      </c>
      <c r="N1281" s="1">
        <f t="shared" si="80"/>
        <v>0</v>
      </c>
      <c r="O1281" s="1"/>
    </row>
    <row r="1282" spans="1:15" x14ac:dyDescent="0.25">
      <c r="A1282">
        <v>2142</v>
      </c>
      <c r="B1282">
        <v>1677.584018</v>
      </c>
      <c r="C1282">
        <v>0</v>
      </c>
      <c r="D1282">
        <v>21316.694780000002</v>
      </c>
      <c r="E1282">
        <v>0</v>
      </c>
      <c r="F1282">
        <v>162759.72570000001</v>
      </c>
      <c r="G1282">
        <v>0</v>
      </c>
      <c r="H1282">
        <v>2142</v>
      </c>
      <c r="I1282" t="str">
        <f t="shared" ref="I1282:I1345" si="81">IF(A1282=H1282,"YES","NO")</f>
        <v>YES</v>
      </c>
      <c r="J1282" t="s">
        <v>1288</v>
      </c>
      <c r="K1282">
        <v>1013065.4590799999</v>
      </c>
      <c r="L1282" s="1">
        <f t="shared" si="78"/>
        <v>0</v>
      </c>
      <c r="M1282" s="1">
        <f t="shared" si="79"/>
        <v>0</v>
      </c>
      <c r="N1282" s="1">
        <f t="shared" si="80"/>
        <v>0</v>
      </c>
      <c r="O1282" s="1"/>
    </row>
    <row r="1283" spans="1:15" x14ac:dyDescent="0.25">
      <c r="A1283">
        <v>2143</v>
      </c>
      <c r="B1283">
        <v>25017.619559999999</v>
      </c>
      <c r="C1283">
        <v>0</v>
      </c>
      <c r="D1283">
        <v>65383.430509999998</v>
      </c>
      <c r="E1283">
        <v>0</v>
      </c>
      <c r="F1283">
        <v>338185.60749999998</v>
      </c>
      <c r="G1283">
        <v>0</v>
      </c>
      <c r="H1283">
        <v>2143</v>
      </c>
      <c r="I1283" t="str">
        <f t="shared" si="81"/>
        <v>YES</v>
      </c>
      <c r="J1283" t="s">
        <v>1289</v>
      </c>
      <c r="K1283">
        <v>554232.48990100005</v>
      </c>
      <c r="L1283" s="1">
        <f t="shared" ref="L1283:L1346" si="82">$U$2*$K1283*C1283</f>
        <v>0</v>
      </c>
      <c r="M1283" s="1">
        <f t="shared" ref="M1283:M1346" si="83">$U$3*$K1283*E1283</f>
        <v>0</v>
      </c>
      <c r="N1283" s="1">
        <f t="shared" ref="N1283:N1346" si="84">$U$4*$K1283*G1283</f>
        <v>0</v>
      </c>
      <c r="O1283" s="1"/>
    </row>
    <row r="1284" spans="1:15" x14ac:dyDescent="0.25">
      <c r="A1284">
        <v>2144</v>
      </c>
      <c r="B1284">
        <v>30510.54336</v>
      </c>
      <c r="C1284">
        <v>0</v>
      </c>
      <c r="D1284">
        <v>67270.365950000007</v>
      </c>
      <c r="E1284">
        <v>0</v>
      </c>
      <c r="F1284">
        <v>453507.38030000002</v>
      </c>
      <c r="G1284">
        <v>0</v>
      </c>
      <c r="H1284">
        <v>2144</v>
      </c>
      <c r="I1284" t="str">
        <f t="shared" si="81"/>
        <v>YES</v>
      </c>
      <c r="J1284" t="s">
        <v>1290</v>
      </c>
      <c r="K1284">
        <v>717402.46750200004</v>
      </c>
      <c r="L1284" s="1">
        <f t="shared" si="82"/>
        <v>0</v>
      </c>
      <c r="M1284" s="1">
        <f t="shared" si="83"/>
        <v>0</v>
      </c>
      <c r="N1284" s="1">
        <f t="shared" si="84"/>
        <v>0</v>
      </c>
      <c r="O1284" s="1"/>
    </row>
    <row r="1285" spans="1:15" x14ac:dyDescent="0.25">
      <c r="A1285">
        <v>2145</v>
      </c>
      <c r="B1285">
        <v>21548.49581</v>
      </c>
      <c r="C1285">
        <v>0</v>
      </c>
      <c r="D1285">
        <v>51298.840680000001</v>
      </c>
      <c r="E1285">
        <v>0</v>
      </c>
      <c r="F1285">
        <v>246388.61319999999</v>
      </c>
      <c r="G1285">
        <v>0</v>
      </c>
      <c r="H1285">
        <v>2145</v>
      </c>
      <c r="I1285" t="str">
        <f t="shared" si="81"/>
        <v>YES</v>
      </c>
      <c r="J1285" t="s">
        <v>1291</v>
      </c>
      <c r="K1285">
        <v>933797.52689099999</v>
      </c>
      <c r="L1285" s="1">
        <f t="shared" si="82"/>
        <v>0</v>
      </c>
      <c r="M1285" s="1">
        <f t="shared" si="83"/>
        <v>0</v>
      </c>
      <c r="N1285" s="1">
        <f t="shared" si="84"/>
        <v>0</v>
      </c>
      <c r="O1285" s="1"/>
    </row>
    <row r="1286" spans="1:15" x14ac:dyDescent="0.25">
      <c r="A1286">
        <v>2146</v>
      </c>
      <c r="B1286">
        <v>15684.537899999999</v>
      </c>
      <c r="C1286">
        <v>0</v>
      </c>
      <c r="D1286">
        <v>49764.66315</v>
      </c>
      <c r="E1286">
        <v>0</v>
      </c>
      <c r="F1286">
        <v>85229.572010000004</v>
      </c>
      <c r="G1286">
        <v>0</v>
      </c>
      <c r="H1286">
        <v>2146</v>
      </c>
      <c r="I1286" t="str">
        <f t="shared" si="81"/>
        <v>YES</v>
      </c>
      <c r="J1286" t="s">
        <v>1292</v>
      </c>
      <c r="K1286">
        <v>783898.98840699997</v>
      </c>
      <c r="L1286" s="1">
        <f t="shared" si="82"/>
        <v>0</v>
      </c>
      <c r="M1286" s="1">
        <f t="shared" si="83"/>
        <v>0</v>
      </c>
      <c r="N1286" s="1">
        <f t="shared" si="84"/>
        <v>0</v>
      </c>
      <c r="O1286" s="1"/>
    </row>
    <row r="1287" spans="1:15" x14ac:dyDescent="0.25">
      <c r="A1287">
        <v>2147</v>
      </c>
      <c r="B1287">
        <v>8461.6515199999994</v>
      </c>
      <c r="C1287">
        <v>0</v>
      </c>
      <c r="D1287">
        <v>47847.70968</v>
      </c>
      <c r="E1287">
        <v>0</v>
      </c>
      <c r="F1287">
        <v>81793.72292</v>
      </c>
      <c r="G1287">
        <v>0</v>
      </c>
      <c r="H1287">
        <v>2147</v>
      </c>
      <c r="I1287" t="str">
        <f t="shared" si="81"/>
        <v>YES</v>
      </c>
      <c r="J1287" t="s">
        <v>1293</v>
      </c>
      <c r="K1287">
        <v>1257269.8073</v>
      </c>
      <c r="L1287" s="1">
        <f t="shared" si="82"/>
        <v>0</v>
      </c>
      <c r="M1287" s="1">
        <f t="shared" si="83"/>
        <v>0</v>
      </c>
      <c r="N1287" s="1">
        <f t="shared" si="84"/>
        <v>0</v>
      </c>
      <c r="O1287" s="1"/>
    </row>
    <row r="1288" spans="1:15" x14ac:dyDescent="0.25">
      <c r="A1288">
        <v>2148</v>
      </c>
      <c r="B1288">
        <v>36980.90885</v>
      </c>
      <c r="C1288">
        <v>0</v>
      </c>
      <c r="D1288">
        <v>70126.418350000007</v>
      </c>
      <c r="E1288">
        <v>0</v>
      </c>
      <c r="F1288">
        <v>460845.9325</v>
      </c>
      <c r="G1288">
        <v>0</v>
      </c>
      <c r="H1288">
        <v>2148</v>
      </c>
      <c r="I1288" t="str">
        <f t="shared" si="81"/>
        <v>YES</v>
      </c>
      <c r="J1288" t="s">
        <v>1294</v>
      </c>
      <c r="K1288">
        <v>818353.57857200003</v>
      </c>
      <c r="L1288" s="1">
        <f t="shared" si="82"/>
        <v>0</v>
      </c>
      <c r="M1288" s="1">
        <f t="shared" si="83"/>
        <v>0</v>
      </c>
      <c r="N1288" s="1">
        <f t="shared" si="84"/>
        <v>0</v>
      </c>
      <c r="O1288" s="1"/>
    </row>
    <row r="1289" spans="1:15" x14ac:dyDescent="0.25">
      <c r="A1289">
        <v>2149</v>
      </c>
      <c r="B1289">
        <v>10874.0555</v>
      </c>
      <c r="C1289">
        <v>0</v>
      </c>
      <c r="D1289">
        <v>41940.197379999998</v>
      </c>
      <c r="E1289">
        <v>0</v>
      </c>
      <c r="F1289">
        <v>313148.32569999999</v>
      </c>
      <c r="G1289">
        <v>0</v>
      </c>
      <c r="H1289">
        <v>2149</v>
      </c>
      <c r="I1289" t="str">
        <f t="shared" si="81"/>
        <v>YES</v>
      </c>
      <c r="J1289" t="s">
        <v>1295</v>
      </c>
      <c r="K1289">
        <v>561542.73863899999</v>
      </c>
      <c r="L1289" s="1">
        <f t="shared" si="82"/>
        <v>0</v>
      </c>
      <c r="M1289" s="1">
        <f t="shared" si="83"/>
        <v>0</v>
      </c>
      <c r="N1289" s="1">
        <f t="shared" si="84"/>
        <v>0</v>
      </c>
      <c r="O1289" s="1"/>
    </row>
    <row r="1290" spans="1:15" x14ac:dyDescent="0.25">
      <c r="A1290">
        <v>2150</v>
      </c>
      <c r="B1290">
        <v>16842.851490000001</v>
      </c>
      <c r="C1290">
        <v>0</v>
      </c>
      <c r="D1290">
        <v>61945.453459999997</v>
      </c>
      <c r="E1290">
        <v>0</v>
      </c>
      <c r="F1290">
        <v>447734.54470000003</v>
      </c>
      <c r="G1290">
        <v>0</v>
      </c>
      <c r="H1290">
        <v>2150</v>
      </c>
      <c r="I1290" t="str">
        <f t="shared" si="81"/>
        <v>YES</v>
      </c>
      <c r="J1290" t="s">
        <v>1296</v>
      </c>
      <c r="K1290">
        <v>602939.57552900002</v>
      </c>
      <c r="L1290" s="1">
        <f t="shared" si="82"/>
        <v>0</v>
      </c>
      <c r="M1290" s="1">
        <f t="shared" si="83"/>
        <v>0</v>
      </c>
      <c r="N1290" s="1">
        <f t="shared" si="84"/>
        <v>0</v>
      </c>
      <c r="O1290" s="1"/>
    </row>
    <row r="1291" spans="1:15" x14ac:dyDescent="0.25">
      <c r="A1291">
        <v>2151</v>
      </c>
      <c r="B1291">
        <v>28163.459940000001</v>
      </c>
      <c r="C1291">
        <v>0</v>
      </c>
      <c r="D1291">
        <v>62459.156329999998</v>
      </c>
      <c r="E1291">
        <v>0</v>
      </c>
      <c r="F1291">
        <v>424467.98940000002</v>
      </c>
      <c r="G1291">
        <v>0</v>
      </c>
      <c r="H1291">
        <v>2151</v>
      </c>
      <c r="I1291" t="str">
        <f t="shared" si="81"/>
        <v>YES</v>
      </c>
      <c r="J1291" t="s">
        <v>1297</v>
      </c>
      <c r="K1291">
        <v>940733.05937100004</v>
      </c>
      <c r="L1291" s="1">
        <f t="shared" si="82"/>
        <v>0</v>
      </c>
      <c r="M1291" s="1">
        <f t="shared" si="83"/>
        <v>0</v>
      </c>
      <c r="N1291" s="1">
        <f t="shared" si="84"/>
        <v>0</v>
      </c>
      <c r="O1291" s="1"/>
    </row>
    <row r="1292" spans="1:15" x14ac:dyDescent="0.25">
      <c r="A1292">
        <v>2153</v>
      </c>
      <c r="B1292">
        <v>12528.39883</v>
      </c>
      <c r="C1292">
        <v>0</v>
      </c>
      <c r="D1292">
        <v>49381.314910000001</v>
      </c>
      <c r="E1292">
        <v>0</v>
      </c>
      <c r="F1292">
        <v>303658.6838</v>
      </c>
      <c r="G1292">
        <v>0</v>
      </c>
      <c r="H1292">
        <v>2153</v>
      </c>
      <c r="I1292" t="str">
        <f t="shared" si="81"/>
        <v>YES</v>
      </c>
      <c r="J1292" t="s">
        <v>1298</v>
      </c>
      <c r="K1292">
        <v>440727.92914299999</v>
      </c>
      <c r="L1292" s="1">
        <f t="shared" si="82"/>
        <v>0</v>
      </c>
      <c r="M1292" s="1">
        <f t="shared" si="83"/>
        <v>0</v>
      </c>
      <c r="N1292" s="1">
        <f t="shared" si="84"/>
        <v>0</v>
      </c>
      <c r="O1292" s="1"/>
    </row>
    <row r="1293" spans="1:15" x14ac:dyDescent="0.25">
      <c r="A1293">
        <v>2154</v>
      </c>
      <c r="B1293">
        <v>1949.4445209999999</v>
      </c>
      <c r="C1293">
        <v>0</v>
      </c>
      <c r="D1293">
        <v>13789.641320000001</v>
      </c>
      <c r="E1293">
        <v>0</v>
      </c>
      <c r="F1293">
        <v>59282.510020000002</v>
      </c>
      <c r="G1293">
        <v>0</v>
      </c>
      <c r="H1293">
        <v>2154</v>
      </c>
      <c r="I1293" t="str">
        <f t="shared" si="81"/>
        <v>YES</v>
      </c>
      <c r="J1293" t="s">
        <v>1299</v>
      </c>
      <c r="K1293">
        <v>5301554.9014499998</v>
      </c>
      <c r="L1293" s="1">
        <f t="shared" si="82"/>
        <v>0</v>
      </c>
      <c r="M1293" s="1">
        <f t="shared" si="83"/>
        <v>0</v>
      </c>
      <c r="N1293" s="1">
        <f t="shared" si="84"/>
        <v>0</v>
      </c>
      <c r="O1293" s="1"/>
    </row>
    <row r="1294" spans="1:15" x14ac:dyDescent="0.25">
      <c r="A1294">
        <v>2155</v>
      </c>
      <c r="B1294">
        <v>24168.54983</v>
      </c>
      <c r="C1294">
        <v>0</v>
      </c>
      <c r="D1294">
        <v>84185.226509999993</v>
      </c>
      <c r="E1294">
        <v>0</v>
      </c>
      <c r="F1294">
        <v>565159.98199999996</v>
      </c>
      <c r="G1294">
        <v>0</v>
      </c>
      <c r="H1294">
        <v>2155</v>
      </c>
      <c r="I1294" t="str">
        <f t="shared" si="81"/>
        <v>YES</v>
      </c>
      <c r="J1294" t="s">
        <v>1300</v>
      </c>
      <c r="K1294">
        <v>959967.75939799997</v>
      </c>
      <c r="L1294" s="1">
        <f t="shared" si="82"/>
        <v>0</v>
      </c>
      <c r="M1294" s="1">
        <f t="shared" si="83"/>
        <v>0</v>
      </c>
      <c r="N1294" s="1">
        <f t="shared" si="84"/>
        <v>0</v>
      </c>
      <c r="O1294" s="1"/>
    </row>
    <row r="1295" spans="1:15" x14ac:dyDescent="0.25">
      <c r="A1295">
        <v>2156</v>
      </c>
      <c r="B1295">
        <v>5567.355321</v>
      </c>
      <c r="C1295">
        <v>0</v>
      </c>
      <c r="D1295">
        <v>63110.36391</v>
      </c>
      <c r="E1295">
        <v>0</v>
      </c>
      <c r="F1295">
        <v>510035.8798</v>
      </c>
      <c r="G1295">
        <v>0</v>
      </c>
      <c r="H1295">
        <v>2156</v>
      </c>
      <c r="I1295" t="str">
        <f t="shared" si="81"/>
        <v>YES</v>
      </c>
      <c r="J1295" t="s">
        <v>1301</v>
      </c>
      <c r="K1295">
        <v>1250619.5940099999</v>
      </c>
      <c r="L1295" s="1">
        <f t="shared" si="82"/>
        <v>0</v>
      </c>
      <c r="M1295" s="1">
        <f t="shared" si="83"/>
        <v>0</v>
      </c>
      <c r="N1295" s="1">
        <f t="shared" si="84"/>
        <v>0</v>
      </c>
      <c r="O1295" s="1"/>
    </row>
    <row r="1296" spans="1:15" x14ac:dyDescent="0.25">
      <c r="A1296">
        <v>2157</v>
      </c>
      <c r="B1296">
        <v>11592.313529999999</v>
      </c>
      <c r="C1296">
        <v>0</v>
      </c>
      <c r="D1296">
        <v>110717.1716</v>
      </c>
      <c r="E1296">
        <v>0</v>
      </c>
      <c r="F1296">
        <v>576916.07519999996</v>
      </c>
      <c r="G1296">
        <v>0</v>
      </c>
      <c r="H1296">
        <v>2157</v>
      </c>
      <c r="I1296" t="str">
        <f t="shared" si="81"/>
        <v>YES</v>
      </c>
      <c r="J1296" t="s">
        <v>1302</v>
      </c>
      <c r="K1296">
        <v>501700.18037000002</v>
      </c>
      <c r="L1296" s="1">
        <f t="shared" si="82"/>
        <v>0</v>
      </c>
      <c r="M1296" s="1">
        <f t="shared" si="83"/>
        <v>0</v>
      </c>
      <c r="N1296" s="1">
        <f t="shared" si="84"/>
        <v>0</v>
      </c>
      <c r="O1296" s="1"/>
    </row>
    <row r="1297" spans="1:15" x14ac:dyDescent="0.25">
      <c r="A1297">
        <v>2158</v>
      </c>
      <c r="B1297">
        <v>7952.8562780000002</v>
      </c>
      <c r="C1297">
        <v>0</v>
      </c>
      <c r="D1297">
        <v>65484.998760000002</v>
      </c>
      <c r="E1297">
        <v>0</v>
      </c>
      <c r="F1297">
        <v>533913.60179999995</v>
      </c>
      <c r="G1297">
        <v>0</v>
      </c>
      <c r="H1297">
        <v>2158</v>
      </c>
      <c r="I1297" t="str">
        <f t="shared" si="81"/>
        <v>YES</v>
      </c>
      <c r="J1297" t="s">
        <v>1303</v>
      </c>
      <c r="K1297">
        <v>882559.17302500003</v>
      </c>
      <c r="L1297" s="1">
        <f t="shared" si="82"/>
        <v>0</v>
      </c>
      <c r="M1297" s="1">
        <f t="shared" si="83"/>
        <v>0</v>
      </c>
      <c r="N1297" s="1">
        <f t="shared" si="84"/>
        <v>0</v>
      </c>
      <c r="O1297" s="1"/>
    </row>
    <row r="1298" spans="1:15" x14ac:dyDescent="0.25">
      <c r="A1298">
        <v>2161</v>
      </c>
      <c r="B1298">
        <v>17553.59071</v>
      </c>
      <c r="C1298">
        <v>0</v>
      </c>
      <c r="D1298">
        <v>55334.911110000001</v>
      </c>
      <c r="E1298">
        <v>0</v>
      </c>
      <c r="F1298">
        <v>102077.1689</v>
      </c>
      <c r="G1298">
        <v>0</v>
      </c>
      <c r="H1298">
        <v>2161</v>
      </c>
      <c r="I1298" t="str">
        <f t="shared" si="81"/>
        <v>YES</v>
      </c>
      <c r="J1298" t="s">
        <v>1304</v>
      </c>
      <c r="K1298">
        <v>943913.08305599994</v>
      </c>
      <c r="L1298" s="1">
        <f t="shared" si="82"/>
        <v>0</v>
      </c>
      <c r="M1298" s="1">
        <f t="shared" si="83"/>
        <v>0</v>
      </c>
      <c r="N1298" s="1">
        <f t="shared" si="84"/>
        <v>0</v>
      </c>
      <c r="O1298" s="1"/>
    </row>
    <row r="1299" spans="1:15" x14ac:dyDescent="0.25">
      <c r="A1299">
        <v>2162</v>
      </c>
      <c r="B1299">
        <v>6395.3288309999998</v>
      </c>
      <c r="C1299">
        <v>0</v>
      </c>
      <c r="D1299">
        <v>23845.624349999998</v>
      </c>
      <c r="E1299">
        <v>0</v>
      </c>
      <c r="F1299">
        <v>66302.358259999994</v>
      </c>
      <c r="G1299">
        <v>0</v>
      </c>
      <c r="H1299">
        <v>2162</v>
      </c>
      <c r="I1299" t="str">
        <f t="shared" si="81"/>
        <v>YES</v>
      </c>
      <c r="J1299" t="s">
        <v>1305</v>
      </c>
      <c r="K1299">
        <v>1664413.07901</v>
      </c>
      <c r="L1299" s="1">
        <f t="shared" si="82"/>
        <v>0</v>
      </c>
      <c r="M1299" s="1">
        <f t="shared" si="83"/>
        <v>0</v>
      </c>
      <c r="N1299" s="1">
        <f t="shared" si="84"/>
        <v>0</v>
      </c>
      <c r="O1299" s="1"/>
    </row>
    <row r="1300" spans="1:15" x14ac:dyDescent="0.25">
      <c r="A1300">
        <v>2163</v>
      </c>
      <c r="B1300">
        <v>12519.88609</v>
      </c>
      <c r="C1300">
        <v>0</v>
      </c>
      <c r="D1300">
        <v>43248.848039999997</v>
      </c>
      <c r="E1300">
        <v>0</v>
      </c>
      <c r="F1300">
        <v>86570.833549999996</v>
      </c>
      <c r="G1300">
        <v>0</v>
      </c>
      <c r="H1300">
        <v>2163</v>
      </c>
      <c r="I1300" t="str">
        <f t="shared" si="81"/>
        <v>YES</v>
      </c>
      <c r="J1300" t="s">
        <v>1306</v>
      </c>
      <c r="K1300">
        <v>747942.57903999998</v>
      </c>
      <c r="L1300" s="1">
        <f t="shared" si="82"/>
        <v>0</v>
      </c>
      <c r="M1300" s="1">
        <f t="shared" si="83"/>
        <v>0</v>
      </c>
      <c r="N1300" s="1">
        <f t="shared" si="84"/>
        <v>0</v>
      </c>
      <c r="O1300" s="1"/>
    </row>
    <row r="1301" spans="1:15" x14ac:dyDescent="0.25">
      <c r="A1301">
        <v>2164</v>
      </c>
      <c r="B1301">
        <v>9522.1546909999997</v>
      </c>
      <c r="C1301">
        <v>0</v>
      </c>
      <c r="D1301">
        <v>64346.875569999997</v>
      </c>
      <c r="E1301">
        <v>0</v>
      </c>
      <c r="F1301">
        <v>97528.993300000002</v>
      </c>
      <c r="G1301">
        <v>0</v>
      </c>
      <c r="H1301">
        <v>2164</v>
      </c>
      <c r="I1301" t="str">
        <f t="shared" si="81"/>
        <v>YES</v>
      </c>
      <c r="J1301" t="s">
        <v>1307</v>
      </c>
      <c r="K1301">
        <v>317520.79392700002</v>
      </c>
      <c r="L1301" s="1">
        <f t="shared" si="82"/>
        <v>0</v>
      </c>
      <c r="M1301" s="1">
        <f t="shared" si="83"/>
        <v>0</v>
      </c>
      <c r="N1301" s="1">
        <f t="shared" si="84"/>
        <v>0</v>
      </c>
      <c r="O1301" s="1"/>
    </row>
    <row r="1302" spans="1:15" x14ac:dyDescent="0.25">
      <c r="A1302">
        <v>2165</v>
      </c>
      <c r="B1302">
        <v>10955.96954</v>
      </c>
      <c r="C1302">
        <v>0</v>
      </c>
      <c r="D1302">
        <v>34516.044589999998</v>
      </c>
      <c r="E1302">
        <v>0</v>
      </c>
      <c r="F1302">
        <v>79949.571129999997</v>
      </c>
      <c r="G1302">
        <v>0</v>
      </c>
      <c r="H1302">
        <v>2165</v>
      </c>
      <c r="I1302" t="str">
        <f t="shared" si="81"/>
        <v>YES</v>
      </c>
      <c r="J1302" t="s">
        <v>1308</v>
      </c>
      <c r="K1302">
        <v>892374.48412599997</v>
      </c>
      <c r="L1302" s="1">
        <f t="shared" si="82"/>
        <v>0</v>
      </c>
      <c r="M1302" s="1">
        <f t="shared" si="83"/>
        <v>0</v>
      </c>
      <c r="N1302" s="1">
        <f t="shared" si="84"/>
        <v>0</v>
      </c>
      <c r="O1302" s="1"/>
    </row>
    <row r="1303" spans="1:15" x14ac:dyDescent="0.25">
      <c r="A1303">
        <v>2166</v>
      </c>
      <c r="B1303">
        <v>10124.09251</v>
      </c>
      <c r="C1303">
        <v>0</v>
      </c>
      <c r="D1303">
        <v>66178.455230000007</v>
      </c>
      <c r="E1303">
        <v>0</v>
      </c>
      <c r="F1303">
        <v>173245.0448</v>
      </c>
      <c r="G1303">
        <v>0</v>
      </c>
      <c r="H1303">
        <v>2166</v>
      </c>
      <c r="I1303" t="str">
        <f t="shared" si="81"/>
        <v>YES</v>
      </c>
      <c r="J1303" t="s">
        <v>1309</v>
      </c>
      <c r="K1303">
        <v>443131.350011</v>
      </c>
      <c r="L1303" s="1">
        <f t="shared" si="82"/>
        <v>0</v>
      </c>
      <c r="M1303" s="1">
        <f t="shared" si="83"/>
        <v>0</v>
      </c>
      <c r="N1303" s="1">
        <f t="shared" si="84"/>
        <v>0</v>
      </c>
      <c r="O1303" s="1"/>
    </row>
    <row r="1304" spans="1:15" x14ac:dyDescent="0.25">
      <c r="A1304">
        <v>2167</v>
      </c>
      <c r="B1304">
        <v>8798.7841179999996</v>
      </c>
      <c r="C1304">
        <v>0</v>
      </c>
      <c r="D1304">
        <v>57938.567060000001</v>
      </c>
      <c r="E1304">
        <v>0</v>
      </c>
      <c r="F1304">
        <v>91414.421159999998</v>
      </c>
      <c r="G1304">
        <v>0</v>
      </c>
      <c r="H1304">
        <v>2167</v>
      </c>
      <c r="I1304" t="str">
        <f t="shared" si="81"/>
        <v>YES</v>
      </c>
      <c r="J1304" t="s">
        <v>1310</v>
      </c>
      <c r="K1304">
        <v>2139706.2120699999</v>
      </c>
      <c r="L1304" s="1">
        <f t="shared" si="82"/>
        <v>0</v>
      </c>
      <c r="M1304" s="1">
        <f t="shared" si="83"/>
        <v>0</v>
      </c>
      <c r="N1304" s="1">
        <f t="shared" si="84"/>
        <v>0</v>
      </c>
      <c r="O1304" s="1"/>
    </row>
    <row r="1305" spans="1:15" x14ac:dyDescent="0.25">
      <c r="A1305">
        <v>2170</v>
      </c>
      <c r="B1305">
        <v>755.49591750000002</v>
      </c>
      <c r="C1305">
        <v>0</v>
      </c>
      <c r="D1305">
        <v>755.49591750000002</v>
      </c>
      <c r="E1305">
        <v>0</v>
      </c>
      <c r="F1305">
        <v>755.49591750000002</v>
      </c>
      <c r="G1305">
        <v>0</v>
      </c>
      <c r="H1305">
        <v>2170</v>
      </c>
      <c r="I1305" t="str">
        <f t="shared" si="81"/>
        <v>YES</v>
      </c>
      <c r="J1305" t="s">
        <v>1311</v>
      </c>
      <c r="K1305">
        <v>54519647.481899999</v>
      </c>
      <c r="L1305" s="1">
        <f t="shared" si="82"/>
        <v>0</v>
      </c>
      <c r="M1305" s="1">
        <f t="shared" si="83"/>
        <v>0</v>
      </c>
      <c r="N1305" s="1">
        <f t="shared" si="84"/>
        <v>0</v>
      </c>
      <c r="O1305" s="1"/>
    </row>
    <row r="1306" spans="1:15" x14ac:dyDescent="0.25">
      <c r="A1306">
        <v>2171</v>
      </c>
      <c r="B1306">
        <v>2084.044774</v>
      </c>
      <c r="C1306">
        <v>0</v>
      </c>
      <c r="D1306">
        <v>2084.044774</v>
      </c>
      <c r="E1306">
        <v>0</v>
      </c>
      <c r="F1306">
        <v>2084.044774</v>
      </c>
      <c r="G1306">
        <v>0</v>
      </c>
      <c r="H1306">
        <v>2171</v>
      </c>
      <c r="I1306" t="str">
        <f t="shared" si="81"/>
        <v>YES</v>
      </c>
      <c r="J1306" t="s">
        <v>1312</v>
      </c>
      <c r="K1306">
        <v>15894049.6842</v>
      </c>
      <c r="L1306" s="1">
        <f t="shared" si="82"/>
        <v>0</v>
      </c>
      <c r="M1306" s="1">
        <f t="shared" si="83"/>
        <v>0</v>
      </c>
      <c r="N1306" s="1">
        <f t="shared" si="84"/>
        <v>0</v>
      </c>
      <c r="O1306" s="1"/>
    </row>
    <row r="1307" spans="1:15" x14ac:dyDescent="0.25">
      <c r="A1307">
        <v>2200</v>
      </c>
      <c r="B1307">
        <v>5040.2824469999996</v>
      </c>
      <c r="C1307">
        <v>0</v>
      </c>
      <c r="D1307">
        <v>33681.561629999997</v>
      </c>
      <c r="E1307">
        <v>0</v>
      </c>
      <c r="F1307">
        <v>459135.7205</v>
      </c>
      <c r="G1307">
        <v>0</v>
      </c>
      <c r="H1307">
        <v>2200</v>
      </c>
      <c r="I1307" t="str">
        <f t="shared" si="81"/>
        <v>YES</v>
      </c>
      <c r="J1307" t="s">
        <v>1313</v>
      </c>
      <c r="K1307">
        <v>1739214.0073299999</v>
      </c>
      <c r="L1307" s="1">
        <f t="shared" si="82"/>
        <v>0</v>
      </c>
      <c r="M1307" s="1">
        <f t="shared" si="83"/>
        <v>0</v>
      </c>
      <c r="N1307" s="1">
        <f t="shared" si="84"/>
        <v>0</v>
      </c>
      <c r="O1307" s="1"/>
    </row>
    <row r="1308" spans="1:15" x14ac:dyDescent="0.25">
      <c r="A1308">
        <v>2201</v>
      </c>
      <c r="B1308">
        <v>44495.263720000003</v>
      </c>
      <c r="C1308">
        <v>0</v>
      </c>
      <c r="D1308">
        <v>255443.31719999999</v>
      </c>
      <c r="E1308">
        <v>0</v>
      </c>
      <c r="F1308">
        <v>653087.59829999995</v>
      </c>
      <c r="G1308">
        <v>0</v>
      </c>
      <c r="H1308">
        <v>2201</v>
      </c>
      <c r="I1308" t="str">
        <f t="shared" si="81"/>
        <v>YES</v>
      </c>
      <c r="J1308" t="s">
        <v>1314</v>
      </c>
      <c r="K1308">
        <v>373531.62576099997</v>
      </c>
      <c r="L1308" s="1">
        <f t="shared" si="82"/>
        <v>0</v>
      </c>
      <c r="M1308" s="1">
        <f t="shared" si="83"/>
        <v>0</v>
      </c>
      <c r="N1308" s="1">
        <f t="shared" si="84"/>
        <v>0</v>
      </c>
      <c r="O1308" s="1"/>
    </row>
    <row r="1309" spans="1:15" x14ac:dyDescent="0.25">
      <c r="A1309">
        <v>2202</v>
      </c>
      <c r="B1309">
        <v>18610.486250000002</v>
      </c>
      <c r="C1309">
        <v>0</v>
      </c>
      <c r="D1309">
        <v>259622.81880000001</v>
      </c>
      <c r="E1309">
        <v>0</v>
      </c>
      <c r="F1309">
        <v>654712.67119999998</v>
      </c>
      <c r="G1309">
        <v>0</v>
      </c>
      <c r="H1309">
        <v>2202</v>
      </c>
      <c r="I1309" t="str">
        <f t="shared" si="81"/>
        <v>YES</v>
      </c>
      <c r="J1309" t="s">
        <v>1315</v>
      </c>
      <c r="K1309">
        <v>436469.79161299998</v>
      </c>
      <c r="L1309" s="1">
        <f t="shared" si="82"/>
        <v>0</v>
      </c>
      <c r="M1309" s="1">
        <f t="shared" si="83"/>
        <v>0</v>
      </c>
      <c r="N1309" s="1">
        <f t="shared" si="84"/>
        <v>0</v>
      </c>
      <c r="O1309" s="1"/>
    </row>
    <row r="1310" spans="1:15" x14ac:dyDescent="0.25">
      <c r="A1310">
        <v>2203</v>
      </c>
      <c r="B1310">
        <v>18650.02277</v>
      </c>
      <c r="C1310">
        <v>0</v>
      </c>
      <c r="D1310">
        <v>239543.73680000001</v>
      </c>
      <c r="E1310">
        <v>0</v>
      </c>
      <c r="F1310">
        <v>655861.92009999999</v>
      </c>
      <c r="G1310">
        <v>0</v>
      </c>
      <c r="H1310">
        <v>2203</v>
      </c>
      <c r="I1310" t="str">
        <f t="shared" si="81"/>
        <v>YES</v>
      </c>
      <c r="J1310" t="s">
        <v>1316</v>
      </c>
      <c r="K1310">
        <v>297650.25839099998</v>
      </c>
      <c r="L1310" s="1">
        <f t="shared" si="82"/>
        <v>0</v>
      </c>
      <c r="M1310" s="1">
        <f t="shared" si="83"/>
        <v>0</v>
      </c>
      <c r="N1310" s="1">
        <f t="shared" si="84"/>
        <v>0</v>
      </c>
      <c r="O1310" s="1"/>
    </row>
    <row r="1311" spans="1:15" x14ac:dyDescent="0.25">
      <c r="A1311">
        <v>2204</v>
      </c>
      <c r="B1311">
        <v>10677.236940000001</v>
      </c>
      <c r="C1311">
        <v>0</v>
      </c>
      <c r="D1311">
        <v>72705.216369999995</v>
      </c>
      <c r="E1311">
        <v>0</v>
      </c>
      <c r="F1311">
        <v>536731.40150000004</v>
      </c>
      <c r="G1311">
        <v>0</v>
      </c>
      <c r="H1311">
        <v>2204</v>
      </c>
      <c r="I1311" t="str">
        <f t="shared" si="81"/>
        <v>YES</v>
      </c>
      <c r="J1311" t="s">
        <v>1317</v>
      </c>
      <c r="K1311">
        <v>806565.85845199996</v>
      </c>
      <c r="L1311" s="1">
        <f t="shared" si="82"/>
        <v>0</v>
      </c>
      <c r="M1311" s="1">
        <f t="shared" si="83"/>
        <v>0</v>
      </c>
      <c r="N1311" s="1">
        <f t="shared" si="84"/>
        <v>0</v>
      </c>
      <c r="O1311" s="1"/>
    </row>
    <row r="1312" spans="1:15" x14ac:dyDescent="0.25">
      <c r="A1312">
        <v>2205</v>
      </c>
      <c r="B1312">
        <v>12823.69067</v>
      </c>
      <c r="C1312">
        <v>0</v>
      </c>
      <c r="D1312">
        <v>79773.632280000005</v>
      </c>
      <c r="E1312">
        <v>0</v>
      </c>
      <c r="F1312">
        <v>546009.17599999998</v>
      </c>
      <c r="G1312">
        <v>0</v>
      </c>
      <c r="H1312">
        <v>2205</v>
      </c>
      <c r="I1312" t="str">
        <f t="shared" si="81"/>
        <v>YES</v>
      </c>
      <c r="J1312" t="s">
        <v>1318</v>
      </c>
      <c r="K1312">
        <v>1362883.6545800001</v>
      </c>
      <c r="L1312" s="1">
        <f t="shared" si="82"/>
        <v>0</v>
      </c>
      <c r="M1312" s="1">
        <f t="shared" si="83"/>
        <v>0</v>
      </c>
      <c r="N1312" s="1">
        <f t="shared" si="84"/>
        <v>0</v>
      </c>
      <c r="O1312" s="1"/>
    </row>
    <row r="1313" spans="1:15" x14ac:dyDescent="0.25">
      <c r="A1313">
        <v>2206</v>
      </c>
      <c r="B1313">
        <v>3885.4537700000001</v>
      </c>
      <c r="C1313">
        <v>0</v>
      </c>
      <c r="D1313">
        <v>24510.067879999999</v>
      </c>
      <c r="E1313">
        <v>0</v>
      </c>
      <c r="F1313">
        <v>441351.7132</v>
      </c>
      <c r="G1313">
        <v>0</v>
      </c>
      <c r="H1313">
        <v>2206</v>
      </c>
      <c r="I1313" t="str">
        <f t="shared" si="81"/>
        <v>YES</v>
      </c>
      <c r="J1313" t="s">
        <v>1319</v>
      </c>
      <c r="K1313">
        <v>959589.47957600001</v>
      </c>
      <c r="L1313" s="1">
        <f t="shared" si="82"/>
        <v>0</v>
      </c>
      <c r="M1313" s="1">
        <f t="shared" si="83"/>
        <v>0</v>
      </c>
      <c r="N1313" s="1">
        <f t="shared" si="84"/>
        <v>0</v>
      </c>
      <c r="O1313" s="1"/>
    </row>
    <row r="1314" spans="1:15" x14ac:dyDescent="0.25">
      <c r="A1314">
        <v>2207</v>
      </c>
      <c r="B1314">
        <v>1251.6909000000001</v>
      </c>
      <c r="C1314">
        <v>0</v>
      </c>
      <c r="D1314">
        <v>10146.070599999999</v>
      </c>
      <c r="E1314">
        <v>0</v>
      </c>
      <c r="F1314">
        <v>30638.962100000001</v>
      </c>
      <c r="G1314">
        <v>0</v>
      </c>
      <c r="H1314">
        <v>2207</v>
      </c>
      <c r="I1314" t="str">
        <f t="shared" si="81"/>
        <v>YES</v>
      </c>
      <c r="J1314" t="s">
        <v>1320</v>
      </c>
      <c r="K1314">
        <v>1620500.38372</v>
      </c>
      <c r="L1314" s="1">
        <f t="shared" si="82"/>
        <v>0</v>
      </c>
      <c r="M1314" s="1">
        <f t="shared" si="83"/>
        <v>0</v>
      </c>
      <c r="N1314" s="1">
        <f t="shared" si="84"/>
        <v>0</v>
      </c>
      <c r="O1314" s="1"/>
    </row>
    <row r="1315" spans="1:15" x14ac:dyDescent="0.25">
      <c r="A1315">
        <v>2208</v>
      </c>
      <c r="B1315">
        <v>26253.823540000001</v>
      </c>
      <c r="C1315">
        <v>0</v>
      </c>
      <c r="D1315">
        <v>142256.55100000001</v>
      </c>
      <c r="E1315">
        <v>0</v>
      </c>
      <c r="F1315">
        <v>621903.51599999995</v>
      </c>
      <c r="G1315">
        <v>0</v>
      </c>
      <c r="H1315">
        <v>2208</v>
      </c>
      <c r="I1315" t="str">
        <f t="shared" si="81"/>
        <v>YES</v>
      </c>
      <c r="J1315" t="s">
        <v>1321</v>
      </c>
      <c r="K1315">
        <v>221969.08094700001</v>
      </c>
      <c r="L1315" s="1">
        <f t="shared" si="82"/>
        <v>0</v>
      </c>
      <c r="M1315" s="1">
        <f t="shared" si="83"/>
        <v>0</v>
      </c>
      <c r="N1315" s="1">
        <f t="shared" si="84"/>
        <v>0</v>
      </c>
      <c r="O1315" s="1"/>
    </row>
    <row r="1316" spans="1:15" x14ac:dyDescent="0.25">
      <c r="A1316">
        <v>2209</v>
      </c>
      <c r="B1316">
        <v>9371.040035</v>
      </c>
      <c r="C1316">
        <v>0</v>
      </c>
      <c r="D1316">
        <v>16169.690629999999</v>
      </c>
      <c r="E1316">
        <v>0</v>
      </c>
      <c r="F1316">
        <v>296024.47639999999</v>
      </c>
      <c r="G1316">
        <v>0</v>
      </c>
      <c r="H1316">
        <v>2209</v>
      </c>
      <c r="I1316" t="str">
        <f t="shared" si="81"/>
        <v>YES</v>
      </c>
      <c r="J1316" t="s">
        <v>1322</v>
      </c>
      <c r="K1316">
        <v>389472.937989</v>
      </c>
      <c r="L1316" s="1">
        <f t="shared" si="82"/>
        <v>0</v>
      </c>
      <c r="M1316" s="1">
        <f t="shared" si="83"/>
        <v>0</v>
      </c>
      <c r="N1316" s="1">
        <f t="shared" si="84"/>
        <v>0</v>
      </c>
      <c r="O1316" s="1"/>
    </row>
    <row r="1317" spans="1:15" x14ac:dyDescent="0.25">
      <c r="A1317">
        <v>2210</v>
      </c>
      <c r="B1317">
        <v>22360.577789999999</v>
      </c>
      <c r="C1317">
        <v>0</v>
      </c>
      <c r="D1317">
        <v>64936.108090000002</v>
      </c>
      <c r="E1317">
        <v>0</v>
      </c>
      <c r="F1317">
        <v>478283.23050000001</v>
      </c>
      <c r="G1317">
        <v>0</v>
      </c>
      <c r="H1317">
        <v>2210</v>
      </c>
      <c r="I1317" t="str">
        <f t="shared" si="81"/>
        <v>YES</v>
      </c>
      <c r="J1317" t="s">
        <v>1323</v>
      </c>
      <c r="K1317">
        <v>789659.56251399999</v>
      </c>
      <c r="L1317" s="1">
        <f t="shared" si="82"/>
        <v>0</v>
      </c>
      <c r="M1317" s="1">
        <f t="shared" si="83"/>
        <v>0</v>
      </c>
      <c r="N1317" s="1">
        <f t="shared" si="84"/>
        <v>0</v>
      </c>
      <c r="O1317" s="1"/>
    </row>
    <row r="1318" spans="1:15" x14ac:dyDescent="0.25">
      <c r="A1318">
        <v>2211</v>
      </c>
      <c r="B1318">
        <v>11773.02507</v>
      </c>
      <c r="C1318">
        <v>0</v>
      </c>
      <c r="D1318">
        <v>49555.261449999998</v>
      </c>
      <c r="E1318">
        <v>0</v>
      </c>
      <c r="F1318">
        <v>413861.30070000002</v>
      </c>
      <c r="G1318">
        <v>0</v>
      </c>
      <c r="H1318">
        <v>2211</v>
      </c>
      <c r="I1318" t="str">
        <f t="shared" si="81"/>
        <v>YES</v>
      </c>
      <c r="J1318" t="s">
        <v>1324</v>
      </c>
      <c r="K1318">
        <v>534933.85276899999</v>
      </c>
      <c r="L1318" s="1">
        <f t="shared" si="82"/>
        <v>0</v>
      </c>
      <c r="M1318" s="1">
        <f t="shared" si="83"/>
        <v>0</v>
      </c>
      <c r="N1318" s="1">
        <f t="shared" si="84"/>
        <v>0</v>
      </c>
      <c r="O1318" s="1"/>
    </row>
    <row r="1319" spans="1:15" x14ac:dyDescent="0.25">
      <c r="A1319">
        <v>2212</v>
      </c>
      <c r="B1319">
        <v>13544.18123</v>
      </c>
      <c r="C1319">
        <v>0</v>
      </c>
      <c r="D1319">
        <v>64001.479030000002</v>
      </c>
      <c r="E1319">
        <v>0</v>
      </c>
      <c r="F1319">
        <v>530020.35640000005</v>
      </c>
      <c r="G1319">
        <v>0</v>
      </c>
      <c r="H1319">
        <v>2212</v>
      </c>
      <c r="I1319" t="str">
        <f t="shared" si="81"/>
        <v>YES</v>
      </c>
      <c r="J1319" t="s">
        <v>1325</v>
      </c>
      <c r="K1319">
        <v>276012.09674399998</v>
      </c>
      <c r="L1319" s="1">
        <f t="shared" si="82"/>
        <v>0</v>
      </c>
      <c r="M1319" s="1">
        <f t="shared" si="83"/>
        <v>0</v>
      </c>
      <c r="N1319" s="1">
        <f t="shared" si="84"/>
        <v>0</v>
      </c>
      <c r="O1319" s="1"/>
    </row>
    <row r="1320" spans="1:15" x14ac:dyDescent="0.25">
      <c r="A1320">
        <v>2213</v>
      </c>
      <c r="B1320">
        <v>16959.504400000002</v>
      </c>
      <c r="C1320">
        <v>0</v>
      </c>
      <c r="D1320">
        <v>120896.5151</v>
      </c>
      <c r="E1320">
        <v>0</v>
      </c>
      <c r="F1320">
        <v>600328.40020000003</v>
      </c>
      <c r="G1320">
        <v>0</v>
      </c>
      <c r="H1320">
        <v>2213</v>
      </c>
      <c r="I1320" t="str">
        <f t="shared" si="81"/>
        <v>YES</v>
      </c>
      <c r="J1320" t="s">
        <v>1326</v>
      </c>
      <c r="K1320">
        <v>457001.89109400002</v>
      </c>
      <c r="L1320" s="1">
        <f t="shared" si="82"/>
        <v>0</v>
      </c>
      <c r="M1320" s="1">
        <f t="shared" si="83"/>
        <v>0</v>
      </c>
      <c r="N1320" s="1">
        <f t="shared" si="84"/>
        <v>0</v>
      </c>
      <c r="O1320" s="1"/>
    </row>
    <row r="1321" spans="1:15" x14ac:dyDescent="0.25">
      <c r="A1321">
        <v>2214</v>
      </c>
      <c r="B1321">
        <v>18735.869739999998</v>
      </c>
      <c r="C1321">
        <v>0</v>
      </c>
      <c r="D1321">
        <v>131470.71660000001</v>
      </c>
      <c r="E1321">
        <v>0</v>
      </c>
      <c r="F1321">
        <v>598073.91559999995</v>
      </c>
      <c r="G1321">
        <v>0</v>
      </c>
      <c r="H1321">
        <v>2214</v>
      </c>
      <c r="I1321" t="str">
        <f t="shared" si="81"/>
        <v>YES</v>
      </c>
      <c r="J1321" t="s">
        <v>1327</v>
      </c>
      <c r="K1321">
        <v>367889.50310600002</v>
      </c>
      <c r="L1321" s="1">
        <f t="shared" si="82"/>
        <v>0</v>
      </c>
      <c r="M1321" s="1">
        <f t="shared" si="83"/>
        <v>0</v>
      </c>
      <c r="N1321" s="1">
        <f t="shared" si="84"/>
        <v>0</v>
      </c>
      <c r="O1321" s="1"/>
    </row>
    <row r="1322" spans="1:15" x14ac:dyDescent="0.25">
      <c r="A1322">
        <v>2215</v>
      </c>
      <c r="B1322">
        <v>15475.10693</v>
      </c>
      <c r="C1322">
        <v>0</v>
      </c>
      <c r="D1322">
        <v>200036.05170000001</v>
      </c>
      <c r="E1322">
        <v>0</v>
      </c>
      <c r="F1322">
        <v>626018.21970000002</v>
      </c>
      <c r="G1322">
        <v>0</v>
      </c>
      <c r="H1322">
        <v>2215</v>
      </c>
      <c r="I1322" t="str">
        <f t="shared" si="81"/>
        <v>YES</v>
      </c>
      <c r="J1322" t="s">
        <v>1328</v>
      </c>
      <c r="K1322">
        <v>261699.997332</v>
      </c>
      <c r="L1322" s="1">
        <f t="shared" si="82"/>
        <v>0</v>
      </c>
      <c r="M1322" s="1">
        <f t="shared" si="83"/>
        <v>0</v>
      </c>
      <c r="N1322" s="1">
        <f t="shared" si="84"/>
        <v>0</v>
      </c>
      <c r="O1322" s="1"/>
    </row>
    <row r="1323" spans="1:15" x14ac:dyDescent="0.25">
      <c r="A1323">
        <v>2216</v>
      </c>
      <c r="B1323">
        <v>9607.7403780000004</v>
      </c>
      <c r="C1323">
        <v>0</v>
      </c>
      <c r="D1323">
        <v>19555.957129999999</v>
      </c>
      <c r="E1323">
        <v>0</v>
      </c>
      <c r="F1323">
        <v>367723.60849999997</v>
      </c>
      <c r="G1323">
        <v>0</v>
      </c>
      <c r="H1323">
        <v>2216</v>
      </c>
      <c r="I1323" t="str">
        <f t="shared" si="81"/>
        <v>YES</v>
      </c>
      <c r="J1323" t="s">
        <v>1329</v>
      </c>
      <c r="K1323">
        <v>298720.89630099997</v>
      </c>
      <c r="L1323" s="1">
        <f t="shared" si="82"/>
        <v>0</v>
      </c>
      <c r="M1323" s="1">
        <f t="shared" si="83"/>
        <v>0</v>
      </c>
      <c r="N1323" s="1">
        <f t="shared" si="84"/>
        <v>0</v>
      </c>
      <c r="O1323" s="1"/>
    </row>
    <row r="1324" spans="1:15" x14ac:dyDescent="0.25">
      <c r="A1324">
        <v>2217</v>
      </c>
      <c r="B1324">
        <v>2011.7645560000001</v>
      </c>
      <c r="C1324">
        <v>0</v>
      </c>
      <c r="D1324">
        <v>8120.0078050000002</v>
      </c>
      <c r="E1324">
        <v>0</v>
      </c>
      <c r="F1324">
        <v>15475.10693</v>
      </c>
      <c r="G1324">
        <v>0</v>
      </c>
      <c r="H1324">
        <v>2217</v>
      </c>
      <c r="I1324" t="str">
        <f t="shared" si="81"/>
        <v>YES</v>
      </c>
      <c r="J1324" t="s">
        <v>1330</v>
      </c>
      <c r="K1324">
        <v>3107264.0580899999</v>
      </c>
      <c r="L1324" s="1">
        <f t="shared" si="82"/>
        <v>0</v>
      </c>
      <c r="M1324" s="1">
        <f t="shared" si="83"/>
        <v>0</v>
      </c>
      <c r="N1324" s="1">
        <f t="shared" si="84"/>
        <v>0</v>
      </c>
      <c r="O1324" s="1"/>
    </row>
    <row r="1325" spans="1:15" x14ac:dyDescent="0.25">
      <c r="A1325">
        <v>2218</v>
      </c>
      <c r="B1325">
        <v>27320.355879999999</v>
      </c>
      <c r="C1325">
        <v>0</v>
      </c>
      <c r="D1325">
        <v>73293.343729999993</v>
      </c>
      <c r="E1325">
        <v>0</v>
      </c>
      <c r="F1325">
        <v>561047.14619999996</v>
      </c>
      <c r="G1325">
        <v>0</v>
      </c>
      <c r="H1325">
        <v>2218</v>
      </c>
      <c r="I1325" t="str">
        <f t="shared" si="81"/>
        <v>YES</v>
      </c>
      <c r="J1325" t="s">
        <v>1331</v>
      </c>
      <c r="K1325">
        <v>18660.5084025</v>
      </c>
      <c r="L1325" s="1">
        <f t="shared" si="82"/>
        <v>0</v>
      </c>
      <c r="M1325" s="1">
        <f t="shared" si="83"/>
        <v>0</v>
      </c>
      <c r="N1325" s="1">
        <f t="shared" si="84"/>
        <v>0</v>
      </c>
      <c r="O1325" s="1"/>
    </row>
    <row r="1326" spans="1:15" x14ac:dyDescent="0.25">
      <c r="A1326">
        <v>2298</v>
      </c>
      <c r="B1326">
        <v>31368.65553</v>
      </c>
      <c r="C1326">
        <v>0</v>
      </c>
      <c r="D1326">
        <v>132267.3303</v>
      </c>
      <c r="E1326">
        <v>0</v>
      </c>
      <c r="F1326">
        <v>830491.38260000001</v>
      </c>
      <c r="G1326">
        <v>0</v>
      </c>
      <c r="H1326">
        <v>2298</v>
      </c>
      <c r="I1326" t="str">
        <f t="shared" si="81"/>
        <v>YES</v>
      </c>
      <c r="J1326" t="s">
        <v>1332</v>
      </c>
      <c r="K1326">
        <v>106842.826367</v>
      </c>
      <c r="L1326" s="1">
        <f t="shared" si="82"/>
        <v>0</v>
      </c>
      <c r="M1326" s="1">
        <f t="shared" si="83"/>
        <v>0</v>
      </c>
      <c r="N1326" s="1">
        <f t="shared" si="84"/>
        <v>0</v>
      </c>
      <c r="O1326" s="1"/>
    </row>
    <row r="1327" spans="1:15" x14ac:dyDescent="0.25">
      <c r="A1327">
        <v>2299</v>
      </c>
      <c r="B1327">
        <v>18323.109410000001</v>
      </c>
      <c r="C1327">
        <v>0</v>
      </c>
      <c r="D1327">
        <v>90333.739499999996</v>
      </c>
      <c r="E1327">
        <v>0</v>
      </c>
      <c r="F1327">
        <v>438444.36239999998</v>
      </c>
      <c r="G1327">
        <v>0</v>
      </c>
      <c r="H1327">
        <v>2299</v>
      </c>
      <c r="I1327" t="str">
        <f t="shared" si="81"/>
        <v>YES</v>
      </c>
      <c r="J1327" t="s">
        <v>1333</v>
      </c>
      <c r="K1327">
        <v>175738.823313</v>
      </c>
      <c r="L1327" s="1">
        <f t="shared" si="82"/>
        <v>0</v>
      </c>
      <c r="M1327" s="1">
        <f t="shared" si="83"/>
        <v>0</v>
      </c>
      <c r="N1327" s="1">
        <f t="shared" si="84"/>
        <v>0</v>
      </c>
      <c r="O1327" s="1"/>
    </row>
    <row r="1328" spans="1:15" x14ac:dyDescent="0.25">
      <c r="A1328">
        <v>2300</v>
      </c>
      <c r="B1328">
        <v>20007.004509999999</v>
      </c>
      <c r="C1328">
        <v>0</v>
      </c>
      <c r="D1328">
        <v>86443.233200000002</v>
      </c>
      <c r="E1328">
        <v>0</v>
      </c>
      <c r="F1328">
        <v>267608.2659</v>
      </c>
      <c r="G1328">
        <v>0</v>
      </c>
      <c r="H1328">
        <v>2300</v>
      </c>
      <c r="I1328" t="str">
        <f t="shared" si="81"/>
        <v>YES</v>
      </c>
      <c r="J1328" t="s">
        <v>1334</v>
      </c>
      <c r="K1328">
        <v>266636.57215999998</v>
      </c>
      <c r="L1328" s="1">
        <f t="shared" si="82"/>
        <v>0</v>
      </c>
      <c r="M1328" s="1">
        <f t="shared" si="83"/>
        <v>0</v>
      </c>
      <c r="N1328" s="1">
        <f t="shared" si="84"/>
        <v>0</v>
      </c>
      <c r="O1328" s="1"/>
    </row>
    <row r="1329" spans="1:15" x14ac:dyDescent="0.25">
      <c r="A1329">
        <v>2301</v>
      </c>
      <c r="B1329">
        <v>16619.34908</v>
      </c>
      <c r="C1329">
        <v>0</v>
      </c>
      <c r="D1329">
        <v>90201.707970000003</v>
      </c>
      <c r="E1329">
        <v>0</v>
      </c>
      <c r="F1329">
        <v>292446.21039999998</v>
      </c>
      <c r="G1329">
        <v>0</v>
      </c>
      <c r="H1329">
        <v>2301</v>
      </c>
      <c r="I1329" t="str">
        <f t="shared" si="81"/>
        <v>YES</v>
      </c>
      <c r="J1329" t="s">
        <v>1335</v>
      </c>
      <c r="K1329">
        <v>340956.13857900002</v>
      </c>
      <c r="L1329" s="1">
        <f t="shared" si="82"/>
        <v>0</v>
      </c>
      <c r="M1329" s="1">
        <f t="shared" si="83"/>
        <v>0</v>
      </c>
      <c r="N1329" s="1">
        <f t="shared" si="84"/>
        <v>0</v>
      </c>
      <c r="O1329" s="1"/>
    </row>
    <row r="1330" spans="1:15" x14ac:dyDescent="0.25">
      <c r="A1330">
        <v>2302</v>
      </c>
      <c r="B1330">
        <v>16770.367969999999</v>
      </c>
      <c r="C1330">
        <v>0</v>
      </c>
      <c r="D1330">
        <v>91583.622010000006</v>
      </c>
      <c r="E1330">
        <v>0</v>
      </c>
      <c r="F1330">
        <v>331177.43229999999</v>
      </c>
      <c r="G1330">
        <v>0</v>
      </c>
      <c r="H1330">
        <v>2302</v>
      </c>
      <c r="I1330" t="str">
        <f t="shared" si="81"/>
        <v>YES</v>
      </c>
      <c r="J1330" t="s">
        <v>1336</v>
      </c>
      <c r="K1330">
        <v>266021.24404199998</v>
      </c>
      <c r="L1330" s="1">
        <f t="shared" si="82"/>
        <v>0</v>
      </c>
      <c r="M1330" s="1">
        <f t="shared" si="83"/>
        <v>0</v>
      </c>
      <c r="N1330" s="1">
        <f t="shared" si="84"/>
        <v>0</v>
      </c>
      <c r="O1330" s="1"/>
    </row>
    <row r="1331" spans="1:15" x14ac:dyDescent="0.25">
      <c r="A1331">
        <v>2303</v>
      </c>
      <c r="B1331">
        <v>13334.407660000001</v>
      </c>
      <c r="C1331">
        <v>0</v>
      </c>
      <c r="D1331">
        <v>35814.508609999997</v>
      </c>
      <c r="E1331">
        <v>0</v>
      </c>
      <c r="F1331">
        <v>131960.06349999999</v>
      </c>
      <c r="G1331">
        <v>0</v>
      </c>
      <c r="H1331">
        <v>2303</v>
      </c>
      <c r="I1331" t="str">
        <f t="shared" si="81"/>
        <v>YES</v>
      </c>
      <c r="J1331" t="s">
        <v>1337</v>
      </c>
      <c r="K1331">
        <v>537605.31186899997</v>
      </c>
      <c r="L1331" s="1">
        <f t="shared" si="82"/>
        <v>0</v>
      </c>
      <c r="M1331" s="1">
        <f t="shared" si="83"/>
        <v>0</v>
      </c>
      <c r="N1331" s="1">
        <f t="shared" si="84"/>
        <v>0</v>
      </c>
      <c r="O1331" s="1"/>
    </row>
    <row r="1332" spans="1:15" x14ac:dyDescent="0.25">
      <c r="A1332">
        <v>2304</v>
      </c>
      <c r="B1332">
        <v>13905.18849</v>
      </c>
      <c r="C1332">
        <v>0</v>
      </c>
      <c r="D1332">
        <v>79390.145770000003</v>
      </c>
      <c r="E1332">
        <v>0</v>
      </c>
      <c r="F1332">
        <v>303305.88540000003</v>
      </c>
      <c r="G1332">
        <v>0</v>
      </c>
      <c r="H1332">
        <v>2304</v>
      </c>
      <c r="I1332" t="str">
        <f t="shared" si="81"/>
        <v>YES</v>
      </c>
      <c r="J1332" t="s">
        <v>1338</v>
      </c>
      <c r="K1332">
        <v>179665.22688199999</v>
      </c>
      <c r="L1332" s="1">
        <f t="shared" si="82"/>
        <v>0</v>
      </c>
      <c r="M1332" s="1">
        <f t="shared" si="83"/>
        <v>0</v>
      </c>
      <c r="N1332" s="1">
        <f t="shared" si="84"/>
        <v>0</v>
      </c>
      <c r="O1332" s="1"/>
    </row>
    <row r="1333" spans="1:15" x14ac:dyDescent="0.25">
      <c r="A1333">
        <v>2305</v>
      </c>
      <c r="B1333">
        <v>43415.434910000004</v>
      </c>
      <c r="C1333">
        <v>0</v>
      </c>
      <c r="D1333">
        <v>147169.8559</v>
      </c>
      <c r="E1333">
        <v>0</v>
      </c>
      <c r="F1333">
        <v>937625.16130000004</v>
      </c>
      <c r="G1333">
        <v>0</v>
      </c>
      <c r="H1333">
        <v>2305</v>
      </c>
      <c r="I1333" t="str">
        <f t="shared" si="81"/>
        <v>YES</v>
      </c>
      <c r="J1333" t="s">
        <v>1339</v>
      </c>
      <c r="K1333">
        <v>293582.92593199998</v>
      </c>
      <c r="L1333" s="1">
        <f t="shared" si="82"/>
        <v>0</v>
      </c>
      <c r="M1333" s="1">
        <f t="shared" si="83"/>
        <v>0</v>
      </c>
      <c r="N1333" s="1">
        <f t="shared" si="84"/>
        <v>0</v>
      </c>
      <c r="O1333" s="1"/>
    </row>
    <row r="1334" spans="1:15" x14ac:dyDescent="0.25">
      <c r="A1334">
        <v>2306</v>
      </c>
      <c r="B1334">
        <v>13051.007299999999</v>
      </c>
      <c r="C1334">
        <v>0</v>
      </c>
      <c r="D1334">
        <v>69951.505309999993</v>
      </c>
      <c r="E1334">
        <v>0</v>
      </c>
      <c r="F1334">
        <v>233142.41529999999</v>
      </c>
      <c r="G1334">
        <v>0</v>
      </c>
      <c r="H1334">
        <v>2306</v>
      </c>
      <c r="I1334" t="str">
        <f t="shared" si="81"/>
        <v>YES</v>
      </c>
      <c r="J1334" t="s">
        <v>1340</v>
      </c>
      <c r="K1334">
        <v>303322.22373500001</v>
      </c>
      <c r="L1334" s="1">
        <f t="shared" si="82"/>
        <v>0</v>
      </c>
      <c r="M1334" s="1">
        <f t="shared" si="83"/>
        <v>0</v>
      </c>
      <c r="N1334" s="1">
        <f t="shared" si="84"/>
        <v>0</v>
      </c>
      <c r="O1334" s="1"/>
    </row>
    <row r="1335" spans="1:15" x14ac:dyDescent="0.25">
      <c r="A1335">
        <v>2307</v>
      </c>
      <c r="B1335">
        <v>39794.337570000003</v>
      </c>
      <c r="C1335">
        <v>0</v>
      </c>
      <c r="D1335">
        <v>148949.2292</v>
      </c>
      <c r="E1335">
        <v>0</v>
      </c>
      <c r="F1335">
        <v>1005080.04</v>
      </c>
      <c r="G1335">
        <v>0</v>
      </c>
      <c r="H1335">
        <v>2307</v>
      </c>
      <c r="I1335" t="str">
        <f t="shared" si="81"/>
        <v>YES</v>
      </c>
      <c r="J1335" t="s">
        <v>1341</v>
      </c>
      <c r="K1335">
        <v>136725.23173999999</v>
      </c>
      <c r="L1335" s="1">
        <f t="shared" si="82"/>
        <v>0</v>
      </c>
      <c r="M1335" s="1">
        <f t="shared" si="83"/>
        <v>0</v>
      </c>
      <c r="N1335" s="1">
        <f t="shared" si="84"/>
        <v>0</v>
      </c>
      <c r="O1335" s="1"/>
    </row>
    <row r="1336" spans="1:15" x14ac:dyDescent="0.25">
      <c r="A1336">
        <v>2308</v>
      </c>
      <c r="B1336">
        <v>18046.445169999999</v>
      </c>
      <c r="C1336">
        <v>0</v>
      </c>
      <c r="D1336">
        <v>73089.251250000001</v>
      </c>
      <c r="E1336">
        <v>0</v>
      </c>
      <c r="F1336">
        <v>273631.68040000001</v>
      </c>
      <c r="G1336">
        <v>0</v>
      </c>
      <c r="H1336">
        <v>2308</v>
      </c>
      <c r="I1336" t="str">
        <f t="shared" si="81"/>
        <v>YES</v>
      </c>
      <c r="J1336" t="s">
        <v>1342</v>
      </c>
      <c r="K1336">
        <v>503594.73880300001</v>
      </c>
      <c r="L1336" s="1">
        <f t="shared" si="82"/>
        <v>0</v>
      </c>
      <c r="M1336" s="1">
        <f t="shared" si="83"/>
        <v>0</v>
      </c>
      <c r="N1336" s="1">
        <f t="shared" si="84"/>
        <v>0</v>
      </c>
      <c r="O1336" s="1"/>
    </row>
    <row r="1337" spans="1:15" x14ac:dyDescent="0.25">
      <c r="A1337">
        <v>2309</v>
      </c>
      <c r="B1337">
        <v>13945.46645</v>
      </c>
      <c r="C1337">
        <v>0</v>
      </c>
      <c r="D1337">
        <v>77256.167910000004</v>
      </c>
      <c r="E1337">
        <v>0</v>
      </c>
      <c r="F1337">
        <v>231788.44889999999</v>
      </c>
      <c r="G1337">
        <v>0</v>
      </c>
      <c r="H1337">
        <v>2309</v>
      </c>
      <c r="I1337" t="str">
        <f t="shared" si="81"/>
        <v>YES</v>
      </c>
      <c r="J1337" t="s">
        <v>1343</v>
      </c>
      <c r="K1337">
        <v>332316.93917500001</v>
      </c>
      <c r="L1337" s="1">
        <f t="shared" si="82"/>
        <v>0</v>
      </c>
      <c r="M1337" s="1">
        <f t="shared" si="83"/>
        <v>0</v>
      </c>
      <c r="N1337" s="1">
        <f t="shared" si="84"/>
        <v>0</v>
      </c>
      <c r="O1337" s="1"/>
    </row>
    <row r="1338" spans="1:15" x14ac:dyDescent="0.25">
      <c r="A1338">
        <v>2310</v>
      </c>
      <c r="B1338">
        <v>9201.7239420000005</v>
      </c>
      <c r="C1338">
        <v>0</v>
      </c>
      <c r="D1338">
        <v>53772.888030000002</v>
      </c>
      <c r="E1338">
        <v>0</v>
      </c>
      <c r="F1338">
        <v>142787.0196</v>
      </c>
      <c r="G1338">
        <v>0</v>
      </c>
      <c r="H1338">
        <v>2310</v>
      </c>
      <c r="I1338" t="str">
        <f t="shared" si="81"/>
        <v>YES</v>
      </c>
      <c r="J1338" t="s">
        <v>1344</v>
      </c>
      <c r="K1338">
        <v>174669.40114999999</v>
      </c>
      <c r="L1338" s="1">
        <f t="shared" si="82"/>
        <v>0</v>
      </c>
      <c r="M1338" s="1">
        <f t="shared" si="83"/>
        <v>0</v>
      </c>
      <c r="N1338" s="1">
        <f t="shared" si="84"/>
        <v>0</v>
      </c>
      <c r="O1338" s="1"/>
    </row>
    <row r="1339" spans="1:15" x14ac:dyDescent="0.25">
      <c r="A1339">
        <v>2311</v>
      </c>
      <c r="B1339">
        <v>49895.983090000002</v>
      </c>
      <c r="C1339">
        <v>0</v>
      </c>
      <c r="D1339">
        <v>137131.04790000001</v>
      </c>
      <c r="E1339">
        <v>0</v>
      </c>
      <c r="F1339">
        <v>870168.04480000003</v>
      </c>
      <c r="G1339">
        <v>0</v>
      </c>
      <c r="H1339">
        <v>2311</v>
      </c>
      <c r="I1339" t="str">
        <f t="shared" si="81"/>
        <v>YES</v>
      </c>
      <c r="J1339" t="s">
        <v>1345</v>
      </c>
      <c r="K1339">
        <v>579386.43642100005</v>
      </c>
      <c r="L1339" s="1">
        <f t="shared" si="82"/>
        <v>0</v>
      </c>
      <c r="M1339" s="1">
        <f t="shared" si="83"/>
        <v>0</v>
      </c>
      <c r="N1339" s="1">
        <f t="shared" si="84"/>
        <v>0</v>
      </c>
      <c r="O1339" s="1"/>
    </row>
    <row r="1340" spans="1:15" x14ac:dyDescent="0.25">
      <c r="A1340">
        <v>2312</v>
      </c>
      <c r="B1340">
        <v>17250.710169999998</v>
      </c>
      <c r="C1340">
        <v>0</v>
      </c>
      <c r="D1340">
        <v>72233.002970000001</v>
      </c>
      <c r="E1340">
        <v>0</v>
      </c>
      <c r="F1340">
        <v>256028.408</v>
      </c>
      <c r="G1340">
        <v>0</v>
      </c>
      <c r="H1340">
        <v>2312</v>
      </c>
      <c r="I1340" t="str">
        <f t="shared" si="81"/>
        <v>YES</v>
      </c>
      <c r="J1340" t="s">
        <v>1346</v>
      </c>
      <c r="K1340">
        <v>315030.30735399999</v>
      </c>
      <c r="L1340" s="1">
        <f t="shared" si="82"/>
        <v>0</v>
      </c>
      <c r="M1340" s="1">
        <f t="shared" si="83"/>
        <v>0</v>
      </c>
      <c r="N1340" s="1">
        <f t="shared" si="84"/>
        <v>0</v>
      </c>
      <c r="O1340" s="1"/>
    </row>
    <row r="1341" spans="1:15" x14ac:dyDescent="0.25">
      <c r="A1341">
        <v>2313</v>
      </c>
      <c r="B1341">
        <v>27205.691180000002</v>
      </c>
      <c r="C1341">
        <v>0</v>
      </c>
      <c r="D1341">
        <v>57892.660100000001</v>
      </c>
      <c r="E1341">
        <v>0</v>
      </c>
      <c r="F1341">
        <v>223083.9914</v>
      </c>
      <c r="G1341">
        <v>0</v>
      </c>
      <c r="H1341">
        <v>2313</v>
      </c>
      <c r="I1341" t="str">
        <f t="shared" si="81"/>
        <v>YES</v>
      </c>
      <c r="J1341" t="s">
        <v>1347</v>
      </c>
      <c r="K1341">
        <v>713968.01857399999</v>
      </c>
      <c r="L1341" s="1">
        <f t="shared" si="82"/>
        <v>0</v>
      </c>
      <c r="M1341" s="1">
        <f t="shared" si="83"/>
        <v>0</v>
      </c>
      <c r="N1341" s="1">
        <f t="shared" si="84"/>
        <v>0</v>
      </c>
      <c r="O1341" s="1"/>
    </row>
    <row r="1342" spans="1:15" x14ac:dyDescent="0.25">
      <c r="A1342">
        <v>2314</v>
      </c>
      <c r="B1342">
        <v>29634.996569999999</v>
      </c>
      <c r="C1342">
        <v>0</v>
      </c>
      <c r="D1342">
        <v>63996.1057</v>
      </c>
      <c r="E1342">
        <v>0</v>
      </c>
      <c r="F1342">
        <v>248579.90830000001</v>
      </c>
      <c r="G1342">
        <v>0</v>
      </c>
      <c r="H1342">
        <v>2314</v>
      </c>
      <c r="I1342" t="str">
        <f t="shared" si="81"/>
        <v>YES</v>
      </c>
      <c r="J1342" t="s">
        <v>1348</v>
      </c>
      <c r="K1342">
        <v>681281.68351799995</v>
      </c>
      <c r="L1342" s="1">
        <f t="shared" si="82"/>
        <v>0</v>
      </c>
      <c r="M1342" s="1">
        <f t="shared" si="83"/>
        <v>0</v>
      </c>
      <c r="N1342" s="1">
        <f t="shared" si="84"/>
        <v>0</v>
      </c>
      <c r="O1342" s="1"/>
    </row>
    <row r="1343" spans="1:15" x14ac:dyDescent="0.25">
      <c r="A1343">
        <v>2315</v>
      </c>
      <c r="B1343">
        <v>21641.360919999999</v>
      </c>
      <c r="C1343">
        <v>0</v>
      </c>
      <c r="D1343">
        <v>63607.363010000001</v>
      </c>
      <c r="E1343">
        <v>0</v>
      </c>
      <c r="F1343">
        <v>207960.13089999999</v>
      </c>
      <c r="G1343">
        <v>0</v>
      </c>
      <c r="H1343">
        <v>2315</v>
      </c>
      <c r="I1343" t="str">
        <f t="shared" si="81"/>
        <v>YES</v>
      </c>
      <c r="J1343" t="s">
        <v>1349</v>
      </c>
      <c r="K1343">
        <v>803106.62257699994</v>
      </c>
      <c r="L1343" s="1">
        <f t="shared" si="82"/>
        <v>0</v>
      </c>
      <c r="M1343" s="1">
        <f t="shared" si="83"/>
        <v>0</v>
      </c>
      <c r="N1343" s="1">
        <f t="shared" si="84"/>
        <v>0</v>
      </c>
      <c r="O1343" s="1"/>
    </row>
    <row r="1344" spans="1:15" x14ac:dyDescent="0.25">
      <c r="A1344">
        <v>2316</v>
      </c>
      <c r="B1344">
        <v>12408.40798</v>
      </c>
      <c r="C1344">
        <v>0</v>
      </c>
      <c r="D1344">
        <v>43499.775540000002</v>
      </c>
      <c r="E1344">
        <v>0</v>
      </c>
      <c r="F1344">
        <v>178004.62950000001</v>
      </c>
      <c r="G1344">
        <v>0</v>
      </c>
      <c r="H1344">
        <v>2316</v>
      </c>
      <c r="I1344" t="str">
        <f t="shared" si="81"/>
        <v>YES</v>
      </c>
      <c r="J1344" t="s">
        <v>1350</v>
      </c>
      <c r="K1344">
        <v>441079.81883200002</v>
      </c>
      <c r="L1344" s="1">
        <f t="shared" si="82"/>
        <v>0</v>
      </c>
      <c r="M1344" s="1">
        <f t="shared" si="83"/>
        <v>0</v>
      </c>
      <c r="N1344" s="1">
        <f t="shared" si="84"/>
        <v>0</v>
      </c>
      <c r="O1344" s="1"/>
    </row>
    <row r="1345" spans="1:15" x14ac:dyDescent="0.25">
      <c r="A1345">
        <v>2318</v>
      </c>
      <c r="B1345">
        <v>7481.0385969999998</v>
      </c>
      <c r="C1345">
        <v>0</v>
      </c>
      <c r="D1345">
        <v>30831.45247</v>
      </c>
      <c r="E1345">
        <v>0</v>
      </c>
      <c r="F1345">
        <v>110989.26880000001</v>
      </c>
      <c r="G1345">
        <v>0</v>
      </c>
      <c r="H1345">
        <v>2318</v>
      </c>
      <c r="I1345" t="str">
        <f t="shared" si="81"/>
        <v>YES</v>
      </c>
      <c r="J1345" t="s">
        <v>1351</v>
      </c>
      <c r="K1345">
        <v>1192369.51935</v>
      </c>
      <c r="L1345" s="1">
        <f t="shared" si="82"/>
        <v>0</v>
      </c>
      <c r="M1345" s="1">
        <f t="shared" si="83"/>
        <v>0</v>
      </c>
      <c r="N1345" s="1">
        <f t="shared" si="84"/>
        <v>0</v>
      </c>
      <c r="O1345" s="1"/>
    </row>
    <row r="1346" spans="1:15" x14ac:dyDescent="0.25">
      <c r="A1346">
        <v>2319</v>
      </c>
      <c r="B1346">
        <v>6392.4680790000002</v>
      </c>
      <c r="C1346">
        <v>0</v>
      </c>
      <c r="D1346">
        <v>45107.101669999996</v>
      </c>
      <c r="E1346">
        <v>0</v>
      </c>
      <c r="F1346">
        <v>137645.0215</v>
      </c>
      <c r="G1346">
        <v>0</v>
      </c>
      <c r="H1346">
        <v>2319</v>
      </c>
      <c r="I1346" t="str">
        <f t="shared" ref="I1346:I1409" si="85">IF(A1346=H1346,"YES","NO")</f>
        <v>YES</v>
      </c>
      <c r="J1346" t="s">
        <v>1352</v>
      </c>
      <c r="K1346">
        <v>771404.43749699998</v>
      </c>
      <c r="L1346" s="1">
        <f t="shared" si="82"/>
        <v>0</v>
      </c>
      <c r="M1346" s="1">
        <f t="shared" si="83"/>
        <v>0</v>
      </c>
      <c r="N1346" s="1">
        <f t="shared" si="84"/>
        <v>0</v>
      </c>
      <c r="O1346" s="1"/>
    </row>
    <row r="1347" spans="1:15" x14ac:dyDescent="0.25">
      <c r="A1347">
        <v>2320</v>
      </c>
      <c r="B1347">
        <v>689.85974529999999</v>
      </c>
      <c r="C1347">
        <v>0</v>
      </c>
      <c r="D1347">
        <v>20248.83035</v>
      </c>
      <c r="E1347">
        <v>0</v>
      </c>
      <c r="F1347">
        <v>82697.06018</v>
      </c>
      <c r="G1347">
        <v>0</v>
      </c>
      <c r="H1347">
        <v>2320</v>
      </c>
      <c r="I1347" t="str">
        <f t="shared" si="85"/>
        <v>YES</v>
      </c>
      <c r="J1347" t="s">
        <v>1353</v>
      </c>
      <c r="K1347">
        <v>1899935.1835099999</v>
      </c>
      <c r="L1347" s="1">
        <f t="shared" ref="L1347:L1410" si="86">$U$2*$K1347*C1347</f>
        <v>0</v>
      </c>
      <c r="M1347" s="1">
        <f t="shared" ref="M1347:M1410" si="87">$U$3*$K1347*E1347</f>
        <v>0</v>
      </c>
      <c r="N1347" s="1">
        <f t="shared" ref="N1347:N1410" si="88">$U$4*$K1347*G1347</f>
        <v>0</v>
      </c>
      <c r="O1347" s="1"/>
    </row>
    <row r="1348" spans="1:15" x14ac:dyDescent="0.25">
      <c r="A1348">
        <v>2321</v>
      </c>
      <c r="B1348">
        <v>4713.4516860000003</v>
      </c>
      <c r="C1348">
        <v>0</v>
      </c>
      <c r="D1348">
        <v>45066.533600000002</v>
      </c>
      <c r="E1348">
        <v>0</v>
      </c>
      <c r="F1348">
        <v>153538.88639999999</v>
      </c>
      <c r="G1348">
        <v>0</v>
      </c>
      <c r="H1348">
        <v>2321</v>
      </c>
      <c r="I1348" t="str">
        <f t="shared" si="85"/>
        <v>YES</v>
      </c>
      <c r="J1348" t="s">
        <v>1354</v>
      </c>
      <c r="K1348">
        <v>533641.97328699997</v>
      </c>
      <c r="L1348" s="1">
        <f t="shared" si="86"/>
        <v>0</v>
      </c>
      <c r="M1348" s="1">
        <f t="shared" si="87"/>
        <v>0</v>
      </c>
      <c r="N1348" s="1">
        <f t="shared" si="88"/>
        <v>0</v>
      </c>
      <c r="O1348" s="1"/>
    </row>
    <row r="1349" spans="1:15" x14ac:dyDescent="0.25">
      <c r="A1349">
        <v>2322</v>
      </c>
      <c r="B1349">
        <v>5855.064558</v>
      </c>
      <c r="C1349">
        <v>0</v>
      </c>
      <c r="D1349">
        <v>40339.826609999996</v>
      </c>
      <c r="E1349">
        <v>0</v>
      </c>
      <c r="F1349">
        <v>176308.1</v>
      </c>
      <c r="G1349">
        <v>0</v>
      </c>
      <c r="H1349">
        <v>2322</v>
      </c>
      <c r="I1349" t="str">
        <f t="shared" si="85"/>
        <v>YES</v>
      </c>
      <c r="J1349" t="s">
        <v>1355</v>
      </c>
      <c r="K1349">
        <v>619827.84594699997</v>
      </c>
      <c r="L1349" s="1">
        <f t="shared" si="86"/>
        <v>0</v>
      </c>
      <c r="M1349" s="1">
        <f t="shared" si="87"/>
        <v>0</v>
      </c>
      <c r="N1349" s="1">
        <f t="shared" si="88"/>
        <v>0</v>
      </c>
      <c r="O1349" s="1"/>
    </row>
    <row r="1350" spans="1:15" x14ac:dyDescent="0.25">
      <c r="A1350">
        <v>2323</v>
      </c>
      <c r="B1350">
        <v>3404.3161300000002</v>
      </c>
      <c r="C1350">
        <v>0</v>
      </c>
      <c r="D1350">
        <v>30066.414430000001</v>
      </c>
      <c r="E1350">
        <v>0</v>
      </c>
      <c r="F1350">
        <v>97043.78688</v>
      </c>
      <c r="G1350">
        <v>0</v>
      </c>
      <c r="H1350">
        <v>2323</v>
      </c>
      <c r="I1350" t="str">
        <f t="shared" si="85"/>
        <v>YES</v>
      </c>
      <c r="J1350" t="s">
        <v>1356</v>
      </c>
      <c r="K1350">
        <v>1079626.0448499999</v>
      </c>
      <c r="L1350" s="1">
        <f t="shared" si="86"/>
        <v>0</v>
      </c>
      <c r="M1350" s="1">
        <f t="shared" si="87"/>
        <v>0</v>
      </c>
      <c r="N1350" s="1">
        <f t="shared" si="88"/>
        <v>0</v>
      </c>
      <c r="O1350" s="1"/>
    </row>
    <row r="1351" spans="1:15" x14ac:dyDescent="0.25">
      <c r="A1351">
        <v>2324</v>
      </c>
      <c r="B1351">
        <v>5409.1454970000004</v>
      </c>
      <c r="C1351">
        <v>0</v>
      </c>
      <c r="D1351">
        <v>19805.73748</v>
      </c>
      <c r="E1351">
        <v>0</v>
      </c>
      <c r="F1351">
        <v>75872.023319999993</v>
      </c>
      <c r="G1351">
        <v>0</v>
      </c>
      <c r="H1351">
        <v>2324</v>
      </c>
      <c r="I1351" t="str">
        <f t="shared" si="85"/>
        <v>YES</v>
      </c>
      <c r="J1351" t="s">
        <v>1357</v>
      </c>
      <c r="K1351">
        <v>1629308.1832600001</v>
      </c>
      <c r="L1351" s="1">
        <f t="shared" si="86"/>
        <v>0</v>
      </c>
      <c r="M1351" s="1">
        <f t="shared" si="87"/>
        <v>0</v>
      </c>
      <c r="N1351" s="1">
        <f t="shared" si="88"/>
        <v>0</v>
      </c>
      <c r="O1351" s="1"/>
    </row>
    <row r="1352" spans="1:15" x14ac:dyDescent="0.25">
      <c r="A1352">
        <v>2325</v>
      </c>
      <c r="B1352">
        <v>12635.06601</v>
      </c>
      <c r="C1352">
        <v>0</v>
      </c>
      <c r="D1352">
        <v>35019.303500000002</v>
      </c>
      <c r="E1352">
        <v>0</v>
      </c>
      <c r="F1352">
        <v>123696.25539999999</v>
      </c>
      <c r="G1352">
        <v>0</v>
      </c>
      <c r="H1352">
        <v>2325</v>
      </c>
      <c r="I1352" t="str">
        <f t="shared" si="85"/>
        <v>YES</v>
      </c>
      <c r="J1352" t="s">
        <v>1358</v>
      </c>
      <c r="K1352">
        <v>1173333.5330000001</v>
      </c>
      <c r="L1352" s="1">
        <f t="shared" si="86"/>
        <v>0</v>
      </c>
      <c r="M1352" s="1">
        <f t="shared" si="87"/>
        <v>0</v>
      </c>
      <c r="N1352" s="1">
        <f t="shared" si="88"/>
        <v>0</v>
      </c>
      <c r="O1352" s="1"/>
    </row>
    <row r="1353" spans="1:15" x14ac:dyDescent="0.25">
      <c r="A1353">
        <v>2328</v>
      </c>
      <c r="B1353">
        <v>6063.4532300000001</v>
      </c>
      <c r="C1353">
        <v>0</v>
      </c>
      <c r="D1353">
        <v>27934.044160000001</v>
      </c>
      <c r="E1353">
        <v>0</v>
      </c>
      <c r="F1353">
        <v>106721.20450000001</v>
      </c>
      <c r="G1353">
        <v>0</v>
      </c>
      <c r="H1353">
        <v>2328</v>
      </c>
      <c r="I1353" t="str">
        <f t="shared" si="85"/>
        <v>YES</v>
      </c>
      <c r="J1353" t="s">
        <v>1359</v>
      </c>
      <c r="K1353">
        <v>1812622.4373900001</v>
      </c>
      <c r="L1353" s="1">
        <f t="shared" si="86"/>
        <v>0</v>
      </c>
      <c r="M1353" s="1">
        <f t="shared" si="87"/>
        <v>0</v>
      </c>
      <c r="N1353" s="1">
        <f t="shared" si="88"/>
        <v>0</v>
      </c>
      <c r="O1353" s="1"/>
    </row>
    <row r="1354" spans="1:15" x14ac:dyDescent="0.25">
      <c r="A1354">
        <v>2329</v>
      </c>
      <c r="B1354">
        <v>5173.5063929999997</v>
      </c>
      <c r="C1354">
        <v>0</v>
      </c>
      <c r="D1354">
        <v>47450.377860000001</v>
      </c>
      <c r="E1354">
        <v>0</v>
      </c>
      <c r="F1354">
        <v>284064.07699999999</v>
      </c>
      <c r="G1354">
        <v>0</v>
      </c>
      <c r="H1354">
        <v>2329</v>
      </c>
      <c r="I1354" t="str">
        <f t="shared" si="85"/>
        <v>YES</v>
      </c>
      <c r="J1354" t="s">
        <v>1360</v>
      </c>
      <c r="K1354">
        <v>1106962.4385500001</v>
      </c>
      <c r="L1354" s="1">
        <f t="shared" si="86"/>
        <v>0</v>
      </c>
      <c r="M1354" s="1">
        <f t="shared" si="87"/>
        <v>0</v>
      </c>
      <c r="N1354" s="1">
        <f t="shared" si="88"/>
        <v>0</v>
      </c>
      <c r="O1354" s="1"/>
    </row>
    <row r="1355" spans="1:15" x14ac:dyDescent="0.25">
      <c r="A1355">
        <v>2330</v>
      </c>
      <c r="B1355">
        <v>10089.9548</v>
      </c>
      <c r="C1355">
        <v>0</v>
      </c>
      <c r="D1355">
        <v>32557.114389999999</v>
      </c>
      <c r="E1355">
        <v>0</v>
      </c>
      <c r="F1355">
        <v>137599.133</v>
      </c>
      <c r="G1355">
        <v>0</v>
      </c>
      <c r="H1355">
        <v>2330</v>
      </c>
      <c r="I1355" t="str">
        <f t="shared" si="85"/>
        <v>YES</v>
      </c>
      <c r="J1355" t="s">
        <v>1361</v>
      </c>
      <c r="K1355">
        <v>756042.44251600001</v>
      </c>
      <c r="L1355" s="1">
        <f t="shared" si="86"/>
        <v>0</v>
      </c>
      <c r="M1355" s="1">
        <f t="shared" si="87"/>
        <v>0</v>
      </c>
      <c r="N1355" s="1">
        <f t="shared" si="88"/>
        <v>0</v>
      </c>
      <c r="O1355" s="1"/>
    </row>
    <row r="1356" spans="1:15" x14ac:dyDescent="0.25">
      <c r="A1356">
        <v>2331</v>
      </c>
      <c r="B1356">
        <v>14520.94887</v>
      </c>
      <c r="C1356">
        <v>0</v>
      </c>
      <c r="D1356">
        <v>42746.193550000004</v>
      </c>
      <c r="E1356">
        <v>0</v>
      </c>
      <c r="F1356">
        <v>203773.18700000001</v>
      </c>
      <c r="G1356">
        <v>0</v>
      </c>
      <c r="H1356">
        <v>2331</v>
      </c>
      <c r="I1356" t="str">
        <f t="shared" si="85"/>
        <v>YES</v>
      </c>
      <c r="J1356" t="s">
        <v>1362</v>
      </c>
      <c r="K1356">
        <v>367231.66508300003</v>
      </c>
      <c r="L1356" s="1">
        <f t="shared" si="86"/>
        <v>0</v>
      </c>
      <c r="M1356" s="1">
        <f t="shared" si="87"/>
        <v>0</v>
      </c>
      <c r="N1356" s="1">
        <f t="shared" si="88"/>
        <v>0</v>
      </c>
      <c r="O1356" s="1"/>
    </row>
    <row r="1357" spans="1:15" x14ac:dyDescent="0.25">
      <c r="A1357">
        <v>2334</v>
      </c>
      <c r="B1357">
        <v>11145.611360000001</v>
      </c>
      <c r="C1357">
        <v>0</v>
      </c>
      <c r="D1357">
        <v>31640.730479999998</v>
      </c>
      <c r="E1357">
        <v>0</v>
      </c>
      <c r="F1357">
        <v>112888.57490000001</v>
      </c>
      <c r="G1357">
        <v>0</v>
      </c>
      <c r="H1357">
        <v>2334</v>
      </c>
      <c r="I1357" t="str">
        <f t="shared" si="85"/>
        <v>YES</v>
      </c>
      <c r="J1357" t="s">
        <v>1363</v>
      </c>
      <c r="K1357">
        <v>565998.91243400006</v>
      </c>
      <c r="L1357" s="1">
        <f t="shared" si="86"/>
        <v>0</v>
      </c>
      <c r="M1357" s="1">
        <f t="shared" si="87"/>
        <v>0</v>
      </c>
      <c r="N1357" s="1">
        <f t="shared" si="88"/>
        <v>0</v>
      </c>
      <c r="O1357" s="1"/>
    </row>
    <row r="1358" spans="1:15" x14ac:dyDescent="0.25">
      <c r="A1358">
        <v>2335</v>
      </c>
      <c r="B1358">
        <v>3452.0228729999999</v>
      </c>
      <c r="C1358">
        <v>0</v>
      </c>
      <c r="D1358">
        <v>26771.016889999999</v>
      </c>
      <c r="E1358">
        <v>0</v>
      </c>
      <c r="F1358">
        <v>61403.658960000001</v>
      </c>
      <c r="G1358">
        <v>0</v>
      </c>
      <c r="H1358">
        <v>2335</v>
      </c>
      <c r="I1358" t="str">
        <f t="shared" si="85"/>
        <v>YES</v>
      </c>
      <c r="J1358" t="s">
        <v>1364</v>
      </c>
      <c r="K1358">
        <v>630378.84810199996</v>
      </c>
      <c r="L1358" s="1">
        <f t="shared" si="86"/>
        <v>0</v>
      </c>
      <c r="M1358" s="1">
        <f t="shared" si="87"/>
        <v>0</v>
      </c>
      <c r="N1358" s="1">
        <f t="shared" si="88"/>
        <v>0</v>
      </c>
      <c r="O1358" s="1"/>
    </row>
    <row r="1359" spans="1:15" x14ac:dyDescent="0.25">
      <c r="A1359">
        <v>2336</v>
      </c>
      <c r="B1359">
        <v>3767.181701</v>
      </c>
      <c r="C1359">
        <v>0</v>
      </c>
      <c r="D1359">
        <v>29253.384330000001</v>
      </c>
      <c r="E1359">
        <v>0</v>
      </c>
      <c r="F1359">
        <v>76087.561809999999</v>
      </c>
      <c r="G1359">
        <v>0</v>
      </c>
      <c r="H1359">
        <v>2336</v>
      </c>
      <c r="I1359" t="str">
        <f t="shared" si="85"/>
        <v>YES</v>
      </c>
      <c r="J1359" t="s">
        <v>1365</v>
      </c>
      <c r="K1359">
        <v>617023.90314499999</v>
      </c>
      <c r="L1359" s="1">
        <f t="shared" si="86"/>
        <v>0</v>
      </c>
      <c r="M1359" s="1">
        <f t="shared" si="87"/>
        <v>0</v>
      </c>
      <c r="N1359" s="1">
        <f t="shared" si="88"/>
        <v>0</v>
      </c>
      <c r="O1359" s="1"/>
    </row>
    <row r="1360" spans="1:15" x14ac:dyDescent="0.25">
      <c r="A1360">
        <v>2337</v>
      </c>
      <c r="B1360">
        <v>7899.7820030000003</v>
      </c>
      <c r="C1360">
        <v>0</v>
      </c>
      <c r="D1360">
        <v>41318.291060000003</v>
      </c>
      <c r="E1360">
        <v>0</v>
      </c>
      <c r="F1360">
        <v>89248.7978</v>
      </c>
      <c r="G1360">
        <v>0</v>
      </c>
      <c r="H1360">
        <v>2337</v>
      </c>
      <c r="I1360" t="str">
        <f t="shared" si="85"/>
        <v>YES</v>
      </c>
      <c r="J1360" t="s">
        <v>1366</v>
      </c>
      <c r="K1360">
        <v>3558829.1583599998</v>
      </c>
      <c r="L1360" s="1">
        <f t="shared" si="86"/>
        <v>0</v>
      </c>
      <c r="M1360" s="1">
        <f t="shared" si="87"/>
        <v>0</v>
      </c>
      <c r="N1360" s="1">
        <f t="shared" si="88"/>
        <v>0</v>
      </c>
      <c r="O1360" s="1"/>
    </row>
    <row r="1361" spans="1:15" x14ac:dyDescent="0.25">
      <c r="A1361">
        <v>2338</v>
      </c>
      <c r="B1361">
        <v>6265.1807429999999</v>
      </c>
      <c r="C1361">
        <v>0</v>
      </c>
      <c r="D1361">
        <v>35592.659209999998</v>
      </c>
      <c r="E1361">
        <v>0</v>
      </c>
      <c r="F1361">
        <v>98674.643490000002</v>
      </c>
      <c r="G1361">
        <v>0</v>
      </c>
      <c r="H1361">
        <v>2338</v>
      </c>
      <c r="I1361" t="str">
        <f t="shared" si="85"/>
        <v>YES</v>
      </c>
      <c r="J1361" t="s">
        <v>1367</v>
      </c>
      <c r="K1361">
        <v>682060.65348700003</v>
      </c>
      <c r="L1361" s="1">
        <f t="shared" si="86"/>
        <v>0</v>
      </c>
      <c r="M1361" s="1">
        <f t="shared" si="87"/>
        <v>0</v>
      </c>
      <c r="N1361" s="1">
        <f t="shared" si="88"/>
        <v>0</v>
      </c>
      <c r="O1361" s="1"/>
    </row>
    <row r="1362" spans="1:15" x14ac:dyDescent="0.25">
      <c r="A1362">
        <v>2339</v>
      </c>
      <c r="B1362">
        <v>6537.4166070000001</v>
      </c>
      <c r="C1362">
        <v>0</v>
      </c>
      <c r="D1362">
        <v>40826.35312</v>
      </c>
      <c r="E1362">
        <v>0</v>
      </c>
      <c r="F1362">
        <v>96496.97997</v>
      </c>
      <c r="G1362">
        <v>0</v>
      </c>
      <c r="H1362">
        <v>2339</v>
      </c>
      <c r="I1362" t="str">
        <f t="shared" si="85"/>
        <v>YES</v>
      </c>
      <c r="J1362" t="s">
        <v>1368</v>
      </c>
      <c r="K1362">
        <v>719112.90362800006</v>
      </c>
      <c r="L1362" s="1">
        <f t="shared" si="86"/>
        <v>0</v>
      </c>
      <c r="M1362" s="1">
        <f t="shared" si="87"/>
        <v>0</v>
      </c>
      <c r="N1362" s="1">
        <f t="shared" si="88"/>
        <v>0</v>
      </c>
      <c r="O1362" s="1"/>
    </row>
    <row r="1363" spans="1:15" x14ac:dyDescent="0.25">
      <c r="A1363">
        <v>2340</v>
      </c>
      <c r="B1363">
        <v>27250.369579999999</v>
      </c>
      <c r="C1363">
        <v>0</v>
      </c>
      <c r="D1363">
        <v>80036.948340000003</v>
      </c>
      <c r="E1363">
        <v>0</v>
      </c>
      <c r="F1363">
        <v>208834.3547</v>
      </c>
      <c r="G1363">
        <v>0</v>
      </c>
      <c r="H1363">
        <v>2340</v>
      </c>
      <c r="I1363" t="str">
        <f t="shared" si="85"/>
        <v>YES</v>
      </c>
      <c r="J1363" t="s">
        <v>1369</v>
      </c>
      <c r="K1363">
        <v>291072.42890699999</v>
      </c>
      <c r="L1363" s="1">
        <f t="shared" si="86"/>
        <v>0</v>
      </c>
      <c r="M1363" s="1">
        <f t="shared" si="87"/>
        <v>0</v>
      </c>
      <c r="N1363" s="1">
        <f t="shared" si="88"/>
        <v>0</v>
      </c>
      <c r="O1363" s="1"/>
    </row>
    <row r="1364" spans="1:15" x14ac:dyDescent="0.25">
      <c r="A1364">
        <v>2341</v>
      </c>
      <c r="B1364">
        <v>14961.305120000001</v>
      </c>
      <c r="C1364">
        <v>0</v>
      </c>
      <c r="D1364">
        <v>43087.212350000002</v>
      </c>
      <c r="E1364">
        <v>0</v>
      </c>
      <c r="F1364">
        <v>155958.39420000001</v>
      </c>
      <c r="G1364">
        <v>0</v>
      </c>
      <c r="H1364">
        <v>2341</v>
      </c>
      <c r="I1364" t="str">
        <f t="shared" si="85"/>
        <v>YES</v>
      </c>
      <c r="J1364" t="s">
        <v>1370</v>
      </c>
      <c r="K1364">
        <v>915866.72851699998</v>
      </c>
      <c r="L1364" s="1">
        <f t="shared" si="86"/>
        <v>0</v>
      </c>
      <c r="M1364" s="1">
        <f t="shared" si="87"/>
        <v>0</v>
      </c>
      <c r="N1364" s="1">
        <f t="shared" si="88"/>
        <v>0</v>
      </c>
      <c r="O1364" s="1"/>
    </row>
    <row r="1365" spans="1:15" x14ac:dyDescent="0.25">
      <c r="A1365">
        <v>2342</v>
      </c>
      <c r="B1365">
        <v>22344.64819</v>
      </c>
      <c r="C1365">
        <v>0</v>
      </c>
      <c r="D1365">
        <v>75113.985790000006</v>
      </c>
      <c r="E1365">
        <v>0</v>
      </c>
      <c r="F1365">
        <v>204857.07629999999</v>
      </c>
      <c r="G1365">
        <v>0</v>
      </c>
      <c r="H1365">
        <v>2342</v>
      </c>
      <c r="I1365" t="str">
        <f t="shared" si="85"/>
        <v>YES</v>
      </c>
      <c r="J1365" t="s">
        <v>1371</v>
      </c>
      <c r="K1365">
        <v>1009939.39376</v>
      </c>
      <c r="L1365" s="1">
        <f t="shared" si="86"/>
        <v>0</v>
      </c>
      <c r="M1365" s="1">
        <f t="shared" si="87"/>
        <v>0</v>
      </c>
      <c r="N1365" s="1">
        <f t="shared" si="88"/>
        <v>0</v>
      </c>
      <c r="O1365" s="1"/>
    </row>
    <row r="1366" spans="1:15" x14ac:dyDescent="0.25">
      <c r="A1366">
        <v>2343</v>
      </c>
      <c r="B1366">
        <v>12411.87067</v>
      </c>
      <c r="C1366">
        <v>0</v>
      </c>
      <c r="D1366">
        <v>64382.905579999999</v>
      </c>
      <c r="E1366">
        <v>0</v>
      </c>
      <c r="F1366">
        <v>122993.5589</v>
      </c>
      <c r="G1366">
        <v>0</v>
      </c>
      <c r="H1366">
        <v>2343</v>
      </c>
      <c r="I1366" t="str">
        <f t="shared" si="85"/>
        <v>YES</v>
      </c>
      <c r="J1366" t="s">
        <v>1372</v>
      </c>
      <c r="K1366">
        <v>996815.53466400004</v>
      </c>
      <c r="L1366" s="1">
        <f t="shared" si="86"/>
        <v>0</v>
      </c>
      <c r="M1366" s="1">
        <f t="shared" si="87"/>
        <v>0</v>
      </c>
      <c r="N1366" s="1">
        <f t="shared" si="88"/>
        <v>0</v>
      </c>
      <c r="O1366" s="1"/>
    </row>
    <row r="1367" spans="1:15" x14ac:dyDescent="0.25">
      <c r="A1367">
        <v>2346</v>
      </c>
      <c r="B1367">
        <v>13885.611290000001</v>
      </c>
      <c r="C1367">
        <v>0</v>
      </c>
      <c r="D1367">
        <v>59157.880640000003</v>
      </c>
      <c r="E1367">
        <v>0</v>
      </c>
      <c r="F1367">
        <v>261982.87349999999</v>
      </c>
      <c r="G1367">
        <v>0</v>
      </c>
      <c r="H1367">
        <v>2346</v>
      </c>
      <c r="I1367" t="str">
        <f t="shared" si="85"/>
        <v>YES</v>
      </c>
      <c r="J1367" t="s">
        <v>1373</v>
      </c>
      <c r="K1367">
        <v>1117107.0676800001</v>
      </c>
      <c r="L1367" s="1">
        <f t="shared" si="86"/>
        <v>0</v>
      </c>
      <c r="M1367" s="1">
        <f t="shared" si="87"/>
        <v>0</v>
      </c>
      <c r="N1367" s="1">
        <f t="shared" si="88"/>
        <v>0</v>
      </c>
      <c r="O1367" s="1"/>
    </row>
    <row r="1368" spans="1:15" x14ac:dyDescent="0.25">
      <c r="A1368">
        <v>2347</v>
      </c>
      <c r="B1368">
        <v>17775.656650000001</v>
      </c>
      <c r="C1368">
        <v>0</v>
      </c>
      <c r="D1368">
        <v>62917.131609999997</v>
      </c>
      <c r="E1368">
        <v>0</v>
      </c>
      <c r="F1368">
        <v>225173.36540000001</v>
      </c>
      <c r="G1368">
        <v>0</v>
      </c>
      <c r="H1368">
        <v>2347</v>
      </c>
      <c r="I1368" t="str">
        <f t="shared" si="85"/>
        <v>YES</v>
      </c>
      <c r="J1368" t="s">
        <v>1374</v>
      </c>
      <c r="K1368">
        <v>750767.82912000001</v>
      </c>
      <c r="L1368" s="1">
        <f t="shared" si="86"/>
        <v>0</v>
      </c>
      <c r="M1368" s="1">
        <f t="shared" si="87"/>
        <v>0</v>
      </c>
      <c r="N1368" s="1">
        <f t="shared" si="88"/>
        <v>0</v>
      </c>
      <c r="O1368" s="1"/>
    </row>
    <row r="1369" spans="1:15" x14ac:dyDescent="0.25">
      <c r="A1369">
        <v>2348</v>
      </c>
      <c r="B1369">
        <v>13394.079</v>
      </c>
      <c r="C1369">
        <v>0</v>
      </c>
      <c r="D1369">
        <v>50842.049529999997</v>
      </c>
      <c r="E1369">
        <v>0</v>
      </c>
      <c r="F1369">
        <v>179458.47039999999</v>
      </c>
      <c r="G1369">
        <v>0</v>
      </c>
      <c r="H1369">
        <v>2348</v>
      </c>
      <c r="I1369" t="str">
        <f t="shared" si="85"/>
        <v>YES</v>
      </c>
      <c r="J1369" t="s">
        <v>1375</v>
      </c>
      <c r="K1369">
        <v>1166854.3804200001</v>
      </c>
      <c r="L1369" s="1">
        <f t="shared" si="86"/>
        <v>0</v>
      </c>
      <c r="M1369" s="1">
        <f t="shared" si="87"/>
        <v>0</v>
      </c>
      <c r="N1369" s="1">
        <f t="shared" si="88"/>
        <v>0</v>
      </c>
      <c r="O1369" s="1"/>
    </row>
    <row r="1370" spans="1:15" x14ac:dyDescent="0.25">
      <c r="A1370">
        <v>2349</v>
      </c>
      <c r="B1370">
        <v>4139.7488810000004</v>
      </c>
      <c r="C1370">
        <v>0</v>
      </c>
      <c r="D1370">
        <v>28440.441760000002</v>
      </c>
      <c r="E1370">
        <v>0</v>
      </c>
      <c r="F1370">
        <v>81319.191999999995</v>
      </c>
      <c r="G1370">
        <v>0</v>
      </c>
      <c r="H1370">
        <v>2349</v>
      </c>
      <c r="I1370" t="str">
        <f t="shared" si="85"/>
        <v>YES</v>
      </c>
      <c r="J1370" t="s">
        <v>1376</v>
      </c>
      <c r="K1370">
        <v>1038303.86176</v>
      </c>
      <c r="L1370" s="1">
        <f t="shared" si="86"/>
        <v>0</v>
      </c>
      <c r="M1370" s="1">
        <f t="shared" si="87"/>
        <v>0</v>
      </c>
      <c r="N1370" s="1">
        <f t="shared" si="88"/>
        <v>0</v>
      </c>
      <c r="O1370" s="1"/>
    </row>
    <row r="1371" spans="1:15" x14ac:dyDescent="0.25">
      <c r="A1371">
        <v>2350</v>
      </c>
      <c r="B1371">
        <v>14784.036749999999</v>
      </c>
      <c r="C1371">
        <v>0</v>
      </c>
      <c r="D1371">
        <v>50426.3272</v>
      </c>
      <c r="E1371">
        <v>0</v>
      </c>
      <c r="F1371">
        <v>167488.21890000001</v>
      </c>
      <c r="G1371">
        <v>0</v>
      </c>
      <c r="H1371">
        <v>2350</v>
      </c>
      <c r="I1371" t="str">
        <f t="shared" si="85"/>
        <v>YES</v>
      </c>
      <c r="J1371" t="s">
        <v>1377</v>
      </c>
      <c r="K1371">
        <v>983824.17681099998</v>
      </c>
      <c r="L1371" s="1">
        <f t="shared" si="86"/>
        <v>0</v>
      </c>
      <c r="M1371" s="1">
        <f t="shared" si="87"/>
        <v>0</v>
      </c>
      <c r="N1371" s="1">
        <f t="shared" si="88"/>
        <v>0</v>
      </c>
      <c r="O1371" s="1"/>
    </row>
    <row r="1372" spans="1:15" x14ac:dyDescent="0.25">
      <c r="A1372">
        <v>2351</v>
      </c>
      <c r="B1372">
        <v>7654.1416479999998</v>
      </c>
      <c r="C1372">
        <v>0</v>
      </c>
      <c r="D1372">
        <v>34539.308799999999</v>
      </c>
      <c r="E1372">
        <v>0</v>
      </c>
      <c r="F1372">
        <v>124898.09729999999</v>
      </c>
      <c r="G1372">
        <v>0</v>
      </c>
      <c r="H1372">
        <v>2351</v>
      </c>
      <c r="I1372" t="str">
        <f t="shared" si="85"/>
        <v>YES</v>
      </c>
      <c r="J1372" t="s">
        <v>1378</v>
      </c>
      <c r="K1372">
        <v>534976.95911399997</v>
      </c>
      <c r="L1372" s="1">
        <f t="shared" si="86"/>
        <v>0</v>
      </c>
      <c r="M1372" s="1">
        <f t="shared" si="87"/>
        <v>0</v>
      </c>
      <c r="N1372" s="1">
        <f t="shared" si="88"/>
        <v>0</v>
      </c>
      <c r="O1372" s="1"/>
    </row>
    <row r="1373" spans="1:15" x14ac:dyDescent="0.25">
      <c r="A1373">
        <v>2352</v>
      </c>
      <c r="B1373">
        <v>4123.7917260000004</v>
      </c>
      <c r="C1373">
        <v>0</v>
      </c>
      <c r="D1373">
        <v>32034.823609999999</v>
      </c>
      <c r="E1373">
        <v>0</v>
      </c>
      <c r="F1373">
        <v>137208.75380000001</v>
      </c>
      <c r="G1373">
        <v>0</v>
      </c>
      <c r="H1373">
        <v>2352</v>
      </c>
      <c r="I1373" t="str">
        <f t="shared" si="85"/>
        <v>YES</v>
      </c>
      <c r="J1373" t="s">
        <v>1379</v>
      </c>
      <c r="K1373">
        <v>735725.7156</v>
      </c>
      <c r="L1373" s="1">
        <f t="shared" si="86"/>
        <v>0</v>
      </c>
      <c r="M1373" s="1">
        <f t="shared" si="87"/>
        <v>0</v>
      </c>
      <c r="N1373" s="1">
        <f t="shared" si="88"/>
        <v>0</v>
      </c>
      <c r="O1373" s="1"/>
    </row>
    <row r="1374" spans="1:15" x14ac:dyDescent="0.25">
      <c r="A1374">
        <v>2353</v>
      </c>
      <c r="B1374">
        <v>12615.325940000001</v>
      </c>
      <c r="C1374">
        <v>0</v>
      </c>
      <c r="D1374">
        <v>47593.93015</v>
      </c>
      <c r="E1374">
        <v>0</v>
      </c>
      <c r="F1374">
        <v>157651.6439</v>
      </c>
      <c r="G1374">
        <v>0</v>
      </c>
      <c r="H1374">
        <v>2353</v>
      </c>
      <c r="I1374" t="str">
        <f t="shared" si="85"/>
        <v>YES</v>
      </c>
      <c r="J1374" t="s">
        <v>1380</v>
      </c>
      <c r="K1374">
        <v>642381.85435899999</v>
      </c>
      <c r="L1374" s="1">
        <f t="shared" si="86"/>
        <v>0</v>
      </c>
      <c r="M1374" s="1">
        <f t="shared" si="87"/>
        <v>0</v>
      </c>
      <c r="N1374" s="1">
        <f t="shared" si="88"/>
        <v>0</v>
      </c>
      <c r="O1374" s="1"/>
    </row>
    <row r="1375" spans="1:15" x14ac:dyDescent="0.25">
      <c r="A1375">
        <v>2356</v>
      </c>
      <c r="B1375">
        <v>22582.803189999999</v>
      </c>
      <c r="C1375">
        <v>0</v>
      </c>
      <c r="D1375">
        <v>58794.675060000001</v>
      </c>
      <c r="E1375">
        <v>0</v>
      </c>
      <c r="F1375">
        <v>267964.56920000003</v>
      </c>
      <c r="G1375">
        <v>0</v>
      </c>
      <c r="H1375">
        <v>2356</v>
      </c>
      <c r="I1375" t="str">
        <f t="shared" si="85"/>
        <v>YES</v>
      </c>
      <c r="J1375" t="s">
        <v>1381</v>
      </c>
      <c r="K1375">
        <v>510890.50843500003</v>
      </c>
      <c r="L1375" s="1">
        <f t="shared" si="86"/>
        <v>0</v>
      </c>
      <c r="M1375" s="1">
        <f t="shared" si="87"/>
        <v>0</v>
      </c>
      <c r="N1375" s="1">
        <f t="shared" si="88"/>
        <v>0</v>
      </c>
      <c r="O1375" s="1"/>
    </row>
    <row r="1376" spans="1:15" x14ac:dyDescent="0.25">
      <c r="A1376">
        <v>2357</v>
      </c>
      <c r="B1376">
        <v>16213.58365</v>
      </c>
      <c r="C1376">
        <v>0</v>
      </c>
      <c r="D1376">
        <v>39817.660060000002</v>
      </c>
      <c r="E1376">
        <v>0</v>
      </c>
      <c r="F1376">
        <v>189743.06690000001</v>
      </c>
      <c r="G1376">
        <v>0</v>
      </c>
      <c r="H1376">
        <v>2357</v>
      </c>
      <c r="I1376" t="str">
        <f t="shared" si="85"/>
        <v>YES</v>
      </c>
      <c r="J1376" t="s">
        <v>1382</v>
      </c>
      <c r="K1376">
        <v>867764.43948499998</v>
      </c>
      <c r="L1376" s="1">
        <f t="shared" si="86"/>
        <v>0</v>
      </c>
      <c r="M1376" s="1">
        <f t="shared" si="87"/>
        <v>0</v>
      </c>
      <c r="N1376" s="1">
        <f t="shared" si="88"/>
        <v>0</v>
      </c>
      <c r="O1376" s="1"/>
    </row>
    <row r="1377" spans="1:15" x14ac:dyDescent="0.25">
      <c r="A1377">
        <v>2358</v>
      </c>
      <c r="B1377">
        <v>23431.708040000001</v>
      </c>
      <c r="C1377">
        <v>0</v>
      </c>
      <c r="D1377">
        <v>115876.8377</v>
      </c>
      <c r="E1377">
        <v>0</v>
      </c>
      <c r="F1377">
        <v>744364.68539999996</v>
      </c>
      <c r="G1377">
        <v>0</v>
      </c>
      <c r="H1377">
        <v>2358</v>
      </c>
      <c r="I1377" t="str">
        <f t="shared" si="85"/>
        <v>YES</v>
      </c>
      <c r="J1377" t="s">
        <v>1383</v>
      </c>
      <c r="K1377">
        <v>679432.90864599997</v>
      </c>
      <c r="L1377" s="1">
        <f t="shared" si="86"/>
        <v>0</v>
      </c>
      <c r="M1377" s="1">
        <f t="shared" si="87"/>
        <v>0</v>
      </c>
      <c r="N1377" s="1">
        <f t="shared" si="88"/>
        <v>0</v>
      </c>
      <c r="O1377" s="1"/>
    </row>
    <row r="1378" spans="1:15" x14ac:dyDescent="0.25">
      <c r="A1378">
        <v>2359</v>
      </c>
      <c r="B1378">
        <v>8852.6879860000008</v>
      </c>
      <c r="C1378">
        <v>0</v>
      </c>
      <c r="D1378">
        <v>49933.622320000002</v>
      </c>
      <c r="E1378">
        <v>0</v>
      </c>
      <c r="F1378">
        <v>374495.75270000001</v>
      </c>
      <c r="G1378">
        <v>0</v>
      </c>
      <c r="H1378">
        <v>2359</v>
      </c>
      <c r="I1378" t="str">
        <f t="shared" si="85"/>
        <v>YES</v>
      </c>
      <c r="J1378" t="s">
        <v>1384</v>
      </c>
      <c r="K1378">
        <v>280374.14071399998</v>
      </c>
      <c r="L1378" s="1">
        <f t="shared" si="86"/>
        <v>0</v>
      </c>
      <c r="M1378" s="1">
        <f t="shared" si="87"/>
        <v>0</v>
      </c>
      <c r="N1378" s="1">
        <f t="shared" si="88"/>
        <v>0</v>
      </c>
      <c r="O1378" s="1"/>
    </row>
    <row r="1379" spans="1:15" x14ac:dyDescent="0.25">
      <c r="A1379">
        <v>2360</v>
      </c>
      <c r="B1379">
        <v>11801.09022</v>
      </c>
      <c r="C1379">
        <v>0</v>
      </c>
      <c r="D1379">
        <v>64693.74884</v>
      </c>
      <c r="E1379">
        <v>0</v>
      </c>
      <c r="F1379">
        <v>367384.45640000002</v>
      </c>
      <c r="G1379">
        <v>0</v>
      </c>
      <c r="H1379">
        <v>2360</v>
      </c>
      <c r="I1379" t="str">
        <f t="shared" si="85"/>
        <v>YES</v>
      </c>
      <c r="J1379" t="s">
        <v>1385</v>
      </c>
      <c r="K1379">
        <v>979861.54094500002</v>
      </c>
      <c r="L1379" s="1">
        <f t="shared" si="86"/>
        <v>0</v>
      </c>
      <c r="M1379" s="1">
        <f t="shared" si="87"/>
        <v>0</v>
      </c>
      <c r="N1379" s="1">
        <f t="shared" si="88"/>
        <v>0</v>
      </c>
      <c r="O1379" s="1"/>
    </row>
    <row r="1380" spans="1:15" x14ac:dyDescent="0.25">
      <c r="A1380">
        <v>2361</v>
      </c>
      <c r="B1380">
        <v>9911.862556</v>
      </c>
      <c r="C1380">
        <v>0</v>
      </c>
      <c r="D1380">
        <v>49287.923880000002</v>
      </c>
      <c r="E1380">
        <v>0</v>
      </c>
      <c r="F1380">
        <v>233230.1685</v>
      </c>
      <c r="G1380">
        <v>0</v>
      </c>
      <c r="H1380">
        <v>2361</v>
      </c>
      <c r="I1380" t="str">
        <f t="shared" si="85"/>
        <v>YES</v>
      </c>
      <c r="J1380" t="s">
        <v>1386</v>
      </c>
      <c r="K1380">
        <v>1013271.48857</v>
      </c>
      <c r="L1380" s="1">
        <f t="shared" si="86"/>
        <v>0</v>
      </c>
      <c r="M1380" s="1">
        <f t="shared" si="87"/>
        <v>0</v>
      </c>
      <c r="N1380" s="1">
        <f t="shared" si="88"/>
        <v>0</v>
      </c>
      <c r="O1380" s="1"/>
    </row>
    <row r="1381" spans="1:15" x14ac:dyDescent="0.25">
      <c r="A1381">
        <v>2362</v>
      </c>
      <c r="B1381">
        <v>3371.1959590000001</v>
      </c>
      <c r="C1381">
        <v>0</v>
      </c>
      <c r="D1381">
        <v>55499.417909999996</v>
      </c>
      <c r="E1381">
        <v>0</v>
      </c>
      <c r="F1381">
        <v>196842.7248</v>
      </c>
      <c r="G1381">
        <v>0</v>
      </c>
      <c r="H1381">
        <v>2362</v>
      </c>
      <c r="I1381" t="str">
        <f t="shared" si="85"/>
        <v>YES</v>
      </c>
      <c r="J1381" t="s">
        <v>1387</v>
      </c>
      <c r="K1381">
        <v>684755.19737399998</v>
      </c>
      <c r="L1381" s="1">
        <f t="shared" si="86"/>
        <v>0</v>
      </c>
      <c r="M1381" s="1">
        <f t="shared" si="87"/>
        <v>0</v>
      </c>
      <c r="N1381" s="1">
        <f t="shared" si="88"/>
        <v>0</v>
      </c>
      <c r="O1381" s="1"/>
    </row>
    <row r="1382" spans="1:15" x14ac:dyDescent="0.25">
      <c r="A1382">
        <v>2363</v>
      </c>
      <c r="B1382">
        <v>2216.0178190000001</v>
      </c>
      <c r="C1382">
        <v>0</v>
      </c>
      <c r="D1382">
        <v>32911.021719999997</v>
      </c>
      <c r="E1382">
        <v>0</v>
      </c>
      <c r="F1382">
        <v>110614.3514</v>
      </c>
      <c r="G1382">
        <v>0</v>
      </c>
      <c r="H1382">
        <v>2363</v>
      </c>
      <c r="I1382" t="str">
        <f t="shared" si="85"/>
        <v>YES</v>
      </c>
      <c r="J1382" t="s">
        <v>1388</v>
      </c>
      <c r="K1382">
        <v>1480801.62353</v>
      </c>
      <c r="L1382" s="1">
        <f t="shared" si="86"/>
        <v>0</v>
      </c>
      <c r="M1382" s="1">
        <f t="shared" si="87"/>
        <v>0</v>
      </c>
      <c r="N1382" s="1">
        <f t="shared" si="88"/>
        <v>0</v>
      </c>
      <c r="O1382" s="1"/>
    </row>
    <row r="1383" spans="1:15" x14ac:dyDescent="0.25">
      <c r="A1383">
        <v>2366</v>
      </c>
      <c r="B1383">
        <v>1115.674223</v>
      </c>
      <c r="C1383">
        <v>0</v>
      </c>
      <c r="D1383">
        <v>17118.737239999999</v>
      </c>
      <c r="E1383">
        <v>0</v>
      </c>
      <c r="F1383">
        <v>81407.58683</v>
      </c>
      <c r="G1383">
        <v>0</v>
      </c>
      <c r="H1383">
        <v>2366</v>
      </c>
      <c r="I1383" t="str">
        <f t="shared" si="85"/>
        <v>YES</v>
      </c>
      <c r="J1383" t="s">
        <v>1389</v>
      </c>
      <c r="K1383">
        <v>2164399.2543600001</v>
      </c>
      <c r="L1383" s="1">
        <f t="shared" si="86"/>
        <v>0</v>
      </c>
      <c r="M1383" s="1">
        <f t="shared" si="87"/>
        <v>0</v>
      </c>
      <c r="N1383" s="1">
        <f t="shared" si="88"/>
        <v>0</v>
      </c>
      <c r="O1383" s="1"/>
    </row>
    <row r="1384" spans="1:15" x14ac:dyDescent="0.25">
      <c r="A1384">
        <v>2367</v>
      </c>
      <c r="B1384">
        <v>18519.346300000001</v>
      </c>
      <c r="C1384">
        <v>0</v>
      </c>
      <c r="D1384">
        <v>77200.243069999997</v>
      </c>
      <c r="E1384">
        <v>0</v>
      </c>
      <c r="F1384">
        <v>264437.65159999998</v>
      </c>
      <c r="G1384">
        <v>0</v>
      </c>
      <c r="H1384">
        <v>2367</v>
      </c>
      <c r="I1384" t="str">
        <f t="shared" si="85"/>
        <v>YES</v>
      </c>
      <c r="J1384" t="s">
        <v>1390</v>
      </c>
      <c r="K1384">
        <v>1435967.04788</v>
      </c>
      <c r="L1384" s="1">
        <f t="shared" si="86"/>
        <v>0</v>
      </c>
      <c r="M1384" s="1">
        <f t="shared" si="87"/>
        <v>0</v>
      </c>
      <c r="N1384" s="1">
        <f t="shared" si="88"/>
        <v>0</v>
      </c>
      <c r="O1384" s="1"/>
    </row>
    <row r="1385" spans="1:15" x14ac:dyDescent="0.25">
      <c r="A1385">
        <v>2368</v>
      </c>
      <c r="B1385">
        <v>16406.450580000001</v>
      </c>
      <c r="C1385">
        <v>0</v>
      </c>
      <c r="D1385">
        <v>79310.248569999996</v>
      </c>
      <c r="E1385">
        <v>0</v>
      </c>
      <c r="F1385">
        <v>507183.68890000001</v>
      </c>
      <c r="G1385">
        <v>0</v>
      </c>
      <c r="H1385">
        <v>2368</v>
      </c>
      <c r="I1385" t="str">
        <f t="shared" si="85"/>
        <v>YES</v>
      </c>
      <c r="J1385" t="s">
        <v>1391</v>
      </c>
      <c r="K1385">
        <v>738348.96580300003</v>
      </c>
      <c r="L1385" s="1">
        <f t="shared" si="86"/>
        <v>0</v>
      </c>
      <c r="M1385" s="1">
        <f t="shared" si="87"/>
        <v>0</v>
      </c>
      <c r="N1385" s="1">
        <f t="shared" si="88"/>
        <v>0</v>
      </c>
      <c r="O1385" s="1"/>
    </row>
    <row r="1386" spans="1:15" x14ac:dyDescent="0.25">
      <c r="A1386">
        <v>2369</v>
      </c>
      <c r="B1386">
        <v>1244.7628239999999</v>
      </c>
      <c r="C1386">
        <v>0</v>
      </c>
      <c r="D1386">
        <v>10627.850899999999</v>
      </c>
      <c r="E1386">
        <v>0</v>
      </c>
      <c r="F1386">
        <v>64510.833250000003</v>
      </c>
      <c r="G1386">
        <v>0</v>
      </c>
      <c r="H1386">
        <v>2369</v>
      </c>
      <c r="I1386" t="str">
        <f t="shared" si="85"/>
        <v>YES</v>
      </c>
      <c r="J1386" t="s">
        <v>1392</v>
      </c>
      <c r="K1386">
        <v>1984587.9730199999</v>
      </c>
      <c r="L1386" s="1">
        <f t="shared" si="86"/>
        <v>0</v>
      </c>
      <c r="M1386" s="1">
        <f t="shared" si="87"/>
        <v>0</v>
      </c>
      <c r="N1386" s="1">
        <f t="shared" si="88"/>
        <v>0</v>
      </c>
      <c r="O1386" s="1"/>
    </row>
    <row r="1387" spans="1:15" x14ac:dyDescent="0.25">
      <c r="A1387">
        <v>2370</v>
      </c>
      <c r="B1387">
        <v>6324.0092180000001</v>
      </c>
      <c r="C1387">
        <v>0</v>
      </c>
      <c r="D1387">
        <v>81417.486699999994</v>
      </c>
      <c r="E1387">
        <v>0</v>
      </c>
      <c r="F1387">
        <v>750003.62589999998</v>
      </c>
      <c r="G1387">
        <v>0</v>
      </c>
      <c r="H1387">
        <v>2370</v>
      </c>
      <c r="I1387" t="str">
        <f t="shared" si="85"/>
        <v>YES</v>
      </c>
      <c r="J1387" t="s">
        <v>1393</v>
      </c>
      <c r="K1387">
        <v>767568.47802899999</v>
      </c>
      <c r="L1387" s="1">
        <f t="shared" si="86"/>
        <v>0</v>
      </c>
      <c r="M1387" s="1">
        <f t="shared" si="87"/>
        <v>0</v>
      </c>
      <c r="N1387" s="1">
        <f t="shared" si="88"/>
        <v>0</v>
      </c>
      <c r="O1387" s="1"/>
    </row>
    <row r="1388" spans="1:15" x14ac:dyDescent="0.25">
      <c r="A1388">
        <v>2371</v>
      </c>
      <c r="B1388">
        <v>4208.6502449999998</v>
      </c>
      <c r="C1388">
        <v>0</v>
      </c>
      <c r="D1388">
        <v>30845.287929999999</v>
      </c>
      <c r="E1388">
        <v>0</v>
      </c>
      <c r="F1388">
        <v>236497.83790000001</v>
      </c>
      <c r="G1388">
        <v>0</v>
      </c>
      <c r="H1388">
        <v>2371</v>
      </c>
      <c r="I1388" t="str">
        <f t="shared" si="85"/>
        <v>YES</v>
      </c>
      <c r="J1388" t="s">
        <v>1394</v>
      </c>
      <c r="K1388">
        <v>293005.7414</v>
      </c>
      <c r="L1388" s="1">
        <f t="shared" si="86"/>
        <v>0</v>
      </c>
      <c r="M1388" s="1">
        <f t="shared" si="87"/>
        <v>0</v>
      </c>
      <c r="N1388" s="1">
        <f t="shared" si="88"/>
        <v>0</v>
      </c>
      <c r="O1388" s="1"/>
    </row>
    <row r="1389" spans="1:15" x14ac:dyDescent="0.25">
      <c r="A1389">
        <v>2372</v>
      </c>
      <c r="B1389">
        <v>4378.4598100000003</v>
      </c>
      <c r="C1389">
        <v>0</v>
      </c>
      <c r="D1389">
        <v>25227.25361</v>
      </c>
      <c r="E1389">
        <v>0</v>
      </c>
      <c r="F1389">
        <v>442531.53220000002</v>
      </c>
      <c r="G1389">
        <v>0</v>
      </c>
      <c r="H1389">
        <v>2372</v>
      </c>
      <c r="I1389" t="str">
        <f t="shared" si="85"/>
        <v>YES</v>
      </c>
      <c r="J1389" t="s">
        <v>1395</v>
      </c>
      <c r="K1389">
        <v>908283.31916900002</v>
      </c>
      <c r="L1389" s="1">
        <f t="shared" si="86"/>
        <v>0</v>
      </c>
      <c r="M1389" s="1">
        <f t="shared" si="87"/>
        <v>0</v>
      </c>
      <c r="N1389" s="1">
        <f t="shared" si="88"/>
        <v>0</v>
      </c>
      <c r="O1389" s="1"/>
    </row>
    <row r="1390" spans="1:15" x14ac:dyDescent="0.25">
      <c r="A1390">
        <v>2373</v>
      </c>
      <c r="B1390">
        <v>4914.3570799999998</v>
      </c>
      <c r="C1390">
        <v>0</v>
      </c>
      <c r="D1390">
        <v>60531.263980000003</v>
      </c>
      <c r="E1390">
        <v>0</v>
      </c>
      <c r="F1390">
        <v>634428.8713</v>
      </c>
      <c r="G1390">
        <v>0</v>
      </c>
      <c r="H1390">
        <v>2373</v>
      </c>
      <c r="I1390" t="str">
        <f t="shared" si="85"/>
        <v>YES</v>
      </c>
      <c r="J1390" t="s">
        <v>1396</v>
      </c>
      <c r="K1390">
        <v>930462.50892399997</v>
      </c>
      <c r="L1390" s="1">
        <f t="shared" si="86"/>
        <v>0</v>
      </c>
      <c r="M1390" s="1">
        <f t="shared" si="87"/>
        <v>0</v>
      </c>
      <c r="N1390" s="1">
        <f t="shared" si="88"/>
        <v>0</v>
      </c>
      <c r="O1390" s="1"/>
    </row>
    <row r="1391" spans="1:15" x14ac:dyDescent="0.25">
      <c r="A1391">
        <v>2374</v>
      </c>
      <c r="B1391">
        <v>4175.5759980000003</v>
      </c>
      <c r="C1391">
        <v>0</v>
      </c>
      <c r="D1391">
        <v>12918.43413</v>
      </c>
      <c r="E1391">
        <v>0</v>
      </c>
      <c r="F1391">
        <v>93548.28125</v>
      </c>
      <c r="G1391">
        <v>0</v>
      </c>
      <c r="H1391">
        <v>2374</v>
      </c>
      <c r="I1391" t="str">
        <f t="shared" si="85"/>
        <v>YES</v>
      </c>
      <c r="J1391" t="s">
        <v>1397</v>
      </c>
      <c r="K1391">
        <v>562586.76037799998</v>
      </c>
      <c r="L1391" s="1">
        <f t="shared" si="86"/>
        <v>0</v>
      </c>
      <c r="M1391" s="1">
        <f t="shared" si="87"/>
        <v>0</v>
      </c>
      <c r="N1391" s="1">
        <f t="shared" si="88"/>
        <v>0</v>
      </c>
      <c r="O1391" s="1"/>
    </row>
    <row r="1392" spans="1:15" x14ac:dyDescent="0.25">
      <c r="A1392">
        <v>2375</v>
      </c>
      <c r="B1392">
        <v>1759.969004</v>
      </c>
      <c r="C1392">
        <v>0</v>
      </c>
      <c r="D1392">
        <v>7651.6452069999996</v>
      </c>
      <c r="E1392">
        <v>0</v>
      </c>
      <c r="F1392">
        <v>85065.569310000006</v>
      </c>
      <c r="G1392">
        <v>0</v>
      </c>
      <c r="H1392">
        <v>2375</v>
      </c>
      <c r="I1392" t="str">
        <f t="shared" si="85"/>
        <v>YES</v>
      </c>
      <c r="J1392" t="s">
        <v>1398</v>
      </c>
      <c r="K1392">
        <v>1177559.8192799999</v>
      </c>
      <c r="L1392" s="1">
        <f t="shared" si="86"/>
        <v>0</v>
      </c>
      <c r="M1392" s="1">
        <f t="shared" si="87"/>
        <v>0</v>
      </c>
      <c r="N1392" s="1">
        <f t="shared" si="88"/>
        <v>0</v>
      </c>
      <c r="O1392" s="1"/>
    </row>
    <row r="1393" spans="1:15" x14ac:dyDescent="0.25">
      <c r="A1393">
        <v>2376</v>
      </c>
      <c r="B1393">
        <v>4510.5886170000003</v>
      </c>
      <c r="C1393">
        <v>0</v>
      </c>
      <c r="D1393">
        <v>15773.28888</v>
      </c>
      <c r="E1393">
        <v>0</v>
      </c>
      <c r="F1393">
        <v>82818.721309999994</v>
      </c>
      <c r="G1393">
        <v>0</v>
      </c>
      <c r="H1393">
        <v>2376</v>
      </c>
      <c r="I1393" t="str">
        <f t="shared" si="85"/>
        <v>YES</v>
      </c>
      <c r="J1393" t="s">
        <v>1399</v>
      </c>
      <c r="K1393">
        <v>584805.33842399996</v>
      </c>
      <c r="L1393" s="1">
        <f t="shared" si="86"/>
        <v>0</v>
      </c>
      <c r="M1393" s="1">
        <f t="shared" si="87"/>
        <v>0</v>
      </c>
      <c r="N1393" s="1">
        <f t="shared" si="88"/>
        <v>0</v>
      </c>
      <c r="O1393" s="1"/>
    </row>
    <row r="1394" spans="1:15" x14ac:dyDescent="0.25">
      <c r="A1394">
        <v>2377</v>
      </c>
      <c r="B1394">
        <v>604.89431279999997</v>
      </c>
      <c r="C1394">
        <v>0</v>
      </c>
      <c r="D1394">
        <v>4647.2932090000004</v>
      </c>
      <c r="E1394">
        <v>0</v>
      </c>
      <c r="F1394">
        <v>33594.872620000002</v>
      </c>
      <c r="G1394">
        <v>0</v>
      </c>
      <c r="H1394">
        <v>2377</v>
      </c>
      <c r="I1394" t="str">
        <f t="shared" si="85"/>
        <v>YES</v>
      </c>
      <c r="J1394" t="s">
        <v>1400</v>
      </c>
      <c r="K1394">
        <v>2817525.68432</v>
      </c>
      <c r="L1394" s="1">
        <f t="shared" si="86"/>
        <v>0</v>
      </c>
      <c r="M1394" s="1">
        <f t="shared" si="87"/>
        <v>0</v>
      </c>
      <c r="N1394" s="1">
        <f t="shared" si="88"/>
        <v>0</v>
      </c>
      <c r="O1394" s="1"/>
    </row>
    <row r="1395" spans="1:15" x14ac:dyDescent="0.25">
      <c r="A1395">
        <v>2380</v>
      </c>
      <c r="B1395">
        <v>22392.29967</v>
      </c>
      <c r="C1395">
        <v>0</v>
      </c>
      <c r="D1395">
        <v>48850.705909999997</v>
      </c>
      <c r="E1395">
        <v>0</v>
      </c>
      <c r="F1395">
        <v>199381.32180000001</v>
      </c>
      <c r="G1395">
        <v>0</v>
      </c>
      <c r="H1395">
        <v>2380</v>
      </c>
      <c r="I1395" t="str">
        <f t="shared" si="85"/>
        <v>YES</v>
      </c>
      <c r="J1395" t="s">
        <v>1401</v>
      </c>
      <c r="K1395">
        <v>689692.91522199998</v>
      </c>
      <c r="L1395" s="1">
        <f t="shared" si="86"/>
        <v>0</v>
      </c>
      <c r="M1395" s="1">
        <f t="shared" si="87"/>
        <v>0</v>
      </c>
      <c r="N1395" s="1">
        <f t="shared" si="88"/>
        <v>0</v>
      </c>
      <c r="O1395" s="1"/>
    </row>
    <row r="1396" spans="1:15" x14ac:dyDescent="0.25">
      <c r="A1396">
        <v>2381</v>
      </c>
      <c r="B1396">
        <v>20785.131089999999</v>
      </c>
      <c r="C1396">
        <v>0</v>
      </c>
      <c r="D1396">
        <v>49733.363230000003</v>
      </c>
      <c r="E1396">
        <v>0</v>
      </c>
      <c r="F1396">
        <v>239648.47330000001</v>
      </c>
      <c r="G1396">
        <v>0</v>
      </c>
      <c r="H1396">
        <v>2381</v>
      </c>
      <c r="I1396" t="str">
        <f t="shared" si="85"/>
        <v>YES</v>
      </c>
      <c r="J1396" t="s">
        <v>1402</v>
      </c>
      <c r="K1396">
        <v>1289739.56219</v>
      </c>
      <c r="L1396" s="1">
        <f t="shared" si="86"/>
        <v>0</v>
      </c>
      <c r="M1396" s="1">
        <f t="shared" si="87"/>
        <v>0</v>
      </c>
      <c r="N1396" s="1">
        <f t="shared" si="88"/>
        <v>0</v>
      </c>
      <c r="O1396" s="1"/>
    </row>
    <row r="1397" spans="1:15" x14ac:dyDescent="0.25">
      <c r="A1397">
        <v>2382</v>
      </c>
      <c r="B1397">
        <v>9717.0596619999997</v>
      </c>
      <c r="C1397">
        <v>0</v>
      </c>
      <c r="D1397">
        <v>66506.619340000005</v>
      </c>
      <c r="E1397">
        <v>0</v>
      </c>
      <c r="F1397">
        <v>584187.07339999999</v>
      </c>
      <c r="G1397">
        <v>0</v>
      </c>
      <c r="H1397">
        <v>2382</v>
      </c>
      <c r="I1397" t="str">
        <f t="shared" si="85"/>
        <v>YES</v>
      </c>
      <c r="J1397" t="s">
        <v>1403</v>
      </c>
      <c r="K1397">
        <v>431730.485208</v>
      </c>
      <c r="L1397" s="1">
        <f t="shared" si="86"/>
        <v>0</v>
      </c>
      <c r="M1397" s="1">
        <f t="shared" si="87"/>
        <v>0</v>
      </c>
      <c r="N1397" s="1">
        <f t="shared" si="88"/>
        <v>0</v>
      </c>
      <c r="O1397" s="1"/>
    </row>
    <row r="1398" spans="1:15" x14ac:dyDescent="0.25">
      <c r="A1398">
        <v>2383</v>
      </c>
      <c r="B1398">
        <v>17820.928059999998</v>
      </c>
      <c r="C1398">
        <v>0</v>
      </c>
      <c r="D1398">
        <v>89266.982329999999</v>
      </c>
      <c r="E1398">
        <v>0</v>
      </c>
      <c r="F1398">
        <v>748807.98349999997</v>
      </c>
      <c r="G1398">
        <v>0</v>
      </c>
      <c r="H1398">
        <v>2383</v>
      </c>
      <c r="I1398" t="str">
        <f t="shared" si="85"/>
        <v>YES</v>
      </c>
      <c r="J1398" t="s">
        <v>1404</v>
      </c>
      <c r="K1398">
        <v>592185.68357800005</v>
      </c>
      <c r="L1398" s="1">
        <f t="shared" si="86"/>
        <v>0</v>
      </c>
      <c r="M1398" s="1">
        <f t="shared" si="87"/>
        <v>0</v>
      </c>
      <c r="N1398" s="1">
        <f t="shared" si="88"/>
        <v>0</v>
      </c>
      <c r="O1398" s="1"/>
    </row>
    <row r="1399" spans="1:15" x14ac:dyDescent="0.25">
      <c r="A1399">
        <v>2384</v>
      </c>
      <c r="B1399">
        <v>10252.66646</v>
      </c>
      <c r="C1399">
        <v>0</v>
      </c>
      <c r="D1399">
        <v>114755.8847</v>
      </c>
      <c r="E1399">
        <v>0</v>
      </c>
      <c r="F1399">
        <v>843246.9497</v>
      </c>
      <c r="G1399">
        <v>0</v>
      </c>
      <c r="H1399">
        <v>2384</v>
      </c>
      <c r="I1399" t="str">
        <f t="shared" si="85"/>
        <v>YES</v>
      </c>
      <c r="J1399" t="s">
        <v>1405</v>
      </c>
      <c r="K1399">
        <v>342254.23596100003</v>
      </c>
      <c r="L1399" s="1">
        <f t="shared" si="86"/>
        <v>0</v>
      </c>
      <c r="M1399" s="1">
        <f t="shared" si="87"/>
        <v>0</v>
      </c>
      <c r="N1399" s="1">
        <f t="shared" si="88"/>
        <v>0</v>
      </c>
      <c r="O1399" s="1"/>
    </row>
    <row r="1400" spans="1:15" x14ac:dyDescent="0.25">
      <c r="A1400">
        <v>2385</v>
      </c>
      <c r="B1400">
        <v>6327.0735480000003</v>
      </c>
      <c r="C1400">
        <v>0</v>
      </c>
      <c r="D1400">
        <v>66511.068530000004</v>
      </c>
      <c r="E1400">
        <v>0</v>
      </c>
      <c r="F1400">
        <v>608604.41159999999</v>
      </c>
      <c r="G1400">
        <v>0</v>
      </c>
      <c r="H1400">
        <v>2385</v>
      </c>
      <c r="I1400" t="str">
        <f t="shared" si="85"/>
        <v>YES</v>
      </c>
      <c r="J1400" t="s">
        <v>1406</v>
      </c>
      <c r="K1400">
        <v>329150.80127300002</v>
      </c>
      <c r="L1400" s="1">
        <f t="shared" si="86"/>
        <v>0</v>
      </c>
      <c r="M1400" s="1">
        <f t="shared" si="87"/>
        <v>0</v>
      </c>
      <c r="N1400" s="1">
        <f t="shared" si="88"/>
        <v>0</v>
      </c>
      <c r="O1400" s="1"/>
    </row>
    <row r="1401" spans="1:15" x14ac:dyDescent="0.25">
      <c r="A1401">
        <v>2386</v>
      </c>
      <c r="B1401">
        <v>4390.7856879999999</v>
      </c>
      <c r="C1401">
        <v>0</v>
      </c>
      <c r="D1401">
        <v>40049.552819999997</v>
      </c>
      <c r="E1401">
        <v>0</v>
      </c>
      <c r="F1401">
        <v>156986.27429999999</v>
      </c>
      <c r="G1401">
        <v>0</v>
      </c>
      <c r="H1401">
        <v>2386</v>
      </c>
      <c r="I1401" t="str">
        <f t="shared" si="85"/>
        <v>YES</v>
      </c>
      <c r="J1401" t="s">
        <v>1407</v>
      </c>
      <c r="K1401">
        <v>340632.96732300002</v>
      </c>
      <c r="L1401" s="1">
        <f t="shared" si="86"/>
        <v>0</v>
      </c>
      <c r="M1401" s="1">
        <f t="shared" si="87"/>
        <v>0</v>
      </c>
      <c r="N1401" s="1">
        <f t="shared" si="88"/>
        <v>0</v>
      </c>
      <c r="O1401" s="1"/>
    </row>
    <row r="1402" spans="1:15" x14ac:dyDescent="0.25">
      <c r="A1402">
        <v>2387</v>
      </c>
      <c r="B1402">
        <v>3156.6983559999999</v>
      </c>
      <c r="C1402">
        <v>0</v>
      </c>
      <c r="D1402">
        <v>33666.468489999999</v>
      </c>
      <c r="E1402">
        <v>0</v>
      </c>
      <c r="F1402">
        <v>133808.43960000001</v>
      </c>
      <c r="G1402">
        <v>0</v>
      </c>
      <c r="H1402">
        <v>2387</v>
      </c>
      <c r="I1402" t="str">
        <f t="shared" si="85"/>
        <v>YES</v>
      </c>
      <c r="J1402" t="s">
        <v>1408</v>
      </c>
      <c r="K1402">
        <v>1068554.40237</v>
      </c>
      <c r="L1402" s="1">
        <f t="shared" si="86"/>
        <v>0</v>
      </c>
      <c r="M1402" s="1">
        <f t="shared" si="87"/>
        <v>0</v>
      </c>
      <c r="N1402" s="1">
        <f t="shared" si="88"/>
        <v>0</v>
      </c>
      <c r="O1402" s="1"/>
    </row>
    <row r="1403" spans="1:15" x14ac:dyDescent="0.25">
      <c r="A1403">
        <v>2390</v>
      </c>
      <c r="B1403">
        <v>16895.13941</v>
      </c>
      <c r="C1403">
        <v>0</v>
      </c>
      <c r="D1403">
        <v>99675.016300000003</v>
      </c>
      <c r="E1403">
        <v>0</v>
      </c>
      <c r="F1403">
        <v>655484.62080000003</v>
      </c>
      <c r="G1403">
        <v>0</v>
      </c>
      <c r="H1403">
        <v>2390</v>
      </c>
      <c r="I1403" t="str">
        <f t="shared" si="85"/>
        <v>YES</v>
      </c>
      <c r="J1403" t="s">
        <v>1409</v>
      </c>
      <c r="K1403">
        <v>1193787.1776999999</v>
      </c>
      <c r="L1403" s="1">
        <f t="shared" si="86"/>
        <v>0</v>
      </c>
      <c r="M1403" s="1">
        <f t="shared" si="87"/>
        <v>0</v>
      </c>
      <c r="N1403" s="1">
        <f t="shared" si="88"/>
        <v>0</v>
      </c>
      <c r="O1403" s="1"/>
    </row>
    <row r="1404" spans="1:15" x14ac:dyDescent="0.25">
      <c r="A1404">
        <v>2391</v>
      </c>
      <c r="B1404">
        <v>13581.542890000001</v>
      </c>
      <c r="C1404">
        <v>0</v>
      </c>
      <c r="D1404">
        <v>47956.235549999998</v>
      </c>
      <c r="E1404">
        <v>0</v>
      </c>
      <c r="F1404">
        <v>245420.86420000001</v>
      </c>
      <c r="G1404">
        <v>0</v>
      </c>
      <c r="H1404">
        <v>2391</v>
      </c>
      <c r="I1404" t="str">
        <f t="shared" si="85"/>
        <v>YES</v>
      </c>
      <c r="J1404" t="s">
        <v>1410</v>
      </c>
      <c r="K1404">
        <v>386306.06743200001</v>
      </c>
      <c r="L1404" s="1">
        <f t="shared" si="86"/>
        <v>0</v>
      </c>
      <c r="M1404" s="1">
        <f t="shared" si="87"/>
        <v>0</v>
      </c>
      <c r="N1404" s="1">
        <f t="shared" si="88"/>
        <v>0</v>
      </c>
      <c r="O1404" s="1"/>
    </row>
    <row r="1405" spans="1:15" x14ac:dyDescent="0.25">
      <c r="A1405">
        <v>2392</v>
      </c>
      <c r="B1405">
        <v>11071.88795</v>
      </c>
      <c r="C1405">
        <v>0</v>
      </c>
      <c r="D1405">
        <v>48284.270709999997</v>
      </c>
      <c r="E1405">
        <v>0</v>
      </c>
      <c r="F1405">
        <v>189758.79759999999</v>
      </c>
      <c r="G1405">
        <v>0</v>
      </c>
      <c r="H1405">
        <v>2392</v>
      </c>
      <c r="I1405" t="str">
        <f t="shared" si="85"/>
        <v>YES</v>
      </c>
      <c r="J1405" t="s">
        <v>1411</v>
      </c>
      <c r="K1405">
        <v>458867.41733500001</v>
      </c>
      <c r="L1405" s="1">
        <f t="shared" si="86"/>
        <v>0</v>
      </c>
      <c r="M1405" s="1">
        <f t="shared" si="87"/>
        <v>0</v>
      </c>
      <c r="N1405" s="1">
        <f t="shared" si="88"/>
        <v>0</v>
      </c>
      <c r="O1405" s="1"/>
    </row>
    <row r="1406" spans="1:15" x14ac:dyDescent="0.25">
      <c r="A1406">
        <v>2393</v>
      </c>
      <c r="B1406">
        <v>14572.43764</v>
      </c>
      <c r="C1406">
        <v>0</v>
      </c>
      <c r="D1406">
        <v>61310.222750000001</v>
      </c>
      <c r="E1406">
        <v>0</v>
      </c>
      <c r="F1406">
        <v>224775.83989999999</v>
      </c>
      <c r="G1406">
        <v>0</v>
      </c>
      <c r="H1406">
        <v>2393</v>
      </c>
      <c r="I1406" t="str">
        <f t="shared" si="85"/>
        <v>YES</v>
      </c>
      <c r="J1406" t="s">
        <v>1412</v>
      </c>
      <c r="K1406">
        <v>770061.03931999998</v>
      </c>
      <c r="L1406" s="1">
        <f t="shared" si="86"/>
        <v>0</v>
      </c>
      <c r="M1406" s="1">
        <f t="shared" si="87"/>
        <v>0</v>
      </c>
      <c r="N1406" s="1">
        <f t="shared" si="88"/>
        <v>0</v>
      </c>
      <c r="O1406" s="1"/>
    </row>
    <row r="1407" spans="1:15" x14ac:dyDescent="0.25">
      <c r="A1407">
        <v>2394</v>
      </c>
      <c r="B1407">
        <v>17133.586050000002</v>
      </c>
      <c r="C1407">
        <v>0</v>
      </c>
      <c r="D1407">
        <v>56987.222540000002</v>
      </c>
      <c r="E1407">
        <v>0</v>
      </c>
      <c r="F1407">
        <v>226056.63089999999</v>
      </c>
      <c r="G1407">
        <v>0</v>
      </c>
      <c r="H1407">
        <v>2394</v>
      </c>
      <c r="I1407" t="str">
        <f t="shared" si="85"/>
        <v>YES</v>
      </c>
      <c r="J1407" t="s">
        <v>1413</v>
      </c>
      <c r="K1407">
        <v>703153.08798399998</v>
      </c>
      <c r="L1407" s="1">
        <f t="shared" si="86"/>
        <v>0</v>
      </c>
      <c r="M1407" s="1">
        <f t="shared" si="87"/>
        <v>0</v>
      </c>
      <c r="N1407" s="1">
        <f t="shared" si="88"/>
        <v>0</v>
      </c>
      <c r="O1407" s="1"/>
    </row>
    <row r="1408" spans="1:15" x14ac:dyDescent="0.25">
      <c r="A1408">
        <v>2395</v>
      </c>
      <c r="B1408">
        <v>19540.90425</v>
      </c>
      <c r="C1408">
        <v>0</v>
      </c>
      <c r="D1408">
        <v>92247.889070000005</v>
      </c>
      <c r="E1408">
        <v>0</v>
      </c>
      <c r="F1408">
        <v>412292.49430000002</v>
      </c>
      <c r="G1408">
        <v>0</v>
      </c>
      <c r="H1408">
        <v>2395</v>
      </c>
      <c r="I1408" t="str">
        <f t="shared" si="85"/>
        <v>YES</v>
      </c>
      <c r="J1408" t="s">
        <v>1414</v>
      </c>
      <c r="K1408">
        <v>498950.08933500003</v>
      </c>
      <c r="L1408" s="1">
        <f t="shared" si="86"/>
        <v>0</v>
      </c>
      <c r="M1408" s="1">
        <f t="shared" si="87"/>
        <v>0</v>
      </c>
      <c r="N1408" s="1">
        <f t="shared" si="88"/>
        <v>0</v>
      </c>
      <c r="O1408" s="1"/>
    </row>
    <row r="1409" spans="1:15" x14ac:dyDescent="0.25">
      <c r="A1409">
        <v>2396</v>
      </c>
      <c r="B1409">
        <v>12160.458060000001</v>
      </c>
      <c r="C1409">
        <v>0</v>
      </c>
      <c r="D1409">
        <v>32960.208209999997</v>
      </c>
      <c r="E1409">
        <v>0</v>
      </c>
      <c r="F1409">
        <v>151285.07070000001</v>
      </c>
      <c r="G1409">
        <v>0</v>
      </c>
      <c r="H1409">
        <v>2396</v>
      </c>
      <c r="I1409" t="str">
        <f t="shared" si="85"/>
        <v>YES</v>
      </c>
      <c r="J1409" t="s">
        <v>1415</v>
      </c>
      <c r="K1409">
        <v>332746.21559099999</v>
      </c>
      <c r="L1409" s="1">
        <f t="shared" si="86"/>
        <v>0</v>
      </c>
      <c r="M1409" s="1">
        <f t="shared" si="87"/>
        <v>0</v>
      </c>
      <c r="N1409" s="1">
        <f t="shared" si="88"/>
        <v>0</v>
      </c>
      <c r="O1409" s="1"/>
    </row>
    <row r="1410" spans="1:15" x14ac:dyDescent="0.25">
      <c r="A1410">
        <v>2397</v>
      </c>
      <c r="B1410">
        <v>20905.069630000002</v>
      </c>
      <c r="C1410">
        <v>0</v>
      </c>
      <c r="D1410">
        <v>113516.7182</v>
      </c>
      <c r="E1410">
        <v>0</v>
      </c>
      <c r="F1410">
        <v>592683.04209999996</v>
      </c>
      <c r="G1410">
        <v>0</v>
      </c>
      <c r="H1410">
        <v>2397</v>
      </c>
      <c r="I1410" t="str">
        <f t="shared" ref="I1410:I1473" si="89">IF(A1410=H1410,"YES","NO")</f>
        <v>YES</v>
      </c>
      <c r="J1410" t="s">
        <v>1416</v>
      </c>
      <c r="K1410">
        <v>373558.77402100002</v>
      </c>
      <c r="L1410" s="1">
        <f t="shared" si="86"/>
        <v>0</v>
      </c>
      <c r="M1410" s="1">
        <f t="shared" si="87"/>
        <v>0</v>
      </c>
      <c r="N1410" s="1">
        <f t="shared" si="88"/>
        <v>0</v>
      </c>
      <c r="O1410" s="1"/>
    </row>
    <row r="1411" spans="1:15" x14ac:dyDescent="0.25">
      <c r="A1411">
        <v>2398</v>
      </c>
      <c r="B1411">
        <v>14482.525739999999</v>
      </c>
      <c r="C1411">
        <v>0</v>
      </c>
      <c r="D1411">
        <v>28340.813740000001</v>
      </c>
      <c r="E1411">
        <v>0</v>
      </c>
      <c r="F1411">
        <v>131858.4663</v>
      </c>
      <c r="G1411">
        <v>0</v>
      </c>
      <c r="H1411">
        <v>2398</v>
      </c>
      <c r="I1411" t="str">
        <f t="shared" si="89"/>
        <v>YES</v>
      </c>
      <c r="J1411" t="s">
        <v>1417</v>
      </c>
      <c r="K1411">
        <v>831785.59781299997</v>
      </c>
      <c r="L1411" s="1">
        <f t="shared" ref="L1411:L1474" si="90">$U$2*$K1411*C1411</f>
        <v>0</v>
      </c>
      <c r="M1411" s="1">
        <f t="shared" ref="M1411:M1474" si="91">$U$3*$K1411*E1411</f>
        <v>0</v>
      </c>
      <c r="N1411" s="1">
        <f t="shared" ref="N1411:N1474" si="92">$U$4*$K1411*G1411</f>
        <v>0</v>
      </c>
      <c r="O1411" s="1"/>
    </row>
    <row r="1412" spans="1:15" x14ac:dyDescent="0.25">
      <c r="A1412">
        <v>2500</v>
      </c>
      <c r="B1412">
        <v>11074.015429999999</v>
      </c>
      <c r="C1412">
        <v>0</v>
      </c>
      <c r="D1412">
        <v>81879.685110000006</v>
      </c>
      <c r="E1412">
        <v>0</v>
      </c>
      <c r="F1412">
        <v>695204.60900000005</v>
      </c>
      <c r="G1412">
        <v>0</v>
      </c>
      <c r="H1412">
        <v>2500</v>
      </c>
      <c r="I1412" t="str">
        <f t="shared" si="89"/>
        <v>YES</v>
      </c>
      <c r="J1412" t="s">
        <v>1418</v>
      </c>
      <c r="K1412">
        <v>543606.81160100002</v>
      </c>
      <c r="L1412" s="1">
        <f t="shared" si="90"/>
        <v>0</v>
      </c>
      <c r="M1412" s="1">
        <f t="shared" si="91"/>
        <v>0</v>
      </c>
      <c r="N1412" s="1">
        <f t="shared" si="92"/>
        <v>0</v>
      </c>
      <c r="O1412" s="1"/>
    </row>
    <row r="1413" spans="1:15" x14ac:dyDescent="0.25">
      <c r="A1413">
        <v>2501</v>
      </c>
      <c r="B1413">
        <v>11118.917719999999</v>
      </c>
      <c r="C1413">
        <v>0</v>
      </c>
      <c r="D1413">
        <v>74590.075779999999</v>
      </c>
      <c r="E1413">
        <v>0</v>
      </c>
      <c r="F1413">
        <v>722706.59920000006</v>
      </c>
      <c r="G1413">
        <v>0</v>
      </c>
      <c r="H1413">
        <v>2501</v>
      </c>
      <c r="I1413" t="str">
        <f t="shared" si="89"/>
        <v>YES</v>
      </c>
      <c r="J1413" t="s">
        <v>1419</v>
      </c>
      <c r="K1413">
        <v>1235967.7848199999</v>
      </c>
      <c r="L1413" s="1">
        <f t="shared" si="90"/>
        <v>0</v>
      </c>
      <c r="M1413" s="1">
        <f t="shared" si="91"/>
        <v>0</v>
      </c>
      <c r="N1413" s="1">
        <f t="shared" si="92"/>
        <v>0</v>
      </c>
      <c r="O1413" s="1"/>
    </row>
    <row r="1414" spans="1:15" x14ac:dyDescent="0.25">
      <c r="A1414">
        <v>2502</v>
      </c>
      <c r="B1414">
        <v>9532.2052949999998</v>
      </c>
      <c r="C1414">
        <v>0</v>
      </c>
      <c r="D1414">
        <v>62639.071960000001</v>
      </c>
      <c r="E1414">
        <v>0</v>
      </c>
      <c r="F1414">
        <v>592986.01159999997</v>
      </c>
      <c r="G1414">
        <v>0</v>
      </c>
      <c r="H1414">
        <v>2502</v>
      </c>
      <c r="I1414" t="str">
        <f t="shared" si="89"/>
        <v>YES</v>
      </c>
      <c r="J1414" t="s">
        <v>1420</v>
      </c>
      <c r="K1414">
        <v>589939.05039800005</v>
      </c>
      <c r="L1414" s="1">
        <f t="shared" si="90"/>
        <v>0</v>
      </c>
      <c r="M1414" s="1">
        <f t="shared" si="91"/>
        <v>0</v>
      </c>
      <c r="N1414" s="1">
        <f t="shared" si="92"/>
        <v>0</v>
      </c>
      <c r="O1414" s="1"/>
    </row>
    <row r="1415" spans="1:15" x14ac:dyDescent="0.25">
      <c r="A1415">
        <v>2503</v>
      </c>
      <c r="B1415">
        <v>16529.338250000001</v>
      </c>
      <c r="C1415">
        <v>0</v>
      </c>
      <c r="D1415">
        <v>113794.7803</v>
      </c>
      <c r="E1415">
        <v>0</v>
      </c>
      <c r="F1415">
        <v>873181.22880000004</v>
      </c>
      <c r="G1415">
        <v>0</v>
      </c>
      <c r="H1415">
        <v>2503</v>
      </c>
      <c r="I1415" t="str">
        <f t="shared" si="89"/>
        <v>YES</v>
      </c>
      <c r="J1415" t="s">
        <v>1421</v>
      </c>
      <c r="K1415">
        <v>171134.860021</v>
      </c>
      <c r="L1415" s="1">
        <f t="shared" si="90"/>
        <v>0</v>
      </c>
      <c r="M1415" s="1">
        <f t="shared" si="91"/>
        <v>0</v>
      </c>
      <c r="N1415" s="1">
        <f t="shared" si="92"/>
        <v>0</v>
      </c>
      <c r="O1415" s="1"/>
    </row>
    <row r="1416" spans="1:15" x14ac:dyDescent="0.25">
      <c r="A1416">
        <v>2504</v>
      </c>
      <c r="B1416">
        <v>18553.46716</v>
      </c>
      <c r="C1416">
        <v>0</v>
      </c>
      <c r="D1416">
        <v>179474.571</v>
      </c>
      <c r="E1416">
        <v>0</v>
      </c>
      <c r="F1416">
        <v>983702.91399999999</v>
      </c>
      <c r="G1416">
        <v>0</v>
      </c>
      <c r="H1416">
        <v>2504</v>
      </c>
      <c r="I1416" t="str">
        <f t="shared" si="89"/>
        <v>YES</v>
      </c>
      <c r="J1416" t="s">
        <v>1422</v>
      </c>
      <c r="K1416">
        <v>300477.48160200001</v>
      </c>
      <c r="L1416" s="1">
        <f t="shared" si="90"/>
        <v>0</v>
      </c>
      <c r="M1416" s="1">
        <f t="shared" si="91"/>
        <v>0</v>
      </c>
      <c r="N1416" s="1">
        <f t="shared" si="92"/>
        <v>0</v>
      </c>
      <c r="O1416" s="1"/>
    </row>
    <row r="1417" spans="1:15" x14ac:dyDescent="0.25">
      <c r="A1417">
        <v>2505</v>
      </c>
      <c r="B1417">
        <v>13364.962869999999</v>
      </c>
      <c r="C1417">
        <v>0</v>
      </c>
      <c r="D1417">
        <v>89059.392909999995</v>
      </c>
      <c r="E1417">
        <v>0</v>
      </c>
      <c r="F1417">
        <v>759028.58629999997</v>
      </c>
      <c r="G1417">
        <v>0</v>
      </c>
      <c r="H1417">
        <v>2505</v>
      </c>
      <c r="I1417" t="str">
        <f t="shared" si="89"/>
        <v>YES</v>
      </c>
      <c r="J1417" t="s">
        <v>1423</v>
      </c>
      <c r="K1417">
        <v>631868.26698199997</v>
      </c>
      <c r="L1417" s="1">
        <f t="shared" si="90"/>
        <v>0</v>
      </c>
      <c r="M1417" s="1">
        <f t="shared" si="91"/>
        <v>0</v>
      </c>
      <c r="N1417" s="1">
        <f t="shared" si="92"/>
        <v>0</v>
      </c>
      <c r="O1417" s="1"/>
    </row>
    <row r="1418" spans="1:15" x14ac:dyDescent="0.25">
      <c r="A1418">
        <v>2506</v>
      </c>
      <c r="B1418">
        <v>15267.037410000001</v>
      </c>
      <c r="C1418">
        <v>0</v>
      </c>
      <c r="D1418">
        <v>50471.666219999999</v>
      </c>
      <c r="E1418">
        <v>0</v>
      </c>
      <c r="F1418">
        <v>296511.24339999998</v>
      </c>
      <c r="G1418">
        <v>0</v>
      </c>
      <c r="H1418">
        <v>2506</v>
      </c>
      <c r="I1418" t="str">
        <f t="shared" si="89"/>
        <v>YES</v>
      </c>
      <c r="J1418" t="s">
        <v>1424</v>
      </c>
      <c r="K1418">
        <v>706840.25034100004</v>
      </c>
      <c r="L1418" s="1">
        <f t="shared" si="90"/>
        <v>0</v>
      </c>
      <c r="M1418" s="1">
        <f t="shared" si="91"/>
        <v>0</v>
      </c>
      <c r="N1418" s="1">
        <f t="shared" si="92"/>
        <v>0</v>
      </c>
      <c r="O1418" s="1"/>
    </row>
    <row r="1419" spans="1:15" x14ac:dyDescent="0.25">
      <c r="A1419">
        <v>2507</v>
      </c>
      <c r="B1419">
        <v>13541.996090000001</v>
      </c>
      <c r="C1419">
        <v>0</v>
      </c>
      <c r="D1419">
        <v>100365.6896</v>
      </c>
      <c r="E1419">
        <v>0</v>
      </c>
      <c r="F1419">
        <v>832306.12659999996</v>
      </c>
      <c r="G1419">
        <v>0</v>
      </c>
      <c r="H1419">
        <v>2507</v>
      </c>
      <c r="I1419" t="str">
        <f t="shared" si="89"/>
        <v>YES</v>
      </c>
      <c r="J1419" t="s">
        <v>1425</v>
      </c>
      <c r="K1419">
        <v>325642.31844900001</v>
      </c>
      <c r="L1419" s="1">
        <f t="shared" si="90"/>
        <v>0</v>
      </c>
      <c r="M1419" s="1">
        <f t="shared" si="91"/>
        <v>0</v>
      </c>
      <c r="N1419" s="1">
        <f t="shared" si="92"/>
        <v>0</v>
      </c>
      <c r="O1419" s="1"/>
    </row>
    <row r="1420" spans="1:15" x14ac:dyDescent="0.25">
      <c r="A1420">
        <v>2508</v>
      </c>
      <c r="B1420">
        <v>14692.40328</v>
      </c>
      <c r="C1420">
        <v>0</v>
      </c>
      <c r="D1420">
        <v>283895.69569999998</v>
      </c>
      <c r="E1420">
        <v>0</v>
      </c>
      <c r="F1420">
        <v>1046873.117</v>
      </c>
      <c r="G1420">
        <v>0</v>
      </c>
      <c r="H1420">
        <v>2508</v>
      </c>
      <c r="I1420" t="str">
        <f t="shared" si="89"/>
        <v>YES</v>
      </c>
      <c r="J1420" t="s">
        <v>1426</v>
      </c>
      <c r="K1420">
        <v>321373.68684699998</v>
      </c>
      <c r="L1420" s="1">
        <f t="shared" si="90"/>
        <v>0</v>
      </c>
      <c r="M1420" s="1">
        <f t="shared" si="91"/>
        <v>0</v>
      </c>
      <c r="N1420" s="1">
        <f t="shared" si="92"/>
        <v>0</v>
      </c>
      <c r="O1420" s="1"/>
    </row>
    <row r="1421" spans="1:15" x14ac:dyDescent="0.25">
      <c r="A1421">
        <v>2509</v>
      </c>
      <c r="B1421">
        <v>16167.14156</v>
      </c>
      <c r="C1421">
        <v>0</v>
      </c>
      <c r="D1421">
        <v>99752.439809999996</v>
      </c>
      <c r="E1421">
        <v>0</v>
      </c>
      <c r="F1421">
        <v>930540.84970000002</v>
      </c>
      <c r="G1421">
        <v>0</v>
      </c>
      <c r="H1421">
        <v>2509</v>
      </c>
      <c r="I1421" t="str">
        <f t="shared" si="89"/>
        <v>YES</v>
      </c>
      <c r="J1421" t="s">
        <v>1427</v>
      </c>
      <c r="K1421">
        <v>418074.45026399998</v>
      </c>
      <c r="L1421" s="1">
        <f t="shared" si="90"/>
        <v>0</v>
      </c>
      <c r="M1421" s="1">
        <f t="shared" si="91"/>
        <v>0</v>
      </c>
      <c r="N1421" s="1">
        <f t="shared" si="92"/>
        <v>0</v>
      </c>
      <c r="O1421" s="1"/>
    </row>
    <row r="1422" spans="1:15" x14ac:dyDescent="0.25">
      <c r="A1422">
        <v>2510</v>
      </c>
      <c r="B1422">
        <v>9906.1836390000008</v>
      </c>
      <c r="C1422">
        <v>0</v>
      </c>
      <c r="D1422">
        <v>105697.3042</v>
      </c>
      <c r="E1422">
        <v>0</v>
      </c>
      <c r="F1422">
        <v>922266.57330000005</v>
      </c>
      <c r="G1422">
        <v>0</v>
      </c>
      <c r="H1422">
        <v>2510</v>
      </c>
      <c r="I1422" t="str">
        <f t="shared" si="89"/>
        <v>YES</v>
      </c>
      <c r="J1422" t="s">
        <v>1428</v>
      </c>
      <c r="K1422">
        <v>574747.25297100004</v>
      </c>
      <c r="L1422" s="1">
        <f t="shared" si="90"/>
        <v>0</v>
      </c>
      <c r="M1422" s="1">
        <f t="shared" si="91"/>
        <v>0</v>
      </c>
      <c r="N1422" s="1">
        <f t="shared" si="92"/>
        <v>0</v>
      </c>
      <c r="O1422" s="1"/>
    </row>
    <row r="1423" spans="1:15" x14ac:dyDescent="0.25">
      <c r="A1423">
        <v>2511</v>
      </c>
      <c r="B1423">
        <v>50772.231910000002</v>
      </c>
      <c r="C1423">
        <v>0</v>
      </c>
      <c r="D1423">
        <v>613369.53079999995</v>
      </c>
      <c r="E1423">
        <v>0</v>
      </c>
      <c r="F1423">
        <v>1194168.173</v>
      </c>
      <c r="G1423">
        <v>5856.1819999999998</v>
      </c>
      <c r="H1423">
        <v>2511</v>
      </c>
      <c r="I1423" t="str">
        <f t="shared" si="89"/>
        <v>YES</v>
      </c>
      <c r="J1423" t="s">
        <v>1429</v>
      </c>
      <c r="K1423">
        <v>213334.93174599999</v>
      </c>
      <c r="L1423" s="1">
        <f t="shared" si="90"/>
        <v>0</v>
      </c>
      <c r="M1423" s="1">
        <f t="shared" si="91"/>
        <v>0</v>
      </c>
      <c r="N1423" s="1">
        <f t="shared" si="92"/>
        <v>6371573.7550369846</v>
      </c>
      <c r="O1423" s="1"/>
    </row>
    <row r="1424" spans="1:15" x14ac:dyDescent="0.25">
      <c r="A1424">
        <v>2512</v>
      </c>
      <c r="B1424">
        <v>9873.8320629999998</v>
      </c>
      <c r="C1424">
        <v>0</v>
      </c>
      <c r="D1424">
        <v>77392.166870000001</v>
      </c>
      <c r="E1424">
        <v>0</v>
      </c>
      <c r="F1424">
        <v>812920.58259999997</v>
      </c>
      <c r="G1424">
        <v>0</v>
      </c>
      <c r="H1424">
        <v>2512</v>
      </c>
      <c r="I1424" t="str">
        <f t="shared" si="89"/>
        <v>YES</v>
      </c>
      <c r="J1424" t="s">
        <v>1430</v>
      </c>
      <c r="K1424">
        <v>358676.31361100002</v>
      </c>
      <c r="L1424" s="1">
        <f t="shared" si="90"/>
        <v>0</v>
      </c>
      <c r="M1424" s="1">
        <f t="shared" si="91"/>
        <v>0</v>
      </c>
      <c r="N1424" s="1">
        <f t="shared" si="92"/>
        <v>0</v>
      </c>
      <c r="O1424" s="1"/>
    </row>
    <row r="1425" spans="1:15" x14ac:dyDescent="0.25">
      <c r="A1425">
        <v>2513</v>
      </c>
      <c r="B1425">
        <v>10561.35641</v>
      </c>
      <c r="C1425">
        <v>0</v>
      </c>
      <c r="D1425">
        <v>83192.438989999995</v>
      </c>
      <c r="E1425">
        <v>0</v>
      </c>
      <c r="F1425">
        <v>817784.63029999996</v>
      </c>
      <c r="G1425">
        <v>0</v>
      </c>
      <c r="H1425">
        <v>2513</v>
      </c>
      <c r="I1425" t="str">
        <f t="shared" si="89"/>
        <v>YES</v>
      </c>
      <c r="J1425" t="s">
        <v>1431</v>
      </c>
      <c r="K1425">
        <v>426547.40379800001</v>
      </c>
      <c r="L1425" s="1">
        <f t="shared" si="90"/>
        <v>0</v>
      </c>
      <c r="M1425" s="1">
        <f t="shared" si="91"/>
        <v>0</v>
      </c>
      <c r="N1425" s="1">
        <f t="shared" si="92"/>
        <v>0</v>
      </c>
      <c r="O1425" s="1"/>
    </row>
    <row r="1426" spans="1:15" x14ac:dyDescent="0.25">
      <c r="A1426">
        <v>2514</v>
      </c>
      <c r="B1426">
        <v>15752.58568</v>
      </c>
      <c r="C1426">
        <v>0</v>
      </c>
      <c r="D1426">
        <v>97908.958889999994</v>
      </c>
      <c r="E1426">
        <v>0</v>
      </c>
      <c r="F1426">
        <v>904122.27859999996</v>
      </c>
      <c r="G1426">
        <v>0</v>
      </c>
      <c r="H1426">
        <v>2514</v>
      </c>
      <c r="I1426" t="str">
        <f t="shared" si="89"/>
        <v>YES</v>
      </c>
      <c r="J1426" t="s">
        <v>1432</v>
      </c>
      <c r="K1426">
        <v>311357.492371</v>
      </c>
      <c r="L1426" s="1">
        <f t="shared" si="90"/>
        <v>0</v>
      </c>
      <c r="M1426" s="1">
        <f t="shared" si="91"/>
        <v>0</v>
      </c>
      <c r="N1426" s="1">
        <f t="shared" si="92"/>
        <v>0</v>
      </c>
      <c r="O1426" s="1"/>
    </row>
    <row r="1427" spans="1:15" x14ac:dyDescent="0.25">
      <c r="A1427">
        <v>2515</v>
      </c>
      <c r="B1427">
        <v>24805.87732</v>
      </c>
      <c r="C1427">
        <v>0</v>
      </c>
      <c r="D1427">
        <v>403914.98509999999</v>
      </c>
      <c r="E1427">
        <v>0</v>
      </c>
      <c r="F1427">
        <v>1102505.2919999999</v>
      </c>
      <c r="G1427">
        <v>0</v>
      </c>
      <c r="H1427">
        <v>2515</v>
      </c>
      <c r="I1427" t="str">
        <f t="shared" si="89"/>
        <v>YES</v>
      </c>
      <c r="J1427" t="s">
        <v>1433</v>
      </c>
      <c r="K1427">
        <v>155671.94469500001</v>
      </c>
      <c r="L1427" s="1">
        <f t="shared" si="90"/>
        <v>0</v>
      </c>
      <c r="M1427" s="1">
        <f t="shared" si="91"/>
        <v>0</v>
      </c>
      <c r="N1427" s="1">
        <f t="shared" si="92"/>
        <v>0</v>
      </c>
      <c r="O1427" s="1"/>
    </row>
    <row r="1428" spans="1:15" x14ac:dyDescent="0.25">
      <c r="A1428">
        <v>2516</v>
      </c>
      <c r="B1428">
        <v>9856.5276240000003</v>
      </c>
      <c r="C1428">
        <v>0</v>
      </c>
      <c r="D1428">
        <v>70043.895919999995</v>
      </c>
      <c r="E1428">
        <v>0</v>
      </c>
      <c r="F1428">
        <v>683553.25719999999</v>
      </c>
      <c r="G1428">
        <v>0</v>
      </c>
      <c r="H1428">
        <v>2516</v>
      </c>
      <c r="I1428" t="str">
        <f t="shared" si="89"/>
        <v>YES</v>
      </c>
      <c r="J1428" t="s">
        <v>1434</v>
      </c>
      <c r="K1428">
        <v>560726.98034000001</v>
      </c>
      <c r="L1428" s="1">
        <f t="shared" si="90"/>
        <v>0</v>
      </c>
      <c r="M1428" s="1">
        <f t="shared" si="91"/>
        <v>0</v>
      </c>
      <c r="N1428" s="1">
        <f t="shared" si="92"/>
        <v>0</v>
      </c>
      <c r="O1428" s="1"/>
    </row>
    <row r="1429" spans="1:15" x14ac:dyDescent="0.25">
      <c r="A1429">
        <v>2517</v>
      </c>
      <c r="B1429">
        <v>14202.024649999999</v>
      </c>
      <c r="C1429">
        <v>0</v>
      </c>
      <c r="D1429">
        <v>78482.637289999999</v>
      </c>
      <c r="E1429">
        <v>0</v>
      </c>
      <c r="F1429">
        <v>698631.98829999997</v>
      </c>
      <c r="G1429">
        <v>0</v>
      </c>
      <c r="H1429">
        <v>2517</v>
      </c>
      <c r="I1429" t="str">
        <f t="shared" si="89"/>
        <v>YES</v>
      </c>
      <c r="J1429" t="s">
        <v>1435</v>
      </c>
      <c r="K1429">
        <v>408437.64408100001</v>
      </c>
      <c r="L1429" s="1">
        <f t="shared" si="90"/>
        <v>0</v>
      </c>
      <c r="M1429" s="1">
        <f t="shared" si="91"/>
        <v>0</v>
      </c>
      <c r="N1429" s="1">
        <f t="shared" si="92"/>
        <v>0</v>
      </c>
      <c r="O1429" s="1"/>
    </row>
    <row r="1430" spans="1:15" x14ac:dyDescent="0.25">
      <c r="A1430">
        <v>2518</v>
      </c>
      <c r="B1430">
        <v>10786.761140000001</v>
      </c>
      <c r="C1430">
        <v>0</v>
      </c>
      <c r="D1430">
        <v>70270.963570000007</v>
      </c>
      <c r="E1430">
        <v>0</v>
      </c>
      <c r="F1430">
        <v>519274.24170000001</v>
      </c>
      <c r="G1430">
        <v>0</v>
      </c>
      <c r="H1430">
        <v>2518</v>
      </c>
      <c r="I1430" t="str">
        <f t="shared" si="89"/>
        <v>YES</v>
      </c>
      <c r="J1430" t="s">
        <v>1436</v>
      </c>
      <c r="K1430">
        <v>500065.11555300001</v>
      </c>
      <c r="L1430" s="1">
        <f t="shared" si="90"/>
        <v>0</v>
      </c>
      <c r="M1430" s="1">
        <f t="shared" si="91"/>
        <v>0</v>
      </c>
      <c r="N1430" s="1">
        <f t="shared" si="92"/>
        <v>0</v>
      </c>
      <c r="O1430" s="1"/>
    </row>
    <row r="1431" spans="1:15" x14ac:dyDescent="0.25">
      <c r="A1431">
        <v>2519</v>
      </c>
      <c r="B1431">
        <v>4747.8221869999998</v>
      </c>
      <c r="C1431">
        <v>0</v>
      </c>
      <c r="D1431">
        <v>49270.86335</v>
      </c>
      <c r="E1431">
        <v>0</v>
      </c>
      <c r="F1431">
        <v>709075.16229999997</v>
      </c>
      <c r="G1431">
        <v>0</v>
      </c>
      <c r="H1431">
        <v>2519</v>
      </c>
      <c r="I1431" t="str">
        <f t="shared" si="89"/>
        <v>YES</v>
      </c>
      <c r="J1431" t="s">
        <v>1437</v>
      </c>
      <c r="K1431">
        <v>507979.50012300001</v>
      </c>
      <c r="L1431" s="1">
        <f t="shared" si="90"/>
        <v>0</v>
      </c>
      <c r="M1431" s="1">
        <f t="shared" si="91"/>
        <v>0</v>
      </c>
      <c r="N1431" s="1">
        <f t="shared" si="92"/>
        <v>0</v>
      </c>
      <c r="O1431" s="1"/>
    </row>
    <row r="1432" spans="1:15" x14ac:dyDescent="0.25">
      <c r="A1432">
        <v>2520</v>
      </c>
      <c r="B1432">
        <v>16739.973959999999</v>
      </c>
      <c r="C1432">
        <v>0</v>
      </c>
      <c r="D1432">
        <v>93607.958960000004</v>
      </c>
      <c r="E1432">
        <v>0</v>
      </c>
      <c r="F1432">
        <v>833337.51699999999</v>
      </c>
      <c r="G1432">
        <v>0</v>
      </c>
      <c r="H1432">
        <v>2520</v>
      </c>
      <c r="I1432" t="str">
        <f t="shared" si="89"/>
        <v>YES</v>
      </c>
      <c r="J1432" t="s">
        <v>1438</v>
      </c>
      <c r="K1432">
        <v>1008412.68258</v>
      </c>
      <c r="L1432" s="1">
        <f t="shared" si="90"/>
        <v>0</v>
      </c>
      <c r="M1432" s="1">
        <f t="shared" si="91"/>
        <v>0</v>
      </c>
      <c r="N1432" s="1">
        <f t="shared" si="92"/>
        <v>0</v>
      </c>
      <c r="O1432" s="1"/>
    </row>
    <row r="1433" spans="1:15" x14ac:dyDescent="0.25">
      <c r="A1433">
        <v>2521</v>
      </c>
      <c r="B1433">
        <v>3194.5337279999999</v>
      </c>
      <c r="C1433">
        <v>0</v>
      </c>
      <c r="D1433">
        <v>37846.503250000002</v>
      </c>
      <c r="E1433">
        <v>0</v>
      </c>
      <c r="F1433">
        <v>658738.56240000005</v>
      </c>
      <c r="G1433">
        <v>0</v>
      </c>
      <c r="H1433">
        <v>2521</v>
      </c>
      <c r="I1433" t="str">
        <f t="shared" si="89"/>
        <v>YES</v>
      </c>
      <c r="J1433" t="s">
        <v>1439</v>
      </c>
      <c r="K1433">
        <v>982372.37833500002</v>
      </c>
      <c r="L1433" s="1">
        <f t="shared" si="90"/>
        <v>0</v>
      </c>
      <c r="M1433" s="1">
        <f t="shared" si="91"/>
        <v>0</v>
      </c>
      <c r="N1433" s="1">
        <f t="shared" si="92"/>
        <v>0</v>
      </c>
      <c r="O1433" s="1"/>
    </row>
    <row r="1434" spans="1:15" x14ac:dyDescent="0.25">
      <c r="A1434">
        <v>2522</v>
      </c>
      <c r="B1434">
        <v>8756.6526049999993</v>
      </c>
      <c r="C1434">
        <v>0</v>
      </c>
      <c r="D1434">
        <v>64395.104780000001</v>
      </c>
      <c r="E1434">
        <v>0</v>
      </c>
      <c r="F1434">
        <v>562069.15560000006</v>
      </c>
      <c r="G1434">
        <v>0</v>
      </c>
      <c r="H1434">
        <v>2522</v>
      </c>
      <c r="I1434" t="str">
        <f t="shared" si="89"/>
        <v>YES</v>
      </c>
      <c r="J1434" t="s">
        <v>1440</v>
      </c>
      <c r="K1434">
        <v>677305.80835499999</v>
      </c>
      <c r="L1434" s="1">
        <f t="shared" si="90"/>
        <v>0</v>
      </c>
      <c r="M1434" s="1">
        <f t="shared" si="91"/>
        <v>0</v>
      </c>
      <c r="N1434" s="1">
        <f t="shared" si="92"/>
        <v>0</v>
      </c>
      <c r="O1434" s="1"/>
    </row>
    <row r="1435" spans="1:15" x14ac:dyDescent="0.25">
      <c r="A1435">
        <v>2523</v>
      </c>
      <c r="B1435">
        <v>3312.7667799999999</v>
      </c>
      <c r="C1435">
        <v>0</v>
      </c>
      <c r="D1435">
        <v>398733.05290000001</v>
      </c>
      <c r="E1435">
        <v>0</v>
      </c>
      <c r="F1435">
        <v>931812.69299999997</v>
      </c>
      <c r="G1435">
        <v>0</v>
      </c>
      <c r="H1435">
        <v>2523</v>
      </c>
      <c r="I1435" t="str">
        <f t="shared" si="89"/>
        <v>YES</v>
      </c>
      <c r="J1435" t="s">
        <v>1441</v>
      </c>
      <c r="K1435">
        <v>634605.47588100005</v>
      </c>
      <c r="L1435" s="1">
        <f t="shared" si="90"/>
        <v>0</v>
      </c>
      <c r="M1435" s="1">
        <f t="shared" si="91"/>
        <v>0</v>
      </c>
      <c r="N1435" s="1">
        <f t="shared" si="92"/>
        <v>0</v>
      </c>
      <c r="O1435" s="1"/>
    </row>
    <row r="1436" spans="1:15" x14ac:dyDescent="0.25">
      <c r="A1436">
        <v>2524</v>
      </c>
      <c r="B1436">
        <v>5384.4245110000002</v>
      </c>
      <c r="C1436">
        <v>0</v>
      </c>
      <c r="D1436">
        <v>132290.78400000001</v>
      </c>
      <c r="E1436">
        <v>0</v>
      </c>
      <c r="F1436">
        <v>834132.72679999995</v>
      </c>
      <c r="G1436">
        <v>0</v>
      </c>
      <c r="H1436">
        <v>2524</v>
      </c>
      <c r="I1436" t="str">
        <f t="shared" si="89"/>
        <v>YES</v>
      </c>
      <c r="J1436" t="s">
        <v>1442</v>
      </c>
      <c r="K1436">
        <v>1131434.48459</v>
      </c>
      <c r="L1436" s="1">
        <f t="shared" si="90"/>
        <v>0</v>
      </c>
      <c r="M1436" s="1">
        <f t="shared" si="91"/>
        <v>0</v>
      </c>
      <c r="N1436" s="1">
        <f t="shared" si="92"/>
        <v>0</v>
      </c>
      <c r="O1436" s="1"/>
    </row>
    <row r="1437" spans="1:15" x14ac:dyDescent="0.25">
      <c r="A1437">
        <v>2525</v>
      </c>
      <c r="B1437">
        <v>7148.1812389999996</v>
      </c>
      <c r="C1437">
        <v>0</v>
      </c>
      <c r="D1437">
        <v>100899.8956</v>
      </c>
      <c r="E1437">
        <v>0</v>
      </c>
      <c r="F1437">
        <v>692557.83129999996</v>
      </c>
      <c r="G1437">
        <v>0</v>
      </c>
      <c r="H1437">
        <v>2525</v>
      </c>
      <c r="I1437" t="str">
        <f t="shared" si="89"/>
        <v>YES</v>
      </c>
      <c r="J1437" t="s">
        <v>1443</v>
      </c>
      <c r="K1437">
        <v>638096.43254199997</v>
      </c>
      <c r="L1437" s="1">
        <f t="shared" si="90"/>
        <v>0</v>
      </c>
      <c r="M1437" s="1">
        <f t="shared" si="91"/>
        <v>0</v>
      </c>
      <c r="N1437" s="1">
        <f t="shared" si="92"/>
        <v>0</v>
      </c>
      <c r="O1437" s="1"/>
    </row>
    <row r="1438" spans="1:15" x14ac:dyDescent="0.25">
      <c r="A1438">
        <v>2526</v>
      </c>
      <c r="B1438">
        <v>11670.531660000001</v>
      </c>
      <c r="C1438">
        <v>0</v>
      </c>
      <c r="D1438">
        <v>61100.532700000003</v>
      </c>
      <c r="E1438">
        <v>0</v>
      </c>
      <c r="F1438">
        <v>444762.88170000003</v>
      </c>
      <c r="G1438">
        <v>0</v>
      </c>
      <c r="H1438">
        <v>2526</v>
      </c>
      <c r="I1438" t="str">
        <f t="shared" si="89"/>
        <v>YES</v>
      </c>
      <c r="J1438" t="s">
        <v>1444</v>
      </c>
      <c r="K1438">
        <v>992073.14560499997</v>
      </c>
      <c r="L1438" s="1">
        <f t="shared" si="90"/>
        <v>0</v>
      </c>
      <c r="M1438" s="1">
        <f t="shared" si="91"/>
        <v>0</v>
      </c>
      <c r="N1438" s="1">
        <f t="shared" si="92"/>
        <v>0</v>
      </c>
      <c r="O1438" s="1"/>
    </row>
    <row r="1439" spans="1:15" x14ac:dyDescent="0.25">
      <c r="A1439">
        <v>2527</v>
      </c>
      <c r="B1439">
        <v>7305.4470940000001</v>
      </c>
      <c r="C1439">
        <v>0</v>
      </c>
      <c r="D1439">
        <v>28729.615290000002</v>
      </c>
      <c r="E1439">
        <v>0</v>
      </c>
      <c r="F1439">
        <v>157449.26730000001</v>
      </c>
      <c r="G1439">
        <v>0</v>
      </c>
      <c r="H1439">
        <v>2527</v>
      </c>
      <c r="I1439" t="str">
        <f t="shared" si="89"/>
        <v>YES</v>
      </c>
      <c r="J1439" t="s">
        <v>1445</v>
      </c>
      <c r="K1439">
        <v>1221367.04501</v>
      </c>
      <c r="L1439" s="1">
        <f t="shared" si="90"/>
        <v>0</v>
      </c>
      <c r="M1439" s="1">
        <f t="shared" si="91"/>
        <v>0</v>
      </c>
      <c r="N1439" s="1">
        <f t="shared" si="92"/>
        <v>0</v>
      </c>
      <c r="O1439" s="1"/>
    </row>
    <row r="1440" spans="1:15" x14ac:dyDescent="0.25">
      <c r="A1440">
        <v>2528</v>
      </c>
      <c r="B1440">
        <v>7699.652188</v>
      </c>
      <c r="C1440">
        <v>0</v>
      </c>
      <c r="D1440">
        <v>56205.165240000002</v>
      </c>
      <c r="E1440">
        <v>0</v>
      </c>
      <c r="F1440">
        <v>454760.26169999997</v>
      </c>
      <c r="G1440">
        <v>0</v>
      </c>
      <c r="H1440">
        <v>2528</v>
      </c>
      <c r="I1440" t="str">
        <f t="shared" si="89"/>
        <v>YES</v>
      </c>
      <c r="J1440" t="s">
        <v>1446</v>
      </c>
      <c r="K1440">
        <v>394006.55793700001</v>
      </c>
      <c r="L1440" s="1">
        <f t="shared" si="90"/>
        <v>0</v>
      </c>
      <c r="M1440" s="1">
        <f t="shared" si="91"/>
        <v>0</v>
      </c>
      <c r="N1440" s="1">
        <f t="shared" si="92"/>
        <v>0</v>
      </c>
      <c r="O1440" s="1"/>
    </row>
    <row r="1441" spans="1:15" x14ac:dyDescent="0.25">
      <c r="A1441">
        <v>2529</v>
      </c>
      <c r="B1441">
        <v>12855.15619</v>
      </c>
      <c r="C1441">
        <v>0</v>
      </c>
      <c r="D1441">
        <v>98088.945590000003</v>
      </c>
      <c r="E1441">
        <v>0</v>
      </c>
      <c r="F1441">
        <v>830276.27040000004</v>
      </c>
      <c r="G1441">
        <v>0</v>
      </c>
      <c r="H1441">
        <v>2529</v>
      </c>
      <c r="I1441" t="str">
        <f t="shared" si="89"/>
        <v>YES</v>
      </c>
      <c r="J1441" t="s">
        <v>1447</v>
      </c>
      <c r="K1441">
        <v>191723.98700299999</v>
      </c>
      <c r="L1441" s="1">
        <f t="shared" si="90"/>
        <v>0</v>
      </c>
      <c r="M1441" s="1">
        <f t="shared" si="91"/>
        <v>0</v>
      </c>
      <c r="N1441" s="1">
        <f t="shared" si="92"/>
        <v>0</v>
      </c>
      <c r="O1441" s="1"/>
    </row>
    <row r="1442" spans="1:15" x14ac:dyDescent="0.25">
      <c r="A1442">
        <v>2530</v>
      </c>
      <c r="B1442">
        <v>10881.01316</v>
      </c>
      <c r="C1442">
        <v>0</v>
      </c>
      <c r="D1442">
        <v>77003.991269999999</v>
      </c>
      <c r="E1442">
        <v>0</v>
      </c>
      <c r="F1442">
        <v>801878.28749999998</v>
      </c>
      <c r="G1442">
        <v>0</v>
      </c>
      <c r="H1442">
        <v>2530</v>
      </c>
      <c r="I1442" t="str">
        <f t="shared" si="89"/>
        <v>YES</v>
      </c>
      <c r="J1442" t="s">
        <v>1448</v>
      </c>
      <c r="K1442">
        <v>328814.56988000002</v>
      </c>
      <c r="L1442" s="1">
        <f t="shared" si="90"/>
        <v>0</v>
      </c>
      <c r="M1442" s="1">
        <f t="shared" si="91"/>
        <v>0</v>
      </c>
      <c r="N1442" s="1">
        <f t="shared" si="92"/>
        <v>0</v>
      </c>
      <c r="O1442" s="1"/>
    </row>
    <row r="1443" spans="1:15" x14ac:dyDescent="0.25">
      <c r="A1443">
        <v>2531</v>
      </c>
      <c r="B1443">
        <v>7358.5445259999997</v>
      </c>
      <c r="C1443">
        <v>0</v>
      </c>
      <c r="D1443">
        <v>69165.288839999994</v>
      </c>
      <c r="E1443">
        <v>0</v>
      </c>
      <c r="F1443">
        <v>573515.41469999996</v>
      </c>
      <c r="G1443">
        <v>0</v>
      </c>
      <c r="H1443">
        <v>2531</v>
      </c>
      <c r="I1443" t="str">
        <f t="shared" si="89"/>
        <v>YES</v>
      </c>
      <c r="J1443" t="s">
        <v>1449</v>
      </c>
      <c r="K1443">
        <v>514307.18857699999</v>
      </c>
      <c r="L1443" s="1">
        <f t="shared" si="90"/>
        <v>0</v>
      </c>
      <c r="M1443" s="1">
        <f t="shared" si="91"/>
        <v>0</v>
      </c>
      <c r="N1443" s="1">
        <f t="shared" si="92"/>
        <v>0</v>
      </c>
      <c r="O1443" s="1"/>
    </row>
    <row r="1444" spans="1:15" x14ac:dyDescent="0.25">
      <c r="A1444">
        <v>2532</v>
      </c>
      <c r="B1444">
        <v>6763.2129850000001</v>
      </c>
      <c r="C1444">
        <v>0</v>
      </c>
      <c r="D1444">
        <v>57342.011169999998</v>
      </c>
      <c r="E1444">
        <v>0</v>
      </c>
      <c r="F1444">
        <v>484864.93770000001</v>
      </c>
      <c r="G1444">
        <v>0</v>
      </c>
      <c r="H1444">
        <v>2532</v>
      </c>
      <c r="I1444" t="str">
        <f t="shared" si="89"/>
        <v>YES</v>
      </c>
      <c r="J1444" t="s">
        <v>1450</v>
      </c>
      <c r="K1444">
        <v>413695.71298800001</v>
      </c>
      <c r="L1444" s="1">
        <f t="shared" si="90"/>
        <v>0</v>
      </c>
      <c r="M1444" s="1">
        <f t="shared" si="91"/>
        <v>0</v>
      </c>
      <c r="N1444" s="1">
        <f t="shared" si="92"/>
        <v>0</v>
      </c>
      <c r="O1444" s="1"/>
    </row>
    <row r="1445" spans="1:15" x14ac:dyDescent="0.25">
      <c r="A1445">
        <v>2533</v>
      </c>
      <c r="B1445">
        <v>23562.116129999999</v>
      </c>
      <c r="C1445">
        <v>0</v>
      </c>
      <c r="D1445">
        <v>152744.84760000001</v>
      </c>
      <c r="E1445">
        <v>0</v>
      </c>
      <c r="F1445">
        <v>963188.60649999999</v>
      </c>
      <c r="G1445">
        <v>0</v>
      </c>
      <c r="H1445">
        <v>2533</v>
      </c>
      <c r="I1445" t="str">
        <f t="shared" si="89"/>
        <v>YES</v>
      </c>
      <c r="J1445" t="s">
        <v>1451</v>
      </c>
      <c r="K1445">
        <v>294002.07244600001</v>
      </c>
      <c r="L1445" s="1">
        <f t="shared" si="90"/>
        <v>0</v>
      </c>
      <c r="M1445" s="1">
        <f t="shared" si="91"/>
        <v>0</v>
      </c>
      <c r="N1445" s="1">
        <f t="shared" si="92"/>
        <v>0</v>
      </c>
      <c r="O1445" s="1"/>
    </row>
    <row r="1446" spans="1:15" x14ac:dyDescent="0.25">
      <c r="A1446">
        <v>2534</v>
      </c>
      <c r="B1446">
        <v>13082.04694</v>
      </c>
      <c r="C1446">
        <v>0</v>
      </c>
      <c r="D1446">
        <v>57468.602220000001</v>
      </c>
      <c r="E1446">
        <v>0</v>
      </c>
      <c r="F1446">
        <v>553483.22329999995</v>
      </c>
      <c r="G1446">
        <v>0</v>
      </c>
      <c r="H1446">
        <v>2534</v>
      </c>
      <c r="I1446" t="str">
        <f t="shared" si="89"/>
        <v>YES</v>
      </c>
      <c r="J1446" t="s">
        <v>1452</v>
      </c>
      <c r="K1446">
        <v>365426.91673</v>
      </c>
      <c r="L1446" s="1">
        <f t="shared" si="90"/>
        <v>0</v>
      </c>
      <c r="M1446" s="1">
        <f t="shared" si="91"/>
        <v>0</v>
      </c>
      <c r="N1446" s="1">
        <f t="shared" si="92"/>
        <v>0</v>
      </c>
      <c r="O1446" s="1"/>
    </row>
    <row r="1447" spans="1:15" x14ac:dyDescent="0.25">
      <c r="A1447">
        <v>2535</v>
      </c>
      <c r="B1447">
        <v>22150.09114</v>
      </c>
      <c r="C1447">
        <v>0</v>
      </c>
      <c r="D1447">
        <v>134670.50529999999</v>
      </c>
      <c r="E1447">
        <v>0</v>
      </c>
      <c r="F1447">
        <v>913767.14439999999</v>
      </c>
      <c r="G1447">
        <v>0</v>
      </c>
      <c r="H1447">
        <v>2535</v>
      </c>
      <c r="I1447" t="str">
        <f t="shared" si="89"/>
        <v>YES</v>
      </c>
      <c r="J1447" t="s">
        <v>1453</v>
      </c>
      <c r="K1447">
        <v>255668.91675199999</v>
      </c>
      <c r="L1447" s="1">
        <f t="shared" si="90"/>
        <v>0</v>
      </c>
      <c r="M1447" s="1">
        <f t="shared" si="91"/>
        <v>0</v>
      </c>
      <c r="N1447" s="1">
        <f t="shared" si="92"/>
        <v>0</v>
      </c>
      <c r="O1447" s="1"/>
    </row>
    <row r="1448" spans="1:15" x14ac:dyDescent="0.25">
      <c r="A1448">
        <v>2536</v>
      </c>
      <c r="B1448">
        <v>10482.329970000001</v>
      </c>
      <c r="C1448">
        <v>0</v>
      </c>
      <c r="D1448">
        <v>61247.523430000001</v>
      </c>
      <c r="E1448">
        <v>0</v>
      </c>
      <c r="F1448">
        <v>597138.75040000002</v>
      </c>
      <c r="G1448">
        <v>0</v>
      </c>
      <c r="H1448">
        <v>2536</v>
      </c>
      <c r="I1448" t="str">
        <f t="shared" si="89"/>
        <v>YES</v>
      </c>
      <c r="J1448" t="s">
        <v>1454</v>
      </c>
      <c r="K1448">
        <v>446413.829853</v>
      </c>
      <c r="L1448" s="1">
        <f t="shared" si="90"/>
        <v>0</v>
      </c>
      <c r="M1448" s="1">
        <f t="shared" si="91"/>
        <v>0</v>
      </c>
      <c r="N1448" s="1">
        <f t="shared" si="92"/>
        <v>0</v>
      </c>
      <c r="O1448" s="1"/>
    </row>
    <row r="1449" spans="1:15" x14ac:dyDescent="0.25">
      <c r="A1449">
        <v>2537</v>
      </c>
      <c r="B1449">
        <v>10541.38975</v>
      </c>
      <c r="C1449">
        <v>0</v>
      </c>
      <c r="D1449">
        <v>65434.140070000001</v>
      </c>
      <c r="E1449">
        <v>0</v>
      </c>
      <c r="F1449">
        <v>642830.53449999995</v>
      </c>
      <c r="G1449">
        <v>0</v>
      </c>
      <c r="H1449">
        <v>2537</v>
      </c>
      <c r="I1449" t="str">
        <f t="shared" si="89"/>
        <v>YES</v>
      </c>
      <c r="J1449" t="s">
        <v>1455</v>
      </c>
      <c r="K1449">
        <v>259014.384586</v>
      </c>
      <c r="L1449" s="1">
        <f t="shared" si="90"/>
        <v>0</v>
      </c>
      <c r="M1449" s="1">
        <f t="shared" si="91"/>
        <v>0</v>
      </c>
      <c r="N1449" s="1">
        <f t="shared" si="92"/>
        <v>0</v>
      </c>
      <c r="O1449" s="1"/>
    </row>
    <row r="1450" spans="1:15" x14ac:dyDescent="0.25">
      <c r="A1450">
        <v>2538</v>
      </c>
      <c r="B1450">
        <v>17717.064149999998</v>
      </c>
      <c r="C1450">
        <v>0</v>
      </c>
      <c r="D1450">
        <v>71094.636710000006</v>
      </c>
      <c r="E1450">
        <v>0</v>
      </c>
      <c r="F1450">
        <v>674898.61699999997</v>
      </c>
      <c r="G1450">
        <v>0</v>
      </c>
      <c r="H1450">
        <v>2538</v>
      </c>
      <c r="I1450" t="str">
        <f t="shared" si="89"/>
        <v>YES</v>
      </c>
      <c r="J1450" t="s">
        <v>1456</v>
      </c>
      <c r="K1450">
        <v>296557.55417199997</v>
      </c>
      <c r="L1450" s="1">
        <f t="shared" si="90"/>
        <v>0</v>
      </c>
      <c r="M1450" s="1">
        <f t="shared" si="91"/>
        <v>0</v>
      </c>
      <c r="N1450" s="1">
        <f t="shared" si="92"/>
        <v>0</v>
      </c>
      <c r="O1450" s="1"/>
    </row>
    <row r="1451" spans="1:15" x14ac:dyDescent="0.25">
      <c r="A1451">
        <v>2539</v>
      </c>
      <c r="B1451">
        <v>18074.597600000001</v>
      </c>
      <c r="C1451">
        <v>0</v>
      </c>
      <c r="D1451">
        <v>69999.628620000003</v>
      </c>
      <c r="E1451">
        <v>0</v>
      </c>
      <c r="F1451">
        <v>639155.77989999996</v>
      </c>
      <c r="G1451">
        <v>0</v>
      </c>
      <c r="H1451">
        <v>2539</v>
      </c>
      <c r="I1451" t="str">
        <f t="shared" si="89"/>
        <v>YES</v>
      </c>
      <c r="J1451" t="s">
        <v>1457</v>
      </c>
      <c r="K1451">
        <v>179031.67309500001</v>
      </c>
      <c r="L1451" s="1">
        <f t="shared" si="90"/>
        <v>0</v>
      </c>
      <c r="M1451" s="1">
        <f t="shared" si="91"/>
        <v>0</v>
      </c>
      <c r="N1451" s="1">
        <f t="shared" si="92"/>
        <v>0</v>
      </c>
      <c r="O1451" s="1"/>
    </row>
    <row r="1452" spans="1:15" x14ac:dyDescent="0.25">
      <c r="A1452">
        <v>2540</v>
      </c>
      <c r="B1452">
        <v>8536.5006649999996</v>
      </c>
      <c r="C1452">
        <v>0</v>
      </c>
      <c r="D1452">
        <v>60615.524550000002</v>
      </c>
      <c r="E1452">
        <v>0</v>
      </c>
      <c r="F1452">
        <v>456695.66100000002</v>
      </c>
      <c r="G1452">
        <v>0</v>
      </c>
      <c r="H1452">
        <v>2540</v>
      </c>
      <c r="I1452" t="str">
        <f t="shared" si="89"/>
        <v>YES</v>
      </c>
      <c r="J1452" t="s">
        <v>1458</v>
      </c>
      <c r="K1452">
        <v>219817.12934700001</v>
      </c>
      <c r="L1452" s="1">
        <f t="shared" si="90"/>
        <v>0</v>
      </c>
      <c r="M1452" s="1">
        <f t="shared" si="91"/>
        <v>0</v>
      </c>
      <c r="N1452" s="1">
        <f t="shared" si="92"/>
        <v>0</v>
      </c>
      <c r="O1452" s="1"/>
    </row>
    <row r="1453" spans="1:15" x14ac:dyDescent="0.25">
      <c r="A1453">
        <v>2541</v>
      </c>
      <c r="B1453">
        <v>9243.7114320000001</v>
      </c>
      <c r="C1453">
        <v>0</v>
      </c>
      <c r="D1453">
        <v>47131.468390000002</v>
      </c>
      <c r="E1453">
        <v>0</v>
      </c>
      <c r="F1453">
        <v>252122.69279999999</v>
      </c>
      <c r="G1453">
        <v>0</v>
      </c>
      <c r="H1453">
        <v>2541</v>
      </c>
      <c r="I1453" t="str">
        <f t="shared" si="89"/>
        <v>YES</v>
      </c>
      <c r="J1453" t="s">
        <v>1459</v>
      </c>
      <c r="K1453">
        <v>364546.80066800001</v>
      </c>
      <c r="L1453" s="1">
        <f t="shared" si="90"/>
        <v>0</v>
      </c>
      <c r="M1453" s="1">
        <f t="shared" si="91"/>
        <v>0</v>
      </c>
      <c r="N1453" s="1">
        <f t="shared" si="92"/>
        <v>0</v>
      </c>
      <c r="O1453" s="1"/>
    </row>
    <row r="1454" spans="1:15" x14ac:dyDescent="0.25">
      <c r="A1454">
        <v>2542</v>
      </c>
      <c r="B1454">
        <v>13932.53816</v>
      </c>
      <c r="C1454">
        <v>0</v>
      </c>
      <c r="D1454">
        <v>65045.949719999997</v>
      </c>
      <c r="E1454">
        <v>0</v>
      </c>
      <c r="F1454">
        <v>258009.1476</v>
      </c>
      <c r="G1454">
        <v>0</v>
      </c>
      <c r="H1454">
        <v>2542</v>
      </c>
      <c r="I1454" t="str">
        <f t="shared" si="89"/>
        <v>YES</v>
      </c>
      <c r="J1454" t="s">
        <v>1460</v>
      </c>
      <c r="K1454">
        <v>487783.77750299999</v>
      </c>
      <c r="L1454" s="1">
        <f t="shared" si="90"/>
        <v>0</v>
      </c>
      <c r="M1454" s="1">
        <f t="shared" si="91"/>
        <v>0</v>
      </c>
      <c r="N1454" s="1">
        <f t="shared" si="92"/>
        <v>0</v>
      </c>
      <c r="O1454" s="1"/>
    </row>
    <row r="1455" spans="1:15" x14ac:dyDescent="0.25">
      <c r="A1455">
        <v>2543</v>
      </c>
      <c r="B1455">
        <v>24823.393629999999</v>
      </c>
      <c r="C1455">
        <v>0</v>
      </c>
      <c r="D1455">
        <v>109142.33749999999</v>
      </c>
      <c r="E1455">
        <v>0</v>
      </c>
      <c r="F1455">
        <v>812017.7378</v>
      </c>
      <c r="G1455">
        <v>0</v>
      </c>
      <c r="H1455">
        <v>2543</v>
      </c>
      <c r="I1455" t="str">
        <f t="shared" si="89"/>
        <v>YES</v>
      </c>
      <c r="J1455" t="s">
        <v>1461</v>
      </c>
      <c r="K1455">
        <v>326257.89140700002</v>
      </c>
      <c r="L1455" s="1">
        <f t="shared" si="90"/>
        <v>0</v>
      </c>
      <c r="M1455" s="1">
        <f t="shared" si="91"/>
        <v>0</v>
      </c>
      <c r="N1455" s="1">
        <f t="shared" si="92"/>
        <v>0</v>
      </c>
      <c r="O1455" s="1"/>
    </row>
    <row r="1456" spans="1:15" x14ac:dyDescent="0.25">
      <c r="A1456">
        <v>2544</v>
      </c>
      <c r="B1456">
        <v>26906.371459999998</v>
      </c>
      <c r="C1456">
        <v>0</v>
      </c>
      <c r="D1456">
        <v>85374.871109999993</v>
      </c>
      <c r="E1456">
        <v>0</v>
      </c>
      <c r="F1456">
        <v>254354.89309999999</v>
      </c>
      <c r="G1456">
        <v>0</v>
      </c>
      <c r="H1456">
        <v>2544</v>
      </c>
      <c r="I1456" t="str">
        <f t="shared" si="89"/>
        <v>YES</v>
      </c>
      <c r="J1456" t="s">
        <v>1462</v>
      </c>
      <c r="K1456">
        <v>436663.86901600001</v>
      </c>
      <c r="L1456" s="1">
        <f t="shared" si="90"/>
        <v>0</v>
      </c>
      <c r="M1456" s="1">
        <f t="shared" si="91"/>
        <v>0</v>
      </c>
      <c r="N1456" s="1">
        <f t="shared" si="92"/>
        <v>0</v>
      </c>
      <c r="O1456" s="1"/>
    </row>
    <row r="1457" spans="1:15" x14ac:dyDescent="0.25">
      <c r="A1457">
        <v>2545</v>
      </c>
      <c r="B1457">
        <v>18377.9591</v>
      </c>
      <c r="C1457">
        <v>0</v>
      </c>
      <c r="D1457">
        <v>72599.067150000003</v>
      </c>
      <c r="E1457">
        <v>0</v>
      </c>
      <c r="F1457">
        <v>293182.32209999999</v>
      </c>
      <c r="G1457">
        <v>0</v>
      </c>
      <c r="H1457">
        <v>2545</v>
      </c>
      <c r="I1457" t="str">
        <f t="shared" si="89"/>
        <v>YES</v>
      </c>
      <c r="J1457" t="s">
        <v>1463</v>
      </c>
      <c r="K1457">
        <v>540666.77530800004</v>
      </c>
      <c r="L1457" s="1">
        <f t="shared" si="90"/>
        <v>0</v>
      </c>
      <c r="M1457" s="1">
        <f t="shared" si="91"/>
        <v>0</v>
      </c>
      <c r="N1457" s="1">
        <f t="shared" si="92"/>
        <v>0</v>
      </c>
      <c r="O1457" s="1"/>
    </row>
    <row r="1458" spans="1:15" x14ac:dyDescent="0.25">
      <c r="A1458">
        <v>2546</v>
      </c>
      <c r="B1458">
        <v>6579.0122460000002</v>
      </c>
      <c r="C1458">
        <v>0</v>
      </c>
      <c r="D1458">
        <v>47460.183499999999</v>
      </c>
      <c r="E1458">
        <v>0</v>
      </c>
      <c r="F1458">
        <v>156367.8259</v>
      </c>
      <c r="G1458">
        <v>0</v>
      </c>
      <c r="H1458">
        <v>2546</v>
      </c>
      <c r="I1458" t="str">
        <f t="shared" si="89"/>
        <v>YES</v>
      </c>
      <c r="J1458" t="s">
        <v>1464</v>
      </c>
      <c r="K1458">
        <v>491675.97383500001</v>
      </c>
      <c r="L1458" s="1">
        <f t="shared" si="90"/>
        <v>0</v>
      </c>
      <c r="M1458" s="1">
        <f t="shared" si="91"/>
        <v>0</v>
      </c>
      <c r="N1458" s="1">
        <f t="shared" si="92"/>
        <v>0</v>
      </c>
      <c r="O1458" s="1"/>
    </row>
    <row r="1459" spans="1:15" x14ac:dyDescent="0.25">
      <c r="A1459">
        <v>2547</v>
      </c>
      <c r="B1459">
        <v>10741.594639999999</v>
      </c>
      <c r="C1459">
        <v>0</v>
      </c>
      <c r="D1459">
        <v>46527.856820000001</v>
      </c>
      <c r="E1459">
        <v>0</v>
      </c>
      <c r="F1459">
        <v>156158.9547</v>
      </c>
      <c r="G1459">
        <v>0</v>
      </c>
      <c r="H1459">
        <v>2547</v>
      </c>
      <c r="I1459" t="str">
        <f t="shared" si="89"/>
        <v>YES</v>
      </c>
      <c r="J1459" t="s">
        <v>1465</v>
      </c>
      <c r="K1459">
        <v>290622.44751199998</v>
      </c>
      <c r="L1459" s="1">
        <f t="shared" si="90"/>
        <v>0</v>
      </c>
      <c r="M1459" s="1">
        <f t="shared" si="91"/>
        <v>0</v>
      </c>
      <c r="N1459" s="1">
        <f t="shared" si="92"/>
        <v>0</v>
      </c>
      <c r="O1459" s="1"/>
    </row>
    <row r="1460" spans="1:15" x14ac:dyDescent="0.25">
      <c r="A1460">
        <v>2548</v>
      </c>
      <c r="B1460">
        <v>7992.0134799999996</v>
      </c>
      <c r="C1460">
        <v>0</v>
      </c>
      <c r="D1460">
        <v>54154.776980000002</v>
      </c>
      <c r="E1460">
        <v>0</v>
      </c>
      <c r="F1460">
        <v>207540.14629999999</v>
      </c>
      <c r="G1460">
        <v>0</v>
      </c>
      <c r="H1460">
        <v>2548</v>
      </c>
      <c r="I1460" t="str">
        <f t="shared" si="89"/>
        <v>YES</v>
      </c>
      <c r="J1460" t="s">
        <v>1466</v>
      </c>
      <c r="K1460">
        <v>709482.29496099998</v>
      </c>
      <c r="L1460" s="1">
        <f t="shared" si="90"/>
        <v>0</v>
      </c>
      <c r="M1460" s="1">
        <f t="shared" si="91"/>
        <v>0</v>
      </c>
      <c r="N1460" s="1">
        <f t="shared" si="92"/>
        <v>0</v>
      </c>
      <c r="O1460" s="1"/>
    </row>
    <row r="1461" spans="1:15" x14ac:dyDescent="0.25">
      <c r="A1461">
        <v>2549</v>
      </c>
      <c r="B1461">
        <v>5753.4970389999999</v>
      </c>
      <c r="C1461">
        <v>0</v>
      </c>
      <c r="D1461">
        <v>33534.738559999998</v>
      </c>
      <c r="E1461">
        <v>0</v>
      </c>
      <c r="F1461">
        <v>116890.06170000001</v>
      </c>
      <c r="G1461">
        <v>0</v>
      </c>
      <c r="H1461">
        <v>2549</v>
      </c>
      <c r="I1461" t="str">
        <f t="shared" si="89"/>
        <v>YES</v>
      </c>
      <c r="J1461" t="s">
        <v>1467</v>
      </c>
      <c r="K1461">
        <v>856376.12984199997</v>
      </c>
      <c r="L1461" s="1">
        <f t="shared" si="90"/>
        <v>0</v>
      </c>
      <c r="M1461" s="1">
        <f t="shared" si="91"/>
        <v>0</v>
      </c>
      <c r="N1461" s="1">
        <f t="shared" si="92"/>
        <v>0</v>
      </c>
      <c r="O1461" s="1"/>
    </row>
    <row r="1462" spans="1:15" x14ac:dyDescent="0.25">
      <c r="A1462">
        <v>2550</v>
      </c>
      <c r="B1462">
        <v>7974.5623240000004</v>
      </c>
      <c r="C1462">
        <v>0</v>
      </c>
      <c r="D1462">
        <v>52731.386939999997</v>
      </c>
      <c r="E1462">
        <v>0</v>
      </c>
      <c r="F1462">
        <v>272646.63929999998</v>
      </c>
      <c r="G1462">
        <v>0</v>
      </c>
      <c r="H1462">
        <v>2550</v>
      </c>
      <c r="I1462" t="str">
        <f t="shared" si="89"/>
        <v>YES</v>
      </c>
      <c r="J1462" t="s">
        <v>1468</v>
      </c>
      <c r="K1462">
        <v>329778.21923500003</v>
      </c>
      <c r="L1462" s="1">
        <f t="shared" si="90"/>
        <v>0</v>
      </c>
      <c r="M1462" s="1">
        <f t="shared" si="91"/>
        <v>0</v>
      </c>
      <c r="N1462" s="1">
        <f t="shared" si="92"/>
        <v>0</v>
      </c>
      <c r="O1462" s="1"/>
    </row>
    <row r="1463" spans="1:15" x14ac:dyDescent="0.25">
      <c r="A1463">
        <v>2551</v>
      </c>
      <c r="B1463">
        <v>16938.841789999999</v>
      </c>
      <c r="C1463">
        <v>0</v>
      </c>
      <c r="D1463">
        <v>76557.628370000006</v>
      </c>
      <c r="E1463">
        <v>0</v>
      </c>
      <c r="F1463">
        <v>586562.06700000004</v>
      </c>
      <c r="G1463">
        <v>0</v>
      </c>
      <c r="H1463">
        <v>2551</v>
      </c>
      <c r="I1463" t="str">
        <f t="shared" si="89"/>
        <v>YES</v>
      </c>
      <c r="J1463" t="s">
        <v>1469</v>
      </c>
      <c r="K1463">
        <v>470026.74049400003</v>
      </c>
      <c r="L1463" s="1">
        <f t="shared" si="90"/>
        <v>0</v>
      </c>
      <c r="M1463" s="1">
        <f t="shared" si="91"/>
        <v>0</v>
      </c>
      <c r="N1463" s="1">
        <f t="shared" si="92"/>
        <v>0</v>
      </c>
      <c r="O1463" s="1"/>
    </row>
    <row r="1464" spans="1:15" x14ac:dyDescent="0.25">
      <c r="A1464">
        <v>2552</v>
      </c>
      <c r="B1464">
        <v>6406.8752169999998</v>
      </c>
      <c r="C1464">
        <v>0</v>
      </c>
      <c r="D1464">
        <v>41305.722229999999</v>
      </c>
      <c r="E1464">
        <v>0</v>
      </c>
      <c r="F1464">
        <v>130901.3028</v>
      </c>
      <c r="G1464">
        <v>0</v>
      </c>
      <c r="H1464">
        <v>2552</v>
      </c>
      <c r="I1464" t="str">
        <f t="shared" si="89"/>
        <v>YES</v>
      </c>
      <c r="J1464" t="s">
        <v>1470</v>
      </c>
      <c r="K1464">
        <v>591058.21850099997</v>
      </c>
      <c r="L1464" s="1">
        <f t="shared" si="90"/>
        <v>0</v>
      </c>
      <c r="M1464" s="1">
        <f t="shared" si="91"/>
        <v>0</v>
      </c>
      <c r="N1464" s="1">
        <f t="shared" si="92"/>
        <v>0</v>
      </c>
      <c r="O1464" s="1"/>
    </row>
    <row r="1465" spans="1:15" x14ac:dyDescent="0.25">
      <c r="A1465">
        <v>2553</v>
      </c>
      <c r="B1465">
        <v>9801.7979149999992</v>
      </c>
      <c r="C1465">
        <v>0</v>
      </c>
      <c r="D1465">
        <v>55669.411070000002</v>
      </c>
      <c r="E1465">
        <v>0</v>
      </c>
      <c r="F1465">
        <v>160042.8824</v>
      </c>
      <c r="G1465">
        <v>0</v>
      </c>
      <c r="H1465">
        <v>2553</v>
      </c>
      <c r="I1465" t="str">
        <f t="shared" si="89"/>
        <v>YES</v>
      </c>
      <c r="J1465" t="s">
        <v>1471</v>
      </c>
      <c r="K1465">
        <v>947428.44759300002</v>
      </c>
      <c r="L1465" s="1">
        <f t="shared" si="90"/>
        <v>0</v>
      </c>
      <c r="M1465" s="1">
        <f t="shared" si="91"/>
        <v>0</v>
      </c>
      <c r="N1465" s="1">
        <f t="shared" si="92"/>
        <v>0</v>
      </c>
      <c r="O1465" s="1"/>
    </row>
    <row r="1466" spans="1:15" x14ac:dyDescent="0.25">
      <c r="A1466">
        <v>2554</v>
      </c>
      <c r="B1466">
        <v>12149.295550000001</v>
      </c>
      <c r="C1466">
        <v>0</v>
      </c>
      <c r="D1466">
        <v>87572.909360000005</v>
      </c>
      <c r="E1466">
        <v>0</v>
      </c>
      <c r="F1466">
        <v>355594.34850000002</v>
      </c>
      <c r="G1466">
        <v>0</v>
      </c>
      <c r="H1466">
        <v>2554</v>
      </c>
      <c r="I1466" t="str">
        <f t="shared" si="89"/>
        <v>YES</v>
      </c>
      <c r="J1466" t="s">
        <v>1472</v>
      </c>
      <c r="K1466">
        <v>764902.49459500005</v>
      </c>
      <c r="L1466" s="1">
        <f t="shared" si="90"/>
        <v>0</v>
      </c>
      <c r="M1466" s="1">
        <f t="shared" si="91"/>
        <v>0</v>
      </c>
      <c r="N1466" s="1">
        <f t="shared" si="92"/>
        <v>0</v>
      </c>
      <c r="O1466" s="1"/>
    </row>
    <row r="1467" spans="1:15" x14ac:dyDescent="0.25">
      <c r="A1467">
        <v>2555</v>
      </c>
      <c r="B1467">
        <v>8822.4464769999995</v>
      </c>
      <c r="C1467">
        <v>0</v>
      </c>
      <c r="D1467">
        <v>37952.585800000001</v>
      </c>
      <c r="E1467">
        <v>0</v>
      </c>
      <c r="F1467">
        <v>162952.55549999999</v>
      </c>
      <c r="G1467">
        <v>0</v>
      </c>
      <c r="H1467">
        <v>2555</v>
      </c>
      <c r="I1467" t="str">
        <f t="shared" si="89"/>
        <v>YES</v>
      </c>
      <c r="J1467" t="s">
        <v>1473</v>
      </c>
      <c r="K1467">
        <v>493584.513171</v>
      </c>
      <c r="L1467" s="1">
        <f t="shared" si="90"/>
        <v>0</v>
      </c>
      <c r="M1467" s="1">
        <f t="shared" si="91"/>
        <v>0</v>
      </c>
      <c r="N1467" s="1">
        <f t="shared" si="92"/>
        <v>0</v>
      </c>
      <c r="O1467" s="1"/>
    </row>
    <row r="1468" spans="1:15" x14ac:dyDescent="0.25">
      <c r="A1468">
        <v>2556</v>
      </c>
      <c r="B1468">
        <v>6895.3240589999996</v>
      </c>
      <c r="C1468">
        <v>0</v>
      </c>
      <c r="D1468">
        <v>64676.354010000003</v>
      </c>
      <c r="E1468">
        <v>0</v>
      </c>
      <c r="F1468">
        <v>223189.23740000001</v>
      </c>
      <c r="G1468">
        <v>0</v>
      </c>
      <c r="H1468">
        <v>2556</v>
      </c>
      <c r="I1468" t="str">
        <f t="shared" si="89"/>
        <v>YES</v>
      </c>
      <c r="J1468" t="s">
        <v>1474</v>
      </c>
      <c r="K1468">
        <v>842055.67939499998</v>
      </c>
      <c r="L1468" s="1">
        <f t="shared" si="90"/>
        <v>0</v>
      </c>
      <c r="M1468" s="1">
        <f t="shared" si="91"/>
        <v>0</v>
      </c>
      <c r="N1468" s="1">
        <f t="shared" si="92"/>
        <v>0</v>
      </c>
      <c r="O1468" s="1"/>
    </row>
    <row r="1469" spans="1:15" x14ac:dyDescent="0.25">
      <c r="A1469">
        <v>2557</v>
      </c>
      <c r="B1469">
        <v>10319.98539</v>
      </c>
      <c r="C1469">
        <v>0</v>
      </c>
      <c r="D1469">
        <v>61582.217100000002</v>
      </c>
      <c r="E1469">
        <v>0</v>
      </c>
      <c r="F1469">
        <v>384662.80570000003</v>
      </c>
      <c r="G1469">
        <v>0</v>
      </c>
      <c r="H1469">
        <v>2557</v>
      </c>
      <c r="I1469" t="str">
        <f t="shared" si="89"/>
        <v>YES</v>
      </c>
      <c r="J1469" t="s">
        <v>1475</v>
      </c>
      <c r="K1469">
        <v>261327.91383100001</v>
      </c>
      <c r="L1469" s="1">
        <f t="shared" si="90"/>
        <v>0</v>
      </c>
      <c r="M1469" s="1">
        <f t="shared" si="91"/>
        <v>0</v>
      </c>
      <c r="N1469" s="1">
        <f t="shared" si="92"/>
        <v>0</v>
      </c>
      <c r="O1469" s="1"/>
    </row>
    <row r="1470" spans="1:15" x14ac:dyDescent="0.25">
      <c r="A1470">
        <v>2600</v>
      </c>
      <c r="B1470">
        <v>14192.98927</v>
      </c>
      <c r="C1470">
        <v>0</v>
      </c>
      <c r="D1470">
        <v>51701.863140000001</v>
      </c>
      <c r="E1470">
        <v>0</v>
      </c>
      <c r="F1470">
        <v>421192.19770000002</v>
      </c>
      <c r="G1470">
        <v>0</v>
      </c>
      <c r="H1470">
        <v>2600</v>
      </c>
      <c r="I1470" t="str">
        <f t="shared" si="89"/>
        <v>YES</v>
      </c>
      <c r="J1470" t="s">
        <v>1476</v>
      </c>
      <c r="K1470">
        <v>617264.41364200006</v>
      </c>
      <c r="L1470" s="1">
        <f t="shared" si="90"/>
        <v>0</v>
      </c>
      <c r="M1470" s="1">
        <f t="shared" si="91"/>
        <v>0</v>
      </c>
      <c r="N1470" s="1">
        <f t="shared" si="92"/>
        <v>0</v>
      </c>
      <c r="O1470" s="1"/>
    </row>
    <row r="1471" spans="1:15" x14ac:dyDescent="0.25">
      <c r="A1471">
        <v>2601</v>
      </c>
      <c r="B1471">
        <v>14699.03386</v>
      </c>
      <c r="C1471">
        <v>0</v>
      </c>
      <c r="D1471">
        <v>83718.275859999994</v>
      </c>
      <c r="E1471">
        <v>0</v>
      </c>
      <c r="F1471">
        <v>722865.95499999996</v>
      </c>
      <c r="G1471">
        <v>0</v>
      </c>
      <c r="H1471">
        <v>2601</v>
      </c>
      <c r="I1471" t="str">
        <f t="shared" si="89"/>
        <v>YES</v>
      </c>
      <c r="J1471" t="s">
        <v>1477</v>
      </c>
      <c r="K1471">
        <v>442952.55962100002</v>
      </c>
      <c r="L1471" s="1">
        <f t="shared" si="90"/>
        <v>0</v>
      </c>
      <c r="M1471" s="1">
        <f t="shared" si="91"/>
        <v>0</v>
      </c>
      <c r="N1471" s="1">
        <f t="shared" si="92"/>
        <v>0</v>
      </c>
      <c r="O1471" s="1"/>
    </row>
    <row r="1472" spans="1:15" x14ac:dyDescent="0.25">
      <c r="A1472">
        <v>2602</v>
      </c>
      <c r="B1472">
        <v>15553.9167</v>
      </c>
      <c r="C1472">
        <v>0</v>
      </c>
      <c r="D1472">
        <v>58956.537709999997</v>
      </c>
      <c r="E1472">
        <v>0</v>
      </c>
      <c r="F1472">
        <v>614841.96290000004</v>
      </c>
      <c r="G1472">
        <v>0</v>
      </c>
      <c r="H1472">
        <v>2602</v>
      </c>
      <c r="I1472" t="str">
        <f t="shared" si="89"/>
        <v>YES</v>
      </c>
      <c r="J1472" t="s">
        <v>1478</v>
      </c>
      <c r="K1472">
        <v>673893.93351500004</v>
      </c>
      <c r="L1472" s="1">
        <f t="shared" si="90"/>
        <v>0</v>
      </c>
      <c r="M1472" s="1">
        <f t="shared" si="91"/>
        <v>0</v>
      </c>
      <c r="N1472" s="1">
        <f t="shared" si="92"/>
        <v>0</v>
      </c>
      <c r="O1472" s="1"/>
    </row>
    <row r="1473" spans="1:15" x14ac:dyDescent="0.25">
      <c r="A1473">
        <v>2603</v>
      </c>
      <c r="B1473">
        <v>16968.775269999998</v>
      </c>
      <c r="C1473">
        <v>0</v>
      </c>
      <c r="D1473">
        <v>121118.59819999999</v>
      </c>
      <c r="E1473">
        <v>0</v>
      </c>
      <c r="F1473">
        <v>809058.13989999995</v>
      </c>
      <c r="G1473">
        <v>0</v>
      </c>
      <c r="H1473">
        <v>2603</v>
      </c>
      <c r="I1473" t="str">
        <f t="shared" si="89"/>
        <v>YES</v>
      </c>
      <c r="J1473" t="s">
        <v>1479</v>
      </c>
      <c r="K1473">
        <v>613794.80070200004</v>
      </c>
      <c r="L1473" s="1">
        <f t="shared" si="90"/>
        <v>0</v>
      </c>
      <c r="M1473" s="1">
        <f t="shared" si="91"/>
        <v>0</v>
      </c>
      <c r="N1473" s="1">
        <f t="shared" si="92"/>
        <v>0</v>
      </c>
      <c r="O1473" s="1"/>
    </row>
    <row r="1474" spans="1:15" x14ac:dyDescent="0.25">
      <c r="A1474">
        <v>2604</v>
      </c>
      <c r="B1474">
        <v>28860.762299999999</v>
      </c>
      <c r="C1474">
        <v>0</v>
      </c>
      <c r="D1474">
        <v>373034.79969999997</v>
      </c>
      <c r="E1474">
        <v>0</v>
      </c>
      <c r="F1474">
        <v>979885.30460000003</v>
      </c>
      <c r="G1474">
        <v>0</v>
      </c>
      <c r="H1474">
        <v>2604</v>
      </c>
      <c r="I1474" t="str">
        <f t="shared" ref="I1474:I1537" si="93">IF(A1474=H1474,"YES","NO")</f>
        <v>YES</v>
      </c>
      <c r="J1474" t="s">
        <v>1480</v>
      </c>
      <c r="K1474">
        <v>239541.76467800001</v>
      </c>
      <c r="L1474" s="1">
        <f t="shared" si="90"/>
        <v>0</v>
      </c>
      <c r="M1474" s="1">
        <f t="shared" si="91"/>
        <v>0</v>
      </c>
      <c r="N1474" s="1">
        <f t="shared" si="92"/>
        <v>0</v>
      </c>
      <c r="O1474" s="1"/>
    </row>
    <row r="1475" spans="1:15" x14ac:dyDescent="0.25">
      <c r="A1475">
        <v>2605</v>
      </c>
      <c r="B1475">
        <v>33247.215369999998</v>
      </c>
      <c r="C1475">
        <v>0</v>
      </c>
      <c r="D1475">
        <v>154556.0312</v>
      </c>
      <c r="E1475">
        <v>0</v>
      </c>
      <c r="F1475">
        <v>840665.19140000001</v>
      </c>
      <c r="G1475">
        <v>0</v>
      </c>
      <c r="H1475">
        <v>2605</v>
      </c>
      <c r="I1475" t="str">
        <f t="shared" si="93"/>
        <v>YES</v>
      </c>
      <c r="J1475" t="s">
        <v>1481</v>
      </c>
      <c r="K1475">
        <v>360256.05684199999</v>
      </c>
      <c r="L1475" s="1">
        <f t="shared" ref="L1475:L1538" si="94">$U$2*$K1475*C1475</f>
        <v>0</v>
      </c>
      <c r="M1475" s="1">
        <f t="shared" ref="M1475:M1538" si="95">$U$3*$K1475*E1475</f>
        <v>0</v>
      </c>
      <c r="N1475" s="1">
        <f t="shared" ref="N1475:N1538" si="96">$U$4*$K1475*G1475</f>
        <v>0</v>
      </c>
      <c r="O1475" s="1"/>
    </row>
    <row r="1476" spans="1:15" x14ac:dyDescent="0.25">
      <c r="A1476">
        <v>2606</v>
      </c>
      <c r="B1476">
        <v>32276.70534</v>
      </c>
      <c r="C1476">
        <v>0</v>
      </c>
      <c r="D1476">
        <v>461844.48469999997</v>
      </c>
      <c r="E1476">
        <v>0</v>
      </c>
      <c r="F1476">
        <v>1011263.6580000001</v>
      </c>
      <c r="G1476">
        <v>0</v>
      </c>
      <c r="H1476">
        <v>2606</v>
      </c>
      <c r="I1476" t="str">
        <f t="shared" si="93"/>
        <v>YES</v>
      </c>
      <c r="J1476" t="s">
        <v>1482</v>
      </c>
      <c r="K1476">
        <v>186277.825564</v>
      </c>
      <c r="L1476" s="1">
        <f t="shared" si="94"/>
        <v>0</v>
      </c>
      <c r="M1476" s="1">
        <f t="shared" si="95"/>
        <v>0</v>
      </c>
      <c r="N1476" s="1">
        <f t="shared" si="96"/>
        <v>0</v>
      </c>
      <c r="O1476" s="1"/>
    </row>
    <row r="1477" spans="1:15" x14ac:dyDescent="0.25">
      <c r="A1477">
        <v>2607</v>
      </c>
      <c r="B1477">
        <v>15424.37766</v>
      </c>
      <c r="C1477">
        <v>0</v>
      </c>
      <c r="D1477">
        <v>63214.765350000001</v>
      </c>
      <c r="E1477">
        <v>0</v>
      </c>
      <c r="F1477">
        <v>683082.11040000001</v>
      </c>
      <c r="G1477">
        <v>0</v>
      </c>
      <c r="H1477">
        <v>2607</v>
      </c>
      <c r="I1477" t="str">
        <f t="shared" si="93"/>
        <v>YES</v>
      </c>
      <c r="J1477" t="s">
        <v>1483</v>
      </c>
      <c r="K1477">
        <v>344820.283345</v>
      </c>
      <c r="L1477" s="1">
        <f t="shared" si="94"/>
        <v>0</v>
      </c>
      <c r="M1477" s="1">
        <f t="shared" si="95"/>
        <v>0</v>
      </c>
      <c r="N1477" s="1">
        <f t="shared" si="96"/>
        <v>0</v>
      </c>
      <c r="O1477" s="1"/>
    </row>
    <row r="1478" spans="1:15" x14ac:dyDescent="0.25">
      <c r="A1478">
        <v>2608</v>
      </c>
      <c r="B1478">
        <v>30223.917170000001</v>
      </c>
      <c r="C1478">
        <v>0</v>
      </c>
      <c r="D1478">
        <v>400220.60680000001</v>
      </c>
      <c r="E1478">
        <v>0</v>
      </c>
      <c r="F1478">
        <v>983047.76919999998</v>
      </c>
      <c r="G1478">
        <v>0</v>
      </c>
      <c r="H1478">
        <v>2608</v>
      </c>
      <c r="I1478" t="str">
        <f t="shared" si="93"/>
        <v>YES</v>
      </c>
      <c r="J1478" t="s">
        <v>1484</v>
      </c>
      <c r="K1478">
        <v>155231.05553700001</v>
      </c>
      <c r="L1478" s="1">
        <f t="shared" si="94"/>
        <v>0</v>
      </c>
      <c r="M1478" s="1">
        <f t="shared" si="95"/>
        <v>0</v>
      </c>
      <c r="N1478" s="1">
        <f t="shared" si="96"/>
        <v>0</v>
      </c>
      <c r="O1478" s="1"/>
    </row>
    <row r="1479" spans="1:15" x14ac:dyDescent="0.25">
      <c r="A1479">
        <v>2609</v>
      </c>
      <c r="B1479">
        <v>8840.2381129999994</v>
      </c>
      <c r="C1479">
        <v>0</v>
      </c>
      <c r="D1479">
        <v>57115.294110000003</v>
      </c>
      <c r="E1479">
        <v>0</v>
      </c>
      <c r="F1479">
        <v>601949.51899999997</v>
      </c>
      <c r="G1479">
        <v>0</v>
      </c>
      <c r="H1479">
        <v>2609</v>
      </c>
      <c r="I1479" t="str">
        <f t="shared" si="93"/>
        <v>YES</v>
      </c>
      <c r="J1479" t="s">
        <v>1485</v>
      </c>
      <c r="K1479">
        <v>746274.72787299997</v>
      </c>
      <c r="L1479" s="1">
        <f t="shared" si="94"/>
        <v>0</v>
      </c>
      <c r="M1479" s="1">
        <f t="shared" si="95"/>
        <v>0</v>
      </c>
      <c r="N1479" s="1">
        <f t="shared" si="96"/>
        <v>0</v>
      </c>
      <c r="O1479" s="1"/>
    </row>
    <row r="1480" spans="1:15" x14ac:dyDescent="0.25">
      <c r="A1480">
        <v>2610</v>
      </c>
      <c r="B1480">
        <v>17268.460230000001</v>
      </c>
      <c r="C1480">
        <v>0</v>
      </c>
      <c r="D1480">
        <v>72136.360480000003</v>
      </c>
      <c r="E1480">
        <v>0</v>
      </c>
      <c r="F1480">
        <v>748139.4068</v>
      </c>
      <c r="G1480">
        <v>0</v>
      </c>
      <c r="H1480">
        <v>2610</v>
      </c>
      <c r="I1480" t="str">
        <f t="shared" si="93"/>
        <v>YES</v>
      </c>
      <c r="J1480" t="s">
        <v>1486</v>
      </c>
      <c r="K1480">
        <v>527269.94797400001</v>
      </c>
      <c r="L1480" s="1">
        <f t="shared" si="94"/>
        <v>0</v>
      </c>
      <c r="M1480" s="1">
        <f t="shared" si="95"/>
        <v>0</v>
      </c>
      <c r="N1480" s="1">
        <f t="shared" si="96"/>
        <v>0</v>
      </c>
      <c r="O1480" s="1"/>
    </row>
    <row r="1481" spans="1:15" x14ac:dyDescent="0.25">
      <c r="A1481">
        <v>2611</v>
      </c>
      <c r="B1481">
        <v>10002.34866</v>
      </c>
      <c r="C1481">
        <v>0</v>
      </c>
      <c r="D1481">
        <v>38730.426979999997</v>
      </c>
      <c r="E1481">
        <v>0</v>
      </c>
      <c r="F1481">
        <v>218933.10550000001</v>
      </c>
      <c r="G1481">
        <v>0</v>
      </c>
      <c r="H1481">
        <v>2611</v>
      </c>
      <c r="I1481" t="str">
        <f t="shared" si="93"/>
        <v>YES</v>
      </c>
      <c r="J1481" t="s">
        <v>1487</v>
      </c>
      <c r="K1481">
        <v>260778.40171800001</v>
      </c>
      <c r="L1481" s="1">
        <f t="shared" si="94"/>
        <v>0</v>
      </c>
      <c r="M1481" s="1">
        <f t="shared" si="95"/>
        <v>0</v>
      </c>
      <c r="N1481" s="1">
        <f t="shared" si="96"/>
        <v>0</v>
      </c>
      <c r="O1481" s="1"/>
    </row>
    <row r="1482" spans="1:15" x14ac:dyDescent="0.25">
      <c r="A1482">
        <v>2612</v>
      </c>
      <c r="B1482">
        <v>23367.166929999999</v>
      </c>
      <c r="C1482">
        <v>0</v>
      </c>
      <c r="D1482">
        <v>256296.24530000001</v>
      </c>
      <c r="E1482">
        <v>0</v>
      </c>
      <c r="F1482">
        <v>937820.60179999995</v>
      </c>
      <c r="G1482">
        <v>0</v>
      </c>
      <c r="H1482">
        <v>2612</v>
      </c>
      <c r="I1482" t="str">
        <f t="shared" si="93"/>
        <v>YES</v>
      </c>
      <c r="J1482" t="s">
        <v>1488</v>
      </c>
      <c r="K1482">
        <v>395381.594408</v>
      </c>
      <c r="L1482" s="1">
        <f t="shared" si="94"/>
        <v>0</v>
      </c>
      <c r="M1482" s="1">
        <f t="shared" si="95"/>
        <v>0</v>
      </c>
      <c r="N1482" s="1">
        <f t="shared" si="96"/>
        <v>0</v>
      </c>
      <c r="O1482" s="1"/>
    </row>
    <row r="1483" spans="1:15" x14ac:dyDescent="0.25">
      <c r="A1483">
        <v>2613</v>
      </c>
      <c r="B1483">
        <v>20821.610349999999</v>
      </c>
      <c r="C1483">
        <v>0</v>
      </c>
      <c r="D1483">
        <v>67682.711649999997</v>
      </c>
      <c r="E1483">
        <v>0</v>
      </c>
      <c r="F1483">
        <v>754201.09920000006</v>
      </c>
      <c r="G1483">
        <v>0</v>
      </c>
      <c r="H1483">
        <v>2613</v>
      </c>
      <c r="I1483" t="str">
        <f t="shared" si="93"/>
        <v>YES</v>
      </c>
      <c r="J1483" t="s">
        <v>1489</v>
      </c>
      <c r="K1483">
        <v>597487.16842</v>
      </c>
      <c r="L1483" s="1">
        <f t="shared" si="94"/>
        <v>0</v>
      </c>
      <c r="M1483" s="1">
        <f t="shared" si="95"/>
        <v>0</v>
      </c>
      <c r="N1483" s="1">
        <f t="shared" si="96"/>
        <v>0</v>
      </c>
      <c r="O1483" s="1"/>
    </row>
    <row r="1484" spans="1:15" x14ac:dyDescent="0.25">
      <c r="A1484">
        <v>2614</v>
      </c>
      <c r="B1484">
        <v>22715.506420000002</v>
      </c>
      <c r="C1484">
        <v>0</v>
      </c>
      <c r="D1484">
        <v>320494.9179</v>
      </c>
      <c r="E1484">
        <v>0</v>
      </c>
      <c r="F1484">
        <v>962087.60549999995</v>
      </c>
      <c r="G1484">
        <v>0</v>
      </c>
      <c r="H1484">
        <v>2614</v>
      </c>
      <c r="I1484" t="str">
        <f t="shared" si="93"/>
        <v>YES</v>
      </c>
      <c r="J1484" t="s">
        <v>1490</v>
      </c>
      <c r="K1484">
        <v>357808.555345</v>
      </c>
      <c r="L1484" s="1">
        <f t="shared" si="94"/>
        <v>0</v>
      </c>
      <c r="M1484" s="1">
        <f t="shared" si="95"/>
        <v>0</v>
      </c>
      <c r="N1484" s="1">
        <f t="shared" si="96"/>
        <v>0</v>
      </c>
      <c r="O1484" s="1"/>
    </row>
    <row r="1485" spans="1:15" x14ac:dyDescent="0.25">
      <c r="A1485">
        <v>2615</v>
      </c>
      <c r="B1485">
        <v>2344.7554449999998</v>
      </c>
      <c r="C1485">
        <v>0</v>
      </c>
      <c r="D1485">
        <v>13945.722009999999</v>
      </c>
      <c r="E1485">
        <v>0</v>
      </c>
      <c r="F1485">
        <v>59143.444150000003</v>
      </c>
      <c r="G1485">
        <v>0</v>
      </c>
      <c r="H1485">
        <v>2615</v>
      </c>
      <c r="I1485" t="str">
        <f t="shared" si="93"/>
        <v>YES</v>
      </c>
      <c r="J1485" t="s">
        <v>1491</v>
      </c>
      <c r="K1485">
        <v>1013287.37457</v>
      </c>
      <c r="L1485" s="1">
        <f t="shared" si="94"/>
        <v>0</v>
      </c>
      <c r="M1485" s="1">
        <f t="shared" si="95"/>
        <v>0</v>
      </c>
      <c r="N1485" s="1">
        <f t="shared" si="96"/>
        <v>0</v>
      </c>
      <c r="O1485" s="1"/>
    </row>
    <row r="1486" spans="1:15" x14ac:dyDescent="0.25">
      <c r="A1486">
        <v>2616</v>
      </c>
      <c r="B1486">
        <v>6189.656825</v>
      </c>
      <c r="C1486">
        <v>0</v>
      </c>
      <c r="D1486">
        <v>58019.431689999998</v>
      </c>
      <c r="E1486">
        <v>0</v>
      </c>
      <c r="F1486">
        <v>650085.27049999998</v>
      </c>
      <c r="G1486">
        <v>0</v>
      </c>
      <c r="H1486">
        <v>2616</v>
      </c>
      <c r="I1486" t="str">
        <f t="shared" si="93"/>
        <v>YES</v>
      </c>
      <c r="J1486" t="s">
        <v>1492</v>
      </c>
      <c r="K1486">
        <v>794061.37519000005</v>
      </c>
      <c r="L1486" s="1">
        <f t="shared" si="94"/>
        <v>0</v>
      </c>
      <c r="M1486" s="1">
        <f t="shared" si="95"/>
        <v>0</v>
      </c>
      <c r="N1486" s="1">
        <f t="shared" si="96"/>
        <v>0</v>
      </c>
      <c r="O1486" s="1"/>
    </row>
    <row r="1487" spans="1:15" x14ac:dyDescent="0.25">
      <c r="A1487">
        <v>2617</v>
      </c>
      <c r="B1487">
        <v>1925.5052969999999</v>
      </c>
      <c r="C1487">
        <v>0</v>
      </c>
      <c r="D1487">
        <v>16954.25332</v>
      </c>
      <c r="E1487">
        <v>0</v>
      </c>
      <c r="F1487">
        <v>114668.23510000001</v>
      </c>
      <c r="G1487">
        <v>0</v>
      </c>
      <c r="H1487">
        <v>2617</v>
      </c>
      <c r="I1487" t="str">
        <f t="shared" si="93"/>
        <v>YES</v>
      </c>
      <c r="J1487" t="s">
        <v>1493</v>
      </c>
      <c r="K1487">
        <v>1412590.9265399999</v>
      </c>
      <c r="L1487" s="1">
        <f t="shared" si="94"/>
        <v>0</v>
      </c>
      <c r="M1487" s="1">
        <f t="shared" si="95"/>
        <v>0</v>
      </c>
      <c r="N1487" s="1">
        <f t="shared" si="96"/>
        <v>0</v>
      </c>
      <c r="O1487" s="1"/>
    </row>
    <row r="1488" spans="1:15" x14ac:dyDescent="0.25">
      <c r="A1488">
        <v>2620</v>
      </c>
      <c r="B1488">
        <v>7187.1150950000001</v>
      </c>
      <c r="C1488">
        <v>0</v>
      </c>
      <c r="D1488">
        <v>57800.222979999999</v>
      </c>
      <c r="E1488">
        <v>0</v>
      </c>
      <c r="F1488">
        <v>417801.0589</v>
      </c>
      <c r="G1488">
        <v>0</v>
      </c>
      <c r="H1488">
        <v>2620</v>
      </c>
      <c r="I1488" t="str">
        <f t="shared" si="93"/>
        <v>YES</v>
      </c>
      <c r="J1488" t="s">
        <v>1494</v>
      </c>
      <c r="K1488">
        <v>788135.34574400005</v>
      </c>
      <c r="L1488" s="1">
        <f t="shared" si="94"/>
        <v>0</v>
      </c>
      <c r="M1488" s="1">
        <f t="shared" si="95"/>
        <v>0</v>
      </c>
      <c r="N1488" s="1">
        <f t="shared" si="96"/>
        <v>0</v>
      </c>
      <c r="O1488" s="1"/>
    </row>
    <row r="1489" spans="1:15" x14ac:dyDescent="0.25">
      <c r="A1489">
        <v>2621</v>
      </c>
      <c r="B1489">
        <v>16627.086630000002</v>
      </c>
      <c r="C1489">
        <v>0</v>
      </c>
      <c r="D1489">
        <v>125800.49739999999</v>
      </c>
      <c r="E1489">
        <v>0</v>
      </c>
      <c r="F1489">
        <v>722388.48389999999</v>
      </c>
      <c r="G1489">
        <v>0</v>
      </c>
      <c r="H1489">
        <v>2621</v>
      </c>
      <c r="I1489" t="str">
        <f t="shared" si="93"/>
        <v>YES</v>
      </c>
      <c r="J1489" t="s">
        <v>1495</v>
      </c>
      <c r="K1489">
        <v>735944.79963300005</v>
      </c>
      <c r="L1489" s="1">
        <f t="shared" si="94"/>
        <v>0</v>
      </c>
      <c r="M1489" s="1">
        <f t="shared" si="95"/>
        <v>0</v>
      </c>
      <c r="N1489" s="1">
        <f t="shared" si="96"/>
        <v>0</v>
      </c>
      <c r="O1489" s="1"/>
    </row>
    <row r="1490" spans="1:15" x14ac:dyDescent="0.25">
      <c r="A1490">
        <v>2622</v>
      </c>
      <c r="B1490">
        <v>14405.836209999999</v>
      </c>
      <c r="C1490">
        <v>0</v>
      </c>
      <c r="D1490">
        <v>71600.675149999995</v>
      </c>
      <c r="E1490">
        <v>0</v>
      </c>
      <c r="F1490">
        <v>626952.97750000004</v>
      </c>
      <c r="G1490">
        <v>0</v>
      </c>
      <c r="H1490">
        <v>2622</v>
      </c>
      <c r="I1490" t="str">
        <f t="shared" si="93"/>
        <v>YES</v>
      </c>
      <c r="J1490" t="s">
        <v>1496</v>
      </c>
      <c r="K1490">
        <v>420615.00108199997</v>
      </c>
      <c r="L1490" s="1">
        <f t="shared" si="94"/>
        <v>0</v>
      </c>
      <c r="M1490" s="1">
        <f t="shared" si="95"/>
        <v>0</v>
      </c>
      <c r="N1490" s="1">
        <f t="shared" si="96"/>
        <v>0</v>
      </c>
      <c r="O1490" s="1"/>
    </row>
    <row r="1491" spans="1:15" x14ac:dyDescent="0.25">
      <c r="A1491">
        <v>2623</v>
      </c>
      <c r="B1491">
        <v>8345.2114569999994</v>
      </c>
      <c r="C1491">
        <v>0</v>
      </c>
      <c r="D1491">
        <v>76699.853080000001</v>
      </c>
      <c r="E1491">
        <v>0</v>
      </c>
      <c r="F1491">
        <v>651628.10800000001</v>
      </c>
      <c r="G1491">
        <v>0</v>
      </c>
      <c r="H1491">
        <v>2623</v>
      </c>
      <c r="I1491" t="str">
        <f t="shared" si="93"/>
        <v>YES</v>
      </c>
      <c r="J1491" t="s">
        <v>1497</v>
      </c>
      <c r="K1491">
        <v>639485.004495</v>
      </c>
      <c r="L1491" s="1">
        <f t="shared" si="94"/>
        <v>0</v>
      </c>
      <c r="M1491" s="1">
        <f t="shared" si="95"/>
        <v>0</v>
      </c>
      <c r="N1491" s="1">
        <f t="shared" si="96"/>
        <v>0</v>
      </c>
      <c r="O1491" s="1"/>
    </row>
    <row r="1492" spans="1:15" x14ac:dyDescent="0.25">
      <c r="A1492">
        <v>2624</v>
      </c>
      <c r="B1492">
        <v>4634.5335610000002</v>
      </c>
      <c r="C1492">
        <v>0</v>
      </c>
      <c r="D1492">
        <v>42326.709340000001</v>
      </c>
      <c r="E1492">
        <v>0</v>
      </c>
      <c r="F1492">
        <v>311694.75319999998</v>
      </c>
      <c r="G1492">
        <v>0</v>
      </c>
      <c r="H1492">
        <v>2624</v>
      </c>
      <c r="I1492" t="str">
        <f t="shared" si="93"/>
        <v>YES</v>
      </c>
      <c r="J1492" t="s">
        <v>1498</v>
      </c>
      <c r="K1492">
        <v>801523.01531299995</v>
      </c>
      <c r="L1492" s="1">
        <f t="shared" si="94"/>
        <v>0</v>
      </c>
      <c r="M1492" s="1">
        <f t="shared" si="95"/>
        <v>0</v>
      </c>
      <c r="N1492" s="1">
        <f t="shared" si="96"/>
        <v>0</v>
      </c>
      <c r="O1492" s="1"/>
    </row>
    <row r="1493" spans="1:15" x14ac:dyDescent="0.25">
      <c r="A1493">
        <v>2627</v>
      </c>
      <c r="B1493">
        <v>17324.868880000002</v>
      </c>
      <c r="C1493">
        <v>0</v>
      </c>
      <c r="D1493">
        <v>305427.38439999998</v>
      </c>
      <c r="E1493">
        <v>0</v>
      </c>
      <c r="F1493">
        <v>947794.16040000005</v>
      </c>
      <c r="G1493">
        <v>0</v>
      </c>
      <c r="H1493">
        <v>2627</v>
      </c>
      <c r="I1493" t="str">
        <f t="shared" si="93"/>
        <v>YES</v>
      </c>
      <c r="J1493" t="s">
        <v>1499</v>
      </c>
      <c r="K1493">
        <v>468857.48515600001</v>
      </c>
      <c r="L1493" s="1">
        <f t="shared" si="94"/>
        <v>0</v>
      </c>
      <c r="M1493" s="1">
        <f t="shared" si="95"/>
        <v>0</v>
      </c>
      <c r="N1493" s="1">
        <f t="shared" si="96"/>
        <v>0</v>
      </c>
      <c r="O1493" s="1"/>
    </row>
    <row r="1494" spans="1:15" x14ac:dyDescent="0.25">
      <c r="A1494">
        <v>2628</v>
      </c>
      <c r="B1494">
        <v>14772.7618</v>
      </c>
      <c r="C1494">
        <v>0</v>
      </c>
      <c r="D1494">
        <v>65434.05214</v>
      </c>
      <c r="E1494">
        <v>0</v>
      </c>
      <c r="F1494">
        <v>707657.99789999996</v>
      </c>
      <c r="G1494">
        <v>0</v>
      </c>
      <c r="H1494">
        <v>2628</v>
      </c>
      <c r="I1494" t="str">
        <f t="shared" si="93"/>
        <v>YES</v>
      </c>
      <c r="J1494" t="s">
        <v>1500</v>
      </c>
      <c r="K1494">
        <v>588646.53080399998</v>
      </c>
      <c r="L1494" s="1">
        <f t="shared" si="94"/>
        <v>0</v>
      </c>
      <c r="M1494" s="1">
        <f t="shared" si="95"/>
        <v>0</v>
      </c>
      <c r="N1494" s="1">
        <f t="shared" si="96"/>
        <v>0</v>
      </c>
      <c r="O1494" s="1"/>
    </row>
    <row r="1495" spans="1:15" x14ac:dyDescent="0.25">
      <c r="A1495">
        <v>2629</v>
      </c>
      <c r="B1495">
        <v>20334.49109</v>
      </c>
      <c r="C1495">
        <v>0</v>
      </c>
      <c r="D1495">
        <v>160714.70920000001</v>
      </c>
      <c r="E1495">
        <v>0</v>
      </c>
      <c r="F1495">
        <v>880748.20149999997</v>
      </c>
      <c r="G1495">
        <v>0</v>
      </c>
      <c r="H1495">
        <v>2629</v>
      </c>
      <c r="I1495" t="str">
        <f t="shared" si="93"/>
        <v>YES</v>
      </c>
      <c r="J1495" t="s">
        <v>1501</v>
      </c>
      <c r="K1495">
        <v>633929.84921999997</v>
      </c>
      <c r="L1495" s="1">
        <f t="shared" si="94"/>
        <v>0</v>
      </c>
      <c r="M1495" s="1">
        <f t="shared" si="95"/>
        <v>0</v>
      </c>
      <c r="N1495" s="1">
        <f t="shared" si="96"/>
        <v>0</v>
      </c>
      <c r="O1495" s="1"/>
    </row>
    <row r="1496" spans="1:15" x14ac:dyDescent="0.25">
      <c r="A1496">
        <v>2630</v>
      </c>
      <c r="B1496">
        <v>10046.067940000001</v>
      </c>
      <c r="C1496">
        <v>0</v>
      </c>
      <c r="D1496">
        <v>35789.766589999999</v>
      </c>
      <c r="E1496">
        <v>0</v>
      </c>
      <c r="F1496">
        <v>502287.27899999998</v>
      </c>
      <c r="G1496">
        <v>0</v>
      </c>
      <c r="H1496">
        <v>2630</v>
      </c>
      <c r="I1496" t="str">
        <f t="shared" si="93"/>
        <v>YES</v>
      </c>
      <c r="J1496" t="s">
        <v>1502</v>
      </c>
      <c r="K1496">
        <v>784617.04239099997</v>
      </c>
      <c r="L1496" s="1">
        <f t="shared" si="94"/>
        <v>0</v>
      </c>
      <c r="M1496" s="1">
        <f t="shared" si="95"/>
        <v>0</v>
      </c>
      <c r="N1496" s="1">
        <f t="shared" si="96"/>
        <v>0</v>
      </c>
      <c r="O1496" s="1"/>
    </row>
    <row r="1497" spans="1:15" x14ac:dyDescent="0.25">
      <c r="A1497">
        <v>2631</v>
      </c>
      <c r="B1497">
        <v>15889.754300000001</v>
      </c>
      <c r="C1497">
        <v>0</v>
      </c>
      <c r="D1497">
        <v>109990.99619999999</v>
      </c>
      <c r="E1497">
        <v>0</v>
      </c>
      <c r="F1497">
        <v>743836.89450000005</v>
      </c>
      <c r="G1497">
        <v>0</v>
      </c>
      <c r="H1497">
        <v>2631</v>
      </c>
      <c r="I1497" t="str">
        <f t="shared" si="93"/>
        <v>YES</v>
      </c>
      <c r="J1497" t="s">
        <v>1503</v>
      </c>
      <c r="K1497">
        <v>610655.01972600003</v>
      </c>
      <c r="L1497" s="1">
        <f t="shared" si="94"/>
        <v>0</v>
      </c>
      <c r="M1497" s="1">
        <f t="shared" si="95"/>
        <v>0</v>
      </c>
      <c r="N1497" s="1">
        <f t="shared" si="96"/>
        <v>0</v>
      </c>
      <c r="O1497" s="1"/>
    </row>
    <row r="1498" spans="1:15" x14ac:dyDescent="0.25">
      <c r="A1498">
        <v>2632</v>
      </c>
      <c r="B1498">
        <v>955.03515000000004</v>
      </c>
      <c r="C1498">
        <v>0</v>
      </c>
      <c r="D1498">
        <v>6031.5395390000003</v>
      </c>
      <c r="E1498">
        <v>0</v>
      </c>
      <c r="F1498">
        <v>59026.262260000003</v>
      </c>
      <c r="G1498">
        <v>0</v>
      </c>
      <c r="H1498">
        <v>2632</v>
      </c>
      <c r="I1498" t="str">
        <f t="shared" si="93"/>
        <v>YES</v>
      </c>
      <c r="J1498" t="s">
        <v>1504</v>
      </c>
      <c r="K1498">
        <v>861874.32962500001</v>
      </c>
      <c r="L1498" s="1">
        <f t="shared" si="94"/>
        <v>0</v>
      </c>
      <c r="M1498" s="1">
        <f t="shared" si="95"/>
        <v>0</v>
      </c>
      <c r="N1498" s="1">
        <f t="shared" si="96"/>
        <v>0</v>
      </c>
      <c r="O1498" s="1"/>
    </row>
    <row r="1499" spans="1:15" x14ac:dyDescent="0.25">
      <c r="A1499">
        <v>2633</v>
      </c>
      <c r="B1499">
        <v>1479.231346</v>
      </c>
      <c r="C1499">
        <v>0</v>
      </c>
      <c r="D1499">
        <v>11830.372149999999</v>
      </c>
      <c r="E1499">
        <v>0</v>
      </c>
      <c r="F1499">
        <v>75236.145000000004</v>
      </c>
      <c r="G1499">
        <v>0</v>
      </c>
      <c r="H1499">
        <v>2633</v>
      </c>
      <c r="I1499" t="str">
        <f t="shared" si="93"/>
        <v>YES</v>
      </c>
      <c r="J1499" t="s">
        <v>1505</v>
      </c>
      <c r="K1499">
        <v>398878.49439499999</v>
      </c>
      <c r="L1499" s="1">
        <f t="shared" si="94"/>
        <v>0</v>
      </c>
      <c r="M1499" s="1">
        <f t="shared" si="95"/>
        <v>0</v>
      </c>
      <c r="N1499" s="1">
        <f t="shared" si="96"/>
        <v>0</v>
      </c>
      <c r="O1499" s="1"/>
    </row>
    <row r="1500" spans="1:15" x14ac:dyDescent="0.25">
      <c r="A1500">
        <v>2636</v>
      </c>
      <c r="B1500">
        <v>15999.22402</v>
      </c>
      <c r="C1500">
        <v>0</v>
      </c>
      <c r="D1500">
        <v>72141.157399999996</v>
      </c>
      <c r="E1500">
        <v>0</v>
      </c>
      <c r="F1500">
        <v>534515.23770000006</v>
      </c>
      <c r="G1500">
        <v>0</v>
      </c>
      <c r="H1500">
        <v>2636</v>
      </c>
      <c r="I1500" t="str">
        <f t="shared" si="93"/>
        <v>YES</v>
      </c>
      <c r="J1500" t="s">
        <v>1506</v>
      </c>
      <c r="K1500">
        <v>540167.45458000002</v>
      </c>
      <c r="L1500" s="1">
        <f t="shared" si="94"/>
        <v>0</v>
      </c>
      <c r="M1500" s="1">
        <f t="shared" si="95"/>
        <v>0</v>
      </c>
      <c r="N1500" s="1">
        <f t="shared" si="96"/>
        <v>0</v>
      </c>
      <c r="O1500" s="1"/>
    </row>
    <row r="1501" spans="1:15" x14ac:dyDescent="0.25">
      <c r="A1501">
        <v>2637</v>
      </c>
      <c r="B1501">
        <v>4858.5672619999996</v>
      </c>
      <c r="C1501">
        <v>0</v>
      </c>
      <c r="D1501">
        <v>43429.688779999997</v>
      </c>
      <c r="E1501">
        <v>0</v>
      </c>
      <c r="F1501">
        <v>203593.9339</v>
      </c>
      <c r="G1501">
        <v>0</v>
      </c>
      <c r="H1501">
        <v>2637</v>
      </c>
      <c r="I1501" t="str">
        <f t="shared" si="93"/>
        <v>YES</v>
      </c>
      <c r="J1501" t="s">
        <v>1507</v>
      </c>
      <c r="K1501">
        <v>951276.14714400005</v>
      </c>
      <c r="L1501" s="1">
        <f t="shared" si="94"/>
        <v>0</v>
      </c>
      <c r="M1501" s="1">
        <f t="shared" si="95"/>
        <v>0</v>
      </c>
      <c r="N1501" s="1">
        <f t="shared" si="96"/>
        <v>0</v>
      </c>
      <c r="O1501" s="1"/>
    </row>
    <row r="1502" spans="1:15" x14ac:dyDescent="0.25">
      <c r="A1502">
        <v>2638</v>
      </c>
      <c r="B1502">
        <v>11230.07372</v>
      </c>
      <c r="C1502">
        <v>0</v>
      </c>
      <c r="D1502">
        <v>43427.750160000003</v>
      </c>
      <c r="E1502">
        <v>0</v>
      </c>
      <c r="F1502">
        <v>276552.37170000002</v>
      </c>
      <c r="G1502">
        <v>0</v>
      </c>
      <c r="H1502">
        <v>2638</v>
      </c>
      <c r="I1502" t="str">
        <f t="shared" si="93"/>
        <v>YES</v>
      </c>
      <c r="J1502" t="s">
        <v>1508</v>
      </c>
      <c r="K1502">
        <v>294367.74240300001</v>
      </c>
      <c r="L1502" s="1">
        <f t="shared" si="94"/>
        <v>0</v>
      </c>
      <c r="M1502" s="1">
        <f t="shared" si="95"/>
        <v>0</v>
      </c>
      <c r="N1502" s="1">
        <f t="shared" si="96"/>
        <v>0</v>
      </c>
      <c r="O1502" s="1"/>
    </row>
    <row r="1503" spans="1:15" x14ac:dyDescent="0.25">
      <c r="A1503">
        <v>2639</v>
      </c>
      <c r="B1503">
        <v>8711.7409790000002</v>
      </c>
      <c r="C1503">
        <v>0</v>
      </c>
      <c r="D1503">
        <v>42192.023780000003</v>
      </c>
      <c r="E1503">
        <v>0</v>
      </c>
      <c r="F1503">
        <v>172236.7439</v>
      </c>
      <c r="G1503">
        <v>0</v>
      </c>
      <c r="H1503">
        <v>2639</v>
      </c>
      <c r="I1503" t="str">
        <f t="shared" si="93"/>
        <v>YES</v>
      </c>
      <c r="J1503" t="s">
        <v>1509</v>
      </c>
      <c r="K1503">
        <v>771639.45909899997</v>
      </c>
      <c r="L1503" s="1">
        <f t="shared" si="94"/>
        <v>0</v>
      </c>
      <c r="M1503" s="1">
        <f t="shared" si="95"/>
        <v>0</v>
      </c>
      <c r="N1503" s="1">
        <f t="shared" si="96"/>
        <v>0</v>
      </c>
      <c r="O1503" s="1"/>
    </row>
    <row r="1504" spans="1:15" x14ac:dyDescent="0.25">
      <c r="A1504">
        <v>2640</v>
      </c>
      <c r="B1504">
        <v>5783.4597000000003</v>
      </c>
      <c r="C1504">
        <v>0</v>
      </c>
      <c r="D1504">
        <v>45711.297409999999</v>
      </c>
      <c r="E1504">
        <v>0</v>
      </c>
      <c r="F1504">
        <v>147273.20129999999</v>
      </c>
      <c r="G1504">
        <v>0</v>
      </c>
      <c r="H1504">
        <v>2640</v>
      </c>
      <c r="I1504" t="str">
        <f t="shared" si="93"/>
        <v>YES</v>
      </c>
      <c r="J1504" t="s">
        <v>1510</v>
      </c>
      <c r="K1504">
        <v>1314465.3565499999</v>
      </c>
      <c r="L1504" s="1">
        <f t="shared" si="94"/>
        <v>0</v>
      </c>
      <c r="M1504" s="1">
        <f t="shared" si="95"/>
        <v>0</v>
      </c>
      <c r="N1504" s="1">
        <f t="shared" si="96"/>
        <v>0</v>
      </c>
      <c r="O1504" s="1"/>
    </row>
    <row r="1505" spans="1:15" x14ac:dyDescent="0.25">
      <c r="A1505">
        <v>2641</v>
      </c>
      <c r="B1505">
        <v>4465.2044329999999</v>
      </c>
      <c r="C1505">
        <v>0</v>
      </c>
      <c r="D1505">
        <v>25539.824560000001</v>
      </c>
      <c r="E1505">
        <v>0</v>
      </c>
      <c r="F1505">
        <v>85964.60742</v>
      </c>
      <c r="G1505">
        <v>0</v>
      </c>
      <c r="H1505">
        <v>2641</v>
      </c>
      <c r="I1505" t="str">
        <f t="shared" si="93"/>
        <v>YES</v>
      </c>
      <c r="J1505" t="s">
        <v>1511</v>
      </c>
      <c r="K1505">
        <v>871271.96712299995</v>
      </c>
      <c r="L1505" s="1">
        <f t="shared" si="94"/>
        <v>0</v>
      </c>
      <c r="M1505" s="1">
        <f t="shared" si="95"/>
        <v>0</v>
      </c>
      <c r="N1505" s="1">
        <f t="shared" si="96"/>
        <v>0</v>
      </c>
      <c r="O1505" s="1"/>
    </row>
    <row r="1506" spans="1:15" x14ac:dyDescent="0.25">
      <c r="A1506">
        <v>2642</v>
      </c>
      <c r="B1506">
        <v>2072.1624470000002</v>
      </c>
      <c r="C1506">
        <v>0</v>
      </c>
      <c r="D1506">
        <v>22762.840499999998</v>
      </c>
      <c r="E1506">
        <v>0</v>
      </c>
      <c r="F1506">
        <v>87046.777230000007</v>
      </c>
      <c r="G1506">
        <v>0</v>
      </c>
      <c r="H1506">
        <v>2642</v>
      </c>
      <c r="I1506" t="str">
        <f t="shared" si="93"/>
        <v>YES</v>
      </c>
      <c r="J1506" t="s">
        <v>1512</v>
      </c>
      <c r="K1506">
        <v>943156.84832899994</v>
      </c>
      <c r="L1506" s="1">
        <f t="shared" si="94"/>
        <v>0</v>
      </c>
      <c r="M1506" s="1">
        <f t="shared" si="95"/>
        <v>0</v>
      </c>
      <c r="N1506" s="1">
        <f t="shared" si="96"/>
        <v>0</v>
      </c>
      <c r="O1506" s="1"/>
    </row>
    <row r="1507" spans="1:15" x14ac:dyDescent="0.25">
      <c r="A1507">
        <v>2643</v>
      </c>
      <c r="B1507">
        <v>1444.037822</v>
      </c>
      <c r="C1507">
        <v>0</v>
      </c>
      <c r="D1507">
        <v>21344.542290000001</v>
      </c>
      <c r="E1507">
        <v>0</v>
      </c>
      <c r="F1507">
        <v>79502.370349999997</v>
      </c>
      <c r="G1507">
        <v>0</v>
      </c>
      <c r="H1507">
        <v>2643</v>
      </c>
      <c r="I1507" t="str">
        <f t="shared" si="93"/>
        <v>YES</v>
      </c>
      <c r="J1507" t="s">
        <v>1513</v>
      </c>
      <c r="K1507">
        <v>1730984.2658200001</v>
      </c>
      <c r="L1507" s="1">
        <f t="shared" si="94"/>
        <v>0</v>
      </c>
      <c r="M1507" s="1">
        <f t="shared" si="95"/>
        <v>0</v>
      </c>
      <c r="N1507" s="1">
        <f t="shared" si="96"/>
        <v>0</v>
      </c>
      <c r="O1507" s="1"/>
    </row>
    <row r="1508" spans="1:15" x14ac:dyDescent="0.25">
      <c r="A1508">
        <v>2646</v>
      </c>
      <c r="B1508">
        <v>4956.4249380000001</v>
      </c>
      <c r="C1508">
        <v>0</v>
      </c>
      <c r="D1508">
        <v>45529.836490000002</v>
      </c>
      <c r="E1508">
        <v>0</v>
      </c>
      <c r="F1508">
        <v>205102.23610000001</v>
      </c>
      <c r="G1508">
        <v>0</v>
      </c>
      <c r="H1508">
        <v>2646</v>
      </c>
      <c r="I1508" t="str">
        <f t="shared" si="93"/>
        <v>YES</v>
      </c>
      <c r="J1508" t="s">
        <v>1514</v>
      </c>
      <c r="K1508">
        <v>764965.40702799999</v>
      </c>
      <c r="L1508" s="1">
        <f t="shared" si="94"/>
        <v>0</v>
      </c>
      <c r="M1508" s="1">
        <f t="shared" si="95"/>
        <v>0</v>
      </c>
      <c r="N1508" s="1">
        <f t="shared" si="96"/>
        <v>0</v>
      </c>
      <c r="O1508" s="1"/>
    </row>
    <row r="1509" spans="1:15" x14ac:dyDescent="0.25">
      <c r="A1509">
        <v>2647</v>
      </c>
      <c r="B1509">
        <v>8930.063881</v>
      </c>
      <c r="C1509">
        <v>0</v>
      </c>
      <c r="D1509">
        <v>60750.298179999998</v>
      </c>
      <c r="E1509">
        <v>0</v>
      </c>
      <c r="F1509">
        <v>273979.99609999999</v>
      </c>
      <c r="G1509">
        <v>0</v>
      </c>
      <c r="H1509">
        <v>2647</v>
      </c>
      <c r="I1509" t="str">
        <f t="shared" si="93"/>
        <v>YES</v>
      </c>
      <c r="J1509" t="s">
        <v>1515</v>
      </c>
      <c r="K1509">
        <v>662155.75529400003</v>
      </c>
      <c r="L1509" s="1">
        <f t="shared" si="94"/>
        <v>0</v>
      </c>
      <c r="M1509" s="1">
        <f t="shared" si="95"/>
        <v>0</v>
      </c>
      <c r="N1509" s="1">
        <f t="shared" si="96"/>
        <v>0</v>
      </c>
      <c r="O1509" s="1"/>
    </row>
    <row r="1510" spans="1:15" x14ac:dyDescent="0.25">
      <c r="A1510">
        <v>2648</v>
      </c>
      <c r="B1510">
        <v>10606.85801</v>
      </c>
      <c r="C1510">
        <v>0</v>
      </c>
      <c r="D1510">
        <v>92755.869250000003</v>
      </c>
      <c r="E1510">
        <v>0</v>
      </c>
      <c r="F1510">
        <v>651021.35629999998</v>
      </c>
      <c r="G1510">
        <v>0</v>
      </c>
      <c r="H1510">
        <v>2648</v>
      </c>
      <c r="I1510" t="str">
        <f t="shared" si="93"/>
        <v>YES</v>
      </c>
      <c r="J1510" t="s">
        <v>1516</v>
      </c>
      <c r="K1510">
        <v>652473.67222900002</v>
      </c>
      <c r="L1510" s="1">
        <f t="shared" si="94"/>
        <v>0</v>
      </c>
      <c r="M1510" s="1">
        <f t="shared" si="95"/>
        <v>0</v>
      </c>
      <c r="N1510" s="1">
        <f t="shared" si="96"/>
        <v>0</v>
      </c>
      <c r="O1510" s="1"/>
    </row>
    <row r="1511" spans="1:15" x14ac:dyDescent="0.25">
      <c r="A1511">
        <v>2649</v>
      </c>
      <c r="B1511">
        <v>17965.790529999998</v>
      </c>
      <c r="C1511">
        <v>0</v>
      </c>
      <c r="D1511">
        <v>98489.695600000006</v>
      </c>
      <c r="E1511">
        <v>0</v>
      </c>
      <c r="F1511">
        <v>688158.57629999996</v>
      </c>
      <c r="G1511">
        <v>0</v>
      </c>
      <c r="H1511">
        <v>2649</v>
      </c>
      <c r="I1511" t="str">
        <f t="shared" si="93"/>
        <v>YES</v>
      </c>
      <c r="J1511" t="s">
        <v>1517</v>
      </c>
      <c r="K1511">
        <v>688289.97178499994</v>
      </c>
      <c r="L1511" s="1">
        <f t="shared" si="94"/>
        <v>0</v>
      </c>
      <c r="M1511" s="1">
        <f t="shared" si="95"/>
        <v>0</v>
      </c>
      <c r="N1511" s="1">
        <f t="shared" si="96"/>
        <v>0</v>
      </c>
      <c r="O1511" s="1"/>
    </row>
    <row r="1512" spans="1:15" x14ac:dyDescent="0.25">
      <c r="A1512">
        <v>2652</v>
      </c>
      <c r="B1512">
        <v>32126.06567</v>
      </c>
      <c r="C1512">
        <v>0</v>
      </c>
      <c r="D1512">
        <v>573840.0723</v>
      </c>
      <c r="E1512">
        <v>0</v>
      </c>
      <c r="F1512">
        <v>1076702.3910000001</v>
      </c>
      <c r="G1512">
        <v>0</v>
      </c>
      <c r="H1512">
        <v>2652</v>
      </c>
      <c r="I1512" t="str">
        <f t="shared" si="93"/>
        <v>YES</v>
      </c>
      <c r="J1512" t="s">
        <v>1518</v>
      </c>
      <c r="K1512">
        <v>408562.84294</v>
      </c>
      <c r="L1512" s="1">
        <f t="shared" si="94"/>
        <v>0</v>
      </c>
      <c r="M1512" s="1">
        <f t="shared" si="95"/>
        <v>0</v>
      </c>
      <c r="N1512" s="1">
        <f t="shared" si="96"/>
        <v>0</v>
      </c>
      <c r="O1512" s="1"/>
    </row>
    <row r="1513" spans="1:15" x14ac:dyDescent="0.25">
      <c r="A1513">
        <v>2653</v>
      </c>
      <c r="B1513">
        <v>29148.543519999999</v>
      </c>
      <c r="C1513">
        <v>0</v>
      </c>
      <c r="D1513">
        <v>446086.0797</v>
      </c>
      <c r="E1513">
        <v>0</v>
      </c>
      <c r="F1513">
        <v>1000574.583</v>
      </c>
      <c r="G1513">
        <v>0</v>
      </c>
      <c r="H1513">
        <v>2653</v>
      </c>
      <c r="I1513" t="str">
        <f t="shared" si="93"/>
        <v>YES</v>
      </c>
      <c r="J1513" t="s">
        <v>1519</v>
      </c>
      <c r="K1513">
        <v>300586.31619500002</v>
      </c>
      <c r="L1513" s="1">
        <f t="shared" si="94"/>
        <v>0</v>
      </c>
      <c r="M1513" s="1">
        <f t="shared" si="95"/>
        <v>0</v>
      </c>
      <c r="N1513" s="1">
        <f t="shared" si="96"/>
        <v>0</v>
      </c>
      <c r="O1513" s="1"/>
    </row>
    <row r="1514" spans="1:15" x14ac:dyDescent="0.25">
      <c r="A1514">
        <v>2654</v>
      </c>
      <c r="B1514">
        <v>15872.29919</v>
      </c>
      <c r="C1514">
        <v>0</v>
      </c>
      <c r="D1514">
        <v>107329.65519999999</v>
      </c>
      <c r="E1514">
        <v>0</v>
      </c>
      <c r="F1514">
        <v>755375.74580000003</v>
      </c>
      <c r="G1514">
        <v>0</v>
      </c>
      <c r="H1514">
        <v>2654</v>
      </c>
      <c r="I1514" t="str">
        <f t="shared" si="93"/>
        <v>YES</v>
      </c>
      <c r="J1514" t="s">
        <v>1520</v>
      </c>
      <c r="K1514">
        <v>569185.382247</v>
      </c>
      <c r="L1514" s="1">
        <f t="shared" si="94"/>
        <v>0</v>
      </c>
      <c r="M1514" s="1">
        <f t="shared" si="95"/>
        <v>0</v>
      </c>
      <c r="N1514" s="1">
        <f t="shared" si="96"/>
        <v>0</v>
      </c>
      <c r="O1514" s="1"/>
    </row>
    <row r="1515" spans="1:15" x14ac:dyDescent="0.25">
      <c r="A1515">
        <v>2655</v>
      </c>
      <c r="B1515">
        <v>4148.2722059999996</v>
      </c>
      <c r="C1515">
        <v>0</v>
      </c>
      <c r="D1515">
        <v>35214.756549999998</v>
      </c>
      <c r="E1515">
        <v>0</v>
      </c>
      <c r="F1515">
        <v>367468.70380000002</v>
      </c>
      <c r="G1515">
        <v>0</v>
      </c>
      <c r="H1515">
        <v>2655</v>
      </c>
      <c r="I1515" t="str">
        <f t="shared" si="93"/>
        <v>YES</v>
      </c>
      <c r="J1515" t="s">
        <v>1521</v>
      </c>
      <c r="K1515">
        <v>992405.92094900005</v>
      </c>
      <c r="L1515" s="1">
        <f t="shared" si="94"/>
        <v>0</v>
      </c>
      <c r="M1515" s="1">
        <f t="shared" si="95"/>
        <v>0</v>
      </c>
      <c r="N1515" s="1">
        <f t="shared" si="96"/>
        <v>0</v>
      </c>
      <c r="O1515" s="1"/>
    </row>
    <row r="1516" spans="1:15" x14ac:dyDescent="0.25">
      <c r="A1516">
        <v>2656</v>
      </c>
      <c r="B1516">
        <v>6972.6067750000002</v>
      </c>
      <c r="C1516">
        <v>0</v>
      </c>
      <c r="D1516">
        <v>51182.243990000003</v>
      </c>
      <c r="E1516">
        <v>0</v>
      </c>
      <c r="F1516">
        <v>484597.30680000002</v>
      </c>
      <c r="G1516">
        <v>0</v>
      </c>
      <c r="H1516">
        <v>2656</v>
      </c>
      <c r="I1516" t="str">
        <f t="shared" si="93"/>
        <v>YES</v>
      </c>
      <c r="J1516" t="s">
        <v>1522</v>
      </c>
      <c r="K1516">
        <v>414715.19304599997</v>
      </c>
      <c r="L1516" s="1">
        <f t="shared" si="94"/>
        <v>0</v>
      </c>
      <c r="M1516" s="1">
        <f t="shared" si="95"/>
        <v>0</v>
      </c>
      <c r="N1516" s="1">
        <f t="shared" si="96"/>
        <v>0</v>
      </c>
      <c r="O1516" s="1"/>
    </row>
    <row r="1517" spans="1:15" x14ac:dyDescent="0.25">
      <c r="A1517">
        <v>2657</v>
      </c>
      <c r="B1517">
        <v>6076.5165429999997</v>
      </c>
      <c r="C1517">
        <v>0</v>
      </c>
      <c r="D1517">
        <v>36676.445599999999</v>
      </c>
      <c r="E1517">
        <v>0</v>
      </c>
      <c r="F1517">
        <v>321728.07819999999</v>
      </c>
      <c r="G1517">
        <v>0</v>
      </c>
      <c r="H1517">
        <v>2657</v>
      </c>
      <c r="I1517" t="str">
        <f t="shared" si="93"/>
        <v>YES</v>
      </c>
      <c r="J1517" t="s">
        <v>1523</v>
      </c>
      <c r="K1517">
        <v>610009.00458800001</v>
      </c>
      <c r="L1517" s="1">
        <f t="shared" si="94"/>
        <v>0</v>
      </c>
      <c r="M1517" s="1">
        <f t="shared" si="95"/>
        <v>0</v>
      </c>
      <c r="N1517" s="1">
        <f t="shared" si="96"/>
        <v>0</v>
      </c>
      <c r="O1517" s="1"/>
    </row>
    <row r="1518" spans="1:15" x14ac:dyDescent="0.25">
      <c r="A1518">
        <v>2658</v>
      </c>
      <c r="B1518">
        <v>2548.6185070000001</v>
      </c>
      <c r="C1518">
        <v>0</v>
      </c>
      <c r="D1518">
        <v>36295.742639999997</v>
      </c>
      <c r="E1518">
        <v>0</v>
      </c>
      <c r="F1518">
        <v>83513.481759999995</v>
      </c>
      <c r="G1518">
        <v>0</v>
      </c>
      <c r="H1518">
        <v>2658</v>
      </c>
      <c r="I1518" t="str">
        <f t="shared" si="93"/>
        <v>YES</v>
      </c>
      <c r="J1518" t="s">
        <v>1524</v>
      </c>
      <c r="K1518">
        <v>796086.87241499999</v>
      </c>
      <c r="L1518" s="1">
        <f t="shared" si="94"/>
        <v>0</v>
      </c>
      <c r="M1518" s="1">
        <f t="shared" si="95"/>
        <v>0</v>
      </c>
      <c r="N1518" s="1">
        <f t="shared" si="96"/>
        <v>0</v>
      </c>
      <c r="O1518" s="1"/>
    </row>
    <row r="1519" spans="1:15" x14ac:dyDescent="0.25">
      <c r="A1519">
        <v>2659</v>
      </c>
      <c r="B1519">
        <v>1912.127984</v>
      </c>
      <c r="C1519">
        <v>0</v>
      </c>
      <c r="D1519">
        <v>13712.873509999999</v>
      </c>
      <c r="E1519">
        <v>0</v>
      </c>
      <c r="F1519">
        <v>55543.967429999997</v>
      </c>
      <c r="G1519">
        <v>0</v>
      </c>
      <c r="H1519">
        <v>2659</v>
      </c>
      <c r="I1519" t="str">
        <f t="shared" si="93"/>
        <v>YES</v>
      </c>
      <c r="J1519" t="s">
        <v>1525</v>
      </c>
      <c r="K1519">
        <v>1037947.68003</v>
      </c>
      <c r="L1519" s="1">
        <f t="shared" si="94"/>
        <v>0</v>
      </c>
      <c r="M1519" s="1">
        <f t="shared" si="95"/>
        <v>0</v>
      </c>
      <c r="N1519" s="1">
        <f t="shared" si="96"/>
        <v>0</v>
      </c>
      <c r="O1519" s="1"/>
    </row>
    <row r="1520" spans="1:15" x14ac:dyDescent="0.25">
      <c r="A1520">
        <v>2660</v>
      </c>
      <c r="B1520">
        <v>3014.1024189999998</v>
      </c>
      <c r="C1520">
        <v>0</v>
      </c>
      <c r="D1520">
        <v>23400.09259</v>
      </c>
      <c r="E1520">
        <v>0</v>
      </c>
      <c r="F1520">
        <v>144472.59299999999</v>
      </c>
      <c r="G1520">
        <v>0</v>
      </c>
      <c r="H1520">
        <v>2660</v>
      </c>
      <c r="I1520" t="str">
        <f t="shared" si="93"/>
        <v>YES</v>
      </c>
      <c r="J1520" t="s">
        <v>1526</v>
      </c>
      <c r="K1520">
        <v>1109646.85359</v>
      </c>
      <c r="L1520" s="1">
        <f t="shared" si="94"/>
        <v>0</v>
      </c>
      <c r="M1520" s="1">
        <f t="shared" si="95"/>
        <v>0</v>
      </c>
      <c r="N1520" s="1">
        <f t="shared" si="96"/>
        <v>0</v>
      </c>
      <c r="O1520" s="1"/>
    </row>
    <row r="1521" spans="1:15" x14ac:dyDescent="0.25">
      <c r="A1521">
        <v>2699</v>
      </c>
      <c r="B1521">
        <v>64730.126279999997</v>
      </c>
      <c r="C1521">
        <v>0</v>
      </c>
      <c r="D1521">
        <v>707072.83490000002</v>
      </c>
      <c r="E1521">
        <v>0</v>
      </c>
      <c r="F1521">
        <v>1168832.662</v>
      </c>
      <c r="G1521">
        <v>483.774</v>
      </c>
      <c r="H1521">
        <v>2699</v>
      </c>
      <c r="I1521" t="str">
        <f t="shared" si="93"/>
        <v>YES</v>
      </c>
      <c r="J1521" t="s">
        <v>1527</v>
      </c>
      <c r="K1521">
        <v>155994.82266800001</v>
      </c>
      <c r="L1521" s="1">
        <f t="shared" si="94"/>
        <v>0</v>
      </c>
      <c r="M1521" s="1">
        <f t="shared" si="95"/>
        <v>0</v>
      </c>
      <c r="N1521" s="1">
        <f t="shared" si="96"/>
        <v>384877.82064108417</v>
      </c>
      <c r="O1521" s="1"/>
    </row>
    <row r="1522" spans="1:15" x14ac:dyDescent="0.25">
      <c r="A1522">
        <v>2700</v>
      </c>
      <c r="B1522">
        <v>29707.486400000002</v>
      </c>
      <c r="C1522">
        <v>0</v>
      </c>
      <c r="D1522">
        <v>653290.28879999998</v>
      </c>
      <c r="E1522">
        <v>0</v>
      </c>
      <c r="F1522">
        <v>1122352.827</v>
      </c>
      <c r="G1522">
        <v>1587.6389999999999</v>
      </c>
      <c r="H1522">
        <v>2700</v>
      </c>
      <c r="I1522" t="str">
        <f t="shared" si="93"/>
        <v>YES</v>
      </c>
      <c r="J1522" t="s">
        <v>1528</v>
      </c>
      <c r="K1522">
        <v>160402.186342</v>
      </c>
      <c r="L1522" s="1">
        <f t="shared" si="94"/>
        <v>0</v>
      </c>
      <c r="M1522" s="1">
        <f t="shared" si="95"/>
        <v>0</v>
      </c>
      <c r="N1522" s="1">
        <f t="shared" si="96"/>
        <v>1298769.9102813154</v>
      </c>
      <c r="O1522" s="1"/>
    </row>
    <row r="1523" spans="1:15" x14ac:dyDescent="0.25">
      <c r="A1523">
        <v>2701</v>
      </c>
      <c r="B1523">
        <v>22674.325700000001</v>
      </c>
      <c r="C1523">
        <v>0</v>
      </c>
      <c r="D1523">
        <v>523671.45319999999</v>
      </c>
      <c r="E1523">
        <v>0</v>
      </c>
      <c r="F1523">
        <v>985686.48719999997</v>
      </c>
      <c r="G1523">
        <v>0</v>
      </c>
      <c r="H1523">
        <v>2701</v>
      </c>
      <c r="I1523" t="str">
        <f t="shared" si="93"/>
        <v>YES</v>
      </c>
      <c r="J1523" t="s">
        <v>1529</v>
      </c>
      <c r="K1523">
        <v>514747.92593999999</v>
      </c>
      <c r="L1523" s="1">
        <f t="shared" si="94"/>
        <v>0</v>
      </c>
      <c r="M1523" s="1">
        <f t="shared" si="95"/>
        <v>0</v>
      </c>
      <c r="N1523" s="1">
        <f t="shared" si="96"/>
        <v>0</v>
      </c>
      <c r="O1523" s="1"/>
    </row>
    <row r="1524" spans="1:15" x14ac:dyDescent="0.25">
      <c r="A1524">
        <v>2702</v>
      </c>
      <c r="B1524">
        <v>425740.00020000001</v>
      </c>
      <c r="C1524">
        <v>0</v>
      </c>
      <c r="D1524">
        <v>941538.07109999994</v>
      </c>
      <c r="E1524">
        <v>0</v>
      </c>
      <c r="F1524">
        <v>1411547.01</v>
      </c>
      <c r="G1524">
        <v>1098.329</v>
      </c>
      <c r="H1524">
        <v>2702</v>
      </c>
      <c r="I1524" t="str">
        <f t="shared" si="93"/>
        <v>YES</v>
      </c>
      <c r="J1524" t="s">
        <v>1530</v>
      </c>
      <c r="K1524">
        <v>105987.235156</v>
      </c>
      <c r="L1524" s="1">
        <f t="shared" si="94"/>
        <v>0</v>
      </c>
      <c r="M1524" s="1">
        <f t="shared" si="95"/>
        <v>0</v>
      </c>
      <c r="N1524" s="1">
        <f t="shared" si="96"/>
        <v>593685.15540843701</v>
      </c>
      <c r="O1524" s="1"/>
    </row>
    <row r="1525" spans="1:15" x14ac:dyDescent="0.25">
      <c r="A1525">
        <v>2703</v>
      </c>
      <c r="B1525">
        <v>8388.5535469999995</v>
      </c>
      <c r="C1525">
        <v>0</v>
      </c>
      <c r="D1525">
        <v>306527.68089999998</v>
      </c>
      <c r="E1525">
        <v>0</v>
      </c>
      <c r="F1525">
        <v>918165.39800000004</v>
      </c>
      <c r="G1525">
        <v>0</v>
      </c>
      <c r="H1525">
        <v>2703</v>
      </c>
      <c r="I1525" t="str">
        <f t="shared" si="93"/>
        <v>YES</v>
      </c>
      <c r="J1525" t="s">
        <v>1531</v>
      </c>
      <c r="K1525">
        <v>405370.56475700001</v>
      </c>
      <c r="L1525" s="1">
        <f t="shared" si="94"/>
        <v>0</v>
      </c>
      <c r="M1525" s="1">
        <f t="shared" si="95"/>
        <v>0</v>
      </c>
      <c r="N1525" s="1">
        <f t="shared" si="96"/>
        <v>0</v>
      </c>
      <c r="O1525" s="1"/>
    </row>
    <row r="1526" spans="1:15" x14ac:dyDescent="0.25">
      <c r="A1526">
        <v>2704</v>
      </c>
      <c r="B1526">
        <v>25825.07764</v>
      </c>
      <c r="C1526">
        <v>0</v>
      </c>
      <c r="D1526">
        <v>636907.76560000004</v>
      </c>
      <c r="E1526">
        <v>0</v>
      </c>
      <c r="F1526">
        <v>1083670.6399999999</v>
      </c>
      <c r="G1526">
        <v>2231.027</v>
      </c>
      <c r="H1526">
        <v>2704</v>
      </c>
      <c r="I1526" t="str">
        <f t="shared" si="93"/>
        <v>YES</v>
      </c>
      <c r="J1526" t="s">
        <v>1532</v>
      </c>
      <c r="K1526">
        <v>202431.39269099999</v>
      </c>
      <c r="L1526" s="1">
        <f t="shared" si="94"/>
        <v>0</v>
      </c>
      <c r="M1526" s="1">
        <f t="shared" si="95"/>
        <v>0</v>
      </c>
      <c r="N1526" s="1">
        <f t="shared" si="96"/>
        <v>2303312.5039802408</v>
      </c>
      <c r="O1526" s="1"/>
    </row>
    <row r="1527" spans="1:15" x14ac:dyDescent="0.25">
      <c r="A1527">
        <v>2705</v>
      </c>
      <c r="B1527">
        <v>29013.265749999999</v>
      </c>
      <c r="C1527">
        <v>0</v>
      </c>
      <c r="D1527">
        <v>636430.74399999995</v>
      </c>
      <c r="E1527">
        <v>0</v>
      </c>
      <c r="F1527">
        <v>1061271.909</v>
      </c>
      <c r="G1527">
        <v>746.68799999999999</v>
      </c>
      <c r="H1527">
        <v>2705</v>
      </c>
      <c r="I1527" t="str">
        <f t="shared" si="93"/>
        <v>YES</v>
      </c>
      <c r="J1527" t="s">
        <v>1533</v>
      </c>
      <c r="K1527">
        <v>301450.76007800002</v>
      </c>
      <c r="L1527" s="1">
        <f t="shared" si="94"/>
        <v>0</v>
      </c>
      <c r="M1527" s="1">
        <f t="shared" si="95"/>
        <v>0</v>
      </c>
      <c r="N1527" s="1">
        <f t="shared" si="96"/>
        <v>1147957.2922197205</v>
      </c>
      <c r="O1527" s="1"/>
    </row>
    <row r="1528" spans="1:15" x14ac:dyDescent="0.25">
      <c r="A1528">
        <v>2706</v>
      </c>
      <c r="B1528">
        <v>5434.3672429999997</v>
      </c>
      <c r="C1528">
        <v>0</v>
      </c>
      <c r="D1528">
        <v>159419.90489999999</v>
      </c>
      <c r="E1528">
        <v>0</v>
      </c>
      <c r="F1528">
        <v>828437.98549999995</v>
      </c>
      <c r="G1528">
        <v>0</v>
      </c>
      <c r="H1528">
        <v>2706</v>
      </c>
      <c r="I1528" t="str">
        <f t="shared" si="93"/>
        <v>YES</v>
      </c>
      <c r="J1528" t="s">
        <v>1534</v>
      </c>
      <c r="K1528">
        <v>164465.22595299999</v>
      </c>
      <c r="L1528" s="1">
        <f t="shared" si="94"/>
        <v>0</v>
      </c>
      <c r="M1528" s="1">
        <f t="shared" si="95"/>
        <v>0</v>
      </c>
      <c r="N1528" s="1">
        <f t="shared" si="96"/>
        <v>0</v>
      </c>
      <c r="O1528" s="1"/>
    </row>
    <row r="1529" spans="1:15" x14ac:dyDescent="0.25">
      <c r="A1529">
        <v>2707</v>
      </c>
      <c r="B1529">
        <v>21956.945090000001</v>
      </c>
      <c r="C1529">
        <v>0</v>
      </c>
      <c r="D1529">
        <v>604971.45510000002</v>
      </c>
      <c r="E1529">
        <v>0</v>
      </c>
      <c r="F1529">
        <v>1031576.595</v>
      </c>
      <c r="G1529">
        <v>746.68799999999999</v>
      </c>
      <c r="H1529">
        <v>2707</v>
      </c>
      <c r="I1529" t="str">
        <f t="shared" si="93"/>
        <v>YES</v>
      </c>
      <c r="J1529" t="s">
        <v>1535</v>
      </c>
      <c r="K1529">
        <v>305454.06292400003</v>
      </c>
      <c r="L1529" s="1">
        <f t="shared" si="94"/>
        <v>0</v>
      </c>
      <c r="M1529" s="1">
        <f t="shared" si="95"/>
        <v>0</v>
      </c>
      <c r="N1529" s="1">
        <f t="shared" si="96"/>
        <v>1163202.3050166382</v>
      </c>
      <c r="O1529" s="1"/>
    </row>
    <row r="1530" spans="1:15" x14ac:dyDescent="0.25">
      <c r="A1530">
        <v>2708</v>
      </c>
      <c r="B1530">
        <v>1204.829164</v>
      </c>
      <c r="C1530">
        <v>0</v>
      </c>
      <c r="D1530">
        <v>33136.317969999996</v>
      </c>
      <c r="E1530">
        <v>0</v>
      </c>
      <c r="F1530">
        <v>615323.80969999998</v>
      </c>
      <c r="G1530">
        <v>0</v>
      </c>
      <c r="H1530">
        <v>2708</v>
      </c>
      <c r="I1530" t="str">
        <f t="shared" si="93"/>
        <v>YES</v>
      </c>
      <c r="J1530" t="s">
        <v>1536</v>
      </c>
      <c r="K1530">
        <v>457569.32583699998</v>
      </c>
      <c r="L1530" s="1">
        <f t="shared" si="94"/>
        <v>0</v>
      </c>
      <c r="M1530" s="1">
        <f t="shared" si="95"/>
        <v>0</v>
      </c>
      <c r="N1530" s="1">
        <f t="shared" si="96"/>
        <v>0</v>
      </c>
      <c r="O1530" s="1"/>
    </row>
    <row r="1531" spans="1:15" x14ac:dyDescent="0.25">
      <c r="A1531">
        <v>2709</v>
      </c>
      <c r="B1531">
        <v>3819.1996720000002</v>
      </c>
      <c r="C1531">
        <v>0</v>
      </c>
      <c r="D1531">
        <v>27562.909820000001</v>
      </c>
      <c r="E1531">
        <v>0</v>
      </c>
      <c r="F1531">
        <v>477632.16590000002</v>
      </c>
      <c r="G1531">
        <v>0</v>
      </c>
      <c r="H1531">
        <v>2709</v>
      </c>
      <c r="I1531" t="str">
        <f t="shared" si="93"/>
        <v>YES</v>
      </c>
      <c r="J1531" t="s">
        <v>1537</v>
      </c>
      <c r="K1531">
        <v>471797.24013300001</v>
      </c>
      <c r="L1531" s="1">
        <f t="shared" si="94"/>
        <v>0</v>
      </c>
      <c r="M1531" s="1">
        <f t="shared" si="95"/>
        <v>0</v>
      </c>
      <c r="N1531" s="1">
        <f t="shared" si="96"/>
        <v>0</v>
      </c>
      <c r="O1531" s="1"/>
    </row>
    <row r="1532" spans="1:15" x14ac:dyDescent="0.25">
      <c r="A1532">
        <v>2710</v>
      </c>
      <c r="B1532">
        <v>3940.2162619999999</v>
      </c>
      <c r="C1532">
        <v>0</v>
      </c>
      <c r="D1532">
        <v>60383.741959999999</v>
      </c>
      <c r="E1532">
        <v>0</v>
      </c>
      <c r="F1532">
        <v>641424.59230000002</v>
      </c>
      <c r="G1532">
        <v>0</v>
      </c>
      <c r="H1532">
        <v>2710</v>
      </c>
      <c r="I1532" t="str">
        <f t="shared" si="93"/>
        <v>YES</v>
      </c>
      <c r="J1532" t="s">
        <v>1538</v>
      </c>
      <c r="K1532">
        <v>314649.01484800002</v>
      </c>
      <c r="L1532" s="1">
        <f t="shared" si="94"/>
        <v>0</v>
      </c>
      <c r="M1532" s="1">
        <f t="shared" si="95"/>
        <v>0</v>
      </c>
      <c r="N1532" s="1">
        <f t="shared" si="96"/>
        <v>0</v>
      </c>
      <c r="O1532" s="1"/>
    </row>
    <row r="1533" spans="1:15" x14ac:dyDescent="0.25">
      <c r="A1533">
        <v>2711</v>
      </c>
      <c r="B1533">
        <v>12224.387290000001</v>
      </c>
      <c r="C1533">
        <v>0</v>
      </c>
      <c r="D1533">
        <v>200200.201</v>
      </c>
      <c r="E1533">
        <v>0</v>
      </c>
      <c r="F1533">
        <v>839296.03330000001</v>
      </c>
      <c r="G1533">
        <v>0</v>
      </c>
      <c r="H1533">
        <v>2711</v>
      </c>
      <c r="I1533" t="str">
        <f t="shared" si="93"/>
        <v>YES</v>
      </c>
      <c r="J1533" t="s">
        <v>1539</v>
      </c>
      <c r="K1533">
        <v>248891.384425</v>
      </c>
      <c r="L1533" s="1">
        <f t="shared" si="94"/>
        <v>0</v>
      </c>
      <c r="M1533" s="1">
        <f t="shared" si="95"/>
        <v>0</v>
      </c>
      <c r="N1533" s="1">
        <f t="shared" si="96"/>
        <v>0</v>
      </c>
      <c r="O1533" s="1"/>
    </row>
    <row r="1534" spans="1:15" x14ac:dyDescent="0.25">
      <c r="A1534">
        <v>2712</v>
      </c>
      <c r="B1534">
        <v>17029.880929999999</v>
      </c>
      <c r="C1534">
        <v>0</v>
      </c>
      <c r="D1534">
        <v>442708.97619999998</v>
      </c>
      <c r="E1534">
        <v>0</v>
      </c>
      <c r="F1534">
        <v>937190.68590000004</v>
      </c>
      <c r="G1534">
        <v>5856.1823999999997</v>
      </c>
      <c r="H1534">
        <v>2712</v>
      </c>
      <c r="I1534" t="str">
        <f t="shared" si="93"/>
        <v>YES</v>
      </c>
      <c r="J1534" t="s">
        <v>1540</v>
      </c>
      <c r="K1534">
        <v>245824.89329499999</v>
      </c>
      <c r="L1534" s="1">
        <f t="shared" si="94"/>
        <v>0</v>
      </c>
      <c r="M1534" s="1">
        <f t="shared" si="95"/>
        <v>0</v>
      </c>
      <c r="N1534" s="1">
        <f t="shared" si="96"/>
        <v>7341936.6093398901</v>
      </c>
      <c r="O1534" s="1"/>
    </row>
    <row r="1535" spans="1:15" x14ac:dyDescent="0.25">
      <c r="A1535">
        <v>2713</v>
      </c>
      <c r="B1535">
        <v>12380.487789999999</v>
      </c>
      <c r="C1535">
        <v>0</v>
      </c>
      <c r="D1535">
        <v>106681.13529999999</v>
      </c>
      <c r="E1535">
        <v>0</v>
      </c>
      <c r="F1535">
        <v>762532.4669</v>
      </c>
      <c r="G1535">
        <v>0</v>
      </c>
      <c r="H1535">
        <v>2713</v>
      </c>
      <c r="I1535" t="str">
        <f t="shared" si="93"/>
        <v>YES</v>
      </c>
      <c r="J1535" t="s">
        <v>1541</v>
      </c>
      <c r="K1535">
        <v>929241.48372300004</v>
      </c>
      <c r="L1535" s="1">
        <f t="shared" si="94"/>
        <v>0</v>
      </c>
      <c r="M1535" s="1">
        <f t="shared" si="95"/>
        <v>0</v>
      </c>
      <c r="N1535" s="1">
        <f t="shared" si="96"/>
        <v>0</v>
      </c>
      <c r="O1535" s="1"/>
    </row>
    <row r="1536" spans="1:15" x14ac:dyDescent="0.25">
      <c r="A1536">
        <v>2716</v>
      </c>
      <c r="B1536">
        <v>6936.658171</v>
      </c>
      <c r="C1536">
        <v>0</v>
      </c>
      <c r="D1536">
        <v>75218.636880000005</v>
      </c>
      <c r="E1536">
        <v>0</v>
      </c>
      <c r="F1536">
        <v>647476.4118</v>
      </c>
      <c r="G1536">
        <v>0</v>
      </c>
      <c r="H1536">
        <v>2716</v>
      </c>
      <c r="I1536" t="str">
        <f t="shared" si="93"/>
        <v>YES</v>
      </c>
      <c r="J1536" t="s">
        <v>1542</v>
      </c>
      <c r="K1536">
        <v>376793.00787799997</v>
      </c>
      <c r="L1536" s="1">
        <f t="shared" si="94"/>
        <v>0</v>
      </c>
      <c r="M1536" s="1">
        <f t="shared" si="95"/>
        <v>0</v>
      </c>
      <c r="N1536" s="1">
        <f t="shared" si="96"/>
        <v>0</v>
      </c>
      <c r="O1536" s="1"/>
    </row>
    <row r="1537" spans="1:15" x14ac:dyDescent="0.25">
      <c r="A1537">
        <v>2717</v>
      </c>
      <c r="B1537">
        <v>4989.0788549999997</v>
      </c>
      <c r="C1537">
        <v>0</v>
      </c>
      <c r="D1537">
        <v>56616.0242</v>
      </c>
      <c r="E1537">
        <v>0</v>
      </c>
      <c r="F1537">
        <v>539322.62849999999</v>
      </c>
      <c r="G1537">
        <v>0</v>
      </c>
      <c r="H1537">
        <v>2717</v>
      </c>
      <c r="I1537" t="str">
        <f t="shared" si="93"/>
        <v>YES</v>
      </c>
      <c r="J1537" t="s">
        <v>1543</v>
      </c>
      <c r="K1537">
        <v>568019.94479700003</v>
      </c>
      <c r="L1537" s="1">
        <f t="shared" si="94"/>
        <v>0</v>
      </c>
      <c r="M1537" s="1">
        <f t="shared" si="95"/>
        <v>0</v>
      </c>
      <c r="N1537" s="1">
        <f t="shared" si="96"/>
        <v>0</v>
      </c>
      <c r="O1537" s="1"/>
    </row>
    <row r="1538" spans="1:15" x14ac:dyDescent="0.25">
      <c r="A1538">
        <v>2718</v>
      </c>
      <c r="B1538">
        <v>20193.95796</v>
      </c>
      <c r="C1538">
        <v>0</v>
      </c>
      <c r="D1538">
        <v>62690.958740000002</v>
      </c>
      <c r="E1538">
        <v>0</v>
      </c>
      <c r="F1538">
        <v>490734.4877</v>
      </c>
      <c r="G1538">
        <v>0</v>
      </c>
      <c r="H1538">
        <v>2718</v>
      </c>
      <c r="I1538" t="str">
        <f t="shared" ref="I1538:I1601" si="97">IF(A1538=H1538,"YES","NO")</f>
        <v>YES</v>
      </c>
      <c r="J1538" t="s">
        <v>1544</v>
      </c>
      <c r="K1538">
        <v>661505.18278300005</v>
      </c>
      <c r="L1538" s="1">
        <f t="shared" si="94"/>
        <v>0</v>
      </c>
      <c r="M1538" s="1">
        <f t="shared" si="95"/>
        <v>0</v>
      </c>
      <c r="N1538" s="1">
        <f t="shared" si="96"/>
        <v>0</v>
      </c>
      <c r="O1538" s="1"/>
    </row>
    <row r="1539" spans="1:15" x14ac:dyDescent="0.25">
      <c r="A1539">
        <v>2719</v>
      </c>
      <c r="B1539">
        <v>13285.99884</v>
      </c>
      <c r="C1539">
        <v>0</v>
      </c>
      <c r="D1539">
        <v>80649.985449999993</v>
      </c>
      <c r="E1539">
        <v>0</v>
      </c>
      <c r="F1539">
        <v>709040.32440000004</v>
      </c>
      <c r="G1539">
        <v>0</v>
      </c>
      <c r="H1539">
        <v>2719</v>
      </c>
      <c r="I1539" t="str">
        <f t="shared" si="97"/>
        <v>YES</v>
      </c>
      <c r="J1539" t="s">
        <v>1545</v>
      </c>
      <c r="K1539">
        <v>407460.665141</v>
      </c>
      <c r="L1539" s="1">
        <f t="shared" ref="L1539:L1602" si="98">$U$2*$K1539*C1539</f>
        <v>0</v>
      </c>
      <c r="M1539" s="1">
        <f t="shared" ref="M1539:M1602" si="99">$U$3*$K1539*E1539</f>
        <v>0</v>
      </c>
      <c r="N1539" s="1">
        <f t="shared" ref="N1539:N1602" si="100">$U$4*$K1539*G1539</f>
        <v>0</v>
      </c>
      <c r="O1539" s="1"/>
    </row>
    <row r="1540" spans="1:15" x14ac:dyDescent="0.25">
      <c r="A1540">
        <v>2720</v>
      </c>
      <c r="B1540">
        <v>15504.891949999999</v>
      </c>
      <c r="C1540">
        <v>0</v>
      </c>
      <c r="D1540">
        <v>62562.446279999996</v>
      </c>
      <c r="E1540">
        <v>0</v>
      </c>
      <c r="F1540">
        <v>578597.91810000001</v>
      </c>
      <c r="G1540">
        <v>0</v>
      </c>
      <c r="H1540">
        <v>2720</v>
      </c>
      <c r="I1540" t="str">
        <f t="shared" si="97"/>
        <v>YES</v>
      </c>
      <c r="J1540" t="s">
        <v>1546</v>
      </c>
      <c r="K1540">
        <v>970138.49592599995</v>
      </c>
      <c r="L1540" s="1">
        <f t="shared" si="98"/>
        <v>0</v>
      </c>
      <c r="M1540" s="1">
        <f t="shared" si="99"/>
        <v>0</v>
      </c>
      <c r="N1540" s="1">
        <f t="shared" si="100"/>
        <v>0</v>
      </c>
      <c r="O1540" s="1"/>
    </row>
    <row r="1541" spans="1:15" x14ac:dyDescent="0.25">
      <c r="A1541">
        <v>2721</v>
      </c>
      <c r="B1541">
        <v>11026.39481</v>
      </c>
      <c r="C1541">
        <v>0</v>
      </c>
      <c r="D1541">
        <v>44937.054700000001</v>
      </c>
      <c r="E1541">
        <v>0</v>
      </c>
      <c r="F1541">
        <v>315997.68190000003</v>
      </c>
      <c r="G1541">
        <v>0</v>
      </c>
      <c r="H1541">
        <v>2721</v>
      </c>
      <c r="I1541" t="str">
        <f t="shared" si="97"/>
        <v>YES</v>
      </c>
      <c r="J1541" t="s">
        <v>1547</v>
      </c>
      <c r="K1541">
        <v>392666.52958999999</v>
      </c>
      <c r="L1541" s="1">
        <f t="shared" si="98"/>
        <v>0</v>
      </c>
      <c r="M1541" s="1">
        <f t="shared" si="99"/>
        <v>0</v>
      </c>
      <c r="N1541" s="1">
        <f t="shared" si="100"/>
        <v>0</v>
      </c>
      <c r="O1541" s="1"/>
    </row>
    <row r="1542" spans="1:15" x14ac:dyDescent="0.25">
      <c r="A1542">
        <v>2722</v>
      </c>
      <c r="B1542">
        <v>18800.202929999999</v>
      </c>
      <c r="C1542">
        <v>0</v>
      </c>
      <c r="D1542">
        <v>57088.19023</v>
      </c>
      <c r="E1542">
        <v>0</v>
      </c>
      <c r="F1542">
        <v>636172.21860000002</v>
      </c>
      <c r="G1542">
        <v>0</v>
      </c>
      <c r="H1542">
        <v>2722</v>
      </c>
      <c r="I1542" t="str">
        <f t="shared" si="97"/>
        <v>YES</v>
      </c>
      <c r="J1542" t="s">
        <v>1548</v>
      </c>
      <c r="K1542">
        <v>465671.392536</v>
      </c>
      <c r="L1542" s="1">
        <f t="shared" si="98"/>
        <v>0</v>
      </c>
      <c r="M1542" s="1">
        <f t="shared" si="99"/>
        <v>0</v>
      </c>
      <c r="N1542" s="1">
        <f t="shared" si="100"/>
        <v>0</v>
      </c>
      <c r="O1542" s="1"/>
    </row>
    <row r="1543" spans="1:15" x14ac:dyDescent="0.25">
      <c r="A1543">
        <v>2723</v>
      </c>
      <c r="B1543">
        <v>36084.583630000001</v>
      </c>
      <c r="C1543">
        <v>0</v>
      </c>
      <c r="D1543">
        <v>369149.9963</v>
      </c>
      <c r="E1543">
        <v>0</v>
      </c>
      <c r="F1543">
        <v>946962.74210000003</v>
      </c>
      <c r="G1543">
        <v>0</v>
      </c>
      <c r="H1543">
        <v>2723</v>
      </c>
      <c r="I1543" t="str">
        <f t="shared" si="97"/>
        <v>YES</v>
      </c>
      <c r="J1543" t="s">
        <v>1549</v>
      </c>
      <c r="K1543">
        <v>388225.78597999999</v>
      </c>
      <c r="L1543" s="1">
        <f t="shared" si="98"/>
        <v>0</v>
      </c>
      <c r="M1543" s="1">
        <f t="shared" si="99"/>
        <v>0</v>
      </c>
      <c r="N1543" s="1">
        <f t="shared" si="100"/>
        <v>0</v>
      </c>
      <c r="O1543" s="1"/>
    </row>
    <row r="1544" spans="1:15" x14ac:dyDescent="0.25">
      <c r="A1544">
        <v>2724</v>
      </c>
      <c r="B1544">
        <v>23823.465800000002</v>
      </c>
      <c r="C1544">
        <v>0</v>
      </c>
      <c r="D1544">
        <v>57512.71312</v>
      </c>
      <c r="E1544">
        <v>0</v>
      </c>
      <c r="F1544">
        <v>631732.54249999998</v>
      </c>
      <c r="G1544">
        <v>0</v>
      </c>
      <c r="H1544">
        <v>2724</v>
      </c>
      <c r="I1544" t="str">
        <f t="shared" si="97"/>
        <v>YES</v>
      </c>
      <c r="J1544" t="s">
        <v>1550</v>
      </c>
      <c r="K1544">
        <v>567994.38203700003</v>
      </c>
      <c r="L1544" s="1">
        <f t="shared" si="98"/>
        <v>0</v>
      </c>
      <c r="M1544" s="1">
        <f t="shared" si="99"/>
        <v>0</v>
      </c>
      <c r="N1544" s="1">
        <f t="shared" si="100"/>
        <v>0</v>
      </c>
      <c r="O1544" s="1"/>
    </row>
    <row r="1545" spans="1:15" x14ac:dyDescent="0.25">
      <c r="A1545">
        <v>2725</v>
      </c>
      <c r="B1545">
        <v>32112.014429999999</v>
      </c>
      <c r="C1545">
        <v>0</v>
      </c>
      <c r="D1545">
        <v>367702.76659999997</v>
      </c>
      <c r="E1545">
        <v>0</v>
      </c>
      <c r="F1545">
        <v>937441.35560000001</v>
      </c>
      <c r="G1545">
        <v>0</v>
      </c>
      <c r="H1545">
        <v>2725</v>
      </c>
      <c r="I1545" t="str">
        <f t="shared" si="97"/>
        <v>YES</v>
      </c>
      <c r="J1545" t="s">
        <v>1551</v>
      </c>
      <c r="K1545">
        <v>470213.93192499998</v>
      </c>
      <c r="L1545" s="1">
        <f t="shared" si="98"/>
        <v>0</v>
      </c>
      <c r="M1545" s="1">
        <f t="shared" si="99"/>
        <v>0</v>
      </c>
      <c r="N1545" s="1">
        <f t="shared" si="100"/>
        <v>0</v>
      </c>
      <c r="O1545" s="1"/>
    </row>
    <row r="1546" spans="1:15" x14ac:dyDescent="0.25">
      <c r="A1546">
        <v>2728</v>
      </c>
      <c r="B1546">
        <v>7561.3926179999999</v>
      </c>
      <c r="C1546">
        <v>0</v>
      </c>
      <c r="D1546">
        <v>261968.16099999999</v>
      </c>
      <c r="E1546">
        <v>0</v>
      </c>
      <c r="F1546">
        <v>916635.02099999995</v>
      </c>
      <c r="G1546">
        <v>0</v>
      </c>
      <c r="H1546">
        <v>2728</v>
      </c>
      <c r="I1546" t="str">
        <f t="shared" si="97"/>
        <v>YES</v>
      </c>
      <c r="J1546" t="s">
        <v>1552</v>
      </c>
      <c r="K1546">
        <v>746913.794612</v>
      </c>
      <c r="L1546" s="1">
        <f t="shared" si="98"/>
        <v>0</v>
      </c>
      <c r="M1546" s="1">
        <f t="shared" si="99"/>
        <v>0</v>
      </c>
      <c r="N1546" s="1">
        <f t="shared" si="100"/>
        <v>0</v>
      </c>
      <c r="O1546" s="1"/>
    </row>
    <row r="1547" spans="1:15" x14ac:dyDescent="0.25">
      <c r="A1547">
        <v>2729</v>
      </c>
      <c r="B1547">
        <v>18597.072759999999</v>
      </c>
      <c r="C1547">
        <v>0</v>
      </c>
      <c r="D1547">
        <v>340240.69589999999</v>
      </c>
      <c r="E1547">
        <v>0</v>
      </c>
      <c r="F1547">
        <v>979750.39939999999</v>
      </c>
      <c r="G1547">
        <v>0</v>
      </c>
      <c r="H1547">
        <v>2729</v>
      </c>
      <c r="I1547" t="str">
        <f t="shared" si="97"/>
        <v>YES</v>
      </c>
      <c r="J1547" t="s">
        <v>1553</v>
      </c>
      <c r="K1547">
        <v>571960.68718100002</v>
      </c>
      <c r="L1547" s="1">
        <f t="shared" si="98"/>
        <v>0</v>
      </c>
      <c r="M1547" s="1">
        <f t="shared" si="99"/>
        <v>0</v>
      </c>
      <c r="N1547" s="1">
        <f t="shared" si="100"/>
        <v>0</v>
      </c>
      <c r="O1547" s="1"/>
    </row>
    <row r="1548" spans="1:15" x14ac:dyDescent="0.25">
      <c r="A1548">
        <v>2730</v>
      </c>
      <c r="B1548">
        <v>8524.568894</v>
      </c>
      <c r="C1548">
        <v>0</v>
      </c>
      <c r="D1548">
        <v>73698.357610000006</v>
      </c>
      <c r="E1548">
        <v>0</v>
      </c>
      <c r="F1548">
        <v>601630.18909999996</v>
      </c>
      <c r="G1548">
        <v>0</v>
      </c>
      <c r="H1548">
        <v>2730</v>
      </c>
      <c r="I1548" t="str">
        <f t="shared" si="97"/>
        <v>YES</v>
      </c>
      <c r="J1548" t="s">
        <v>1554</v>
      </c>
      <c r="K1548">
        <v>848304.84769099997</v>
      </c>
      <c r="L1548" s="1">
        <f t="shared" si="98"/>
        <v>0</v>
      </c>
      <c r="M1548" s="1">
        <f t="shared" si="99"/>
        <v>0</v>
      </c>
      <c r="N1548" s="1">
        <f t="shared" si="100"/>
        <v>0</v>
      </c>
      <c r="O1548" s="1"/>
    </row>
    <row r="1549" spans="1:15" x14ac:dyDescent="0.25">
      <c r="A1549">
        <v>2731</v>
      </c>
      <c r="B1549">
        <v>9251.2660410000008</v>
      </c>
      <c r="C1549">
        <v>0</v>
      </c>
      <c r="D1549">
        <v>81611.776379999996</v>
      </c>
      <c r="E1549">
        <v>0</v>
      </c>
      <c r="F1549">
        <v>648416.3996</v>
      </c>
      <c r="G1549">
        <v>0</v>
      </c>
      <c r="H1549">
        <v>2731</v>
      </c>
      <c r="I1549" t="str">
        <f t="shared" si="97"/>
        <v>YES</v>
      </c>
      <c r="J1549" t="s">
        <v>1555</v>
      </c>
      <c r="K1549">
        <v>503617.58560599998</v>
      </c>
      <c r="L1549" s="1">
        <f t="shared" si="98"/>
        <v>0</v>
      </c>
      <c r="M1549" s="1">
        <f t="shared" si="99"/>
        <v>0</v>
      </c>
      <c r="N1549" s="1">
        <f t="shared" si="100"/>
        <v>0</v>
      </c>
      <c r="O1549" s="1"/>
    </row>
    <row r="1550" spans="1:15" x14ac:dyDescent="0.25">
      <c r="A1550">
        <v>2732</v>
      </c>
      <c r="B1550">
        <v>14081.61716</v>
      </c>
      <c r="C1550">
        <v>0</v>
      </c>
      <c r="D1550">
        <v>127427.6303</v>
      </c>
      <c r="E1550">
        <v>0</v>
      </c>
      <c r="F1550">
        <v>720654.62419999996</v>
      </c>
      <c r="G1550">
        <v>0</v>
      </c>
      <c r="H1550">
        <v>2732</v>
      </c>
      <c r="I1550" t="str">
        <f t="shared" si="97"/>
        <v>YES</v>
      </c>
      <c r="J1550" t="s">
        <v>1556</v>
      </c>
      <c r="K1550">
        <v>712685.967817</v>
      </c>
      <c r="L1550" s="1">
        <f t="shared" si="98"/>
        <v>0</v>
      </c>
      <c r="M1550" s="1">
        <f t="shared" si="99"/>
        <v>0</v>
      </c>
      <c r="N1550" s="1">
        <f t="shared" si="100"/>
        <v>0</v>
      </c>
      <c r="O1550" s="1"/>
    </row>
    <row r="1551" spans="1:15" x14ac:dyDescent="0.25">
      <c r="A1551">
        <v>2733</v>
      </c>
      <c r="B1551">
        <v>4618.554016</v>
      </c>
      <c r="C1551">
        <v>0</v>
      </c>
      <c r="D1551">
        <v>45504.538560000001</v>
      </c>
      <c r="E1551">
        <v>0</v>
      </c>
      <c r="F1551">
        <v>351169.75400000002</v>
      </c>
      <c r="G1551">
        <v>0</v>
      </c>
      <c r="H1551">
        <v>2733</v>
      </c>
      <c r="I1551" t="str">
        <f t="shared" si="97"/>
        <v>YES</v>
      </c>
      <c r="J1551" t="s">
        <v>1557</v>
      </c>
      <c r="K1551">
        <v>396951.81870100001</v>
      </c>
      <c r="L1551" s="1">
        <f t="shared" si="98"/>
        <v>0</v>
      </c>
      <c r="M1551" s="1">
        <f t="shared" si="99"/>
        <v>0</v>
      </c>
      <c r="N1551" s="1">
        <f t="shared" si="100"/>
        <v>0</v>
      </c>
      <c r="O1551" s="1"/>
    </row>
    <row r="1552" spans="1:15" x14ac:dyDescent="0.25">
      <c r="A1552">
        <v>2736</v>
      </c>
      <c r="B1552">
        <v>39128.527220000004</v>
      </c>
      <c r="C1552">
        <v>0</v>
      </c>
      <c r="D1552">
        <v>430755.3149</v>
      </c>
      <c r="E1552">
        <v>0</v>
      </c>
      <c r="F1552">
        <v>974259.37600000005</v>
      </c>
      <c r="G1552">
        <v>0</v>
      </c>
      <c r="H1552">
        <v>2736</v>
      </c>
      <c r="I1552" t="str">
        <f t="shared" si="97"/>
        <v>YES</v>
      </c>
      <c r="J1552" t="s">
        <v>1558</v>
      </c>
      <c r="K1552">
        <v>425300.91337099997</v>
      </c>
      <c r="L1552" s="1">
        <f t="shared" si="98"/>
        <v>0</v>
      </c>
      <c r="M1552" s="1">
        <f t="shared" si="99"/>
        <v>0</v>
      </c>
      <c r="N1552" s="1">
        <f t="shared" si="100"/>
        <v>0</v>
      </c>
      <c r="O1552" s="1"/>
    </row>
    <row r="1553" spans="1:15" x14ac:dyDescent="0.25">
      <c r="A1553">
        <v>2737</v>
      </c>
      <c r="B1553">
        <v>22221.072069999998</v>
      </c>
      <c r="C1553">
        <v>0</v>
      </c>
      <c r="D1553">
        <v>55785.996019999999</v>
      </c>
      <c r="E1553">
        <v>0</v>
      </c>
      <c r="F1553">
        <v>675373.7426</v>
      </c>
      <c r="G1553">
        <v>0</v>
      </c>
      <c r="H1553">
        <v>2737</v>
      </c>
      <c r="I1553" t="str">
        <f t="shared" si="97"/>
        <v>YES</v>
      </c>
      <c r="J1553" t="s">
        <v>1559</v>
      </c>
      <c r="K1553">
        <v>257860.71463599999</v>
      </c>
      <c r="L1553" s="1">
        <f t="shared" si="98"/>
        <v>0</v>
      </c>
      <c r="M1553" s="1">
        <f t="shared" si="99"/>
        <v>0</v>
      </c>
      <c r="N1553" s="1">
        <f t="shared" si="100"/>
        <v>0</v>
      </c>
      <c r="O1553" s="1"/>
    </row>
    <row r="1554" spans="1:15" x14ac:dyDescent="0.25">
      <c r="A1554">
        <v>2738</v>
      </c>
      <c r="B1554">
        <v>22449.219239999999</v>
      </c>
      <c r="C1554">
        <v>0</v>
      </c>
      <c r="D1554">
        <v>95421.059989999994</v>
      </c>
      <c r="E1554">
        <v>0</v>
      </c>
      <c r="F1554">
        <v>738883.60060000001</v>
      </c>
      <c r="G1554">
        <v>0</v>
      </c>
      <c r="H1554">
        <v>2738</v>
      </c>
      <c r="I1554" t="str">
        <f t="shared" si="97"/>
        <v>YES</v>
      </c>
      <c r="J1554" t="s">
        <v>1560</v>
      </c>
      <c r="K1554">
        <v>379841.29645899998</v>
      </c>
      <c r="L1554" s="1">
        <f t="shared" si="98"/>
        <v>0</v>
      </c>
      <c r="M1554" s="1">
        <f t="shared" si="99"/>
        <v>0</v>
      </c>
      <c r="N1554" s="1">
        <f t="shared" si="100"/>
        <v>0</v>
      </c>
      <c r="O1554" s="1"/>
    </row>
    <row r="1555" spans="1:15" x14ac:dyDescent="0.25">
      <c r="A1555">
        <v>2739</v>
      </c>
      <c r="B1555">
        <v>16946.8109</v>
      </c>
      <c r="C1555">
        <v>0</v>
      </c>
      <c r="D1555">
        <v>39776.07258</v>
      </c>
      <c r="E1555">
        <v>0</v>
      </c>
      <c r="F1555">
        <v>282959.43930000003</v>
      </c>
      <c r="G1555">
        <v>0</v>
      </c>
      <c r="H1555">
        <v>2739</v>
      </c>
      <c r="I1555" t="str">
        <f t="shared" si="97"/>
        <v>YES</v>
      </c>
      <c r="J1555" t="s">
        <v>1561</v>
      </c>
      <c r="K1555">
        <v>597477.79687399999</v>
      </c>
      <c r="L1555" s="1">
        <f t="shared" si="98"/>
        <v>0</v>
      </c>
      <c r="M1555" s="1">
        <f t="shared" si="99"/>
        <v>0</v>
      </c>
      <c r="N1555" s="1">
        <f t="shared" si="100"/>
        <v>0</v>
      </c>
      <c r="O1555" s="1"/>
    </row>
    <row r="1556" spans="1:15" x14ac:dyDescent="0.25">
      <c r="A1556">
        <v>2740</v>
      </c>
      <c r="B1556">
        <v>22907.432280000001</v>
      </c>
      <c r="C1556">
        <v>0</v>
      </c>
      <c r="D1556">
        <v>68487.655660000004</v>
      </c>
      <c r="E1556">
        <v>0</v>
      </c>
      <c r="F1556">
        <v>676231.48739999998</v>
      </c>
      <c r="G1556">
        <v>0</v>
      </c>
      <c r="H1556">
        <v>2740</v>
      </c>
      <c r="I1556" t="str">
        <f t="shared" si="97"/>
        <v>YES</v>
      </c>
      <c r="J1556" t="s">
        <v>1562</v>
      </c>
      <c r="K1556">
        <v>107430.452768</v>
      </c>
      <c r="L1556" s="1">
        <f t="shared" si="98"/>
        <v>0</v>
      </c>
      <c r="M1556" s="1">
        <f t="shared" si="99"/>
        <v>0</v>
      </c>
      <c r="N1556" s="1">
        <f t="shared" si="100"/>
        <v>0</v>
      </c>
      <c r="O1556" s="1"/>
    </row>
    <row r="1557" spans="1:15" x14ac:dyDescent="0.25">
      <c r="A1557">
        <v>2741</v>
      </c>
      <c r="B1557">
        <v>16569.181329999999</v>
      </c>
      <c r="C1557">
        <v>0</v>
      </c>
      <c r="D1557">
        <v>51233.807099999998</v>
      </c>
      <c r="E1557">
        <v>0</v>
      </c>
      <c r="F1557">
        <v>370071.96169999999</v>
      </c>
      <c r="G1557">
        <v>0</v>
      </c>
      <c r="H1557">
        <v>2741</v>
      </c>
      <c r="I1557" t="str">
        <f t="shared" si="97"/>
        <v>YES</v>
      </c>
      <c r="J1557" t="s">
        <v>1563</v>
      </c>
      <c r="K1557">
        <v>448018.17539300001</v>
      </c>
      <c r="L1557" s="1">
        <f t="shared" si="98"/>
        <v>0</v>
      </c>
      <c r="M1557" s="1">
        <f t="shared" si="99"/>
        <v>0</v>
      </c>
      <c r="N1557" s="1">
        <f t="shared" si="100"/>
        <v>0</v>
      </c>
      <c r="O1557" s="1"/>
    </row>
    <row r="1558" spans="1:15" x14ac:dyDescent="0.25">
      <c r="A1558">
        <v>2744</v>
      </c>
      <c r="B1558">
        <v>30327.48201</v>
      </c>
      <c r="C1558">
        <v>0</v>
      </c>
      <c r="D1558">
        <v>193509.889</v>
      </c>
      <c r="E1558">
        <v>0</v>
      </c>
      <c r="F1558">
        <v>874448.66870000004</v>
      </c>
      <c r="G1558">
        <v>0</v>
      </c>
      <c r="H1558">
        <v>2744</v>
      </c>
      <c r="I1558" t="str">
        <f t="shared" si="97"/>
        <v>YES</v>
      </c>
      <c r="J1558" t="s">
        <v>1564</v>
      </c>
      <c r="K1558">
        <v>397818.45407699997</v>
      </c>
      <c r="L1558" s="1">
        <f t="shared" si="98"/>
        <v>0</v>
      </c>
      <c r="M1558" s="1">
        <f t="shared" si="99"/>
        <v>0</v>
      </c>
      <c r="N1558" s="1">
        <f t="shared" si="100"/>
        <v>0</v>
      </c>
      <c r="O1558" s="1"/>
    </row>
    <row r="1559" spans="1:15" x14ac:dyDescent="0.25">
      <c r="A1559">
        <v>2745</v>
      </c>
      <c r="B1559">
        <v>28609.149140000001</v>
      </c>
      <c r="C1559">
        <v>0</v>
      </c>
      <c r="D1559">
        <v>118532.1306</v>
      </c>
      <c r="E1559">
        <v>0</v>
      </c>
      <c r="F1559">
        <v>798083.47919999994</v>
      </c>
      <c r="G1559">
        <v>0</v>
      </c>
      <c r="H1559">
        <v>2745</v>
      </c>
      <c r="I1559" t="str">
        <f t="shared" si="97"/>
        <v>YES</v>
      </c>
      <c r="J1559" t="s">
        <v>1565</v>
      </c>
      <c r="K1559">
        <v>598105.662213</v>
      </c>
      <c r="L1559" s="1">
        <f t="shared" si="98"/>
        <v>0</v>
      </c>
      <c r="M1559" s="1">
        <f t="shared" si="99"/>
        <v>0</v>
      </c>
      <c r="N1559" s="1">
        <f t="shared" si="100"/>
        <v>0</v>
      </c>
      <c r="O1559" s="1"/>
    </row>
    <row r="1560" spans="1:15" x14ac:dyDescent="0.25">
      <c r="A1560">
        <v>2746</v>
      </c>
      <c r="B1560">
        <v>18652.122340000002</v>
      </c>
      <c r="C1560">
        <v>0</v>
      </c>
      <c r="D1560">
        <v>55738.766369999998</v>
      </c>
      <c r="E1560">
        <v>0</v>
      </c>
      <c r="F1560">
        <v>579726.424</v>
      </c>
      <c r="G1560">
        <v>0</v>
      </c>
      <c r="H1560">
        <v>2746</v>
      </c>
      <c r="I1560" t="str">
        <f t="shared" si="97"/>
        <v>YES</v>
      </c>
      <c r="J1560" t="s">
        <v>1566</v>
      </c>
      <c r="K1560">
        <v>277219.23435300001</v>
      </c>
      <c r="L1560" s="1">
        <f t="shared" si="98"/>
        <v>0</v>
      </c>
      <c r="M1560" s="1">
        <f t="shared" si="99"/>
        <v>0</v>
      </c>
      <c r="N1560" s="1">
        <f t="shared" si="100"/>
        <v>0</v>
      </c>
      <c r="O1560" s="1"/>
    </row>
    <row r="1561" spans="1:15" x14ac:dyDescent="0.25">
      <c r="A1561">
        <v>2747</v>
      </c>
      <c r="B1561">
        <v>4914.7591350000002</v>
      </c>
      <c r="C1561">
        <v>0</v>
      </c>
      <c r="D1561">
        <v>42772.899649999999</v>
      </c>
      <c r="E1561">
        <v>0</v>
      </c>
      <c r="F1561">
        <v>396881.88549999997</v>
      </c>
      <c r="G1561">
        <v>0</v>
      </c>
      <c r="H1561">
        <v>2747</v>
      </c>
      <c r="I1561" t="str">
        <f t="shared" si="97"/>
        <v>YES</v>
      </c>
      <c r="J1561" t="s">
        <v>1567</v>
      </c>
      <c r="K1561">
        <v>556939.45452000003</v>
      </c>
      <c r="L1561" s="1">
        <f t="shared" si="98"/>
        <v>0</v>
      </c>
      <c r="M1561" s="1">
        <f t="shared" si="99"/>
        <v>0</v>
      </c>
      <c r="N1561" s="1">
        <f t="shared" si="100"/>
        <v>0</v>
      </c>
      <c r="O1561" s="1"/>
    </row>
    <row r="1562" spans="1:15" x14ac:dyDescent="0.25">
      <c r="A1562">
        <v>2748</v>
      </c>
      <c r="B1562">
        <v>17602.857459999999</v>
      </c>
      <c r="C1562">
        <v>0</v>
      </c>
      <c r="D1562">
        <v>49759.36565</v>
      </c>
      <c r="E1562">
        <v>0</v>
      </c>
      <c r="F1562">
        <v>249568.429</v>
      </c>
      <c r="G1562">
        <v>0</v>
      </c>
      <c r="H1562">
        <v>2748</v>
      </c>
      <c r="I1562" t="str">
        <f t="shared" si="97"/>
        <v>YES</v>
      </c>
      <c r="J1562" t="s">
        <v>1568</v>
      </c>
      <c r="K1562">
        <v>359280.00602099998</v>
      </c>
      <c r="L1562" s="1">
        <f t="shared" si="98"/>
        <v>0</v>
      </c>
      <c r="M1562" s="1">
        <f t="shared" si="99"/>
        <v>0</v>
      </c>
      <c r="N1562" s="1">
        <f t="shared" si="100"/>
        <v>0</v>
      </c>
      <c r="O1562" s="1"/>
    </row>
    <row r="1563" spans="1:15" x14ac:dyDescent="0.25">
      <c r="A1563">
        <v>2749</v>
      </c>
      <c r="B1563">
        <v>9643.1724219999996</v>
      </c>
      <c r="C1563">
        <v>0</v>
      </c>
      <c r="D1563">
        <v>37649.410810000001</v>
      </c>
      <c r="E1563">
        <v>0</v>
      </c>
      <c r="F1563">
        <v>148498.0189</v>
      </c>
      <c r="G1563">
        <v>0</v>
      </c>
      <c r="H1563">
        <v>2749</v>
      </c>
      <c r="I1563" t="str">
        <f t="shared" si="97"/>
        <v>YES</v>
      </c>
      <c r="J1563" t="s">
        <v>1569</v>
      </c>
      <c r="K1563">
        <v>779719.65479099995</v>
      </c>
      <c r="L1563" s="1">
        <f t="shared" si="98"/>
        <v>0</v>
      </c>
      <c r="M1563" s="1">
        <f t="shared" si="99"/>
        <v>0</v>
      </c>
      <c r="N1563" s="1">
        <f t="shared" si="100"/>
        <v>0</v>
      </c>
      <c r="O1563" s="1"/>
    </row>
    <row r="1564" spans="1:15" x14ac:dyDescent="0.25">
      <c r="A1564">
        <v>2750</v>
      </c>
      <c r="B1564">
        <v>4851.031301</v>
      </c>
      <c r="C1564">
        <v>0</v>
      </c>
      <c r="D1564">
        <v>34983.460509999997</v>
      </c>
      <c r="E1564">
        <v>0</v>
      </c>
      <c r="F1564">
        <v>135776.10010000001</v>
      </c>
      <c r="G1564">
        <v>0</v>
      </c>
      <c r="H1564">
        <v>2750</v>
      </c>
      <c r="I1564" t="str">
        <f t="shared" si="97"/>
        <v>YES</v>
      </c>
      <c r="J1564" t="s">
        <v>1570</v>
      </c>
      <c r="K1564">
        <v>528242.07030100003</v>
      </c>
      <c r="L1564" s="1">
        <f t="shared" si="98"/>
        <v>0</v>
      </c>
      <c r="M1564" s="1">
        <f t="shared" si="99"/>
        <v>0</v>
      </c>
      <c r="N1564" s="1">
        <f t="shared" si="100"/>
        <v>0</v>
      </c>
      <c r="O1564" s="1"/>
    </row>
    <row r="1565" spans="1:15" x14ac:dyDescent="0.25">
      <c r="A1565">
        <v>2753</v>
      </c>
      <c r="B1565">
        <v>2629.7879750000002</v>
      </c>
      <c r="C1565">
        <v>0</v>
      </c>
      <c r="D1565">
        <v>22880.47249</v>
      </c>
      <c r="E1565">
        <v>0</v>
      </c>
      <c r="F1565">
        <v>199016.7458</v>
      </c>
      <c r="G1565">
        <v>0</v>
      </c>
      <c r="H1565">
        <v>2753</v>
      </c>
      <c r="I1565" t="str">
        <f t="shared" si="97"/>
        <v>YES</v>
      </c>
      <c r="J1565" t="s">
        <v>1571</v>
      </c>
      <c r="K1565">
        <v>593560.85193799995</v>
      </c>
      <c r="L1565" s="1">
        <f t="shared" si="98"/>
        <v>0</v>
      </c>
      <c r="M1565" s="1">
        <f t="shared" si="99"/>
        <v>0</v>
      </c>
      <c r="N1565" s="1">
        <f t="shared" si="100"/>
        <v>0</v>
      </c>
      <c r="O1565" s="1"/>
    </row>
    <row r="1566" spans="1:15" x14ac:dyDescent="0.25">
      <c r="A1566">
        <v>2754</v>
      </c>
      <c r="B1566">
        <v>2629.7879750000002</v>
      </c>
      <c r="C1566">
        <v>0</v>
      </c>
      <c r="D1566">
        <v>25749.316360000001</v>
      </c>
      <c r="E1566">
        <v>0</v>
      </c>
      <c r="F1566">
        <v>202766.9167</v>
      </c>
      <c r="G1566">
        <v>0</v>
      </c>
      <c r="H1566">
        <v>2754</v>
      </c>
      <c r="I1566" t="str">
        <f t="shared" si="97"/>
        <v>YES</v>
      </c>
      <c r="J1566" t="s">
        <v>1572</v>
      </c>
      <c r="K1566">
        <v>616640.21520600002</v>
      </c>
      <c r="L1566" s="1">
        <f t="shared" si="98"/>
        <v>0</v>
      </c>
      <c r="M1566" s="1">
        <f t="shared" si="99"/>
        <v>0</v>
      </c>
      <c r="N1566" s="1">
        <f t="shared" si="100"/>
        <v>0</v>
      </c>
      <c r="O1566" s="1"/>
    </row>
    <row r="1567" spans="1:15" x14ac:dyDescent="0.25">
      <c r="A1567">
        <v>2755</v>
      </c>
      <c r="B1567">
        <v>14582.757100000001</v>
      </c>
      <c r="C1567">
        <v>0</v>
      </c>
      <c r="D1567">
        <v>50089.419849999998</v>
      </c>
      <c r="E1567">
        <v>0</v>
      </c>
      <c r="F1567">
        <v>617978.6801</v>
      </c>
      <c r="G1567">
        <v>0</v>
      </c>
      <c r="H1567">
        <v>2755</v>
      </c>
      <c r="I1567" t="str">
        <f t="shared" si="97"/>
        <v>YES</v>
      </c>
      <c r="J1567" t="s">
        <v>1573</v>
      </c>
      <c r="K1567">
        <v>364213.09053699998</v>
      </c>
      <c r="L1567" s="1">
        <f t="shared" si="98"/>
        <v>0</v>
      </c>
      <c r="M1567" s="1">
        <f t="shared" si="99"/>
        <v>0</v>
      </c>
      <c r="N1567" s="1">
        <f t="shared" si="100"/>
        <v>0</v>
      </c>
      <c r="O1567" s="1"/>
    </row>
    <row r="1568" spans="1:15" x14ac:dyDescent="0.25">
      <c r="A1568">
        <v>2756</v>
      </c>
      <c r="B1568">
        <v>8441.9192359999997</v>
      </c>
      <c r="C1568">
        <v>0</v>
      </c>
      <c r="D1568">
        <v>41557.589249999997</v>
      </c>
      <c r="E1568">
        <v>0</v>
      </c>
      <c r="F1568">
        <v>454643.239</v>
      </c>
      <c r="G1568">
        <v>0</v>
      </c>
      <c r="H1568">
        <v>2756</v>
      </c>
      <c r="I1568" t="str">
        <f t="shared" si="97"/>
        <v>YES</v>
      </c>
      <c r="J1568" t="s">
        <v>1574</v>
      </c>
      <c r="K1568">
        <v>650093.32807799999</v>
      </c>
      <c r="L1568" s="1">
        <f t="shared" si="98"/>
        <v>0</v>
      </c>
      <c r="M1568" s="1">
        <f t="shared" si="99"/>
        <v>0</v>
      </c>
      <c r="N1568" s="1">
        <f t="shared" si="100"/>
        <v>0</v>
      </c>
      <c r="O1568" s="1"/>
    </row>
    <row r="1569" spans="1:15" x14ac:dyDescent="0.25">
      <c r="A1569">
        <v>2757</v>
      </c>
      <c r="B1569">
        <v>7664.8786419999997</v>
      </c>
      <c r="C1569">
        <v>0</v>
      </c>
      <c r="D1569">
        <v>34842.485269999997</v>
      </c>
      <c r="E1569">
        <v>0</v>
      </c>
      <c r="F1569">
        <v>336292.25510000001</v>
      </c>
      <c r="G1569">
        <v>0</v>
      </c>
      <c r="H1569">
        <v>2757</v>
      </c>
      <c r="I1569" t="str">
        <f t="shared" si="97"/>
        <v>YES</v>
      </c>
      <c r="J1569" t="s">
        <v>1575</v>
      </c>
      <c r="K1569">
        <v>673806.56824099994</v>
      </c>
      <c r="L1569" s="1">
        <f t="shared" si="98"/>
        <v>0</v>
      </c>
      <c r="M1569" s="1">
        <f t="shared" si="99"/>
        <v>0</v>
      </c>
      <c r="N1569" s="1">
        <f t="shared" si="100"/>
        <v>0</v>
      </c>
      <c r="O1569" s="1"/>
    </row>
    <row r="1570" spans="1:15" x14ac:dyDescent="0.25">
      <c r="A1570">
        <v>2758</v>
      </c>
      <c r="B1570">
        <v>4709.1140750000004</v>
      </c>
      <c r="C1570">
        <v>0</v>
      </c>
      <c r="D1570">
        <v>30166.248940000001</v>
      </c>
      <c r="E1570">
        <v>0</v>
      </c>
      <c r="F1570">
        <v>181991.70619999999</v>
      </c>
      <c r="G1570">
        <v>0</v>
      </c>
      <c r="H1570">
        <v>2758</v>
      </c>
      <c r="I1570" t="str">
        <f t="shared" si="97"/>
        <v>YES</v>
      </c>
      <c r="J1570" t="s">
        <v>1576</v>
      </c>
      <c r="K1570">
        <v>476492.58607299998</v>
      </c>
      <c r="L1570" s="1">
        <f t="shared" si="98"/>
        <v>0</v>
      </c>
      <c r="M1570" s="1">
        <f t="shared" si="99"/>
        <v>0</v>
      </c>
      <c r="N1570" s="1">
        <f t="shared" si="100"/>
        <v>0</v>
      </c>
      <c r="O1570" s="1"/>
    </row>
    <row r="1571" spans="1:15" x14ac:dyDescent="0.25">
      <c r="A1571">
        <v>2761</v>
      </c>
      <c r="B1571">
        <v>25112.154750000002</v>
      </c>
      <c r="C1571">
        <v>0</v>
      </c>
      <c r="D1571">
        <v>489705.64549999998</v>
      </c>
      <c r="E1571">
        <v>0</v>
      </c>
      <c r="F1571">
        <v>981474.29269999999</v>
      </c>
      <c r="G1571">
        <v>0</v>
      </c>
      <c r="H1571">
        <v>2761</v>
      </c>
      <c r="I1571" t="str">
        <f t="shared" si="97"/>
        <v>YES</v>
      </c>
      <c r="J1571" t="s">
        <v>1577</v>
      </c>
      <c r="K1571">
        <v>255482.65601899999</v>
      </c>
      <c r="L1571" s="1">
        <f t="shared" si="98"/>
        <v>0</v>
      </c>
      <c r="M1571" s="1">
        <f t="shared" si="99"/>
        <v>0</v>
      </c>
      <c r="N1571" s="1">
        <f t="shared" si="100"/>
        <v>0</v>
      </c>
      <c r="O1571" s="1"/>
    </row>
    <row r="1572" spans="1:15" x14ac:dyDescent="0.25">
      <c r="A1572">
        <v>2762</v>
      </c>
      <c r="B1572">
        <v>12458.548070000001</v>
      </c>
      <c r="C1572">
        <v>0</v>
      </c>
      <c r="D1572">
        <v>74727.879060000007</v>
      </c>
      <c r="E1572">
        <v>0</v>
      </c>
      <c r="F1572">
        <v>714288.50569999998</v>
      </c>
      <c r="G1572">
        <v>0</v>
      </c>
      <c r="H1572">
        <v>2762</v>
      </c>
      <c r="I1572" t="str">
        <f t="shared" si="97"/>
        <v>YES</v>
      </c>
      <c r="J1572" t="s">
        <v>1578</v>
      </c>
      <c r="K1572">
        <v>253030.39966900001</v>
      </c>
      <c r="L1572" s="1">
        <f t="shared" si="98"/>
        <v>0</v>
      </c>
      <c r="M1572" s="1">
        <f t="shared" si="99"/>
        <v>0</v>
      </c>
      <c r="N1572" s="1">
        <f t="shared" si="100"/>
        <v>0</v>
      </c>
      <c r="O1572" s="1"/>
    </row>
    <row r="1573" spans="1:15" x14ac:dyDescent="0.25">
      <c r="A1573">
        <v>2763</v>
      </c>
      <c r="B1573">
        <v>15043.398639999999</v>
      </c>
      <c r="C1573">
        <v>0</v>
      </c>
      <c r="D1573">
        <v>112123.54790000001</v>
      </c>
      <c r="E1573">
        <v>0</v>
      </c>
      <c r="F1573">
        <v>789134.57239999995</v>
      </c>
      <c r="G1573">
        <v>0</v>
      </c>
      <c r="H1573">
        <v>2763</v>
      </c>
      <c r="I1573" t="str">
        <f t="shared" si="97"/>
        <v>YES</v>
      </c>
      <c r="J1573" t="s">
        <v>1579</v>
      </c>
      <c r="K1573">
        <v>768273.00988899998</v>
      </c>
      <c r="L1573" s="1">
        <f t="shared" si="98"/>
        <v>0</v>
      </c>
      <c r="M1573" s="1">
        <f t="shared" si="99"/>
        <v>0</v>
      </c>
      <c r="N1573" s="1">
        <f t="shared" si="100"/>
        <v>0</v>
      </c>
      <c r="O1573" s="1"/>
    </row>
    <row r="1574" spans="1:15" x14ac:dyDescent="0.25">
      <c r="A1574">
        <v>2764</v>
      </c>
      <c r="B1574">
        <v>37830.34446</v>
      </c>
      <c r="C1574">
        <v>0</v>
      </c>
      <c r="D1574">
        <v>460443.28249999997</v>
      </c>
      <c r="E1574">
        <v>0</v>
      </c>
      <c r="F1574">
        <v>981248.4902</v>
      </c>
      <c r="G1574">
        <v>5856.1823999999997</v>
      </c>
      <c r="H1574">
        <v>2764</v>
      </c>
      <c r="I1574" t="str">
        <f t="shared" si="97"/>
        <v>YES</v>
      </c>
      <c r="J1574" t="s">
        <v>1580</v>
      </c>
      <c r="K1574">
        <v>290856.59475400002</v>
      </c>
      <c r="L1574" s="1">
        <f t="shared" si="98"/>
        <v>0</v>
      </c>
      <c r="M1574" s="1">
        <f t="shared" si="99"/>
        <v>0</v>
      </c>
      <c r="N1574" s="1">
        <f t="shared" si="100"/>
        <v>8686877.2827237658</v>
      </c>
      <c r="O1574" s="1"/>
    </row>
    <row r="1575" spans="1:15" x14ac:dyDescent="0.25">
      <c r="A1575">
        <v>2765</v>
      </c>
      <c r="B1575">
        <v>15844.888580000001</v>
      </c>
      <c r="C1575">
        <v>0</v>
      </c>
      <c r="D1575">
        <v>209661.09169999999</v>
      </c>
      <c r="E1575">
        <v>0</v>
      </c>
      <c r="F1575">
        <v>862586.21589999995</v>
      </c>
      <c r="G1575">
        <v>0</v>
      </c>
      <c r="H1575">
        <v>2765</v>
      </c>
      <c r="I1575" t="str">
        <f t="shared" si="97"/>
        <v>YES</v>
      </c>
      <c r="J1575" t="s">
        <v>1581</v>
      </c>
      <c r="K1575">
        <v>279114.69858299999</v>
      </c>
      <c r="L1575" s="1">
        <f t="shared" si="98"/>
        <v>0</v>
      </c>
      <c r="M1575" s="1">
        <f t="shared" si="99"/>
        <v>0</v>
      </c>
      <c r="N1575" s="1">
        <f t="shared" si="100"/>
        <v>0</v>
      </c>
      <c r="O1575" s="1"/>
    </row>
    <row r="1576" spans="1:15" x14ac:dyDescent="0.25">
      <c r="A1576">
        <v>2766</v>
      </c>
      <c r="B1576">
        <v>25930.045470000001</v>
      </c>
      <c r="C1576">
        <v>0</v>
      </c>
      <c r="D1576">
        <v>250353.25750000001</v>
      </c>
      <c r="E1576">
        <v>0</v>
      </c>
      <c r="F1576">
        <v>880387.55500000005</v>
      </c>
      <c r="G1576">
        <v>0</v>
      </c>
      <c r="H1576">
        <v>2766</v>
      </c>
      <c r="I1576" t="str">
        <f t="shared" si="97"/>
        <v>YES</v>
      </c>
      <c r="J1576" t="s">
        <v>1582</v>
      </c>
      <c r="K1576">
        <v>412551.03665099997</v>
      </c>
      <c r="L1576" s="1">
        <f t="shared" si="98"/>
        <v>0</v>
      </c>
      <c r="M1576" s="1">
        <f t="shared" si="99"/>
        <v>0</v>
      </c>
      <c r="N1576" s="1">
        <f t="shared" si="100"/>
        <v>0</v>
      </c>
      <c r="O1576" s="1"/>
    </row>
    <row r="1577" spans="1:15" x14ac:dyDescent="0.25">
      <c r="A1577">
        <v>2767</v>
      </c>
      <c r="B1577">
        <v>14512.20638</v>
      </c>
      <c r="C1577">
        <v>0</v>
      </c>
      <c r="D1577">
        <v>47304.012719999999</v>
      </c>
      <c r="E1577">
        <v>0</v>
      </c>
      <c r="F1577">
        <v>590223.73329999996</v>
      </c>
      <c r="G1577">
        <v>0</v>
      </c>
      <c r="H1577">
        <v>2767</v>
      </c>
      <c r="I1577" t="str">
        <f t="shared" si="97"/>
        <v>YES</v>
      </c>
      <c r="J1577" t="s">
        <v>1583</v>
      </c>
      <c r="K1577">
        <v>439114.17022199999</v>
      </c>
      <c r="L1577" s="1">
        <f t="shared" si="98"/>
        <v>0</v>
      </c>
      <c r="M1577" s="1">
        <f t="shared" si="99"/>
        <v>0</v>
      </c>
      <c r="N1577" s="1">
        <f t="shared" si="100"/>
        <v>0</v>
      </c>
      <c r="O1577" s="1"/>
    </row>
    <row r="1578" spans="1:15" x14ac:dyDescent="0.25">
      <c r="A1578">
        <v>2768</v>
      </c>
      <c r="B1578">
        <v>26571.21084</v>
      </c>
      <c r="C1578">
        <v>0</v>
      </c>
      <c r="D1578">
        <v>306639.65600000002</v>
      </c>
      <c r="E1578">
        <v>0</v>
      </c>
      <c r="F1578">
        <v>910878.42260000005</v>
      </c>
      <c r="G1578">
        <v>0</v>
      </c>
      <c r="H1578">
        <v>2768</v>
      </c>
      <c r="I1578" t="str">
        <f t="shared" si="97"/>
        <v>YES</v>
      </c>
      <c r="J1578" t="s">
        <v>1584</v>
      </c>
      <c r="K1578">
        <v>265171.90906799998</v>
      </c>
      <c r="L1578" s="1">
        <f t="shared" si="98"/>
        <v>0</v>
      </c>
      <c r="M1578" s="1">
        <f t="shared" si="99"/>
        <v>0</v>
      </c>
      <c r="N1578" s="1">
        <f t="shared" si="100"/>
        <v>0</v>
      </c>
      <c r="O1578" s="1"/>
    </row>
    <row r="1579" spans="1:15" x14ac:dyDescent="0.25">
      <c r="A1579">
        <v>2769</v>
      </c>
      <c r="B1579">
        <v>20872.414209999999</v>
      </c>
      <c r="C1579">
        <v>0</v>
      </c>
      <c r="D1579">
        <v>46709.683149999997</v>
      </c>
      <c r="E1579">
        <v>0</v>
      </c>
      <c r="F1579">
        <v>531849.94979999994</v>
      </c>
      <c r="G1579">
        <v>0</v>
      </c>
      <c r="H1579">
        <v>2769</v>
      </c>
      <c r="I1579" t="str">
        <f t="shared" si="97"/>
        <v>YES</v>
      </c>
      <c r="J1579" t="s">
        <v>1585</v>
      </c>
      <c r="K1579">
        <v>606185.62515700003</v>
      </c>
      <c r="L1579" s="1">
        <f t="shared" si="98"/>
        <v>0</v>
      </c>
      <c r="M1579" s="1">
        <f t="shared" si="99"/>
        <v>0</v>
      </c>
      <c r="N1579" s="1">
        <f t="shared" si="100"/>
        <v>0</v>
      </c>
      <c r="O1579" s="1"/>
    </row>
    <row r="1580" spans="1:15" x14ac:dyDescent="0.25">
      <c r="A1580">
        <v>2772</v>
      </c>
      <c r="B1580">
        <v>2786.5389519999999</v>
      </c>
      <c r="C1580">
        <v>0</v>
      </c>
      <c r="D1580">
        <v>34906.257409999998</v>
      </c>
      <c r="E1580">
        <v>0</v>
      </c>
      <c r="F1580">
        <v>103167.9935</v>
      </c>
      <c r="G1580">
        <v>0</v>
      </c>
      <c r="H1580">
        <v>2772</v>
      </c>
      <c r="I1580" t="str">
        <f t="shared" si="97"/>
        <v>YES</v>
      </c>
      <c r="J1580" t="s">
        <v>1586</v>
      </c>
      <c r="K1580">
        <v>753306.16468399996</v>
      </c>
      <c r="L1580" s="1">
        <f t="shared" si="98"/>
        <v>0</v>
      </c>
      <c r="M1580" s="1">
        <f t="shared" si="99"/>
        <v>0</v>
      </c>
      <c r="N1580" s="1">
        <f t="shared" si="100"/>
        <v>0</v>
      </c>
      <c r="O1580" s="1"/>
    </row>
    <row r="1581" spans="1:15" x14ac:dyDescent="0.25">
      <c r="A1581">
        <v>2773</v>
      </c>
      <c r="B1581">
        <v>4427.4121329999998</v>
      </c>
      <c r="C1581">
        <v>0</v>
      </c>
      <c r="D1581">
        <v>44211.761100000003</v>
      </c>
      <c r="E1581">
        <v>0</v>
      </c>
      <c r="F1581">
        <v>90155.646179999996</v>
      </c>
      <c r="G1581">
        <v>0</v>
      </c>
      <c r="H1581">
        <v>2773</v>
      </c>
      <c r="I1581" t="str">
        <f t="shared" si="97"/>
        <v>YES</v>
      </c>
      <c r="J1581" t="s">
        <v>1587</v>
      </c>
      <c r="K1581">
        <v>934482.76582600002</v>
      </c>
      <c r="L1581" s="1">
        <f t="shared" si="98"/>
        <v>0</v>
      </c>
      <c r="M1581" s="1">
        <f t="shared" si="99"/>
        <v>0</v>
      </c>
      <c r="N1581" s="1">
        <f t="shared" si="100"/>
        <v>0</v>
      </c>
      <c r="O1581" s="1"/>
    </row>
    <row r="1582" spans="1:15" x14ac:dyDescent="0.25">
      <c r="A1582">
        <v>2774</v>
      </c>
      <c r="B1582">
        <v>9713.3339969999997</v>
      </c>
      <c r="C1582">
        <v>0</v>
      </c>
      <c r="D1582">
        <v>47629.700660000002</v>
      </c>
      <c r="E1582">
        <v>0</v>
      </c>
      <c r="F1582">
        <v>104915.7319</v>
      </c>
      <c r="G1582">
        <v>0</v>
      </c>
      <c r="H1582">
        <v>2774</v>
      </c>
      <c r="I1582" t="str">
        <f t="shared" si="97"/>
        <v>YES</v>
      </c>
      <c r="J1582" t="s">
        <v>1588</v>
      </c>
      <c r="K1582">
        <v>962215.76193799998</v>
      </c>
      <c r="L1582" s="1">
        <f t="shared" si="98"/>
        <v>0</v>
      </c>
      <c r="M1582" s="1">
        <f t="shared" si="99"/>
        <v>0</v>
      </c>
      <c r="N1582" s="1">
        <f t="shared" si="100"/>
        <v>0</v>
      </c>
      <c r="O1582" s="1"/>
    </row>
    <row r="1583" spans="1:15" x14ac:dyDescent="0.25">
      <c r="A1583">
        <v>2775</v>
      </c>
      <c r="B1583">
        <v>3789.738589</v>
      </c>
      <c r="C1583">
        <v>0</v>
      </c>
      <c r="D1583">
        <v>35706.254529999998</v>
      </c>
      <c r="E1583">
        <v>0</v>
      </c>
      <c r="F1583">
        <v>79211.375440000003</v>
      </c>
      <c r="G1583">
        <v>0</v>
      </c>
      <c r="H1583">
        <v>2775</v>
      </c>
      <c r="I1583" t="str">
        <f t="shared" si="97"/>
        <v>YES</v>
      </c>
      <c r="J1583" t="s">
        <v>1589</v>
      </c>
      <c r="K1583">
        <v>770443.64693000005</v>
      </c>
      <c r="L1583" s="1">
        <f t="shared" si="98"/>
        <v>0</v>
      </c>
      <c r="M1583" s="1">
        <f t="shared" si="99"/>
        <v>0</v>
      </c>
      <c r="N1583" s="1">
        <f t="shared" si="100"/>
        <v>0</v>
      </c>
      <c r="O1583" s="1"/>
    </row>
    <row r="1584" spans="1:15" x14ac:dyDescent="0.25">
      <c r="A1584">
        <v>2776</v>
      </c>
      <c r="B1584">
        <v>5537.8813639999998</v>
      </c>
      <c r="C1584">
        <v>0</v>
      </c>
      <c r="D1584">
        <v>40740.267930000002</v>
      </c>
      <c r="E1584">
        <v>0</v>
      </c>
      <c r="F1584">
        <v>86578.713589999999</v>
      </c>
      <c r="G1584">
        <v>0</v>
      </c>
      <c r="H1584">
        <v>2776</v>
      </c>
      <c r="I1584" t="str">
        <f t="shared" si="97"/>
        <v>YES</v>
      </c>
      <c r="J1584" t="s">
        <v>1590</v>
      </c>
      <c r="K1584">
        <v>1183173.0838299999</v>
      </c>
      <c r="L1584" s="1">
        <f t="shared" si="98"/>
        <v>0</v>
      </c>
      <c r="M1584" s="1">
        <f t="shared" si="99"/>
        <v>0</v>
      </c>
      <c r="N1584" s="1">
        <f t="shared" si="100"/>
        <v>0</v>
      </c>
      <c r="O1584" s="1"/>
    </row>
    <row r="1585" spans="1:15" x14ac:dyDescent="0.25">
      <c r="A1585">
        <v>2800</v>
      </c>
      <c r="B1585">
        <v>685.17778410000005</v>
      </c>
      <c r="C1585">
        <v>0</v>
      </c>
      <c r="D1585">
        <v>3940.9732039999999</v>
      </c>
      <c r="E1585">
        <v>0</v>
      </c>
      <c r="F1585">
        <v>9788.3988939999999</v>
      </c>
      <c r="G1585">
        <v>0</v>
      </c>
      <c r="H1585">
        <v>2800</v>
      </c>
      <c r="I1585" t="str">
        <f t="shared" si="97"/>
        <v>YES</v>
      </c>
      <c r="J1585" t="s">
        <v>1591</v>
      </c>
      <c r="K1585">
        <v>3132008.5849799998</v>
      </c>
      <c r="L1585" s="1">
        <f t="shared" si="98"/>
        <v>0</v>
      </c>
      <c r="M1585" s="1">
        <f t="shared" si="99"/>
        <v>0</v>
      </c>
      <c r="N1585" s="1">
        <f t="shared" si="100"/>
        <v>0</v>
      </c>
      <c r="O1585" s="1"/>
    </row>
    <row r="1586" spans="1:15" x14ac:dyDescent="0.25">
      <c r="A1586">
        <v>2801</v>
      </c>
      <c r="B1586">
        <v>3754.3216769999999</v>
      </c>
      <c r="C1586">
        <v>0</v>
      </c>
      <c r="D1586">
        <v>4704.8635839999997</v>
      </c>
      <c r="E1586">
        <v>0</v>
      </c>
      <c r="F1586">
        <v>9738.3746599999995</v>
      </c>
      <c r="G1586">
        <v>0</v>
      </c>
      <c r="H1586">
        <v>2801</v>
      </c>
      <c r="I1586" t="str">
        <f t="shared" si="97"/>
        <v>YES</v>
      </c>
      <c r="J1586" t="s">
        <v>1592</v>
      </c>
      <c r="K1586">
        <v>1654213.9872099999</v>
      </c>
      <c r="L1586" s="1">
        <f t="shared" si="98"/>
        <v>0</v>
      </c>
      <c r="M1586" s="1">
        <f t="shared" si="99"/>
        <v>0</v>
      </c>
      <c r="N1586" s="1">
        <f t="shared" si="100"/>
        <v>0</v>
      </c>
      <c r="O1586" s="1"/>
    </row>
    <row r="1587" spans="1:15" x14ac:dyDescent="0.25">
      <c r="A1587">
        <v>2802</v>
      </c>
      <c r="B1587">
        <v>845.71922380000001</v>
      </c>
      <c r="C1587">
        <v>0</v>
      </c>
      <c r="D1587">
        <v>15625.591619999999</v>
      </c>
      <c r="E1587">
        <v>0</v>
      </c>
      <c r="F1587">
        <v>86432.500180000003</v>
      </c>
      <c r="G1587">
        <v>0</v>
      </c>
      <c r="H1587">
        <v>2802</v>
      </c>
      <c r="I1587" t="str">
        <f t="shared" si="97"/>
        <v>YES</v>
      </c>
      <c r="J1587" t="s">
        <v>1593</v>
      </c>
      <c r="K1587">
        <v>2317353.9750399999</v>
      </c>
      <c r="L1587" s="1">
        <f t="shared" si="98"/>
        <v>0</v>
      </c>
      <c r="M1587" s="1">
        <f t="shared" si="99"/>
        <v>0</v>
      </c>
      <c r="N1587" s="1">
        <f t="shared" si="100"/>
        <v>0</v>
      </c>
      <c r="O1587" s="1"/>
    </row>
    <row r="1588" spans="1:15" x14ac:dyDescent="0.25">
      <c r="A1588">
        <v>2803</v>
      </c>
      <c r="B1588">
        <v>3775.415868</v>
      </c>
      <c r="C1588">
        <v>0</v>
      </c>
      <c r="D1588">
        <v>4635.1169579999996</v>
      </c>
      <c r="E1588">
        <v>0</v>
      </c>
      <c r="F1588">
        <v>11976.801740000001</v>
      </c>
      <c r="G1588">
        <v>0</v>
      </c>
      <c r="H1588">
        <v>2803</v>
      </c>
      <c r="I1588" t="str">
        <f t="shared" si="97"/>
        <v>YES</v>
      </c>
      <c r="J1588" t="s">
        <v>1594</v>
      </c>
      <c r="K1588">
        <v>1338714.80568</v>
      </c>
      <c r="L1588" s="1">
        <f t="shared" si="98"/>
        <v>0</v>
      </c>
      <c r="M1588" s="1">
        <f t="shared" si="99"/>
        <v>0</v>
      </c>
      <c r="N1588" s="1">
        <f t="shared" si="100"/>
        <v>0</v>
      </c>
      <c r="O1588" s="1"/>
    </row>
    <row r="1589" spans="1:15" x14ac:dyDescent="0.25">
      <c r="A1589">
        <v>2804</v>
      </c>
      <c r="B1589">
        <v>3247.0449060000001</v>
      </c>
      <c r="C1589">
        <v>0</v>
      </c>
      <c r="D1589">
        <v>4061.1436619999999</v>
      </c>
      <c r="E1589">
        <v>0</v>
      </c>
      <c r="F1589">
        <v>11766.47509</v>
      </c>
      <c r="G1589">
        <v>0</v>
      </c>
      <c r="H1589">
        <v>2804</v>
      </c>
      <c r="I1589" t="str">
        <f t="shared" si="97"/>
        <v>YES</v>
      </c>
      <c r="J1589" t="s">
        <v>1595</v>
      </c>
      <c r="K1589">
        <v>1993489.1838400001</v>
      </c>
      <c r="L1589" s="1">
        <f t="shared" si="98"/>
        <v>0</v>
      </c>
      <c r="M1589" s="1">
        <f t="shared" si="99"/>
        <v>0</v>
      </c>
      <c r="N1589" s="1">
        <f t="shared" si="100"/>
        <v>0</v>
      </c>
      <c r="O1589" s="1"/>
    </row>
    <row r="1590" spans="1:15" x14ac:dyDescent="0.25">
      <c r="A1590">
        <v>2805</v>
      </c>
      <c r="B1590">
        <v>3350.090048</v>
      </c>
      <c r="C1590">
        <v>0</v>
      </c>
      <c r="D1590">
        <v>4990.5913790000004</v>
      </c>
      <c r="E1590">
        <v>0</v>
      </c>
      <c r="F1590">
        <v>10618.71651</v>
      </c>
      <c r="G1590">
        <v>0</v>
      </c>
      <c r="H1590">
        <v>2805</v>
      </c>
      <c r="I1590" t="str">
        <f t="shared" si="97"/>
        <v>YES</v>
      </c>
      <c r="J1590" t="s">
        <v>1596</v>
      </c>
      <c r="K1590">
        <v>1892597.6591099999</v>
      </c>
      <c r="L1590" s="1">
        <f t="shared" si="98"/>
        <v>0</v>
      </c>
      <c r="M1590" s="1">
        <f t="shared" si="99"/>
        <v>0</v>
      </c>
      <c r="N1590" s="1">
        <f t="shared" si="100"/>
        <v>0</v>
      </c>
      <c r="O1590" s="1"/>
    </row>
    <row r="1591" spans="1:15" x14ac:dyDescent="0.25">
      <c r="A1591">
        <v>2806</v>
      </c>
      <c r="B1591">
        <v>408.4159593</v>
      </c>
      <c r="C1591">
        <v>0</v>
      </c>
      <c r="D1591">
        <v>7297.8993920000003</v>
      </c>
      <c r="E1591">
        <v>0</v>
      </c>
      <c r="F1591">
        <v>28929.953000000001</v>
      </c>
      <c r="G1591">
        <v>0</v>
      </c>
      <c r="H1591">
        <v>2806</v>
      </c>
      <c r="I1591" t="str">
        <f t="shared" si="97"/>
        <v>YES</v>
      </c>
      <c r="J1591" t="s">
        <v>1597</v>
      </c>
      <c r="K1591">
        <v>1519881.4197800001</v>
      </c>
      <c r="L1591" s="1">
        <f t="shared" si="98"/>
        <v>0</v>
      </c>
      <c r="M1591" s="1">
        <f t="shared" si="99"/>
        <v>0</v>
      </c>
      <c r="N1591" s="1">
        <f t="shared" si="100"/>
        <v>0</v>
      </c>
      <c r="O1591" s="1"/>
    </row>
    <row r="1592" spans="1:15" x14ac:dyDescent="0.25">
      <c r="A1592">
        <v>2807</v>
      </c>
      <c r="B1592">
        <v>3470.2605060000001</v>
      </c>
      <c r="C1592">
        <v>0</v>
      </c>
      <c r="D1592">
        <v>12632.15408</v>
      </c>
      <c r="E1592">
        <v>0</v>
      </c>
      <c r="F1592">
        <v>59461.475339999997</v>
      </c>
      <c r="G1592">
        <v>0</v>
      </c>
      <c r="H1592">
        <v>2807</v>
      </c>
      <c r="I1592" t="str">
        <f t="shared" si="97"/>
        <v>YES</v>
      </c>
      <c r="J1592" t="s">
        <v>1598</v>
      </c>
      <c r="K1592">
        <v>1177684.9136699999</v>
      </c>
      <c r="L1592" s="1">
        <f t="shared" si="98"/>
        <v>0</v>
      </c>
      <c r="M1592" s="1">
        <f t="shared" si="99"/>
        <v>0</v>
      </c>
      <c r="N1592" s="1">
        <f t="shared" si="100"/>
        <v>0</v>
      </c>
      <c r="O1592" s="1"/>
    </row>
    <row r="1593" spans="1:15" x14ac:dyDescent="0.25">
      <c r="A1593">
        <v>2808</v>
      </c>
      <c r="B1593">
        <v>2990.6467520000001</v>
      </c>
      <c r="C1593">
        <v>0</v>
      </c>
      <c r="D1593">
        <v>4463.059389</v>
      </c>
      <c r="E1593">
        <v>0</v>
      </c>
      <c r="F1593">
        <v>16102.15173</v>
      </c>
      <c r="G1593">
        <v>0</v>
      </c>
      <c r="H1593">
        <v>2808</v>
      </c>
      <c r="I1593" t="str">
        <f t="shared" si="97"/>
        <v>YES</v>
      </c>
      <c r="J1593" t="s">
        <v>1599</v>
      </c>
      <c r="K1593">
        <v>881798.68224999995</v>
      </c>
      <c r="L1593" s="1">
        <f t="shared" si="98"/>
        <v>0</v>
      </c>
      <c r="M1593" s="1">
        <f t="shared" si="99"/>
        <v>0</v>
      </c>
      <c r="N1593" s="1">
        <f t="shared" si="100"/>
        <v>0</v>
      </c>
      <c r="O1593" s="1"/>
    </row>
    <row r="1594" spans="1:15" x14ac:dyDescent="0.25">
      <c r="A1594">
        <v>2811</v>
      </c>
      <c r="B1594">
        <v>1076.1398200000001</v>
      </c>
      <c r="C1594">
        <v>0</v>
      </c>
      <c r="D1594">
        <v>1076.1398200000001</v>
      </c>
      <c r="E1594">
        <v>0</v>
      </c>
      <c r="F1594">
        <v>1361.867614</v>
      </c>
      <c r="G1594">
        <v>0</v>
      </c>
      <c r="H1594">
        <v>2811</v>
      </c>
      <c r="I1594" t="str">
        <f t="shared" si="97"/>
        <v>YES</v>
      </c>
      <c r="J1594" t="s">
        <v>1600</v>
      </c>
      <c r="K1594">
        <v>9375964.2675000001</v>
      </c>
      <c r="L1594" s="1">
        <f t="shared" si="98"/>
        <v>0</v>
      </c>
      <c r="M1594" s="1">
        <f t="shared" si="99"/>
        <v>0</v>
      </c>
      <c r="N1594" s="1">
        <f t="shared" si="100"/>
        <v>0</v>
      </c>
      <c r="O1594" s="1"/>
    </row>
    <row r="1595" spans="1:15" x14ac:dyDescent="0.25">
      <c r="A1595">
        <v>2812</v>
      </c>
      <c r="B1595">
        <v>513.12021519999996</v>
      </c>
      <c r="C1595">
        <v>0</v>
      </c>
      <c r="D1595">
        <v>3503.7669679999999</v>
      </c>
      <c r="E1595">
        <v>0</v>
      </c>
      <c r="F1595">
        <v>12328.90717</v>
      </c>
      <c r="G1595">
        <v>0</v>
      </c>
      <c r="H1595">
        <v>2812</v>
      </c>
      <c r="I1595" t="str">
        <f t="shared" si="97"/>
        <v>YES</v>
      </c>
      <c r="J1595" t="s">
        <v>1601</v>
      </c>
      <c r="K1595">
        <v>798975.07883300004</v>
      </c>
      <c r="L1595" s="1">
        <f t="shared" si="98"/>
        <v>0</v>
      </c>
      <c r="M1595" s="1">
        <f t="shared" si="99"/>
        <v>0</v>
      </c>
      <c r="N1595" s="1">
        <f t="shared" si="100"/>
        <v>0</v>
      </c>
      <c r="O1595" s="1"/>
    </row>
    <row r="1596" spans="1:15" x14ac:dyDescent="0.25">
      <c r="A1596">
        <v>2813</v>
      </c>
      <c r="B1596">
        <v>146.67245679999999</v>
      </c>
      <c r="C1596">
        <v>0</v>
      </c>
      <c r="D1596">
        <v>146.67245679999999</v>
      </c>
      <c r="E1596">
        <v>0</v>
      </c>
      <c r="F1596">
        <v>146.67245679999999</v>
      </c>
      <c r="G1596">
        <v>0</v>
      </c>
      <c r="H1596">
        <v>2813</v>
      </c>
      <c r="I1596" t="str">
        <f t="shared" si="97"/>
        <v>YES</v>
      </c>
      <c r="J1596" t="s">
        <v>1602</v>
      </c>
      <c r="K1596">
        <v>17394767.423500001</v>
      </c>
      <c r="L1596" s="1">
        <f t="shared" si="98"/>
        <v>0</v>
      </c>
      <c r="M1596" s="1">
        <f t="shared" si="99"/>
        <v>0</v>
      </c>
      <c r="N1596" s="1">
        <f t="shared" si="100"/>
        <v>0</v>
      </c>
      <c r="O1596" s="1"/>
    </row>
    <row r="1597" spans="1:15" x14ac:dyDescent="0.25">
      <c r="A1597">
        <v>2816</v>
      </c>
      <c r="B1597">
        <v>295.3432846</v>
      </c>
      <c r="C1597">
        <v>0</v>
      </c>
      <c r="D1597">
        <v>2117.8770869999998</v>
      </c>
      <c r="E1597">
        <v>0</v>
      </c>
      <c r="F1597">
        <v>17416.13479</v>
      </c>
      <c r="G1597">
        <v>0</v>
      </c>
      <c r="H1597">
        <v>2816</v>
      </c>
      <c r="I1597" t="str">
        <f t="shared" si="97"/>
        <v>YES</v>
      </c>
      <c r="J1597" t="s">
        <v>1603</v>
      </c>
      <c r="K1597">
        <v>1490897.84403</v>
      </c>
      <c r="L1597" s="1">
        <f t="shared" si="98"/>
        <v>0</v>
      </c>
      <c r="M1597" s="1">
        <f t="shared" si="99"/>
        <v>0</v>
      </c>
      <c r="N1597" s="1">
        <f t="shared" si="100"/>
        <v>0</v>
      </c>
      <c r="O1597" s="1"/>
    </row>
    <row r="1598" spans="1:15" x14ac:dyDescent="0.25">
      <c r="A1598">
        <v>2817</v>
      </c>
      <c r="B1598">
        <v>505.30654679999998</v>
      </c>
      <c r="C1598">
        <v>0</v>
      </c>
      <c r="D1598">
        <v>8167.6236060000001</v>
      </c>
      <c r="E1598">
        <v>0</v>
      </c>
      <c r="F1598">
        <v>56982.41229</v>
      </c>
      <c r="G1598">
        <v>0</v>
      </c>
      <c r="H1598">
        <v>2817</v>
      </c>
      <c r="I1598" t="str">
        <f t="shared" si="97"/>
        <v>YES</v>
      </c>
      <c r="J1598" t="s">
        <v>1604</v>
      </c>
      <c r="K1598">
        <v>996874.21321800002</v>
      </c>
      <c r="L1598" s="1">
        <f t="shared" si="98"/>
        <v>0</v>
      </c>
      <c r="M1598" s="1">
        <f t="shared" si="99"/>
        <v>0</v>
      </c>
      <c r="N1598" s="1">
        <f t="shared" si="100"/>
        <v>0</v>
      </c>
      <c r="O1598" s="1"/>
    </row>
    <row r="1599" spans="1:15" x14ac:dyDescent="0.25">
      <c r="A1599">
        <v>2818</v>
      </c>
      <c r="B1599">
        <v>1243.8161459999999</v>
      </c>
      <c r="C1599">
        <v>0</v>
      </c>
      <c r="D1599">
        <v>8167.6236060000001</v>
      </c>
      <c r="E1599">
        <v>0</v>
      </c>
      <c r="F1599">
        <v>50352.671569999999</v>
      </c>
      <c r="G1599">
        <v>0</v>
      </c>
      <c r="H1599">
        <v>2818</v>
      </c>
      <c r="I1599" t="str">
        <f t="shared" si="97"/>
        <v>YES</v>
      </c>
      <c r="J1599" t="s">
        <v>1605</v>
      </c>
      <c r="K1599">
        <v>2064370.23242</v>
      </c>
      <c r="L1599" s="1">
        <f t="shared" si="98"/>
        <v>0</v>
      </c>
      <c r="M1599" s="1">
        <f t="shared" si="99"/>
        <v>0</v>
      </c>
      <c r="N1599" s="1">
        <f t="shared" si="100"/>
        <v>0</v>
      </c>
      <c r="O1599" s="1"/>
    </row>
    <row r="1600" spans="1:15" x14ac:dyDescent="0.25">
      <c r="A1600">
        <v>2819</v>
      </c>
      <c r="B1600">
        <v>2614.318252</v>
      </c>
      <c r="C1600">
        <v>0</v>
      </c>
      <c r="D1600">
        <v>21603.86997</v>
      </c>
      <c r="E1600">
        <v>0</v>
      </c>
      <c r="F1600">
        <v>89018.745360000001</v>
      </c>
      <c r="G1600">
        <v>0</v>
      </c>
      <c r="H1600">
        <v>2819</v>
      </c>
      <c r="I1600" t="str">
        <f t="shared" si="97"/>
        <v>YES</v>
      </c>
      <c r="J1600" t="s">
        <v>1606</v>
      </c>
      <c r="K1600">
        <v>2732749.25306</v>
      </c>
      <c r="L1600" s="1">
        <f t="shared" si="98"/>
        <v>0</v>
      </c>
      <c r="M1600" s="1">
        <f t="shared" si="99"/>
        <v>0</v>
      </c>
      <c r="N1600" s="1">
        <f t="shared" si="100"/>
        <v>0</v>
      </c>
      <c r="O1600" s="1"/>
    </row>
    <row r="1601" spans="1:15" x14ac:dyDescent="0.25">
      <c r="A1601">
        <v>2822</v>
      </c>
      <c r="B1601">
        <v>99.589041510000001</v>
      </c>
      <c r="C1601">
        <v>0</v>
      </c>
      <c r="D1601">
        <v>324.10587909999998</v>
      </c>
      <c r="E1601">
        <v>0</v>
      </c>
      <c r="F1601">
        <v>324.10587909999998</v>
      </c>
      <c r="G1601">
        <v>0</v>
      </c>
      <c r="H1601">
        <v>2822</v>
      </c>
      <c r="I1601" t="str">
        <f t="shared" si="97"/>
        <v>YES</v>
      </c>
      <c r="J1601" t="s">
        <v>1607</v>
      </c>
      <c r="K1601">
        <v>6272296.05535</v>
      </c>
      <c r="L1601" s="1">
        <f t="shared" si="98"/>
        <v>0</v>
      </c>
      <c r="M1601" s="1">
        <f t="shared" si="99"/>
        <v>0</v>
      </c>
      <c r="N1601" s="1">
        <f t="shared" si="100"/>
        <v>0</v>
      </c>
      <c r="O1601" s="1"/>
    </row>
    <row r="1602" spans="1:15" x14ac:dyDescent="0.25">
      <c r="A1602">
        <v>2823</v>
      </c>
      <c r="B1602">
        <v>5771.519961</v>
      </c>
      <c r="C1602">
        <v>0</v>
      </c>
      <c r="D1602">
        <v>28456.847539999999</v>
      </c>
      <c r="E1602">
        <v>0</v>
      </c>
      <c r="F1602">
        <v>117527.1189</v>
      </c>
      <c r="G1602">
        <v>0</v>
      </c>
      <c r="H1602">
        <v>2823</v>
      </c>
      <c r="I1602" t="str">
        <f t="shared" ref="I1602:I1665" si="101">IF(A1602=H1602,"YES","NO")</f>
        <v>YES</v>
      </c>
      <c r="J1602" t="s">
        <v>1608</v>
      </c>
      <c r="K1602">
        <v>1710529.40341</v>
      </c>
      <c r="L1602" s="1">
        <f t="shared" si="98"/>
        <v>0</v>
      </c>
      <c r="M1602" s="1">
        <f t="shared" si="99"/>
        <v>0</v>
      </c>
      <c r="N1602" s="1">
        <f t="shared" si="100"/>
        <v>0</v>
      </c>
      <c r="O1602" s="1"/>
    </row>
    <row r="1603" spans="1:15" x14ac:dyDescent="0.25">
      <c r="A1603">
        <v>2824</v>
      </c>
      <c r="B1603">
        <v>4042.7800069999998</v>
      </c>
      <c r="C1603">
        <v>0</v>
      </c>
      <c r="D1603">
        <v>20492.630359999999</v>
      </c>
      <c r="E1603">
        <v>0</v>
      </c>
      <c r="F1603">
        <v>85456.073569999993</v>
      </c>
      <c r="G1603">
        <v>0</v>
      </c>
      <c r="H1603">
        <v>2824</v>
      </c>
      <c r="I1603" t="str">
        <f t="shared" si="101"/>
        <v>YES</v>
      </c>
      <c r="J1603" t="s">
        <v>1609</v>
      </c>
      <c r="K1603">
        <v>1404422.82748</v>
      </c>
      <c r="L1603" s="1">
        <f t="shared" ref="L1603:L1666" si="102">$U$2*$K1603*C1603</f>
        <v>0</v>
      </c>
      <c r="M1603" s="1">
        <f t="shared" ref="M1603:M1666" si="103">$U$3*$K1603*E1603</f>
        <v>0</v>
      </c>
      <c r="N1603" s="1">
        <f t="shared" ref="N1603:N1666" si="104">$U$4*$K1603*G1603</f>
        <v>0</v>
      </c>
      <c r="O1603" s="1"/>
    </row>
    <row r="1604" spans="1:15" x14ac:dyDescent="0.25">
      <c r="A1604">
        <v>2825</v>
      </c>
      <c r="B1604">
        <v>161.85819720000001</v>
      </c>
      <c r="C1604">
        <v>0</v>
      </c>
      <c r="D1604">
        <v>1359.0623230000001</v>
      </c>
      <c r="E1604">
        <v>0</v>
      </c>
      <c r="F1604">
        <v>12122.4437</v>
      </c>
      <c r="G1604">
        <v>0</v>
      </c>
      <c r="H1604">
        <v>2825</v>
      </c>
      <c r="I1604" t="str">
        <f t="shared" si="101"/>
        <v>YES</v>
      </c>
      <c r="J1604" t="s">
        <v>1610</v>
      </c>
      <c r="K1604">
        <v>2601701.5780400001</v>
      </c>
      <c r="L1604" s="1">
        <f t="shared" si="102"/>
        <v>0</v>
      </c>
      <c r="M1604" s="1">
        <f t="shared" si="103"/>
        <v>0</v>
      </c>
      <c r="N1604" s="1">
        <f t="shared" si="104"/>
        <v>0</v>
      </c>
      <c r="O1604" s="1"/>
    </row>
    <row r="1605" spans="1:15" x14ac:dyDescent="0.25">
      <c r="A1605">
        <v>2826</v>
      </c>
      <c r="B1605">
        <v>2040.935457</v>
      </c>
      <c r="C1605">
        <v>0</v>
      </c>
      <c r="D1605">
        <v>27173.71269</v>
      </c>
      <c r="E1605">
        <v>0</v>
      </c>
      <c r="F1605">
        <v>100145.7999</v>
      </c>
      <c r="G1605">
        <v>0</v>
      </c>
      <c r="H1605">
        <v>2826</v>
      </c>
      <c r="I1605" t="str">
        <f t="shared" si="101"/>
        <v>YES</v>
      </c>
      <c r="J1605" t="s">
        <v>1611</v>
      </c>
      <c r="K1605">
        <v>2969880.06213</v>
      </c>
      <c r="L1605" s="1">
        <f t="shared" si="102"/>
        <v>0</v>
      </c>
      <c r="M1605" s="1">
        <f t="shared" si="103"/>
        <v>0</v>
      </c>
      <c r="N1605" s="1">
        <f t="shared" si="104"/>
        <v>0</v>
      </c>
      <c r="O1605" s="1"/>
    </row>
    <row r="1606" spans="1:15" x14ac:dyDescent="0.25">
      <c r="A1606">
        <v>2827</v>
      </c>
      <c r="B1606">
        <v>4673.1157439999997</v>
      </c>
      <c r="C1606">
        <v>0</v>
      </c>
      <c r="D1606">
        <v>16989.997899999998</v>
      </c>
      <c r="E1606">
        <v>0</v>
      </c>
      <c r="F1606">
        <v>99617.517860000007</v>
      </c>
      <c r="G1606">
        <v>0</v>
      </c>
      <c r="H1606">
        <v>2827</v>
      </c>
      <c r="I1606" t="str">
        <f t="shared" si="101"/>
        <v>YES</v>
      </c>
      <c r="J1606" t="s">
        <v>1612</v>
      </c>
      <c r="K1606">
        <v>1045601.60956</v>
      </c>
      <c r="L1606" s="1">
        <f t="shared" si="102"/>
        <v>0</v>
      </c>
      <c r="M1606" s="1">
        <f t="shared" si="103"/>
        <v>0</v>
      </c>
      <c r="N1606" s="1">
        <f t="shared" si="104"/>
        <v>0</v>
      </c>
      <c r="O1606" s="1"/>
    </row>
    <row r="1607" spans="1:15" x14ac:dyDescent="0.25">
      <c r="A1607">
        <v>2828</v>
      </c>
      <c r="B1607">
        <v>4042.7800069999998</v>
      </c>
      <c r="C1607">
        <v>0</v>
      </c>
      <c r="D1607">
        <v>22434.06437</v>
      </c>
      <c r="E1607">
        <v>0</v>
      </c>
      <c r="F1607">
        <v>103195.54059999999</v>
      </c>
      <c r="G1607">
        <v>0</v>
      </c>
      <c r="H1607">
        <v>2828</v>
      </c>
      <c r="I1607" t="str">
        <f t="shared" si="101"/>
        <v>YES</v>
      </c>
      <c r="J1607" t="s">
        <v>1613</v>
      </c>
      <c r="K1607">
        <v>1681437.1047400001</v>
      </c>
      <c r="L1607" s="1">
        <f t="shared" si="102"/>
        <v>0</v>
      </c>
      <c r="M1607" s="1">
        <f t="shared" si="103"/>
        <v>0</v>
      </c>
      <c r="N1607" s="1">
        <f t="shared" si="104"/>
        <v>0</v>
      </c>
      <c r="O1607" s="1"/>
    </row>
    <row r="1608" spans="1:15" x14ac:dyDescent="0.25">
      <c r="A1608">
        <v>2829</v>
      </c>
      <c r="B1608">
        <v>163.40757769999999</v>
      </c>
      <c r="C1608">
        <v>0</v>
      </c>
      <c r="D1608">
        <v>163.40757769999999</v>
      </c>
      <c r="E1608">
        <v>0</v>
      </c>
      <c r="F1608">
        <v>2082.4584650000002</v>
      </c>
      <c r="G1608">
        <v>0</v>
      </c>
      <c r="H1608">
        <v>2829</v>
      </c>
      <c r="I1608" t="str">
        <f t="shared" si="101"/>
        <v>YES</v>
      </c>
      <c r="J1608" t="s">
        <v>1614</v>
      </c>
      <c r="K1608">
        <v>6455973.6530600004</v>
      </c>
      <c r="L1608" s="1">
        <f t="shared" si="102"/>
        <v>0</v>
      </c>
      <c r="M1608" s="1">
        <f t="shared" si="103"/>
        <v>0</v>
      </c>
      <c r="N1608" s="1">
        <f t="shared" si="104"/>
        <v>0</v>
      </c>
      <c r="O1608" s="1"/>
    </row>
    <row r="1609" spans="1:15" x14ac:dyDescent="0.25">
      <c r="A1609">
        <v>2830</v>
      </c>
      <c r="B1609">
        <v>1571.947975</v>
      </c>
      <c r="C1609">
        <v>0</v>
      </c>
      <c r="D1609">
        <v>4016.8590129999998</v>
      </c>
      <c r="E1609">
        <v>0</v>
      </c>
      <c r="F1609">
        <v>16107.839040000001</v>
      </c>
      <c r="G1609">
        <v>0</v>
      </c>
      <c r="H1609">
        <v>2830</v>
      </c>
      <c r="I1609" t="str">
        <f t="shared" si="101"/>
        <v>YES</v>
      </c>
      <c r="J1609" t="s">
        <v>1615</v>
      </c>
      <c r="K1609">
        <v>3329671.1835500002</v>
      </c>
      <c r="L1609" s="1">
        <f t="shared" si="102"/>
        <v>0</v>
      </c>
      <c r="M1609" s="1">
        <f t="shared" si="103"/>
        <v>0</v>
      </c>
      <c r="N1609" s="1">
        <f t="shared" si="104"/>
        <v>0</v>
      </c>
      <c r="O1609" s="1"/>
    </row>
    <row r="1610" spans="1:15" x14ac:dyDescent="0.25">
      <c r="A1610">
        <v>2831</v>
      </c>
      <c r="B1610">
        <v>1757.1926900000001</v>
      </c>
      <c r="C1610">
        <v>0</v>
      </c>
      <c r="D1610">
        <v>1757.1926900000001</v>
      </c>
      <c r="E1610">
        <v>0</v>
      </c>
      <c r="F1610">
        <v>2519.8609540000002</v>
      </c>
      <c r="G1610">
        <v>0</v>
      </c>
      <c r="H1610">
        <v>2831</v>
      </c>
      <c r="I1610" t="str">
        <f t="shared" si="101"/>
        <v>YES</v>
      </c>
      <c r="J1610" t="s">
        <v>1616</v>
      </c>
      <c r="K1610">
        <v>5876134.3664100002</v>
      </c>
      <c r="L1610" s="1">
        <f t="shared" si="102"/>
        <v>0</v>
      </c>
      <c r="M1610" s="1">
        <f t="shared" si="103"/>
        <v>0</v>
      </c>
      <c r="N1610" s="1">
        <f t="shared" si="104"/>
        <v>0</v>
      </c>
      <c r="O1610" s="1"/>
    </row>
    <row r="1611" spans="1:15" x14ac:dyDescent="0.25">
      <c r="A1611">
        <v>2834</v>
      </c>
      <c r="B1611">
        <v>2007.9687349999999</v>
      </c>
      <c r="C1611">
        <v>0</v>
      </c>
      <c r="D1611">
        <v>17407.235789999999</v>
      </c>
      <c r="E1611">
        <v>0</v>
      </c>
      <c r="F1611">
        <v>56234.699460000003</v>
      </c>
      <c r="G1611">
        <v>0</v>
      </c>
      <c r="H1611">
        <v>2834</v>
      </c>
      <c r="I1611" t="str">
        <f t="shared" si="101"/>
        <v>YES</v>
      </c>
      <c r="J1611" t="s">
        <v>1617</v>
      </c>
      <c r="K1611">
        <v>1032417.51433</v>
      </c>
      <c r="L1611" s="1">
        <f t="shared" si="102"/>
        <v>0</v>
      </c>
      <c r="M1611" s="1">
        <f t="shared" si="103"/>
        <v>0</v>
      </c>
      <c r="N1611" s="1">
        <f t="shared" si="104"/>
        <v>0</v>
      </c>
      <c r="O1611" s="1"/>
    </row>
    <row r="1612" spans="1:15" x14ac:dyDescent="0.25">
      <c r="A1612">
        <v>2835</v>
      </c>
      <c r="B1612">
        <v>954.43470249999996</v>
      </c>
      <c r="C1612">
        <v>0</v>
      </c>
      <c r="D1612">
        <v>23100.058669999999</v>
      </c>
      <c r="E1612">
        <v>0</v>
      </c>
      <c r="F1612">
        <v>153529.22630000001</v>
      </c>
      <c r="G1612">
        <v>0</v>
      </c>
      <c r="H1612">
        <v>2835</v>
      </c>
      <c r="I1612" t="str">
        <f t="shared" si="101"/>
        <v>YES</v>
      </c>
      <c r="J1612" t="s">
        <v>1618</v>
      </c>
      <c r="K1612">
        <v>1518251.6077399999</v>
      </c>
      <c r="L1612" s="1">
        <f t="shared" si="102"/>
        <v>0</v>
      </c>
      <c r="M1612" s="1">
        <f t="shared" si="103"/>
        <v>0</v>
      </c>
      <c r="N1612" s="1">
        <f t="shared" si="104"/>
        <v>0</v>
      </c>
      <c r="O1612" s="1"/>
    </row>
    <row r="1613" spans="1:15" x14ac:dyDescent="0.25">
      <c r="A1613">
        <v>2836</v>
      </c>
      <c r="B1613">
        <v>1503.698731</v>
      </c>
      <c r="C1613">
        <v>0</v>
      </c>
      <c r="D1613">
        <v>17429.04305</v>
      </c>
      <c r="E1613">
        <v>0</v>
      </c>
      <c r="F1613">
        <v>55368.948620000003</v>
      </c>
      <c r="G1613">
        <v>0</v>
      </c>
      <c r="H1613">
        <v>2836</v>
      </c>
      <c r="I1613" t="str">
        <f t="shared" si="101"/>
        <v>YES</v>
      </c>
      <c r="J1613" t="s">
        <v>1619</v>
      </c>
      <c r="K1613">
        <v>992349.10520999995</v>
      </c>
      <c r="L1613" s="1">
        <f t="shared" si="102"/>
        <v>0</v>
      </c>
      <c r="M1613" s="1">
        <f t="shared" si="103"/>
        <v>0</v>
      </c>
      <c r="N1613" s="1">
        <f t="shared" si="104"/>
        <v>0</v>
      </c>
      <c r="O1613" s="1"/>
    </row>
    <row r="1614" spans="1:15" x14ac:dyDescent="0.25">
      <c r="A1614">
        <v>2837</v>
      </c>
      <c r="B1614">
        <v>701.04009350000001</v>
      </c>
      <c r="C1614">
        <v>0</v>
      </c>
      <c r="D1614">
        <v>6886.4266079999998</v>
      </c>
      <c r="E1614">
        <v>0</v>
      </c>
      <c r="F1614">
        <v>52380.451730000001</v>
      </c>
      <c r="G1614">
        <v>0</v>
      </c>
      <c r="H1614">
        <v>2837</v>
      </c>
      <c r="I1614" t="str">
        <f t="shared" si="101"/>
        <v>YES</v>
      </c>
      <c r="J1614" t="s">
        <v>1620</v>
      </c>
      <c r="K1614">
        <v>1448998.65124</v>
      </c>
      <c r="L1614" s="1">
        <f t="shared" si="102"/>
        <v>0</v>
      </c>
      <c r="M1614" s="1">
        <f t="shared" si="103"/>
        <v>0</v>
      </c>
      <c r="N1614" s="1">
        <f t="shared" si="104"/>
        <v>0</v>
      </c>
      <c r="O1614" s="1"/>
    </row>
    <row r="1615" spans="1:15" x14ac:dyDescent="0.25">
      <c r="A1615">
        <v>2838</v>
      </c>
      <c r="B1615">
        <v>7651.9838339999997</v>
      </c>
      <c r="C1615">
        <v>0</v>
      </c>
      <c r="D1615">
        <v>26133.8177</v>
      </c>
      <c r="E1615">
        <v>0</v>
      </c>
      <c r="F1615">
        <v>65791.762959999993</v>
      </c>
      <c r="G1615">
        <v>0</v>
      </c>
      <c r="H1615">
        <v>2838</v>
      </c>
      <c r="I1615" t="str">
        <f t="shared" si="101"/>
        <v>YES</v>
      </c>
      <c r="J1615" t="s">
        <v>1621</v>
      </c>
      <c r="K1615">
        <v>888822.38136600005</v>
      </c>
      <c r="L1615" s="1">
        <f t="shared" si="102"/>
        <v>0</v>
      </c>
      <c r="M1615" s="1">
        <f t="shared" si="103"/>
        <v>0</v>
      </c>
      <c r="N1615" s="1">
        <f t="shared" si="104"/>
        <v>0</v>
      </c>
      <c r="O1615" s="1"/>
    </row>
    <row r="1616" spans="1:15" x14ac:dyDescent="0.25">
      <c r="A1616">
        <v>2839</v>
      </c>
      <c r="B1616">
        <v>9165.2089539999997</v>
      </c>
      <c r="C1616">
        <v>0</v>
      </c>
      <c r="D1616">
        <v>48986.614090000003</v>
      </c>
      <c r="E1616">
        <v>0</v>
      </c>
      <c r="F1616">
        <v>351392.68160000001</v>
      </c>
      <c r="G1616">
        <v>0</v>
      </c>
      <c r="H1616">
        <v>2839</v>
      </c>
      <c r="I1616" t="str">
        <f t="shared" si="101"/>
        <v>YES</v>
      </c>
      <c r="J1616" t="s">
        <v>1622</v>
      </c>
      <c r="K1616">
        <v>1433386.0088599999</v>
      </c>
      <c r="L1616" s="1">
        <f t="shared" si="102"/>
        <v>0</v>
      </c>
      <c r="M1616" s="1">
        <f t="shared" si="103"/>
        <v>0</v>
      </c>
      <c r="N1616" s="1">
        <f t="shared" si="104"/>
        <v>0</v>
      </c>
      <c r="O1616" s="1"/>
    </row>
    <row r="1617" spans="1:15" x14ac:dyDescent="0.25">
      <c r="A1617">
        <v>2840</v>
      </c>
      <c r="B1617">
        <v>12206.37686</v>
      </c>
      <c r="C1617">
        <v>0</v>
      </c>
      <c r="D1617">
        <v>81882.414000000004</v>
      </c>
      <c r="E1617">
        <v>0</v>
      </c>
      <c r="F1617">
        <v>703417.31180000002</v>
      </c>
      <c r="G1617">
        <v>0</v>
      </c>
      <c r="H1617">
        <v>2840</v>
      </c>
      <c r="I1617" t="str">
        <f t="shared" si="101"/>
        <v>YES</v>
      </c>
      <c r="J1617" t="s">
        <v>1623</v>
      </c>
      <c r="K1617">
        <v>868197.45622699999</v>
      </c>
      <c r="L1617" s="1">
        <f t="shared" si="102"/>
        <v>0</v>
      </c>
      <c r="M1617" s="1">
        <f t="shared" si="103"/>
        <v>0</v>
      </c>
      <c r="N1617" s="1">
        <f t="shared" si="104"/>
        <v>0</v>
      </c>
      <c r="O1617" s="1"/>
    </row>
    <row r="1618" spans="1:15" x14ac:dyDescent="0.25">
      <c r="A1618">
        <v>2841</v>
      </c>
      <c r="B1618">
        <v>15592.421759999999</v>
      </c>
      <c r="C1618">
        <v>0</v>
      </c>
      <c r="D1618">
        <v>33740.103969999996</v>
      </c>
      <c r="E1618">
        <v>0</v>
      </c>
      <c r="F1618">
        <v>73124.523350000003</v>
      </c>
      <c r="G1618">
        <v>0</v>
      </c>
      <c r="H1618">
        <v>2841</v>
      </c>
      <c r="I1618" t="str">
        <f t="shared" si="101"/>
        <v>YES</v>
      </c>
      <c r="J1618" t="s">
        <v>1624</v>
      </c>
      <c r="K1618">
        <v>708396.195802</v>
      </c>
      <c r="L1618" s="1">
        <f t="shared" si="102"/>
        <v>0</v>
      </c>
      <c r="M1618" s="1">
        <f t="shared" si="103"/>
        <v>0</v>
      </c>
      <c r="N1618" s="1">
        <f t="shared" si="104"/>
        <v>0</v>
      </c>
      <c r="O1618" s="1"/>
    </row>
    <row r="1619" spans="1:15" x14ac:dyDescent="0.25">
      <c r="A1619">
        <v>2844</v>
      </c>
      <c r="B1619">
        <v>24.708049020000001</v>
      </c>
      <c r="C1619">
        <v>0</v>
      </c>
      <c r="D1619">
        <v>24.708049020000001</v>
      </c>
      <c r="E1619">
        <v>0</v>
      </c>
      <c r="F1619">
        <v>24.708049020000001</v>
      </c>
      <c r="G1619">
        <v>0</v>
      </c>
      <c r="H1619">
        <v>2844</v>
      </c>
      <c r="I1619" t="str">
        <f t="shared" si="101"/>
        <v>YES</v>
      </c>
      <c r="J1619" t="s">
        <v>1625</v>
      </c>
      <c r="K1619">
        <v>46188356.3706</v>
      </c>
      <c r="L1619" s="1">
        <f t="shared" si="102"/>
        <v>0</v>
      </c>
      <c r="M1619" s="1">
        <f t="shared" si="103"/>
        <v>0</v>
      </c>
      <c r="N1619" s="1">
        <f t="shared" si="104"/>
        <v>0</v>
      </c>
      <c r="O1619" s="1"/>
    </row>
    <row r="1620" spans="1:15" x14ac:dyDescent="0.25">
      <c r="A1620">
        <v>2845</v>
      </c>
      <c r="B1620">
        <v>76.381648769999998</v>
      </c>
      <c r="C1620">
        <v>0</v>
      </c>
      <c r="D1620">
        <v>76.381648769999998</v>
      </c>
      <c r="E1620">
        <v>0</v>
      </c>
      <c r="F1620">
        <v>76.381648769999998</v>
      </c>
      <c r="G1620">
        <v>0</v>
      </c>
      <c r="H1620">
        <v>2845</v>
      </c>
      <c r="I1620" t="str">
        <f t="shared" si="101"/>
        <v>YES</v>
      </c>
      <c r="J1620" t="s">
        <v>1626</v>
      </c>
      <c r="K1620">
        <v>92912115.543500006</v>
      </c>
      <c r="L1620" s="1">
        <f t="shared" si="102"/>
        <v>0</v>
      </c>
      <c r="M1620" s="1">
        <f t="shared" si="103"/>
        <v>0</v>
      </c>
      <c r="N1620" s="1">
        <f t="shared" si="104"/>
        <v>0</v>
      </c>
      <c r="O1620" s="1"/>
    </row>
    <row r="1621" spans="1:15" x14ac:dyDescent="0.25">
      <c r="A1621">
        <v>2848</v>
      </c>
      <c r="B1621">
        <v>9500.2345010000008</v>
      </c>
      <c r="C1621">
        <v>0</v>
      </c>
      <c r="D1621">
        <v>28265.282930000001</v>
      </c>
      <c r="E1621">
        <v>0</v>
      </c>
      <c r="F1621">
        <v>68248.351370000004</v>
      </c>
      <c r="G1621">
        <v>0</v>
      </c>
      <c r="H1621">
        <v>2848</v>
      </c>
      <c r="I1621" t="str">
        <f t="shared" si="101"/>
        <v>YES</v>
      </c>
      <c r="J1621" t="s">
        <v>1627</v>
      </c>
      <c r="K1621">
        <v>638514.01322700002</v>
      </c>
      <c r="L1621" s="1">
        <f t="shared" si="102"/>
        <v>0</v>
      </c>
      <c r="M1621" s="1">
        <f t="shared" si="103"/>
        <v>0</v>
      </c>
      <c r="N1621" s="1">
        <f t="shared" si="104"/>
        <v>0</v>
      </c>
      <c r="O1621" s="1"/>
    </row>
    <row r="1622" spans="1:15" x14ac:dyDescent="0.25">
      <c r="A1622">
        <v>2849</v>
      </c>
      <c r="B1622">
        <v>12022.320669999999</v>
      </c>
      <c r="C1622">
        <v>0</v>
      </c>
      <c r="D1622">
        <v>43449.06048</v>
      </c>
      <c r="E1622">
        <v>0</v>
      </c>
      <c r="F1622">
        <v>128198.9026</v>
      </c>
      <c r="G1622">
        <v>0</v>
      </c>
      <c r="H1622">
        <v>2849</v>
      </c>
      <c r="I1622" t="str">
        <f t="shared" si="101"/>
        <v>YES</v>
      </c>
      <c r="J1622" t="s">
        <v>1628</v>
      </c>
      <c r="K1622">
        <v>612641.80145799997</v>
      </c>
      <c r="L1622" s="1">
        <f t="shared" si="102"/>
        <v>0</v>
      </c>
      <c r="M1622" s="1">
        <f t="shared" si="103"/>
        <v>0</v>
      </c>
      <c r="N1622" s="1">
        <f t="shared" si="104"/>
        <v>0</v>
      </c>
      <c r="O1622" s="1"/>
    </row>
    <row r="1623" spans="1:15" x14ac:dyDescent="0.25">
      <c r="A1623">
        <v>2850</v>
      </c>
      <c r="B1623">
        <v>4473.1200490000001</v>
      </c>
      <c r="C1623">
        <v>0</v>
      </c>
      <c r="D1623">
        <v>30730.605469999999</v>
      </c>
      <c r="E1623">
        <v>0</v>
      </c>
      <c r="F1623">
        <v>102195.1822</v>
      </c>
      <c r="G1623">
        <v>0</v>
      </c>
      <c r="H1623">
        <v>2850</v>
      </c>
      <c r="I1623" t="str">
        <f t="shared" si="101"/>
        <v>YES</v>
      </c>
      <c r="J1623" t="s">
        <v>1629</v>
      </c>
      <c r="K1623">
        <v>2237598.5593300001</v>
      </c>
      <c r="L1623" s="1">
        <f t="shared" si="102"/>
        <v>0</v>
      </c>
      <c r="M1623" s="1">
        <f t="shared" si="103"/>
        <v>0</v>
      </c>
      <c r="N1623" s="1">
        <f t="shared" si="104"/>
        <v>0</v>
      </c>
      <c r="O1623" s="1"/>
    </row>
    <row r="1624" spans="1:15" x14ac:dyDescent="0.25">
      <c r="A1624">
        <v>2851</v>
      </c>
      <c r="B1624">
        <v>20301.007409999998</v>
      </c>
      <c r="C1624">
        <v>0</v>
      </c>
      <c r="D1624">
        <v>46043.1181</v>
      </c>
      <c r="E1624">
        <v>0</v>
      </c>
      <c r="F1624">
        <v>100438.0904</v>
      </c>
      <c r="G1624">
        <v>0</v>
      </c>
      <c r="H1624">
        <v>2851</v>
      </c>
      <c r="I1624" t="str">
        <f t="shared" si="101"/>
        <v>YES</v>
      </c>
      <c r="J1624" t="s">
        <v>1630</v>
      </c>
      <c r="K1624">
        <v>904566.43442499998</v>
      </c>
      <c r="L1624" s="1">
        <f t="shared" si="102"/>
        <v>0</v>
      </c>
      <c r="M1624" s="1">
        <f t="shared" si="103"/>
        <v>0</v>
      </c>
      <c r="N1624" s="1">
        <f t="shared" si="104"/>
        <v>0</v>
      </c>
      <c r="O1624" s="1"/>
    </row>
    <row r="1625" spans="1:15" x14ac:dyDescent="0.25">
      <c r="A1625">
        <v>2852</v>
      </c>
      <c r="B1625">
        <v>19392.47208</v>
      </c>
      <c r="C1625">
        <v>0</v>
      </c>
      <c r="D1625">
        <v>73758.461169999995</v>
      </c>
      <c r="E1625">
        <v>0</v>
      </c>
      <c r="F1625">
        <v>580354.11259999999</v>
      </c>
      <c r="G1625">
        <v>0</v>
      </c>
      <c r="H1625">
        <v>2852</v>
      </c>
      <c r="I1625" t="str">
        <f t="shared" si="101"/>
        <v>YES</v>
      </c>
      <c r="J1625" t="s">
        <v>1631</v>
      </c>
      <c r="K1625">
        <v>426821.90922999999</v>
      </c>
      <c r="L1625" s="1">
        <f t="shared" si="102"/>
        <v>0</v>
      </c>
      <c r="M1625" s="1">
        <f t="shared" si="103"/>
        <v>0</v>
      </c>
      <c r="N1625" s="1">
        <f t="shared" si="104"/>
        <v>0</v>
      </c>
      <c r="O1625" s="1"/>
    </row>
    <row r="1626" spans="1:15" x14ac:dyDescent="0.25">
      <c r="A1626">
        <v>2853</v>
      </c>
      <c r="B1626">
        <v>6507.5959309999998</v>
      </c>
      <c r="C1626">
        <v>0</v>
      </c>
      <c r="D1626">
        <v>35785.375679999997</v>
      </c>
      <c r="E1626">
        <v>0</v>
      </c>
      <c r="F1626">
        <v>95806.14645</v>
      </c>
      <c r="G1626">
        <v>0</v>
      </c>
      <c r="H1626">
        <v>2853</v>
      </c>
      <c r="I1626" t="str">
        <f t="shared" si="101"/>
        <v>YES</v>
      </c>
      <c r="J1626" t="s">
        <v>1632</v>
      </c>
      <c r="K1626">
        <v>464208.30621200002</v>
      </c>
      <c r="L1626" s="1">
        <f t="shared" si="102"/>
        <v>0</v>
      </c>
      <c r="M1626" s="1">
        <f t="shared" si="103"/>
        <v>0</v>
      </c>
      <c r="N1626" s="1">
        <f t="shared" si="104"/>
        <v>0</v>
      </c>
      <c r="O1626" s="1"/>
    </row>
    <row r="1627" spans="1:15" x14ac:dyDescent="0.25">
      <c r="A1627">
        <v>2854</v>
      </c>
      <c r="B1627">
        <v>27295.989030000001</v>
      </c>
      <c r="C1627">
        <v>0</v>
      </c>
      <c r="D1627">
        <v>68283.538719999997</v>
      </c>
      <c r="E1627">
        <v>0</v>
      </c>
      <c r="F1627">
        <v>337141.91529999999</v>
      </c>
      <c r="G1627">
        <v>0</v>
      </c>
      <c r="H1627">
        <v>2854</v>
      </c>
      <c r="I1627" t="str">
        <f t="shared" si="101"/>
        <v>YES</v>
      </c>
      <c r="J1627" t="s">
        <v>1633</v>
      </c>
      <c r="K1627">
        <v>604907.49356099998</v>
      </c>
      <c r="L1627" s="1">
        <f t="shared" si="102"/>
        <v>0</v>
      </c>
      <c r="M1627" s="1">
        <f t="shared" si="103"/>
        <v>0</v>
      </c>
      <c r="N1627" s="1">
        <f t="shared" si="104"/>
        <v>0</v>
      </c>
      <c r="O1627" s="1"/>
    </row>
    <row r="1628" spans="1:15" x14ac:dyDescent="0.25">
      <c r="A1628">
        <v>2855</v>
      </c>
      <c r="B1628">
        <v>4755.1441320000004</v>
      </c>
      <c r="C1628">
        <v>0</v>
      </c>
      <c r="D1628">
        <v>43021.265520000001</v>
      </c>
      <c r="E1628">
        <v>0</v>
      </c>
      <c r="F1628">
        <v>134312.37109999999</v>
      </c>
      <c r="G1628">
        <v>0</v>
      </c>
      <c r="H1628">
        <v>2855</v>
      </c>
      <c r="I1628" t="str">
        <f t="shared" si="101"/>
        <v>YES</v>
      </c>
      <c r="J1628" t="s">
        <v>1634</v>
      </c>
      <c r="K1628">
        <v>485790.24817400001</v>
      </c>
      <c r="L1628" s="1">
        <f t="shared" si="102"/>
        <v>0</v>
      </c>
      <c r="M1628" s="1">
        <f t="shared" si="103"/>
        <v>0</v>
      </c>
      <c r="N1628" s="1">
        <f t="shared" si="104"/>
        <v>0</v>
      </c>
      <c r="O1628" s="1"/>
    </row>
    <row r="1629" spans="1:15" x14ac:dyDescent="0.25">
      <c r="A1629">
        <v>2856</v>
      </c>
      <c r="B1629">
        <v>3194.1801099999998</v>
      </c>
      <c r="C1629">
        <v>0</v>
      </c>
      <c r="D1629">
        <v>29917.57747</v>
      </c>
      <c r="E1629">
        <v>0</v>
      </c>
      <c r="F1629">
        <v>84140.480859999996</v>
      </c>
      <c r="G1629">
        <v>0</v>
      </c>
      <c r="H1629">
        <v>2856</v>
      </c>
      <c r="I1629" t="str">
        <f t="shared" si="101"/>
        <v>YES</v>
      </c>
      <c r="J1629" t="s">
        <v>1635</v>
      </c>
      <c r="K1629">
        <v>568642.54857500002</v>
      </c>
      <c r="L1629" s="1">
        <f t="shared" si="102"/>
        <v>0</v>
      </c>
      <c r="M1629" s="1">
        <f t="shared" si="103"/>
        <v>0</v>
      </c>
      <c r="N1629" s="1">
        <f t="shared" si="104"/>
        <v>0</v>
      </c>
      <c r="O1629" s="1"/>
    </row>
    <row r="1630" spans="1:15" x14ac:dyDescent="0.25">
      <c r="A1630">
        <v>2857</v>
      </c>
      <c r="B1630">
        <v>23563.373250000001</v>
      </c>
      <c r="C1630">
        <v>0</v>
      </c>
      <c r="D1630">
        <v>63410.920980000003</v>
      </c>
      <c r="E1630">
        <v>0</v>
      </c>
      <c r="F1630">
        <v>253573.22810000001</v>
      </c>
      <c r="G1630">
        <v>0</v>
      </c>
      <c r="H1630">
        <v>2857</v>
      </c>
      <c r="I1630" t="str">
        <f t="shared" si="101"/>
        <v>YES</v>
      </c>
      <c r="J1630" t="s">
        <v>1636</v>
      </c>
      <c r="K1630">
        <v>798169.74258399999</v>
      </c>
      <c r="L1630" s="1">
        <f t="shared" si="102"/>
        <v>0</v>
      </c>
      <c r="M1630" s="1">
        <f t="shared" si="103"/>
        <v>0</v>
      </c>
      <c r="N1630" s="1">
        <f t="shared" si="104"/>
        <v>0</v>
      </c>
      <c r="O1630" s="1"/>
    </row>
    <row r="1631" spans="1:15" x14ac:dyDescent="0.25">
      <c r="A1631">
        <v>2895</v>
      </c>
      <c r="B1631">
        <v>1836.1774559999999</v>
      </c>
      <c r="C1631">
        <v>0</v>
      </c>
      <c r="D1631">
        <v>1836.1774559999999</v>
      </c>
      <c r="E1631">
        <v>0</v>
      </c>
      <c r="F1631">
        <v>3101.8327770000001</v>
      </c>
      <c r="G1631">
        <v>0</v>
      </c>
      <c r="H1631">
        <v>2895</v>
      </c>
      <c r="I1631" t="str">
        <f t="shared" si="101"/>
        <v>YES</v>
      </c>
      <c r="J1631" t="s">
        <v>1637</v>
      </c>
      <c r="K1631">
        <v>10127006.4586</v>
      </c>
      <c r="L1631" s="1">
        <f t="shared" si="102"/>
        <v>0</v>
      </c>
      <c r="M1631" s="1">
        <f t="shared" si="103"/>
        <v>0</v>
      </c>
      <c r="N1631" s="1">
        <f t="shared" si="104"/>
        <v>0</v>
      </c>
      <c r="O1631" s="1"/>
    </row>
    <row r="1632" spans="1:15" x14ac:dyDescent="0.25">
      <c r="A1632">
        <v>2896</v>
      </c>
      <c r="B1632">
        <v>4131.9943409999996</v>
      </c>
      <c r="C1632">
        <v>0</v>
      </c>
      <c r="D1632">
        <v>25906.60241</v>
      </c>
      <c r="E1632">
        <v>0</v>
      </c>
      <c r="F1632">
        <v>69722.517389999994</v>
      </c>
      <c r="G1632">
        <v>0</v>
      </c>
      <c r="H1632">
        <v>2896</v>
      </c>
      <c r="I1632" t="str">
        <f t="shared" si="101"/>
        <v>YES</v>
      </c>
      <c r="J1632" t="s">
        <v>1638</v>
      </c>
      <c r="K1632">
        <v>240177.78823199999</v>
      </c>
      <c r="L1632" s="1">
        <f t="shared" si="102"/>
        <v>0</v>
      </c>
      <c r="M1632" s="1">
        <f t="shared" si="103"/>
        <v>0</v>
      </c>
      <c r="N1632" s="1">
        <f t="shared" si="104"/>
        <v>0</v>
      </c>
      <c r="O1632" s="1"/>
    </row>
    <row r="1633" spans="1:15" x14ac:dyDescent="0.25">
      <c r="A1633">
        <v>2897</v>
      </c>
      <c r="B1633">
        <v>4157.9421560000001</v>
      </c>
      <c r="C1633">
        <v>0</v>
      </c>
      <c r="D1633">
        <v>18919.967430000001</v>
      </c>
      <c r="E1633">
        <v>0</v>
      </c>
      <c r="F1633">
        <v>51154.988279999998</v>
      </c>
      <c r="G1633">
        <v>0</v>
      </c>
      <c r="H1633">
        <v>2897</v>
      </c>
      <c r="I1633" t="str">
        <f t="shared" si="101"/>
        <v>YES</v>
      </c>
      <c r="J1633" t="s">
        <v>1639</v>
      </c>
      <c r="K1633">
        <v>447620.70472099999</v>
      </c>
      <c r="L1633" s="1">
        <f t="shared" si="102"/>
        <v>0</v>
      </c>
      <c r="M1633" s="1">
        <f t="shared" si="103"/>
        <v>0</v>
      </c>
      <c r="N1633" s="1">
        <f t="shared" si="104"/>
        <v>0</v>
      </c>
      <c r="O1633" s="1"/>
    </row>
    <row r="1634" spans="1:15" x14ac:dyDescent="0.25">
      <c r="A1634">
        <v>2898</v>
      </c>
      <c r="B1634">
        <v>4518.4833639999997</v>
      </c>
      <c r="C1634">
        <v>0</v>
      </c>
      <c r="D1634">
        <v>25351.834289999999</v>
      </c>
      <c r="E1634">
        <v>0</v>
      </c>
      <c r="F1634">
        <v>62117.458290000002</v>
      </c>
      <c r="G1634">
        <v>0</v>
      </c>
      <c r="H1634">
        <v>2898</v>
      </c>
      <c r="I1634" t="str">
        <f t="shared" si="101"/>
        <v>YES</v>
      </c>
      <c r="J1634" t="s">
        <v>1640</v>
      </c>
      <c r="K1634">
        <v>227293.989191</v>
      </c>
      <c r="L1634" s="1">
        <f t="shared" si="102"/>
        <v>0</v>
      </c>
      <c r="M1634" s="1">
        <f t="shared" si="103"/>
        <v>0</v>
      </c>
      <c r="N1634" s="1">
        <f t="shared" si="104"/>
        <v>0</v>
      </c>
      <c r="O1634" s="1"/>
    </row>
    <row r="1635" spans="1:15" x14ac:dyDescent="0.25">
      <c r="A1635">
        <v>2899</v>
      </c>
      <c r="B1635">
        <v>13775.424489999999</v>
      </c>
      <c r="C1635">
        <v>0</v>
      </c>
      <c r="D1635">
        <v>43521.421020000002</v>
      </c>
      <c r="E1635">
        <v>0</v>
      </c>
      <c r="F1635">
        <v>76246.938290000006</v>
      </c>
      <c r="G1635">
        <v>0</v>
      </c>
      <c r="H1635">
        <v>2899</v>
      </c>
      <c r="I1635" t="str">
        <f t="shared" si="101"/>
        <v>YES</v>
      </c>
      <c r="J1635" t="s">
        <v>1641</v>
      </c>
      <c r="K1635">
        <v>619537.73807800002</v>
      </c>
      <c r="L1635" s="1">
        <f t="shared" si="102"/>
        <v>0</v>
      </c>
      <c r="M1635" s="1">
        <f t="shared" si="103"/>
        <v>0</v>
      </c>
      <c r="N1635" s="1">
        <f t="shared" si="104"/>
        <v>0</v>
      </c>
      <c r="O1635" s="1"/>
    </row>
    <row r="1636" spans="1:15" x14ac:dyDescent="0.25">
      <c r="A1636">
        <v>2900</v>
      </c>
      <c r="B1636">
        <v>23505.467799999999</v>
      </c>
      <c r="C1636">
        <v>0</v>
      </c>
      <c r="D1636">
        <v>58341.90825</v>
      </c>
      <c r="E1636">
        <v>0</v>
      </c>
      <c r="F1636">
        <v>100125.9716</v>
      </c>
      <c r="G1636">
        <v>0</v>
      </c>
      <c r="H1636">
        <v>2900</v>
      </c>
      <c r="I1636" t="str">
        <f t="shared" si="101"/>
        <v>YES</v>
      </c>
      <c r="J1636" t="s">
        <v>1642</v>
      </c>
      <c r="K1636">
        <v>543424.01268699998</v>
      </c>
      <c r="L1636" s="1">
        <f t="shared" si="102"/>
        <v>0</v>
      </c>
      <c r="M1636" s="1">
        <f t="shared" si="103"/>
        <v>0</v>
      </c>
      <c r="N1636" s="1">
        <f t="shared" si="104"/>
        <v>0</v>
      </c>
      <c r="O1636" s="1"/>
    </row>
    <row r="1637" spans="1:15" x14ac:dyDescent="0.25">
      <c r="A1637">
        <v>2901</v>
      </c>
      <c r="B1637">
        <v>13613.986510000001</v>
      </c>
      <c r="C1637">
        <v>0</v>
      </c>
      <c r="D1637">
        <v>34933.044909999997</v>
      </c>
      <c r="E1637">
        <v>0</v>
      </c>
      <c r="F1637">
        <v>70983.018089999998</v>
      </c>
      <c r="G1637">
        <v>0</v>
      </c>
      <c r="H1637">
        <v>2901</v>
      </c>
      <c r="I1637" t="str">
        <f t="shared" si="101"/>
        <v>YES</v>
      </c>
      <c r="J1637" t="s">
        <v>1643</v>
      </c>
      <c r="K1637">
        <v>668363.08198599995</v>
      </c>
      <c r="L1637" s="1">
        <f t="shared" si="102"/>
        <v>0</v>
      </c>
      <c r="M1637" s="1">
        <f t="shared" si="103"/>
        <v>0</v>
      </c>
      <c r="N1637" s="1">
        <f t="shared" si="104"/>
        <v>0</v>
      </c>
      <c r="O1637" s="1"/>
    </row>
    <row r="1638" spans="1:15" x14ac:dyDescent="0.25">
      <c r="A1638">
        <v>2902</v>
      </c>
      <c r="B1638">
        <v>26269.322270000001</v>
      </c>
      <c r="C1638">
        <v>0</v>
      </c>
      <c r="D1638">
        <v>57854.675139999999</v>
      </c>
      <c r="E1638">
        <v>0</v>
      </c>
      <c r="F1638">
        <v>102257.3187</v>
      </c>
      <c r="G1638">
        <v>0</v>
      </c>
      <c r="H1638">
        <v>2902</v>
      </c>
      <c r="I1638" t="str">
        <f t="shared" si="101"/>
        <v>YES</v>
      </c>
      <c r="J1638" t="s">
        <v>1644</v>
      </c>
      <c r="K1638">
        <v>1032393.4988300001</v>
      </c>
      <c r="L1638" s="1">
        <f t="shared" si="102"/>
        <v>0</v>
      </c>
      <c r="M1638" s="1">
        <f t="shared" si="103"/>
        <v>0</v>
      </c>
      <c r="N1638" s="1">
        <f t="shared" si="104"/>
        <v>0</v>
      </c>
      <c r="O1638" s="1"/>
    </row>
    <row r="1639" spans="1:15" x14ac:dyDescent="0.25">
      <c r="A1639">
        <v>2903</v>
      </c>
      <c r="B1639">
        <v>14765.540220000001</v>
      </c>
      <c r="C1639">
        <v>0</v>
      </c>
      <c r="D1639">
        <v>48035.496270000003</v>
      </c>
      <c r="E1639">
        <v>0</v>
      </c>
      <c r="F1639">
        <v>88898.00288</v>
      </c>
      <c r="G1639">
        <v>0</v>
      </c>
      <c r="H1639">
        <v>2903</v>
      </c>
      <c r="I1639" t="str">
        <f t="shared" si="101"/>
        <v>YES</v>
      </c>
      <c r="J1639" t="s">
        <v>1645</v>
      </c>
      <c r="K1639">
        <v>810472.26122800005</v>
      </c>
      <c r="L1639" s="1">
        <f t="shared" si="102"/>
        <v>0</v>
      </c>
      <c r="M1639" s="1">
        <f t="shared" si="103"/>
        <v>0</v>
      </c>
      <c r="N1639" s="1">
        <f t="shared" si="104"/>
        <v>0</v>
      </c>
      <c r="O1639" s="1"/>
    </row>
    <row r="1640" spans="1:15" x14ac:dyDescent="0.25">
      <c r="A1640">
        <v>2904</v>
      </c>
      <c r="B1640">
        <v>27389.770700000001</v>
      </c>
      <c r="C1640">
        <v>0</v>
      </c>
      <c r="D1640">
        <v>60901.323250000001</v>
      </c>
      <c r="E1640">
        <v>0</v>
      </c>
      <c r="F1640">
        <v>114591.03509999999</v>
      </c>
      <c r="G1640">
        <v>0</v>
      </c>
      <c r="H1640">
        <v>2904</v>
      </c>
      <c r="I1640" t="str">
        <f t="shared" si="101"/>
        <v>YES</v>
      </c>
      <c r="J1640" t="s">
        <v>1646</v>
      </c>
      <c r="K1640">
        <v>654692.86179700005</v>
      </c>
      <c r="L1640" s="1">
        <f t="shared" si="102"/>
        <v>0</v>
      </c>
      <c r="M1640" s="1">
        <f t="shared" si="103"/>
        <v>0</v>
      </c>
      <c r="N1640" s="1">
        <f t="shared" si="104"/>
        <v>0</v>
      </c>
      <c r="O1640" s="1"/>
    </row>
    <row r="1641" spans="1:15" x14ac:dyDescent="0.25">
      <c r="A1641">
        <v>2905</v>
      </c>
      <c r="B1641">
        <v>18325.649580000001</v>
      </c>
      <c r="C1641">
        <v>0</v>
      </c>
      <c r="D1641">
        <v>53194.646540000002</v>
      </c>
      <c r="E1641">
        <v>0</v>
      </c>
      <c r="F1641">
        <v>96883.362699999998</v>
      </c>
      <c r="G1641">
        <v>0</v>
      </c>
      <c r="H1641">
        <v>2905</v>
      </c>
      <c r="I1641" t="str">
        <f t="shared" si="101"/>
        <v>YES</v>
      </c>
      <c r="J1641" t="s">
        <v>1647</v>
      </c>
      <c r="K1641">
        <v>278910.48735700001</v>
      </c>
      <c r="L1641" s="1">
        <f t="shared" si="102"/>
        <v>0</v>
      </c>
      <c r="M1641" s="1">
        <f t="shared" si="103"/>
        <v>0</v>
      </c>
      <c r="N1641" s="1">
        <f t="shared" si="104"/>
        <v>0</v>
      </c>
      <c r="O1641" s="1"/>
    </row>
    <row r="1642" spans="1:15" x14ac:dyDescent="0.25">
      <c r="A1642">
        <v>2906</v>
      </c>
      <c r="B1642">
        <v>7752.5940019999998</v>
      </c>
      <c r="C1642">
        <v>0</v>
      </c>
      <c r="D1642">
        <v>34857.8992</v>
      </c>
      <c r="E1642">
        <v>0</v>
      </c>
      <c r="F1642">
        <v>70298.999360000002</v>
      </c>
      <c r="G1642">
        <v>0</v>
      </c>
      <c r="H1642">
        <v>2906</v>
      </c>
      <c r="I1642" t="str">
        <f t="shared" si="101"/>
        <v>YES</v>
      </c>
      <c r="J1642" t="s">
        <v>1648</v>
      </c>
      <c r="K1642">
        <v>426236.06942800002</v>
      </c>
      <c r="L1642" s="1">
        <f t="shared" si="102"/>
        <v>0</v>
      </c>
      <c r="M1642" s="1">
        <f t="shared" si="103"/>
        <v>0</v>
      </c>
      <c r="N1642" s="1">
        <f t="shared" si="104"/>
        <v>0</v>
      </c>
      <c r="O1642" s="1"/>
    </row>
    <row r="1643" spans="1:15" x14ac:dyDescent="0.25">
      <c r="A1643">
        <v>2907</v>
      </c>
      <c r="B1643">
        <v>4095.4727590000002</v>
      </c>
      <c r="C1643">
        <v>0</v>
      </c>
      <c r="D1643">
        <v>22640.356530000001</v>
      </c>
      <c r="E1643">
        <v>0</v>
      </c>
      <c r="F1643">
        <v>58635.358529999998</v>
      </c>
      <c r="G1643">
        <v>0</v>
      </c>
      <c r="H1643">
        <v>2907</v>
      </c>
      <c r="I1643" t="str">
        <f t="shared" si="101"/>
        <v>YES</v>
      </c>
      <c r="J1643" t="s">
        <v>1649</v>
      </c>
      <c r="K1643">
        <v>900703.99937400001</v>
      </c>
      <c r="L1643" s="1">
        <f t="shared" si="102"/>
        <v>0</v>
      </c>
      <c r="M1643" s="1">
        <f t="shared" si="103"/>
        <v>0</v>
      </c>
      <c r="N1643" s="1">
        <f t="shared" si="104"/>
        <v>0</v>
      </c>
      <c r="O1643" s="1"/>
    </row>
    <row r="1644" spans="1:15" x14ac:dyDescent="0.25">
      <c r="A1644">
        <v>2908</v>
      </c>
      <c r="B1644">
        <v>4583.3358410000001</v>
      </c>
      <c r="C1644">
        <v>0</v>
      </c>
      <c r="D1644">
        <v>21934.17454</v>
      </c>
      <c r="E1644">
        <v>0</v>
      </c>
      <c r="F1644">
        <v>57561.829389999999</v>
      </c>
      <c r="G1644">
        <v>0</v>
      </c>
      <c r="H1644">
        <v>2908</v>
      </c>
      <c r="I1644" t="str">
        <f t="shared" si="101"/>
        <v>YES</v>
      </c>
      <c r="J1644" t="s">
        <v>1650</v>
      </c>
      <c r="K1644">
        <v>1200845.56476</v>
      </c>
      <c r="L1644" s="1">
        <f t="shared" si="102"/>
        <v>0</v>
      </c>
      <c r="M1644" s="1">
        <f t="shared" si="103"/>
        <v>0</v>
      </c>
      <c r="N1644" s="1">
        <f t="shared" si="104"/>
        <v>0</v>
      </c>
      <c r="O1644" s="1"/>
    </row>
    <row r="1645" spans="1:15" x14ac:dyDescent="0.25">
      <c r="A1645">
        <v>2909</v>
      </c>
      <c r="B1645">
        <v>3760.2185180000001</v>
      </c>
      <c r="C1645">
        <v>0</v>
      </c>
      <c r="D1645">
        <v>22372.843509999999</v>
      </c>
      <c r="E1645">
        <v>0</v>
      </c>
      <c r="F1645">
        <v>58371.416720000001</v>
      </c>
      <c r="G1645">
        <v>0</v>
      </c>
      <c r="H1645">
        <v>2909</v>
      </c>
      <c r="I1645" t="str">
        <f t="shared" si="101"/>
        <v>YES</v>
      </c>
      <c r="J1645" t="s">
        <v>1651</v>
      </c>
      <c r="K1645">
        <v>584396.00868800003</v>
      </c>
      <c r="L1645" s="1">
        <f t="shared" si="102"/>
        <v>0</v>
      </c>
      <c r="M1645" s="1">
        <f t="shared" si="103"/>
        <v>0</v>
      </c>
      <c r="N1645" s="1">
        <f t="shared" si="104"/>
        <v>0</v>
      </c>
      <c r="O1645" s="1"/>
    </row>
    <row r="1646" spans="1:15" x14ac:dyDescent="0.25">
      <c r="A1646">
        <v>2910</v>
      </c>
      <c r="B1646">
        <v>3433.5925470000002</v>
      </c>
      <c r="C1646">
        <v>0</v>
      </c>
      <c r="D1646">
        <v>17478.684229999999</v>
      </c>
      <c r="E1646">
        <v>0</v>
      </c>
      <c r="F1646">
        <v>47249.614229999999</v>
      </c>
      <c r="G1646">
        <v>0</v>
      </c>
      <c r="H1646">
        <v>2910</v>
      </c>
      <c r="I1646" t="str">
        <f t="shared" si="101"/>
        <v>YES</v>
      </c>
      <c r="J1646" t="s">
        <v>1652</v>
      </c>
      <c r="K1646">
        <v>683917.33665299998</v>
      </c>
      <c r="L1646" s="1">
        <f t="shared" si="102"/>
        <v>0</v>
      </c>
      <c r="M1646" s="1">
        <f t="shared" si="103"/>
        <v>0</v>
      </c>
      <c r="N1646" s="1">
        <f t="shared" si="104"/>
        <v>0</v>
      </c>
      <c r="O1646" s="1"/>
    </row>
    <row r="1647" spans="1:15" x14ac:dyDescent="0.25">
      <c r="A1647">
        <v>2913</v>
      </c>
      <c r="B1647">
        <v>273.3156578</v>
      </c>
      <c r="C1647">
        <v>0</v>
      </c>
      <c r="D1647">
        <v>4618.7826949999999</v>
      </c>
      <c r="E1647">
        <v>0</v>
      </c>
      <c r="F1647">
        <v>25217.743050000001</v>
      </c>
      <c r="G1647">
        <v>0</v>
      </c>
      <c r="H1647">
        <v>2913</v>
      </c>
      <c r="I1647" t="str">
        <f t="shared" si="101"/>
        <v>YES</v>
      </c>
      <c r="J1647" t="s">
        <v>1653</v>
      </c>
      <c r="K1647">
        <v>9514052.2667599991</v>
      </c>
      <c r="L1647" s="1">
        <f t="shared" si="102"/>
        <v>0</v>
      </c>
      <c r="M1647" s="1">
        <f t="shared" si="103"/>
        <v>0</v>
      </c>
      <c r="N1647" s="1">
        <f t="shared" si="104"/>
        <v>0</v>
      </c>
      <c r="O1647" s="1"/>
    </row>
    <row r="1648" spans="1:15" x14ac:dyDescent="0.25">
      <c r="A1648">
        <v>2914</v>
      </c>
      <c r="B1648">
        <v>8619.4140709999992</v>
      </c>
      <c r="C1648">
        <v>0</v>
      </c>
      <c r="D1648">
        <v>41356.501479999999</v>
      </c>
      <c r="E1648">
        <v>0</v>
      </c>
      <c r="F1648">
        <v>72730.385240000003</v>
      </c>
      <c r="G1648">
        <v>0</v>
      </c>
      <c r="H1648">
        <v>2914</v>
      </c>
      <c r="I1648" t="str">
        <f t="shared" si="101"/>
        <v>YES</v>
      </c>
      <c r="J1648" t="s">
        <v>1654</v>
      </c>
      <c r="K1648">
        <v>1100803.32369</v>
      </c>
      <c r="L1648" s="1">
        <f t="shared" si="102"/>
        <v>0</v>
      </c>
      <c r="M1648" s="1">
        <f t="shared" si="103"/>
        <v>0</v>
      </c>
      <c r="N1648" s="1">
        <f t="shared" si="104"/>
        <v>0</v>
      </c>
      <c r="O1648" s="1"/>
    </row>
    <row r="1649" spans="1:15" x14ac:dyDescent="0.25">
      <c r="A1649">
        <v>2915</v>
      </c>
      <c r="B1649">
        <v>8500.2639529999997</v>
      </c>
      <c r="C1649">
        <v>0</v>
      </c>
      <c r="D1649">
        <v>31554.767169999999</v>
      </c>
      <c r="E1649">
        <v>0</v>
      </c>
      <c r="F1649">
        <v>58384.666899999997</v>
      </c>
      <c r="G1649">
        <v>0</v>
      </c>
      <c r="H1649">
        <v>2915</v>
      </c>
      <c r="I1649" t="str">
        <f t="shared" si="101"/>
        <v>YES</v>
      </c>
      <c r="J1649" t="s">
        <v>1655</v>
      </c>
      <c r="K1649">
        <v>939735.34354300005</v>
      </c>
      <c r="L1649" s="1">
        <f t="shared" si="102"/>
        <v>0</v>
      </c>
      <c r="M1649" s="1">
        <f t="shared" si="103"/>
        <v>0</v>
      </c>
      <c r="N1649" s="1">
        <f t="shared" si="104"/>
        <v>0</v>
      </c>
      <c r="O1649" s="1"/>
    </row>
    <row r="1650" spans="1:15" x14ac:dyDescent="0.25">
      <c r="A1650">
        <v>2916</v>
      </c>
      <c r="B1650">
        <v>14896.967850000001</v>
      </c>
      <c r="C1650">
        <v>0</v>
      </c>
      <c r="D1650">
        <v>39743.357889999999</v>
      </c>
      <c r="E1650">
        <v>0</v>
      </c>
      <c r="F1650">
        <v>80068.635609999998</v>
      </c>
      <c r="G1650">
        <v>0</v>
      </c>
      <c r="H1650">
        <v>2916</v>
      </c>
      <c r="I1650" t="str">
        <f t="shared" si="101"/>
        <v>YES</v>
      </c>
      <c r="J1650" t="s">
        <v>1656</v>
      </c>
      <c r="K1650">
        <v>440032.77916099998</v>
      </c>
      <c r="L1650" s="1">
        <f t="shared" si="102"/>
        <v>0</v>
      </c>
      <c r="M1650" s="1">
        <f t="shared" si="103"/>
        <v>0</v>
      </c>
      <c r="N1650" s="1">
        <f t="shared" si="104"/>
        <v>0</v>
      </c>
      <c r="O1650" s="1"/>
    </row>
    <row r="1651" spans="1:15" x14ac:dyDescent="0.25">
      <c r="A1651">
        <v>2917</v>
      </c>
      <c r="B1651">
        <v>8977.3447059999999</v>
      </c>
      <c r="C1651">
        <v>0</v>
      </c>
      <c r="D1651">
        <v>36142.209990000003</v>
      </c>
      <c r="E1651">
        <v>0</v>
      </c>
      <c r="F1651">
        <v>71128.006670000002</v>
      </c>
      <c r="G1651">
        <v>0</v>
      </c>
      <c r="H1651">
        <v>2917</v>
      </c>
      <c r="I1651" t="str">
        <f t="shared" si="101"/>
        <v>YES</v>
      </c>
      <c r="J1651" t="s">
        <v>1657</v>
      </c>
      <c r="K1651">
        <v>393740.89480200002</v>
      </c>
      <c r="L1651" s="1">
        <f t="shared" si="102"/>
        <v>0</v>
      </c>
      <c r="M1651" s="1">
        <f t="shared" si="103"/>
        <v>0</v>
      </c>
      <c r="N1651" s="1">
        <f t="shared" si="104"/>
        <v>0</v>
      </c>
      <c r="O1651" s="1"/>
    </row>
    <row r="1652" spans="1:15" x14ac:dyDescent="0.25">
      <c r="A1652">
        <v>2918</v>
      </c>
      <c r="B1652">
        <v>9251.5296450000005</v>
      </c>
      <c r="C1652">
        <v>0</v>
      </c>
      <c r="D1652">
        <v>41415.596949999999</v>
      </c>
      <c r="E1652">
        <v>0</v>
      </c>
      <c r="F1652">
        <v>74419.813819999996</v>
      </c>
      <c r="G1652">
        <v>0</v>
      </c>
      <c r="H1652">
        <v>2918</v>
      </c>
      <c r="I1652" t="str">
        <f t="shared" si="101"/>
        <v>YES</v>
      </c>
      <c r="J1652" t="s">
        <v>1658</v>
      </c>
      <c r="K1652">
        <v>856607.49791999999</v>
      </c>
      <c r="L1652" s="1">
        <f t="shared" si="102"/>
        <v>0</v>
      </c>
      <c r="M1652" s="1">
        <f t="shared" si="103"/>
        <v>0</v>
      </c>
      <c r="N1652" s="1">
        <f t="shared" si="104"/>
        <v>0</v>
      </c>
      <c r="O1652" s="1"/>
    </row>
    <row r="1653" spans="1:15" x14ac:dyDescent="0.25">
      <c r="A1653">
        <v>2919</v>
      </c>
      <c r="B1653">
        <v>23763.848389999999</v>
      </c>
      <c r="C1653">
        <v>0</v>
      </c>
      <c r="D1653">
        <v>53398.185010000001</v>
      </c>
      <c r="E1653">
        <v>0</v>
      </c>
      <c r="F1653">
        <v>101608.1041</v>
      </c>
      <c r="G1653">
        <v>0</v>
      </c>
      <c r="H1653">
        <v>2919</v>
      </c>
      <c r="I1653" t="str">
        <f t="shared" si="101"/>
        <v>YES</v>
      </c>
      <c r="J1653" t="s">
        <v>1659</v>
      </c>
      <c r="K1653">
        <v>787573.67896499997</v>
      </c>
      <c r="L1653" s="1">
        <f t="shared" si="102"/>
        <v>0</v>
      </c>
      <c r="M1653" s="1">
        <f t="shared" si="103"/>
        <v>0</v>
      </c>
      <c r="N1653" s="1">
        <f t="shared" si="104"/>
        <v>0</v>
      </c>
      <c r="O1653" s="1"/>
    </row>
    <row r="1654" spans="1:15" x14ac:dyDescent="0.25">
      <c r="A1654">
        <v>2920</v>
      </c>
      <c r="B1654">
        <v>5053.5210660000002</v>
      </c>
      <c r="C1654">
        <v>0</v>
      </c>
      <c r="D1654">
        <v>25302.013019999999</v>
      </c>
      <c r="E1654">
        <v>0</v>
      </c>
      <c r="F1654">
        <v>68855.547229999996</v>
      </c>
      <c r="G1654">
        <v>0</v>
      </c>
      <c r="H1654">
        <v>2920</v>
      </c>
      <c r="I1654" t="str">
        <f t="shared" si="101"/>
        <v>YES</v>
      </c>
      <c r="J1654" t="s">
        <v>1660</v>
      </c>
      <c r="K1654">
        <v>560687.73491</v>
      </c>
      <c r="L1654" s="1">
        <f t="shared" si="102"/>
        <v>0</v>
      </c>
      <c r="M1654" s="1">
        <f t="shared" si="103"/>
        <v>0</v>
      </c>
      <c r="N1654" s="1">
        <f t="shared" si="104"/>
        <v>0</v>
      </c>
      <c r="O1654" s="1"/>
    </row>
    <row r="1655" spans="1:15" x14ac:dyDescent="0.25">
      <c r="A1655">
        <v>2921</v>
      </c>
      <c r="B1655">
        <v>1108.8474940000001</v>
      </c>
      <c r="C1655">
        <v>0</v>
      </c>
      <c r="D1655">
        <v>9941.6516630000006</v>
      </c>
      <c r="E1655">
        <v>0</v>
      </c>
      <c r="F1655">
        <v>35892.5605</v>
      </c>
      <c r="G1655">
        <v>0</v>
      </c>
      <c r="H1655">
        <v>2921</v>
      </c>
      <c r="I1655" t="str">
        <f t="shared" si="101"/>
        <v>YES</v>
      </c>
      <c r="J1655" t="s">
        <v>1661</v>
      </c>
      <c r="K1655">
        <v>1365403.98275</v>
      </c>
      <c r="L1655" s="1">
        <f t="shared" si="102"/>
        <v>0</v>
      </c>
      <c r="M1655" s="1">
        <f t="shared" si="103"/>
        <v>0</v>
      </c>
      <c r="N1655" s="1">
        <f t="shared" si="104"/>
        <v>0</v>
      </c>
      <c r="O1655" s="1"/>
    </row>
    <row r="1656" spans="1:15" x14ac:dyDescent="0.25">
      <c r="A1656">
        <v>2922</v>
      </c>
      <c r="B1656">
        <v>4061.1814039999999</v>
      </c>
      <c r="C1656">
        <v>0</v>
      </c>
      <c r="D1656">
        <v>18795.254000000001</v>
      </c>
      <c r="E1656">
        <v>0</v>
      </c>
      <c r="F1656">
        <v>39811.55042</v>
      </c>
      <c r="G1656">
        <v>0</v>
      </c>
      <c r="H1656">
        <v>2922</v>
      </c>
      <c r="I1656" t="str">
        <f t="shared" si="101"/>
        <v>YES</v>
      </c>
      <c r="J1656" t="s">
        <v>1662</v>
      </c>
      <c r="K1656">
        <v>810519.181874</v>
      </c>
      <c r="L1656" s="1">
        <f t="shared" si="102"/>
        <v>0</v>
      </c>
      <c r="M1656" s="1">
        <f t="shared" si="103"/>
        <v>0</v>
      </c>
      <c r="N1656" s="1">
        <f t="shared" si="104"/>
        <v>0</v>
      </c>
      <c r="O1656" s="1"/>
    </row>
    <row r="1657" spans="1:15" x14ac:dyDescent="0.25">
      <c r="A1657">
        <v>2923</v>
      </c>
      <c r="B1657">
        <v>98.012861340000001</v>
      </c>
      <c r="C1657">
        <v>0</v>
      </c>
      <c r="D1657">
        <v>98.012861340000001</v>
      </c>
      <c r="E1657">
        <v>0</v>
      </c>
      <c r="F1657">
        <v>447.98252910000002</v>
      </c>
      <c r="G1657">
        <v>0</v>
      </c>
      <c r="H1657">
        <v>2923</v>
      </c>
      <c r="I1657" t="str">
        <f t="shared" si="101"/>
        <v>YES</v>
      </c>
      <c r="J1657" t="s">
        <v>1663</v>
      </c>
      <c r="K1657">
        <v>292465.57684300002</v>
      </c>
      <c r="L1657" s="1">
        <f t="shared" si="102"/>
        <v>0</v>
      </c>
      <c r="M1657" s="1">
        <f t="shared" si="103"/>
        <v>0</v>
      </c>
      <c r="N1657" s="1">
        <f t="shared" si="104"/>
        <v>0</v>
      </c>
      <c r="O1657" s="1"/>
    </row>
    <row r="1658" spans="1:15" x14ac:dyDescent="0.25">
      <c r="A1658">
        <v>2924</v>
      </c>
      <c r="B1658">
        <v>349.96966780000002</v>
      </c>
      <c r="C1658">
        <v>0</v>
      </c>
      <c r="D1658">
        <v>349.96966780000002</v>
      </c>
      <c r="E1658">
        <v>0</v>
      </c>
      <c r="F1658">
        <v>447.98252910000002</v>
      </c>
      <c r="G1658">
        <v>0</v>
      </c>
      <c r="H1658">
        <v>2924</v>
      </c>
      <c r="I1658" t="str">
        <f t="shared" si="101"/>
        <v>YES</v>
      </c>
      <c r="J1658" t="s">
        <v>1664</v>
      </c>
      <c r="K1658">
        <v>1176484.94753</v>
      </c>
      <c r="L1658" s="1">
        <f t="shared" si="102"/>
        <v>0</v>
      </c>
      <c r="M1658" s="1">
        <f t="shared" si="103"/>
        <v>0</v>
      </c>
      <c r="N1658" s="1">
        <f t="shared" si="104"/>
        <v>0</v>
      </c>
      <c r="O1658" s="1"/>
    </row>
    <row r="1659" spans="1:15" x14ac:dyDescent="0.25">
      <c r="A1659">
        <v>2927</v>
      </c>
      <c r="B1659">
        <v>22369.45292</v>
      </c>
      <c r="C1659">
        <v>0</v>
      </c>
      <c r="D1659">
        <v>69055.778879999998</v>
      </c>
      <c r="E1659">
        <v>0</v>
      </c>
      <c r="F1659">
        <v>121374.8956</v>
      </c>
      <c r="G1659">
        <v>0</v>
      </c>
      <c r="H1659">
        <v>2927</v>
      </c>
      <c r="I1659" t="str">
        <f t="shared" si="101"/>
        <v>YES</v>
      </c>
      <c r="J1659" t="s">
        <v>1665</v>
      </c>
      <c r="K1659">
        <v>1180193.9177600001</v>
      </c>
      <c r="L1659" s="1">
        <f t="shared" si="102"/>
        <v>0</v>
      </c>
      <c r="M1659" s="1">
        <f t="shared" si="103"/>
        <v>0</v>
      </c>
      <c r="N1659" s="1">
        <f t="shared" si="104"/>
        <v>0</v>
      </c>
      <c r="O1659" s="1"/>
    </row>
    <row r="1660" spans="1:15" x14ac:dyDescent="0.25">
      <c r="A1660">
        <v>2928</v>
      </c>
      <c r="B1660">
        <v>27090.79624</v>
      </c>
      <c r="C1660">
        <v>0</v>
      </c>
      <c r="D1660">
        <v>64262.567739999999</v>
      </c>
      <c r="E1660">
        <v>0</v>
      </c>
      <c r="F1660">
        <v>184324.769</v>
      </c>
      <c r="G1660">
        <v>0</v>
      </c>
      <c r="H1660">
        <v>2928</v>
      </c>
      <c r="I1660" t="str">
        <f t="shared" si="101"/>
        <v>YES</v>
      </c>
      <c r="J1660" t="s">
        <v>1666</v>
      </c>
      <c r="K1660">
        <v>822811.58306700003</v>
      </c>
      <c r="L1660" s="1">
        <f t="shared" si="102"/>
        <v>0</v>
      </c>
      <c r="M1660" s="1">
        <f t="shared" si="103"/>
        <v>0</v>
      </c>
      <c r="N1660" s="1">
        <f t="shared" si="104"/>
        <v>0</v>
      </c>
      <c r="O1660" s="1"/>
    </row>
    <row r="1661" spans="1:15" x14ac:dyDescent="0.25">
      <c r="A1661">
        <v>2929</v>
      </c>
      <c r="B1661">
        <v>2075.1454250000002</v>
      </c>
      <c r="C1661">
        <v>0</v>
      </c>
      <c r="D1661">
        <v>26752.1486</v>
      </c>
      <c r="E1661">
        <v>0</v>
      </c>
      <c r="F1661">
        <v>63546.552109999997</v>
      </c>
      <c r="G1661">
        <v>0</v>
      </c>
      <c r="H1661">
        <v>2929</v>
      </c>
      <c r="I1661" t="str">
        <f t="shared" si="101"/>
        <v>YES</v>
      </c>
      <c r="J1661" t="s">
        <v>1667</v>
      </c>
      <c r="K1661">
        <v>1271306.5802</v>
      </c>
      <c r="L1661" s="1">
        <f t="shared" si="102"/>
        <v>0</v>
      </c>
      <c r="M1661" s="1">
        <f t="shared" si="103"/>
        <v>0</v>
      </c>
      <c r="N1661" s="1">
        <f t="shared" si="104"/>
        <v>0</v>
      </c>
      <c r="O1661" s="1"/>
    </row>
    <row r="1662" spans="1:15" x14ac:dyDescent="0.25">
      <c r="A1662">
        <v>2930</v>
      </c>
      <c r="B1662">
        <v>1555.5988319999999</v>
      </c>
      <c r="C1662">
        <v>0</v>
      </c>
      <c r="D1662">
        <v>3957.64302</v>
      </c>
      <c r="E1662">
        <v>0</v>
      </c>
      <c r="F1662">
        <v>33134.243759999998</v>
      </c>
      <c r="G1662">
        <v>0</v>
      </c>
      <c r="H1662">
        <v>2930</v>
      </c>
      <c r="I1662" t="str">
        <f t="shared" si="101"/>
        <v>YES</v>
      </c>
      <c r="J1662" t="s">
        <v>1668</v>
      </c>
      <c r="K1662">
        <v>1301691.5311400001</v>
      </c>
      <c r="L1662" s="1">
        <f t="shared" si="102"/>
        <v>0</v>
      </c>
      <c r="M1662" s="1">
        <f t="shared" si="103"/>
        <v>0</v>
      </c>
      <c r="N1662" s="1">
        <f t="shared" si="104"/>
        <v>0</v>
      </c>
      <c r="O1662" s="1"/>
    </row>
    <row r="1663" spans="1:15" x14ac:dyDescent="0.25">
      <c r="A1663">
        <v>2931</v>
      </c>
      <c r="B1663">
        <v>364.39097179999999</v>
      </c>
      <c r="C1663">
        <v>0</v>
      </c>
      <c r="D1663">
        <v>10309.574420000001</v>
      </c>
      <c r="E1663">
        <v>0</v>
      </c>
      <c r="F1663">
        <v>37907.49166</v>
      </c>
      <c r="G1663">
        <v>0</v>
      </c>
      <c r="H1663">
        <v>2931</v>
      </c>
      <c r="I1663" t="str">
        <f t="shared" si="101"/>
        <v>YES</v>
      </c>
      <c r="J1663" t="s">
        <v>1669</v>
      </c>
      <c r="K1663">
        <v>1211606.0551799999</v>
      </c>
      <c r="L1663" s="1">
        <f t="shared" si="102"/>
        <v>0</v>
      </c>
      <c r="M1663" s="1">
        <f t="shared" si="103"/>
        <v>0</v>
      </c>
      <c r="N1663" s="1">
        <f t="shared" si="104"/>
        <v>0</v>
      </c>
      <c r="O1663" s="1"/>
    </row>
    <row r="1664" spans="1:15" x14ac:dyDescent="0.25">
      <c r="A1664">
        <v>2932</v>
      </c>
      <c r="B1664">
        <v>13689.31551</v>
      </c>
      <c r="C1664">
        <v>0</v>
      </c>
      <c r="D1664">
        <v>49726.632810000003</v>
      </c>
      <c r="E1664">
        <v>0</v>
      </c>
      <c r="F1664">
        <v>93092.488240000006</v>
      </c>
      <c r="G1664">
        <v>0</v>
      </c>
      <c r="H1664">
        <v>2932</v>
      </c>
      <c r="I1664" t="str">
        <f t="shared" si="101"/>
        <v>YES</v>
      </c>
      <c r="J1664" t="s">
        <v>1670</v>
      </c>
      <c r="K1664">
        <v>434108.69454699999</v>
      </c>
      <c r="L1664" s="1">
        <f t="shared" si="102"/>
        <v>0</v>
      </c>
      <c r="M1664" s="1">
        <f t="shared" si="103"/>
        <v>0</v>
      </c>
      <c r="N1664" s="1">
        <f t="shared" si="104"/>
        <v>0</v>
      </c>
      <c r="O1664" s="1"/>
    </row>
    <row r="1665" spans="1:15" x14ac:dyDescent="0.25">
      <c r="A1665">
        <v>2934</v>
      </c>
      <c r="B1665">
        <v>15501.926289999999</v>
      </c>
      <c r="C1665">
        <v>0</v>
      </c>
      <c r="D1665">
        <v>40628.602529999996</v>
      </c>
      <c r="E1665">
        <v>0</v>
      </c>
      <c r="F1665">
        <v>80003.867199999993</v>
      </c>
      <c r="G1665">
        <v>0</v>
      </c>
      <c r="H1665">
        <v>2934</v>
      </c>
      <c r="I1665" t="str">
        <f t="shared" si="101"/>
        <v>YES</v>
      </c>
      <c r="J1665" t="s">
        <v>1671</v>
      </c>
      <c r="K1665">
        <v>990657.87682899996</v>
      </c>
      <c r="L1665" s="1">
        <f t="shared" si="102"/>
        <v>0</v>
      </c>
      <c r="M1665" s="1">
        <f t="shared" si="103"/>
        <v>0</v>
      </c>
      <c r="N1665" s="1">
        <f t="shared" si="104"/>
        <v>0</v>
      </c>
      <c r="O1665" s="1"/>
    </row>
    <row r="1666" spans="1:15" x14ac:dyDescent="0.25">
      <c r="A1666">
        <v>2935</v>
      </c>
      <c r="B1666">
        <v>19418.41518</v>
      </c>
      <c r="C1666">
        <v>0</v>
      </c>
      <c r="D1666">
        <v>40601.895550000001</v>
      </c>
      <c r="E1666">
        <v>0</v>
      </c>
      <c r="F1666">
        <v>88469.402610000005</v>
      </c>
      <c r="G1666">
        <v>0</v>
      </c>
      <c r="H1666">
        <v>2935</v>
      </c>
      <c r="I1666" t="str">
        <f t="shared" ref="I1666:I1729" si="105">IF(A1666=H1666,"YES","NO")</f>
        <v>YES</v>
      </c>
      <c r="J1666" t="s">
        <v>1672</v>
      </c>
      <c r="K1666">
        <v>813032.07209300005</v>
      </c>
      <c r="L1666" s="1">
        <f t="shared" si="102"/>
        <v>0</v>
      </c>
      <c r="M1666" s="1">
        <f t="shared" si="103"/>
        <v>0</v>
      </c>
      <c r="N1666" s="1">
        <f t="shared" si="104"/>
        <v>0</v>
      </c>
      <c r="O1666" s="1"/>
    </row>
    <row r="1667" spans="1:15" x14ac:dyDescent="0.25">
      <c r="A1667">
        <v>2936</v>
      </c>
      <c r="B1667">
        <v>37418.744859999999</v>
      </c>
      <c r="C1667">
        <v>0</v>
      </c>
      <c r="D1667">
        <v>77912.586259999996</v>
      </c>
      <c r="E1667">
        <v>0</v>
      </c>
      <c r="F1667">
        <v>147447.08050000001</v>
      </c>
      <c r="G1667">
        <v>0</v>
      </c>
      <c r="H1667">
        <v>2936</v>
      </c>
      <c r="I1667" t="str">
        <f t="shared" si="105"/>
        <v>YES</v>
      </c>
      <c r="J1667" t="s">
        <v>1673</v>
      </c>
      <c r="K1667">
        <v>415576.71307699999</v>
      </c>
      <c r="L1667" s="1">
        <f t="shared" ref="L1667:L1730" si="106">$U$2*$K1667*C1667</f>
        <v>0</v>
      </c>
      <c r="M1667" s="1">
        <f t="shared" ref="M1667:M1730" si="107">$U$3*$K1667*E1667</f>
        <v>0</v>
      </c>
      <c r="N1667" s="1">
        <f t="shared" ref="N1667:N1730" si="108">$U$4*$K1667*G1667</f>
        <v>0</v>
      </c>
      <c r="O1667" s="1"/>
    </row>
    <row r="1668" spans="1:15" x14ac:dyDescent="0.25">
      <c r="A1668">
        <v>2937</v>
      </c>
      <c r="B1668">
        <v>32089.907480000002</v>
      </c>
      <c r="C1668">
        <v>0</v>
      </c>
      <c r="D1668">
        <v>63783.063970000003</v>
      </c>
      <c r="E1668">
        <v>0</v>
      </c>
      <c r="F1668">
        <v>108691.14260000001</v>
      </c>
      <c r="G1668">
        <v>0</v>
      </c>
      <c r="H1668">
        <v>2937</v>
      </c>
      <c r="I1668" t="str">
        <f t="shared" si="105"/>
        <v>YES</v>
      </c>
      <c r="J1668" t="s">
        <v>1674</v>
      </c>
      <c r="K1668">
        <v>637281.45899399999</v>
      </c>
      <c r="L1668" s="1">
        <f t="shared" si="106"/>
        <v>0</v>
      </c>
      <c r="M1668" s="1">
        <f t="shared" si="107"/>
        <v>0</v>
      </c>
      <c r="N1668" s="1">
        <f t="shared" si="108"/>
        <v>0</v>
      </c>
      <c r="O1668" s="1"/>
    </row>
    <row r="1669" spans="1:15" x14ac:dyDescent="0.25">
      <c r="A1669">
        <v>2938</v>
      </c>
      <c r="B1669">
        <v>11559.769850000001</v>
      </c>
      <c r="C1669">
        <v>0</v>
      </c>
      <c r="D1669">
        <v>47836.159930000002</v>
      </c>
      <c r="E1669">
        <v>0</v>
      </c>
      <c r="F1669">
        <v>84142.403659999996</v>
      </c>
      <c r="G1669">
        <v>0</v>
      </c>
      <c r="H1669">
        <v>2938</v>
      </c>
      <c r="I1669" t="str">
        <f t="shared" si="105"/>
        <v>YES</v>
      </c>
      <c r="J1669" t="s">
        <v>1675</v>
      </c>
      <c r="K1669">
        <v>780734.87559399998</v>
      </c>
      <c r="L1669" s="1">
        <f t="shared" si="106"/>
        <v>0</v>
      </c>
      <c r="M1669" s="1">
        <f t="shared" si="107"/>
        <v>0</v>
      </c>
      <c r="N1669" s="1">
        <f t="shared" si="108"/>
        <v>0</v>
      </c>
      <c r="O1669" s="1"/>
    </row>
    <row r="1670" spans="1:15" x14ac:dyDescent="0.25">
      <c r="A1670">
        <v>2939</v>
      </c>
      <c r="B1670">
        <v>11344.726989999999</v>
      </c>
      <c r="C1670">
        <v>0</v>
      </c>
      <c r="D1670">
        <v>52051.670579999998</v>
      </c>
      <c r="E1670">
        <v>0</v>
      </c>
      <c r="F1670">
        <v>93625.517860000007</v>
      </c>
      <c r="G1670">
        <v>0</v>
      </c>
      <c r="H1670">
        <v>2939</v>
      </c>
      <c r="I1670" t="str">
        <f t="shared" si="105"/>
        <v>YES</v>
      </c>
      <c r="J1670" t="s">
        <v>1676</v>
      </c>
      <c r="K1670">
        <v>808463.08815299999</v>
      </c>
      <c r="L1670" s="1">
        <f t="shared" si="106"/>
        <v>0</v>
      </c>
      <c r="M1670" s="1">
        <f t="shared" si="107"/>
        <v>0</v>
      </c>
      <c r="N1670" s="1">
        <f t="shared" si="108"/>
        <v>0</v>
      </c>
      <c r="O1670" s="1"/>
    </row>
    <row r="1671" spans="1:15" x14ac:dyDescent="0.25">
      <c r="A1671">
        <v>2940</v>
      </c>
      <c r="B1671">
        <v>585.50678249999999</v>
      </c>
      <c r="C1671">
        <v>0</v>
      </c>
      <c r="D1671">
        <v>22840.107120000001</v>
      </c>
      <c r="E1671">
        <v>0</v>
      </c>
      <c r="F1671">
        <v>65143.59893</v>
      </c>
      <c r="G1671">
        <v>0</v>
      </c>
      <c r="H1671">
        <v>2940</v>
      </c>
      <c r="I1671" t="str">
        <f t="shared" si="105"/>
        <v>YES</v>
      </c>
      <c r="J1671" t="s">
        <v>1677</v>
      </c>
      <c r="K1671">
        <v>1106263.56608</v>
      </c>
      <c r="L1671" s="1">
        <f t="shared" si="106"/>
        <v>0</v>
      </c>
      <c r="M1671" s="1">
        <f t="shared" si="107"/>
        <v>0</v>
      </c>
      <c r="N1671" s="1">
        <f t="shared" si="108"/>
        <v>0</v>
      </c>
      <c r="O1671" s="1"/>
    </row>
    <row r="1672" spans="1:15" x14ac:dyDescent="0.25">
      <c r="A1672">
        <v>2943</v>
      </c>
      <c r="B1672">
        <v>11313.91344</v>
      </c>
      <c r="C1672">
        <v>0</v>
      </c>
      <c r="D1672">
        <v>38957.369989999999</v>
      </c>
      <c r="E1672">
        <v>0</v>
      </c>
      <c r="F1672">
        <v>100571.3746</v>
      </c>
      <c r="G1672">
        <v>0</v>
      </c>
      <c r="H1672">
        <v>2943</v>
      </c>
      <c r="I1672" t="str">
        <f t="shared" si="105"/>
        <v>YES</v>
      </c>
      <c r="J1672" t="s">
        <v>1678</v>
      </c>
      <c r="K1672">
        <v>639465.12015500001</v>
      </c>
      <c r="L1672" s="1">
        <f t="shared" si="106"/>
        <v>0</v>
      </c>
      <c r="M1672" s="1">
        <f t="shared" si="107"/>
        <v>0</v>
      </c>
      <c r="N1672" s="1">
        <f t="shared" si="108"/>
        <v>0</v>
      </c>
      <c r="O1672" s="1"/>
    </row>
    <row r="1673" spans="1:15" x14ac:dyDescent="0.25">
      <c r="A1673">
        <v>2944</v>
      </c>
      <c r="B1673">
        <v>9977.048487</v>
      </c>
      <c r="C1673">
        <v>0</v>
      </c>
      <c r="D1673">
        <v>29492.004850000001</v>
      </c>
      <c r="E1673">
        <v>0</v>
      </c>
      <c r="F1673">
        <v>80806.422460000002</v>
      </c>
      <c r="G1673">
        <v>0</v>
      </c>
      <c r="H1673">
        <v>2944</v>
      </c>
      <c r="I1673" t="str">
        <f t="shared" si="105"/>
        <v>YES</v>
      </c>
      <c r="J1673" t="s">
        <v>1679</v>
      </c>
      <c r="K1673">
        <v>576903.67750600004</v>
      </c>
      <c r="L1673" s="1">
        <f t="shared" si="106"/>
        <v>0</v>
      </c>
      <c r="M1673" s="1">
        <f t="shared" si="107"/>
        <v>0</v>
      </c>
      <c r="N1673" s="1">
        <f t="shared" si="108"/>
        <v>0</v>
      </c>
      <c r="O1673" s="1"/>
    </row>
    <row r="1674" spans="1:15" x14ac:dyDescent="0.25">
      <c r="A1674">
        <v>2945</v>
      </c>
      <c r="B1674">
        <v>2983.3131509999998</v>
      </c>
      <c r="C1674">
        <v>0</v>
      </c>
      <c r="D1674">
        <v>14574.31054</v>
      </c>
      <c r="E1674">
        <v>0</v>
      </c>
      <c r="F1674">
        <v>48171.780339999998</v>
      </c>
      <c r="G1674">
        <v>0</v>
      </c>
      <c r="H1674">
        <v>2945</v>
      </c>
      <c r="I1674" t="str">
        <f t="shared" si="105"/>
        <v>YES</v>
      </c>
      <c r="J1674" t="s">
        <v>1680</v>
      </c>
      <c r="K1674">
        <v>1242994.3466700001</v>
      </c>
      <c r="L1674" s="1">
        <f t="shared" si="106"/>
        <v>0</v>
      </c>
      <c r="M1674" s="1">
        <f t="shared" si="107"/>
        <v>0</v>
      </c>
      <c r="N1674" s="1">
        <f t="shared" si="108"/>
        <v>0</v>
      </c>
      <c r="O1674" s="1"/>
    </row>
    <row r="1675" spans="1:15" x14ac:dyDescent="0.25">
      <c r="A1675">
        <v>2946</v>
      </c>
      <c r="B1675">
        <v>5316.4438060000002</v>
      </c>
      <c r="C1675">
        <v>0</v>
      </c>
      <c r="D1675">
        <v>19353.101180000001</v>
      </c>
      <c r="E1675">
        <v>0</v>
      </c>
      <c r="F1675">
        <v>60682.521059999999</v>
      </c>
      <c r="G1675">
        <v>0</v>
      </c>
      <c r="H1675">
        <v>2946</v>
      </c>
      <c r="I1675" t="str">
        <f t="shared" si="105"/>
        <v>YES</v>
      </c>
      <c r="J1675" t="s">
        <v>1681</v>
      </c>
      <c r="K1675">
        <v>1169161.78097</v>
      </c>
      <c r="L1675" s="1">
        <f t="shared" si="106"/>
        <v>0</v>
      </c>
      <c r="M1675" s="1">
        <f t="shared" si="107"/>
        <v>0</v>
      </c>
      <c r="N1675" s="1">
        <f t="shared" si="108"/>
        <v>0</v>
      </c>
      <c r="O1675" s="1"/>
    </row>
    <row r="1676" spans="1:15" x14ac:dyDescent="0.25">
      <c r="A1676">
        <v>2947</v>
      </c>
      <c r="B1676">
        <v>6878.3415940000004</v>
      </c>
      <c r="C1676">
        <v>0</v>
      </c>
      <c r="D1676">
        <v>29730.197499999998</v>
      </c>
      <c r="E1676">
        <v>0</v>
      </c>
      <c r="F1676">
        <v>72431.542730000001</v>
      </c>
      <c r="G1676">
        <v>0</v>
      </c>
      <c r="H1676">
        <v>2947</v>
      </c>
      <c r="I1676" t="str">
        <f t="shared" si="105"/>
        <v>YES</v>
      </c>
      <c r="J1676" t="s">
        <v>1682</v>
      </c>
      <c r="K1676">
        <v>1156513.24174</v>
      </c>
      <c r="L1676" s="1">
        <f t="shared" si="106"/>
        <v>0</v>
      </c>
      <c r="M1676" s="1">
        <f t="shared" si="107"/>
        <v>0</v>
      </c>
      <c r="N1676" s="1">
        <f t="shared" si="108"/>
        <v>0</v>
      </c>
      <c r="O1676" s="1"/>
    </row>
    <row r="1677" spans="1:15" x14ac:dyDescent="0.25">
      <c r="A1677">
        <v>2948</v>
      </c>
      <c r="B1677">
        <v>8895.4673590000002</v>
      </c>
      <c r="C1677">
        <v>0</v>
      </c>
      <c r="D1677">
        <v>25896.568200000002</v>
      </c>
      <c r="E1677">
        <v>0</v>
      </c>
      <c r="F1677">
        <v>67111.515530000004</v>
      </c>
      <c r="G1677">
        <v>0</v>
      </c>
      <c r="H1677">
        <v>2948</v>
      </c>
      <c r="I1677" t="str">
        <f t="shared" si="105"/>
        <v>YES</v>
      </c>
      <c r="J1677" t="s">
        <v>1683</v>
      </c>
      <c r="K1677">
        <v>648430.62368800002</v>
      </c>
      <c r="L1677" s="1">
        <f t="shared" si="106"/>
        <v>0</v>
      </c>
      <c r="M1677" s="1">
        <f t="shared" si="107"/>
        <v>0</v>
      </c>
      <c r="N1677" s="1">
        <f t="shared" si="108"/>
        <v>0</v>
      </c>
      <c r="O1677" s="1"/>
    </row>
    <row r="1678" spans="1:15" x14ac:dyDescent="0.25">
      <c r="A1678">
        <v>2949</v>
      </c>
      <c r="B1678">
        <v>16142.787270000001</v>
      </c>
      <c r="C1678">
        <v>0</v>
      </c>
      <c r="D1678">
        <v>27160.796259999999</v>
      </c>
      <c r="E1678">
        <v>0</v>
      </c>
      <c r="F1678">
        <v>68365.691829999996</v>
      </c>
      <c r="G1678">
        <v>0</v>
      </c>
      <c r="H1678">
        <v>2949</v>
      </c>
      <c r="I1678" t="str">
        <f t="shared" si="105"/>
        <v>YES</v>
      </c>
      <c r="J1678" t="s">
        <v>1684</v>
      </c>
      <c r="K1678">
        <v>628500.586198</v>
      </c>
      <c r="L1678" s="1">
        <f t="shared" si="106"/>
        <v>0</v>
      </c>
      <c r="M1678" s="1">
        <f t="shared" si="107"/>
        <v>0</v>
      </c>
      <c r="N1678" s="1">
        <f t="shared" si="108"/>
        <v>0</v>
      </c>
      <c r="O1678" s="1"/>
    </row>
    <row r="1679" spans="1:15" x14ac:dyDescent="0.25">
      <c r="A1679">
        <v>3000</v>
      </c>
      <c r="B1679">
        <v>812.11401360000002</v>
      </c>
      <c r="C1679">
        <v>0</v>
      </c>
      <c r="D1679">
        <v>812.11401360000002</v>
      </c>
      <c r="E1679">
        <v>0</v>
      </c>
      <c r="F1679">
        <v>812.11401360000002</v>
      </c>
      <c r="G1679">
        <v>0</v>
      </c>
      <c r="H1679">
        <v>3000</v>
      </c>
      <c r="I1679" t="str">
        <f t="shared" si="105"/>
        <v>YES</v>
      </c>
      <c r="J1679" t="s">
        <v>1685</v>
      </c>
      <c r="K1679">
        <v>51388201.710199997</v>
      </c>
      <c r="L1679" s="1">
        <f t="shared" si="106"/>
        <v>0</v>
      </c>
      <c r="M1679" s="1">
        <f t="shared" si="107"/>
        <v>0</v>
      </c>
      <c r="N1679" s="1">
        <f t="shared" si="108"/>
        <v>0</v>
      </c>
      <c r="O1679" s="1"/>
    </row>
    <row r="1680" spans="1:15" x14ac:dyDescent="0.25">
      <c r="A1680">
        <v>3001</v>
      </c>
      <c r="B1680">
        <v>693.2713632</v>
      </c>
      <c r="C1680">
        <v>0</v>
      </c>
      <c r="D1680">
        <v>693.2713632</v>
      </c>
      <c r="E1680">
        <v>0</v>
      </c>
      <c r="F1680">
        <v>693.2713632</v>
      </c>
      <c r="G1680">
        <v>0</v>
      </c>
      <c r="H1680">
        <v>3001</v>
      </c>
      <c r="I1680" t="str">
        <f t="shared" si="105"/>
        <v>YES</v>
      </c>
      <c r="J1680" t="s">
        <v>1686</v>
      </c>
      <c r="K1680">
        <v>16274889.001599999</v>
      </c>
      <c r="L1680" s="1">
        <f t="shared" si="106"/>
        <v>0</v>
      </c>
      <c r="M1680" s="1">
        <f t="shared" si="107"/>
        <v>0</v>
      </c>
      <c r="N1680" s="1">
        <f t="shared" si="108"/>
        <v>0</v>
      </c>
      <c r="O1680" s="1"/>
    </row>
    <row r="1681" spans="1:15" x14ac:dyDescent="0.25">
      <c r="A1681">
        <v>3002</v>
      </c>
      <c r="B1681">
        <v>197.3527728</v>
      </c>
      <c r="C1681">
        <v>0</v>
      </c>
      <c r="D1681">
        <v>197.3527728</v>
      </c>
      <c r="E1681">
        <v>0</v>
      </c>
      <c r="F1681">
        <v>197.3527728</v>
      </c>
      <c r="G1681">
        <v>0</v>
      </c>
      <c r="H1681">
        <v>3002</v>
      </c>
      <c r="I1681" t="str">
        <f t="shared" si="105"/>
        <v>YES</v>
      </c>
      <c r="J1681" t="s">
        <v>1687</v>
      </c>
      <c r="K1681">
        <v>18366320.658599999</v>
      </c>
      <c r="L1681" s="1">
        <f t="shared" si="106"/>
        <v>0</v>
      </c>
      <c r="M1681" s="1">
        <f t="shared" si="107"/>
        <v>0</v>
      </c>
      <c r="N1681" s="1">
        <f t="shared" si="108"/>
        <v>0</v>
      </c>
      <c r="O1681" s="1"/>
    </row>
    <row r="1682" spans="1:15" x14ac:dyDescent="0.25">
      <c r="A1682">
        <v>3003</v>
      </c>
      <c r="B1682">
        <v>140.1087771</v>
      </c>
      <c r="C1682">
        <v>0</v>
      </c>
      <c r="D1682">
        <v>140.1087771</v>
      </c>
      <c r="E1682">
        <v>0</v>
      </c>
      <c r="F1682">
        <v>140.1087771</v>
      </c>
      <c r="G1682">
        <v>0</v>
      </c>
      <c r="H1682">
        <v>3003</v>
      </c>
      <c r="I1682" t="str">
        <f t="shared" si="105"/>
        <v>YES</v>
      </c>
      <c r="J1682" t="s">
        <v>1688</v>
      </c>
      <c r="K1682">
        <v>4886869.3707499998</v>
      </c>
      <c r="L1682" s="1">
        <f t="shared" si="106"/>
        <v>0</v>
      </c>
      <c r="M1682" s="1">
        <f t="shared" si="107"/>
        <v>0</v>
      </c>
      <c r="N1682" s="1">
        <f t="shared" si="108"/>
        <v>0</v>
      </c>
      <c r="O1682" s="1"/>
    </row>
    <row r="1683" spans="1:15" x14ac:dyDescent="0.25">
      <c r="A1683">
        <v>3004</v>
      </c>
      <c r="B1683">
        <v>78.217401120000005</v>
      </c>
      <c r="C1683">
        <v>0</v>
      </c>
      <c r="D1683">
        <v>78.217401120000005</v>
      </c>
      <c r="E1683">
        <v>0</v>
      </c>
      <c r="F1683">
        <v>78.217401120000005</v>
      </c>
      <c r="G1683">
        <v>0</v>
      </c>
      <c r="H1683">
        <v>3004</v>
      </c>
      <c r="I1683" t="str">
        <f t="shared" si="105"/>
        <v>YES</v>
      </c>
      <c r="J1683" t="s">
        <v>1689</v>
      </c>
      <c r="K1683">
        <v>20873616.4932</v>
      </c>
      <c r="L1683" s="1">
        <f t="shared" si="106"/>
        <v>0</v>
      </c>
      <c r="M1683" s="1">
        <f t="shared" si="107"/>
        <v>0</v>
      </c>
      <c r="N1683" s="1">
        <f t="shared" si="108"/>
        <v>0</v>
      </c>
      <c r="O1683" s="1"/>
    </row>
    <row r="1684" spans="1:15" x14ac:dyDescent="0.25">
      <c r="A1684">
        <v>3005</v>
      </c>
      <c r="B1684">
        <v>391.08641089999998</v>
      </c>
      <c r="C1684">
        <v>0</v>
      </c>
      <c r="D1684">
        <v>391.08641089999998</v>
      </c>
      <c r="E1684">
        <v>0</v>
      </c>
      <c r="F1684">
        <v>391.08641089999998</v>
      </c>
      <c r="G1684">
        <v>0</v>
      </c>
      <c r="H1684">
        <v>3005</v>
      </c>
      <c r="I1684" t="str">
        <f t="shared" si="105"/>
        <v>YES</v>
      </c>
      <c r="J1684" t="s">
        <v>1690</v>
      </c>
      <c r="K1684">
        <v>35365779.863300003</v>
      </c>
      <c r="L1684" s="1">
        <f t="shared" si="106"/>
        <v>0</v>
      </c>
      <c r="M1684" s="1">
        <f t="shared" si="107"/>
        <v>0</v>
      </c>
      <c r="N1684" s="1">
        <f t="shared" si="108"/>
        <v>0</v>
      </c>
      <c r="O1684" s="1"/>
    </row>
    <row r="1685" spans="1:15" x14ac:dyDescent="0.25">
      <c r="A1685">
        <v>3006</v>
      </c>
      <c r="B1685">
        <v>232.32739290000001</v>
      </c>
      <c r="C1685">
        <v>0</v>
      </c>
      <c r="D1685">
        <v>232.32739290000001</v>
      </c>
      <c r="E1685">
        <v>0</v>
      </c>
      <c r="F1685">
        <v>232.32739290000001</v>
      </c>
      <c r="G1685">
        <v>0</v>
      </c>
      <c r="H1685">
        <v>3006</v>
      </c>
      <c r="I1685" t="str">
        <f t="shared" si="105"/>
        <v>YES</v>
      </c>
      <c r="J1685" t="s">
        <v>1691</v>
      </c>
      <c r="K1685">
        <v>35672642.637900002</v>
      </c>
      <c r="L1685" s="1">
        <f t="shared" si="106"/>
        <v>0</v>
      </c>
      <c r="M1685" s="1">
        <f t="shared" si="107"/>
        <v>0</v>
      </c>
      <c r="N1685" s="1">
        <f t="shared" si="108"/>
        <v>0</v>
      </c>
      <c r="O1685" s="1"/>
    </row>
    <row r="1686" spans="1:15" x14ac:dyDescent="0.25">
      <c r="A1686">
        <v>3007</v>
      </c>
      <c r="B1686">
        <v>641.72251470000003</v>
      </c>
      <c r="C1686">
        <v>0</v>
      </c>
      <c r="D1686">
        <v>641.72251470000003</v>
      </c>
      <c r="E1686">
        <v>0</v>
      </c>
      <c r="F1686">
        <v>2955.7543420000002</v>
      </c>
      <c r="G1686">
        <v>0</v>
      </c>
      <c r="H1686">
        <v>3007</v>
      </c>
      <c r="I1686" t="str">
        <f t="shared" si="105"/>
        <v>YES</v>
      </c>
      <c r="J1686" t="s">
        <v>1692</v>
      </c>
      <c r="K1686">
        <v>26727067.886599999</v>
      </c>
      <c r="L1686" s="1">
        <f t="shared" si="106"/>
        <v>0</v>
      </c>
      <c r="M1686" s="1">
        <f t="shared" si="107"/>
        <v>0</v>
      </c>
      <c r="N1686" s="1">
        <f t="shared" si="108"/>
        <v>0</v>
      </c>
      <c r="O1686" s="1"/>
    </row>
    <row r="1687" spans="1:15" x14ac:dyDescent="0.25">
      <c r="A1687">
        <v>3008</v>
      </c>
      <c r="B1687">
        <v>226.9551137</v>
      </c>
      <c r="C1687">
        <v>0</v>
      </c>
      <c r="D1687">
        <v>226.9551137</v>
      </c>
      <c r="E1687">
        <v>0</v>
      </c>
      <c r="F1687">
        <v>226.9551137</v>
      </c>
      <c r="G1687">
        <v>0</v>
      </c>
      <c r="H1687">
        <v>3008</v>
      </c>
      <c r="I1687" t="str">
        <f t="shared" si="105"/>
        <v>YES</v>
      </c>
      <c r="J1687" t="s">
        <v>1693</v>
      </c>
      <c r="K1687">
        <v>23221444.187899999</v>
      </c>
      <c r="L1687" s="1">
        <f t="shared" si="106"/>
        <v>0</v>
      </c>
      <c r="M1687" s="1">
        <f t="shared" si="107"/>
        <v>0</v>
      </c>
      <c r="N1687" s="1">
        <f t="shared" si="108"/>
        <v>0</v>
      </c>
      <c r="O1687" s="1"/>
    </row>
    <row r="1688" spans="1:15" x14ac:dyDescent="0.25">
      <c r="A1688">
        <v>3009</v>
      </c>
      <c r="B1688">
        <v>1181.443741</v>
      </c>
      <c r="C1688">
        <v>0</v>
      </c>
      <c r="D1688">
        <v>1181.443741</v>
      </c>
      <c r="E1688">
        <v>0</v>
      </c>
      <c r="F1688">
        <v>1181.443741</v>
      </c>
      <c r="G1688">
        <v>0</v>
      </c>
      <c r="H1688">
        <v>3009</v>
      </c>
      <c r="I1688" t="str">
        <f t="shared" si="105"/>
        <v>YES</v>
      </c>
      <c r="J1688" t="s">
        <v>1694</v>
      </c>
      <c r="K1688">
        <v>34170641.064999998</v>
      </c>
      <c r="L1688" s="1">
        <f t="shared" si="106"/>
        <v>0</v>
      </c>
      <c r="M1688" s="1">
        <f t="shared" si="107"/>
        <v>0</v>
      </c>
      <c r="N1688" s="1">
        <f t="shared" si="108"/>
        <v>0</v>
      </c>
      <c r="O1688" s="1"/>
    </row>
    <row r="1689" spans="1:15" x14ac:dyDescent="0.25">
      <c r="A1689">
        <v>3010</v>
      </c>
      <c r="B1689">
        <v>172.37416440000001</v>
      </c>
      <c r="C1689">
        <v>0</v>
      </c>
      <c r="D1689">
        <v>172.37416440000001</v>
      </c>
      <c r="E1689">
        <v>0</v>
      </c>
      <c r="F1689">
        <v>172.37416440000001</v>
      </c>
      <c r="G1689">
        <v>0</v>
      </c>
      <c r="H1689">
        <v>3010</v>
      </c>
      <c r="I1689" t="str">
        <f t="shared" si="105"/>
        <v>YES</v>
      </c>
      <c r="J1689" t="s">
        <v>1695</v>
      </c>
      <c r="K1689">
        <v>10989220.0473</v>
      </c>
      <c r="L1689" s="1">
        <f t="shared" si="106"/>
        <v>0</v>
      </c>
      <c r="M1689" s="1">
        <f t="shared" si="107"/>
        <v>0</v>
      </c>
      <c r="N1689" s="1">
        <f t="shared" si="108"/>
        <v>0</v>
      </c>
      <c r="O1689" s="1"/>
    </row>
    <row r="1690" spans="1:15" x14ac:dyDescent="0.25">
      <c r="A1690">
        <v>3011</v>
      </c>
      <c r="B1690">
        <v>470.90494200000001</v>
      </c>
      <c r="C1690">
        <v>0</v>
      </c>
      <c r="D1690">
        <v>470.90494200000001</v>
      </c>
      <c r="E1690">
        <v>0</v>
      </c>
      <c r="F1690">
        <v>470.90494200000001</v>
      </c>
      <c r="G1690">
        <v>0</v>
      </c>
      <c r="H1690">
        <v>3011</v>
      </c>
      <c r="I1690" t="str">
        <f t="shared" si="105"/>
        <v>YES</v>
      </c>
      <c r="J1690" t="s">
        <v>1696</v>
      </c>
      <c r="K1690">
        <v>67718857.235200003</v>
      </c>
      <c r="L1690" s="1">
        <f t="shared" si="106"/>
        <v>0</v>
      </c>
      <c r="M1690" s="1">
        <f t="shared" si="107"/>
        <v>0</v>
      </c>
      <c r="N1690" s="1">
        <f t="shared" si="108"/>
        <v>0</v>
      </c>
      <c r="O1690" s="1"/>
    </row>
    <row r="1691" spans="1:15" x14ac:dyDescent="0.25">
      <c r="A1691">
        <v>3012</v>
      </c>
      <c r="B1691">
        <v>142.74582820000001</v>
      </c>
      <c r="C1691">
        <v>0</v>
      </c>
      <c r="D1691">
        <v>142.74582820000001</v>
      </c>
      <c r="E1691">
        <v>0</v>
      </c>
      <c r="F1691">
        <v>142.74582820000001</v>
      </c>
      <c r="G1691">
        <v>0</v>
      </c>
      <c r="H1691">
        <v>3012</v>
      </c>
      <c r="I1691" t="str">
        <f t="shared" si="105"/>
        <v>YES</v>
      </c>
      <c r="J1691" t="s">
        <v>1697</v>
      </c>
      <c r="K1691">
        <v>11479334.7389</v>
      </c>
      <c r="L1691" s="1">
        <f t="shared" si="106"/>
        <v>0</v>
      </c>
      <c r="M1691" s="1">
        <f t="shared" si="107"/>
        <v>0</v>
      </c>
      <c r="N1691" s="1">
        <f t="shared" si="108"/>
        <v>0</v>
      </c>
      <c r="O1691" s="1"/>
    </row>
    <row r="1692" spans="1:15" x14ac:dyDescent="0.25">
      <c r="A1692">
        <v>3013</v>
      </c>
      <c r="B1692">
        <v>2703.0748119999998</v>
      </c>
      <c r="C1692">
        <v>0</v>
      </c>
      <c r="D1692">
        <v>2703.0748119999998</v>
      </c>
      <c r="E1692">
        <v>0</v>
      </c>
      <c r="F1692">
        <v>2703.0748119999998</v>
      </c>
      <c r="G1692">
        <v>0</v>
      </c>
      <c r="H1692">
        <v>3013</v>
      </c>
      <c r="I1692" t="str">
        <f t="shared" si="105"/>
        <v>YES</v>
      </c>
      <c r="J1692" t="s">
        <v>1698</v>
      </c>
      <c r="K1692">
        <v>34957182.053300001</v>
      </c>
      <c r="L1692" s="1">
        <f t="shared" si="106"/>
        <v>0</v>
      </c>
      <c r="M1692" s="1">
        <f t="shared" si="107"/>
        <v>0</v>
      </c>
      <c r="N1692" s="1">
        <f t="shared" si="108"/>
        <v>0</v>
      </c>
      <c r="O1692" s="1"/>
    </row>
    <row r="1693" spans="1:15" x14ac:dyDescent="0.25">
      <c r="A1693">
        <v>3014</v>
      </c>
      <c r="B1693">
        <v>70.439251900000002</v>
      </c>
      <c r="C1693">
        <v>0</v>
      </c>
      <c r="D1693">
        <v>70.439251900000002</v>
      </c>
      <c r="E1693">
        <v>0</v>
      </c>
      <c r="F1693">
        <v>70.439251900000002</v>
      </c>
      <c r="G1693">
        <v>0</v>
      </c>
      <c r="H1693">
        <v>3014</v>
      </c>
      <c r="I1693" t="str">
        <f t="shared" si="105"/>
        <v>YES</v>
      </c>
      <c r="J1693" t="s">
        <v>1699</v>
      </c>
      <c r="K1693">
        <v>82061795.0141</v>
      </c>
      <c r="L1693" s="1">
        <f t="shared" si="106"/>
        <v>0</v>
      </c>
      <c r="M1693" s="1">
        <f t="shared" si="107"/>
        <v>0</v>
      </c>
      <c r="N1693" s="1">
        <f t="shared" si="108"/>
        <v>0</v>
      </c>
      <c r="O1693" s="1"/>
    </row>
    <row r="1694" spans="1:15" x14ac:dyDescent="0.25">
      <c r="A1694">
        <v>3015</v>
      </c>
      <c r="B1694">
        <v>552.96514720000005</v>
      </c>
      <c r="C1694">
        <v>0</v>
      </c>
      <c r="D1694">
        <v>552.96514720000005</v>
      </c>
      <c r="E1694">
        <v>0</v>
      </c>
      <c r="F1694">
        <v>552.96514720000005</v>
      </c>
      <c r="G1694">
        <v>0</v>
      </c>
      <c r="H1694">
        <v>3015</v>
      </c>
      <c r="I1694" t="str">
        <f t="shared" si="105"/>
        <v>YES</v>
      </c>
      <c r="J1694" t="s">
        <v>1700</v>
      </c>
      <c r="K1694">
        <v>17824766.314800002</v>
      </c>
      <c r="L1694" s="1">
        <f t="shared" si="106"/>
        <v>0</v>
      </c>
      <c r="M1694" s="1">
        <f t="shared" si="107"/>
        <v>0</v>
      </c>
      <c r="N1694" s="1">
        <f t="shared" si="108"/>
        <v>0</v>
      </c>
      <c r="O1694" s="1"/>
    </row>
    <row r="1695" spans="1:15" x14ac:dyDescent="0.25">
      <c r="A1695">
        <v>3016</v>
      </c>
      <c r="B1695">
        <v>1373.4813630000001</v>
      </c>
      <c r="C1695">
        <v>0</v>
      </c>
      <c r="D1695">
        <v>1373.4813630000001</v>
      </c>
      <c r="E1695">
        <v>0</v>
      </c>
      <c r="F1695">
        <v>1510.3659190000001</v>
      </c>
      <c r="G1695">
        <v>0</v>
      </c>
      <c r="H1695">
        <v>3016</v>
      </c>
      <c r="I1695" t="str">
        <f t="shared" si="105"/>
        <v>YES</v>
      </c>
      <c r="J1695" t="s">
        <v>1701</v>
      </c>
      <c r="K1695">
        <v>16988355.926100001</v>
      </c>
      <c r="L1695" s="1">
        <f t="shared" si="106"/>
        <v>0</v>
      </c>
      <c r="M1695" s="1">
        <f t="shared" si="107"/>
        <v>0</v>
      </c>
      <c r="N1695" s="1">
        <f t="shared" si="108"/>
        <v>0</v>
      </c>
      <c r="O1695" s="1"/>
    </row>
    <row r="1696" spans="1:15" x14ac:dyDescent="0.25">
      <c r="A1696">
        <v>3017</v>
      </c>
      <c r="B1696">
        <v>136.88455569999999</v>
      </c>
      <c r="C1696">
        <v>0</v>
      </c>
      <c r="D1696">
        <v>136.88455569999999</v>
      </c>
      <c r="E1696">
        <v>0</v>
      </c>
      <c r="F1696">
        <v>2063.3310660000002</v>
      </c>
      <c r="G1696">
        <v>0</v>
      </c>
      <c r="H1696">
        <v>3017</v>
      </c>
      <c r="I1696" t="str">
        <f t="shared" si="105"/>
        <v>YES</v>
      </c>
      <c r="J1696" t="s">
        <v>1702</v>
      </c>
      <c r="K1696">
        <v>2143330.9318200001</v>
      </c>
      <c r="L1696" s="1">
        <f t="shared" si="106"/>
        <v>0</v>
      </c>
      <c r="M1696" s="1">
        <f t="shared" si="107"/>
        <v>0</v>
      </c>
      <c r="N1696" s="1">
        <f t="shared" si="108"/>
        <v>0</v>
      </c>
      <c r="O1696" s="1"/>
    </row>
    <row r="1697" spans="1:15" x14ac:dyDescent="0.25">
      <c r="A1697">
        <v>3018</v>
      </c>
      <c r="B1697">
        <v>212.08234139999999</v>
      </c>
      <c r="C1697">
        <v>0</v>
      </c>
      <c r="D1697">
        <v>212.08234139999999</v>
      </c>
      <c r="E1697">
        <v>0</v>
      </c>
      <c r="F1697">
        <v>212.08234139999999</v>
      </c>
      <c r="G1697">
        <v>0</v>
      </c>
      <c r="H1697">
        <v>3018</v>
      </c>
      <c r="I1697" t="str">
        <f t="shared" si="105"/>
        <v>YES</v>
      </c>
      <c r="J1697" t="s">
        <v>1703</v>
      </c>
      <c r="K1697">
        <v>22851499.812899999</v>
      </c>
      <c r="L1697" s="1">
        <f t="shared" si="106"/>
        <v>0</v>
      </c>
      <c r="M1697" s="1">
        <f t="shared" si="107"/>
        <v>0</v>
      </c>
      <c r="N1697" s="1">
        <f t="shared" si="108"/>
        <v>0</v>
      </c>
      <c r="O1697" s="1"/>
    </row>
    <row r="1698" spans="1:15" x14ac:dyDescent="0.25">
      <c r="A1698">
        <v>3019</v>
      </c>
      <c r="B1698">
        <v>153.58732380000001</v>
      </c>
      <c r="C1698">
        <v>0</v>
      </c>
      <c r="D1698">
        <v>153.58732380000001</v>
      </c>
      <c r="E1698">
        <v>0</v>
      </c>
      <c r="F1698">
        <v>706.55247099999997</v>
      </c>
      <c r="G1698">
        <v>0</v>
      </c>
      <c r="H1698">
        <v>3019</v>
      </c>
      <c r="I1698" t="str">
        <f t="shared" si="105"/>
        <v>YES</v>
      </c>
      <c r="J1698" t="s">
        <v>1704</v>
      </c>
      <c r="K1698">
        <v>12771981.5438</v>
      </c>
      <c r="L1698" s="1">
        <f t="shared" si="106"/>
        <v>0</v>
      </c>
      <c r="M1698" s="1">
        <f t="shared" si="107"/>
        <v>0</v>
      </c>
      <c r="N1698" s="1">
        <f t="shared" si="108"/>
        <v>0</v>
      </c>
      <c r="O1698" s="1"/>
    </row>
    <row r="1699" spans="1:15" x14ac:dyDescent="0.25">
      <c r="A1699">
        <v>3022</v>
      </c>
      <c r="B1699">
        <v>536.80169609999996</v>
      </c>
      <c r="C1699">
        <v>0</v>
      </c>
      <c r="D1699">
        <v>536.80169609999996</v>
      </c>
      <c r="E1699">
        <v>0</v>
      </c>
      <c r="F1699">
        <v>536.80169609999996</v>
      </c>
      <c r="G1699">
        <v>0</v>
      </c>
      <c r="H1699">
        <v>3022</v>
      </c>
      <c r="I1699" t="str">
        <f t="shared" si="105"/>
        <v>YES</v>
      </c>
      <c r="J1699" t="s">
        <v>1705</v>
      </c>
      <c r="K1699">
        <v>116857773.927</v>
      </c>
      <c r="L1699" s="1">
        <f t="shared" si="106"/>
        <v>0</v>
      </c>
      <c r="M1699" s="1">
        <f t="shared" si="107"/>
        <v>0</v>
      </c>
      <c r="N1699" s="1">
        <f t="shared" si="108"/>
        <v>0</v>
      </c>
      <c r="O1699" s="1"/>
    </row>
    <row r="1700" spans="1:15" x14ac:dyDescent="0.25">
      <c r="A1700">
        <v>3023</v>
      </c>
      <c r="B1700">
        <v>901.92884349999997</v>
      </c>
      <c r="C1700">
        <v>0</v>
      </c>
      <c r="D1700">
        <v>901.92884349999997</v>
      </c>
      <c r="E1700">
        <v>0</v>
      </c>
      <c r="F1700">
        <v>901.92884349999997</v>
      </c>
      <c r="G1700">
        <v>0</v>
      </c>
      <c r="H1700">
        <v>3023</v>
      </c>
      <c r="I1700" t="str">
        <f t="shared" si="105"/>
        <v>YES</v>
      </c>
      <c r="J1700" t="s">
        <v>1706</v>
      </c>
      <c r="K1700">
        <v>95793005.044499993</v>
      </c>
      <c r="L1700" s="1">
        <f t="shared" si="106"/>
        <v>0</v>
      </c>
      <c r="M1700" s="1">
        <f t="shared" si="107"/>
        <v>0</v>
      </c>
      <c r="N1700" s="1">
        <f t="shared" si="108"/>
        <v>0</v>
      </c>
      <c r="O1700" s="1"/>
    </row>
    <row r="1701" spans="1:15" x14ac:dyDescent="0.25">
      <c r="A1701">
        <v>3024</v>
      </c>
      <c r="B1701">
        <v>126.70162500000001</v>
      </c>
      <c r="C1701">
        <v>0</v>
      </c>
      <c r="D1701">
        <v>126.70162500000001</v>
      </c>
      <c r="E1701">
        <v>0</v>
      </c>
      <c r="F1701">
        <v>126.70162500000001</v>
      </c>
      <c r="G1701">
        <v>0</v>
      </c>
      <c r="H1701">
        <v>3024</v>
      </c>
      <c r="I1701" t="str">
        <f t="shared" si="105"/>
        <v>YES</v>
      </c>
      <c r="J1701" t="s">
        <v>1707</v>
      </c>
      <c r="K1701">
        <v>49175845.053099997</v>
      </c>
      <c r="L1701" s="1">
        <f t="shared" si="106"/>
        <v>0</v>
      </c>
      <c r="M1701" s="1">
        <f t="shared" si="107"/>
        <v>0</v>
      </c>
      <c r="N1701" s="1">
        <f t="shared" si="108"/>
        <v>0</v>
      </c>
      <c r="O1701" s="1"/>
    </row>
    <row r="1702" spans="1:15" x14ac:dyDescent="0.25">
      <c r="A1702">
        <v>3025</v>
      </c>
      <c r="B1702">
        <v>107.872614</v>
      </c>
      <c r="C1702">
        <v>0</v>
      </c>
      <c r="D1702">
        <v>107.872614</v>
      </c>
      <c r="E1702">
        <v>0</v>
      </c>
      <c r="F1702">
        <v>107.872614</v>
      </c>
      <c r="G1702">
        <v>0</v>
      </c>
      <c r="H1702">
        <v>3025</v>
      </c>
      <c r="I1702" t="str">
        <f t="shared" si="105"/>
        <v>YES</v>
      </c>
      <c r="J1702" t="s">
        <v>1708</v>
      </c>
      <c r="K1702">
        <v>60359996.031599998</v>
      </c>
      <c r="L1702" s="1">
        <f t="shared" si="106"/>
        <v>0</v>
      </c>
      <c r="M1702" s="1">
        <f t="shared" si="107"/>
        <v>0</v>
      </c>
      <c r="N1702" s="1">
        <f t="shared" si="108"/>
        <v>0</v>
      </c>
      <c r="O1702" s="1"/>
    </row>
    <row r="1703" spans="1:15" x14ac:dyDescent="0.25">
      <c r="A1703">
        <v>3100</v>
      </c>
      <c r="B1703">
        <v>711.77610570000002</v>
      </c>
      <c r="C1703">
        <v>0</v>
      </c>
      <c r="D1703">
        <v>711.77610570000002</v>
      </c>
      <c r="E1703">
        <v>0</v>
      </c>
      <c r="F1703">
        <v>4274.2650199999998</v>
      </c>
      <c r="G1703">
        <v>0</v>
      </c>
      <c r="H1703">
        <v>3100</v>
      </c>
      <c r="I1703" t="str">
        <f t="shared" si="105"/>
        <v>YES</v>
      </c>
      <c r="J1703" t="s">
        <v>1709</v>
      </c>
      <c r="K1703">
        <v>5291554.3300599996</v>
      </c>
      <c r="L1703" s="1">
        <f t="shared" si="106"/>
        <v>0</v>
      </c>
      <c r="M1703" s="1">
        <f t="shared" si="107"/>
        <v>0</v>
      </c>
      <c r="N1703" s="1">
        <f t="shared" si="108"/>
        <v>0</v>
      </c>
      <c r="O1703" s="1"/>
    </row>
    <row r="1704" spans="1:15" x14ac:dyDescent="0.25">
      <c r="A1704">
        <v>3101</v>
      </c>
      <c r="B1704">
        <v>8460.5485430000008</v>
      </c>
      <c r="C1704">
        <v>0</v>
      </c>
      <c r="D1704">
        <v>12480.358899999999</v>
      </c>
      <c r="E1704">
        <v>0</v>
      </c>
      <c r="F1704">
        <v>38224.114179999997</v>
      </c>
      <c r="G1704">
        <v>0</v>
      </c>
      <c r="H1704">
        <v>3101</v>
      </c>
      <c r="I1704" t="str">
        <f t="shared" si="105"/>
        <v>YES</v>
      </c>
      <c r="J1704" t="s">
        <v>1710</v>
      </c>
      <c r="K1704">
        <v>2924750.4264799999</v>
      </c>
      <c r="L1704" s="1">
        <f t="shared" si="106"/>
        <v>0</v>
      </c>
      <c r="M1704" s="1">
        <f t="shared" si="107"/>
        <v>0</v>
      </c>
      <c r="N1704" s="1">
        <f t="shared" si="108"/>
        <v>0</v>
      </c>
      <c r="O1704" s="1"/>
    </row>
    <row r="1705" spans="1:15" x14ac:dyDescent="0.25">
      <c r="A1705">
        <v>3102</v>
      </c>
      <c r="B1705">
        <v>7851.3275350000004</v>
      </c>
      <c r="C1705">
        <v>0</v>
      </c>
      <c r="D1705">
        <v>9862.8547209999997</v>
      </c>
      <c r="E1705">
        <v>0</v>
      </c>
      <c r="F1705">
        <v>35378.374459999999</v>
      </c>
      <c r="G1705">
        <v>0</v>
      </c>
      <c r="H1705">
        <v>3102</v>
      </c>
      <c r="I1705" t="str">
        <f t="shared" si="105"/>
        <v>YES</v>
      </c>
      <c r="J1705" t="s">
        <v>1711</v>
      </c>
      <c r="K1705">
        <v>747999.80786499998</v>
      </c>
      <c r="L1705" s="1">
        <f t="shared" si="106"/>
        <v>0</v>
      </c>
      <c r="M1705" s="1">
        <f t="shared" si="107"/>
        <v>0</v>
      </c>
      <c r="N1705" s="1">
        <f t="shared" si="108"/>
        <v>0</v>
      </c>
      <c r="O1705" s="1"/>
    </row>
    <row r="1706" spans="1:15" x14ac:dyDescent="0.25">
      <c r="A1706">
        <v>3103</v>
      </c>
      <c r="B1706">
        <v>4960.2122120000004</v>
      </c>
      <c r="C1706">
        <v>0</v>
      </c>
      <c r="D1706">
        <v>9416.9626509999998</v>
      </c>
      <c r="E1706">
        <v>0</v>
      </c>
      <c r="F1706">
        <v>34277.260540000003</v>
      </c>
      <c r="G1706">
        <v>0</v>
      </c>
      <c r="H1706">
        <v>3103</v>
      </c>
      <c r="I1706" t="str">
        <f t="shared" si="105"/>
        <v>YES</v>
      </c>
      <c r="J1706" t="s">
        <v>1712</v>
      </c>
      <c r="K1706">
        <v>957135.16902499995</v>
      </c>
      <c r="L1706" s="1">
        <f t="shared" si="106"/>
        <v>0</v>
      </c>
      <c r="M1706" s="1">
        <f t="shared" si="107"/>
        <v>0</v>
      </c>
      <c r="N1706" s="1">
        <f t="shared" si="108"/>
        <v>0</v>
      </c>
      <c r="O1706" s="1"/>
    </row>
    <row r="1707" spans="1:15" x14ac:dyDescent="0.25">
      <c r="A1707">
        <v>3104</v>
      </c>
      <c r="B1707">
        <v>300.53950049999997</v>
      </c>
      <c r="C1707">
        <v>0</v>
      </c>
      <c r="D1707">
        <v>3318.649179</v>
      </c>
      <c r="E1707">
        <v>0</v>
      </c>
      <c r="F1707">
        <v>8755.907792</v>
      </c>
      <c r="G1707">
        <v>0</v>
      </c>
      <c r="H1707">
        <v>3104</v>
      </c>
      <c r="I1707" t="str">
        <f t="shared" si="105"/>
        <v>YES</v>
      </c>
      <c r="J1707" t="s">
        <v>1713</v>
      </c>
      <c r="K1707">
        <v>11107015.6598</v>
      </c>
      <c r="L1707" s="1">
        <f t="shared" si="106"/>
        <v>0</v>
      </c>
      <c r="M1707" s="1">
        <f t="shared" si="107"/>
        <v>0</v>
      </c>
      <c r="N1707" s="1">
        <f t="shared" si="108"/>
        <v>0</v>
      </c>
      <c r="O1707" s="1"/>
    </row>
    <row r="1708" spans="1:15" x14ac:dyDescent="0.25">
      <c r="A1708">
        <v>3105</v>
      </c>
      <c r="B1708">
        <v>4415.8329750000003</v>
      </c>
      <c r="C1708">
        <v>0</v>
      </c>
      <c r="D1708">
        <v>5133.2071249999999</v>
      </c>
      <c r="E1708">
        <v>0</v>
      </c>
      <c r="F1708">
        <v>9717.5021510000006</v>
      </c>
      <c r="G1708">
        <v>0</v>
      </c>
      <c r="H1708">
        <v>3105</v>
      </c>
      <c r="I1708" t="str">
        <f t="shared" si="105"/>
        <v>YES</v>
      </c>
      <c r="J1708" t="s">
        <v>1714</v>
      </c>
      <c r="K1708">
        <v>4228861.9008900002</v>
      </c>
      <c r="L1708" s="1">
        <f t="shared" si="106"/>
        <v>0</v>
      </c>
      <c r="M1708" s="1">
        <f t="shared" si="107"/>
        <v>0</v>
      </c>
      <c r="N1708" s="1">
        <f t="shared" si="108"/>
        <v>0</v>
      </c>
      <c r="O1708" s="1"/>
    </row>
    <row r="1709" spans="1:15" x14ac:dyDescent="0.25">
      <c r="A1709">
        <v>3106</v>
      </c>
      <c r="B1709">
        <v>172.99491320000001</v>
      </c>
      <c r="C1709">
        <v>0</v>
      </c>
      <c r="D1709">
        <v>4588.8278879999998</v>
      </c>
      <c r="E1709">
        <v>0</v>
      </c>
      <c r="F1709">
        <v>8431.6628949999995</v>
      </c>
      <c r="G1709">
        <v>0</v>
      </c>
      <c r="H1709">
        <v>3106</v>
      </c>
      <c r="I1709" t="str">
        <f t="shared" si="105"/>
        <v>YES</v>
      </c>
      <c r="J1709" t="s">
        <v>1715</v>
      </c>
      <c r="K1709">
        <v>891525.91647299996</v>
      </c>
      <c r="L1709" s="1">
        <f t="shared" si="106"/>
        <v>0</v>
      </c>
      <c r="M1709" s="1">
        <f t="shared" si="107"/>
        <v>0</v>
      </c>
      <c r="N1709" s="1">
        <f t="shared" si="108"/>
        <v>0</v>
      </c>
      <c r="O1709" s="1"/>
    </row>
    <row r="1710" spans="1:15" x14ac:dyDescent="0.25">
      <c r="A1710">
        <v>3108</v>
      </c>
      <c r="B1710">
        <v>1060.8278379999999</v>
      </c>
      <c r="C1710">
        <v>0</v>
      </c>
      <c r="D1710">
        <v>5966.0228100000004</v>
      </c>
      <c r="E1710">
        <v>0</v>
      </c>
      <c r="F1710">
        <v>23863.419129999998</v>
      </c>
      <c r="G1710">
        <v>0</v>
      </c>
      <c r="H1710">
        <v>3108</v>
      </c>
      <c r="I1710" t="str">
        <f t="shared" si="105"/>
        <v>YES</v>
      </c>
      <c r="J1710" t="s">
        <v>1716</v>
      </c>
      <c r="K1710">
        <v>623582.97759200004</v>
      </c>
      <c r="L1710" s="1">
        <f t="shared" si="106"/>
        <v>0</v>
      </c>
      <c r="M1710" s="1">
        <f t="shared" si="107"/>
        <v>0</v>
      </c>
      <c r="N1710" s="1">
        <f t="shared" si="108"/>
        <v>0</v>
      </c>
      <c r="O1710" s="1"/>
    </row>
    <row r="1711" spans="1:15" x14ac:dyDescent="0.25">
      <c r="A1711">
        <v>3109</v>
      </c>
      <c r="B1711">
        <v>1942.3635380000001</v>
      </c>
      <c r="C1711">
        <v>0</v>
      </c>
      <c r="D1711">
        <v>14603.83512</v>
      </c>
      <c r="E1711">
        <v>0</v>
      </c>
      <c r="F1711">
        <v>25402.557000000001</v>
      </c>
      <c r="G1711">
        <v>0</v>
      </c>
      <c r="H1711">
        <v>3109</v>
      </c>
      <c r="I1711" t="str">
        <f t="shared" si="105"/>
        <v>YES</v>
      </c>
      <c r="J1711" t="s">
        <v>1717</v>
      </c>
      <c r="K1711">
        <v>2924613.2632399998</v>
      </c>
      <c r="L1711" s="1">
        <f t="shared" si="106"/>
        <v>0</v>
      </c>
      <c r="M1711" s="1">
        <f t="shared" si="107"/>
        <v>0</v>
      </c>
      <c r="N1711" s="1">
        <f t="shared" si="108"/>
        <v>0</v>
      </c>
      <c r="O1711" s="1"/>
    </row>
    <row r="1712" spans="1:15" x14ac:dyDescent="0.25">
      <c r="A1712">
        <v>3111</v>
      </c>
      <c r="B1712">
        <v>3951.9431610000001</v>
      </c>
      <c r="C1712">
        <v>0</v>
      </c>
      <c r="D1712">
        <v>14798.02126</v>
      </c>
      <c r="E1712">
        <v>0</v>
      </c>
      <c r="F1712">
        <v>25430.729780000001</v>
      </c>
      <c r="G1712">
        <v>0</v>
      </c>
      <c r="H1712">
        <v>3111</v>
      </c>
      <c r="I1712" t="str">
        <f t="shared" si="105"/>
        <v>YES</v>
      </c>
      <c r="J1712" t="s">
        <v>1718</v>
      </c>
      <c r="K1712">
        <v>916095.49685999996</v>
      </c>
      <c r="L1712" s="1">
        <f t="shared" si="106"/>
        <v>0</v>
      </c>
      <c r="M1712" s="1">
        <f t="shared" si="107"/>
        <v>0</v>
      </c>
      <c r="N1712" s="1">
        <f t="shared" si="108"/>
        <v>0</v>
      </c>
      <c r="O1712" s="1"/>
    </row>
    <row r="1713" spans="1:15" x14ac:dyDescent="0.25">
      <c r="A1713">
        <v>3112</v>
      </c>
      <c r="B1713">
        <v>3951.9431610000001</v>
      </c>
      <c r="C1713">
        <v>0</v>
      </c>
      <c r="D1713">
        <v>10859.50108</v>
      </c>
      <c r="E1713">
        <v>0</v>
      </c>
      <c r="F1713">
        <v>35538.160179999999</v>
      </c>
      <c r="G1713">
        <v>0</v>
      </c>
      <c r="H1713">
        <v>3112</v>
      </c>
      <c r="I1713" t="str">
        <f t="shared" si="105"/>
        <v>YES</v>
      </c>
      <c r="J1713" t="s">
        <v>1719</v>
      </c>
      <c r="K1713">
        <v>1615886.0460000001</v>
      </c>
      <c r="L1713" s="1">
        <f t="shared" si="106"/>
        <v>0</v>
      </c>
      <c r="M1713" s="1">
        <f t="shared" si="107"/>
        <v>0</v>
      </c>
      <c r="N1713" s="1">
        <f t="shared" si="108"/>
        <v>0</v>
      </c>
      <c r="O1713" s="1"/>
    </row>
    <row r="1714" spans="1:15" x14ac:dyDescent="0.25">
      <c r="A1714">
        <v>3113</v>
      </c>
      <c r="B1714">
        <v>1964.962278</v>
      </c>
      <c r="C1714">
        <v>0</v>
      </c>
      <c r="D1714">
        <v>4983.0719559999998</v>
      </c>
      <c r="E1714">
        <v>0</v>
      </c>
      <c r="F1714">
        <v>6040.5577960000001</v>
      </c>
      <c r="G1714">
        <v>0</v>
      </c>
      <c r="H1714">
        <v>3113</v>
      </c>
      <c r="I1714" t="str">
        <f t="shared" si="105"/>
        <v>YES</v>
      </c>
      <c r="J1714" t="s">
        <v>1720</v>
      </c>
      <c r="K1714">
        <v>8344319.9257899998</v>
      </c>
      <c r="L1714" s="1">
        <f t="shared" si="106"/>
        <v>0</v>
      </c>
      <c r="M1714" s="1">
        <f t="shared" si="107"/>
        <v>0</v>
      </c>
      <c r="N1714" s="1">
        <f t="shared" si="108"/>
        <v>0</v>
      </c>
      <c r="O1714" s="1"/>
    </row>
    <row r="1715" spans="1:15" x14ac:dyDescent="0.25">
      <c r="A1715">
        <v>3114</v>
      </c>
      <c r="B1715">
        <v>8878.3502449999996</v>
      </c>
      <c r="C1715">
        <v>0</v>
      </c>
      <c r="D1715">
        <v>35524.270770000003</v>
      </c>
      <c r="E1715">
        <v>0</v>
      </c>
      <c r="F1715">
        <v>44230.512629999997</v>
      </c>
      <c r="G1715">
        <v>0</v>
      </c>
      <c r="H1715">
        <v>3114</v>
      </c>
      <c r="I1715" t="str">
        <f t="shared" si="105"/>
        <v>YES</v>
      </c>
      <c r="J1715" t="s">
        <v>1721</v>
      </c>
      <c r="K1715">
        <v>951055.75771999999</v>
      </c>
      <c r="L1715" s="1">
        <f t="shared" si="106"/>
        <v>0</v>
      </c>
      <c r="M1715" s="1">
        <f t="shared" si="107"/>
        <v>0</v>
      </c>
      <c r="N1715" s="1">
        <f t="shared" si="108"/>
        <v>0</v>
      </c>
      <c r="O1715" s="1"/>
    </row>
    <row r="1716" spans="1:15" x14ac:dyDescent="0.25">
      <c r="A1716">
        <v>3115</v>
      </c>
      <c r="B1716">
        <v>7443.5224699999999</v>
      </c>
      <c r="C1716">
        <v>0</v>
      </c>
      <c r="D1716">
        <v>17420.737730000001</v>
      </c>
      <c r="E1716">
        <v>0</v>
      </c>
      <c r="F1716">
        <v>37778.294470000001</v>
      </c>
      <c r="G1716">
        <v>0</v>
      </c>
      <c r="H1716">
        <v>3115</v>
      </c>
      <c r="I1716" t="str">
        <f t="shared" si="105"/>
        <v>YES</v>
      </c>
      <c r="J1716" t="s">
        <v>1722</v>
      </c>
      <c r="K1716">
        <v>1808613.6471500001</v>
      </c>
      <c r="L1716" s="1">
        <f t="shared" si="106"/>
        <v>0</v>
      </c>
      <c r="M1716" s="1">
        <f t="shared" si="107"/>
        <v>0</v>
      </c>
      <c r="N1716" s="1">
        <f t="shared" si="108"/>
        <v>0</v>
      </c>
      <c r="O1716" s="1"/>
    </row>
    <row r="1717" spans="1:15" x14ac:dyDescent="0.25">
      <c r="A1717">
        <v>3116</v>
      </c>
      <c r="B1717">
        <v>7062.8252460000003</v>
      </c>
      <c r="C1717">
        <v>0</v>
      </c>
      <c r="D1717">
        <v>11321.759679999999</v>
      </c>
      <c r="E1717">
        <v>0</v>
      </c>
      <c r="F1717">
        <v>35610.506880000001</v>
      </c>
      <c r="G1717">
        <v>0</v>
      </c>
      <c r="H1717">
        <v>3116</v>
      </c>
      <c r="I1717" t="str">
        <f t="shared" si="105"/>
        <v>YES</v>
      </c>
      <c r="J1717" t="s">
        <v>1723</v>
      </c>
      <c r="K1717">
        <v>1459247.8988900001</v>
      </c>
      <c r="L1717" s="1">
        <f t="shared" si="106"/>
        <v>0</v>
      </c>
      <c r="M1717" s="1">
        <f t="shared" si="107"/>
        <v>0</v>
      </c>
      <c r="N1717" s="1">
        <f t="shared" si="108"/>
        <v>0</v>
      </c>
      <c r="O1717" s="1"/>
    </row>
    <row r="1718" spans="1:15" x14ac:dyDescent="0.25">
      <c r="A1718">
        <v>3117</v>
      </c>
      <c r="B1718">
        <v>8336.4206090000007</v>
      </c>
      <c r="C1718">
        <v>0</v>
      </c>
      <c r="D1718">
        <v>14320.856309999999</v>
      </c>
      <c r="E1718">
        <v>0</v>
      </c>
      <c r="F1718">
        <v>36792.577080000003</v>
      </c>
      <c r="G1718">
        <v>0</v>
      </c>
      <c r="H1718">
        <v>3117</v>
      </c>
      <c r="I1718" t="str">
        <f t="shared" si="105"/>
        <v>YES</v>
      </c>
      <c r="J1718" t="s">
        <v>1724</v>
      </c>
      <c r="K1718">
        <v>2860758.9522699998</v>
      </c>
      <c r="L1718" s="1">
        <f t="shared" si="106"/>
        <v>0</v>
      </c>
      <c r="M1718" s="1">
        <f t="shared" si="107"/>
        <v>0</v>
      </c>
      <c r="N1718" s="1">
        <f t="shared" si="108"/>
        <v>0</v>
      </c>
      <c r="O1718" s="1"/>
    </row>
    <row r="1719" spans="1:15" x14ac:dyDescent="0.25">
      <c r="A1719">
        <v>3120</v>
      </c>
      <c r="B1719">
        <v>7709.1287419999999</v>
      </c>
      <c r="C1719">
        <v>0</v>
      </c>
      <c r="D1719">
        <v>14144.029829999999</v>
      </c>
      <c r="E1719">
        <v>0</v>
      </c>
      <c r="F1719">
        <v>30773.50503</v>
      </c>
      <c r="G1719">
        <v>0</v>
      </c>
      <c r="H1719">
        <v>3120</v>
      </c>
      <c r="I1719" t="str">
        <f t="shared" si="105"/>
        <v>YES</v>
      </c>
      <c r="J1719" t="s">
        <v>1725</v>
      </c>
      <c r="K1719">
        <v>3456672.3129500002</v>
      </c>
      <c r="L1719" s="1">
        <f t="shared" si="106"/>
        <v>0</v>
      </c>
      <c r="M1719" s="1">
        <f t="shared" si="107"/>
        <v>0</v>
      </c>
      <c r="N1719" s="1">
        <f t="shared" si="108"/>
        <v>0</v>
      </c>
      <c r="O1719" s="1"/>
    </row>
    <row r="1720" spans="1:15" x14ac:dyDescent="0.25">
      <c r="A1720">
        <v>3121</v>
      </c>
      <c r="B1720">
        <v>460.63524219999999</v>
      </c>
      <c r="C1720">
        <v>0</v>
      </c>
      <c r="D1720">
        <v>21301.385719999998</v>
      </c>
      <c r="E1720">
        <v>0</v>
      </c>
      <c r="F1720">
        <v>40049.108820000001</v>
      </c>
      <c r="G1720">
        <v>0</v>
      </c>
      <c r="H1720">
        <v>3121</v>
      </c>
      <c r="I1720" t="str">
        <f t="shared" si="105"/>
        <v>YES</v>
      </c>
      <c r="J1720" t="s">
        <v>1726</v>
      </c>
      <c r="K1720">
        <v>2645156.9797399999</v>
      </c>
      <c r="L1720" s="1">
        <f t="shared" si="106"/>
        <v>0</v>
      </c>
      <c r="M1720" s="1">
        <f t="shared" si="107"/>
        <v>0</v>
      </c>
      <c r="N1720" s="1">
        <f t="shared" si="108"/>
        <v>0</v>
      </c>
      <c r="O1720" s="1"/>
    </row>
    <row r="1721" spans="1:15" x14ac:dyDescent="0.25">
      <c r="A1721">
        <v>3122</v>
      </c>
      <c r="B1721">
        <v>7353.9595330000002</v>
      </c>
      <c r="C1721">
        <v>0</v>
      </c>
      <c r="D1721">
        <v>31950.286100000001</v>
      </c>
      <c r="E1721">
        <v>0</v>
      </c>
      <c r="F1721">
        <v>54758.362330000004</v>
      </c>
      <c r="G1721">
        <v>0</v>
      </c>
      <c r="H1721">
        <v>3122</v>
      </c>
      <c r="I1721" t="str">
        <f t="shared" si="105"/>
        <v>YES</v>
      </c>
      <c r="J1721" t="s">
        <v>1727</v>
      </c>
      <c r="K1721">
        <v>956391.74670200003</v>
      </c>
      <c r="L1721" s="1">
        <f t="shared" si="106"/>
        <v>0</v>
      </c>
      <c r="M1721" s="1">
        <f t="shared" si="107"/>
        <v>0</v>
      </c>
      <c r="N1721" s="1">
        <f t="shared" si="108"/>
        <v>0</v>
      </c>
      <c r="O1721" s="1"/>
    </row>
    <row r="1722" spans="1:15" x14ac:dyDescent="0.25">
      <c r="A1722">
        <v>3123</v>
      </c>
      <c r="B1722">
        <v>2137.1332109999998</v>
      </c>
      <c r="C1722">
        <v>0</v>
      </c>
      <c r="D1722">
        <v>8653.8970590000008</v>
      </c>
      <c r="E1722">
        <v>0</v>
      </c>
      <c r="F1722">
        <v>35075.681299999997</v>
      </c>
      <c r="G1722">
        <v>0</v>
      </c>
      <c r="H1722">
        <v>3123</v>
      </c>
      <c r="I1722" t="str">
        <f t="shared" si="105"/>
        <v>YES</v>
      </c>
      <c r="J1722" t="s">
        <v>1728</v>
      </c>
      <c r="K1722">
        <v>1477547.8744000001</v>
      </c>
      <c r="L1722" s="1">
        <f t="shared" si="106"/>
        <v>0</v>
      </c>
      <c r="M1722" s="1">
        <f t="shared" si="107"/>
        <v>0</v>
      </c>
      <c r="N1722" s="1">
        <f t="shared" si="108"/>
        <v>0</v>
      </c>
      <c r="O1722" s="1"/>
    </row>
    <row r="1723" spans="1:15" x14ac:dyDescent="0.25">
      <c r="A1723">
        <v>3124</v>
      </c>
      <c r="B1723">
        <v>2300.3299160000001</v>
      </c>
      <c r="C1723">
        <v>0</v>
      </c>
      <c r="D1723">
        <v>17569.344990000001</v>
      </c>
      <c r="E1723">
        <v>0</v>
      </c>
      <c r="F1723">
        <v>42069.26629</v>
      </c>
      <c r="G1723">
        <v>0</v>
      </c>
      <c r="H1723">
        <v>3124</v>
      </c>
      <c r="I1723" t="str">
        <f t="shared" si="105"/>
        <v>YES</v>
      </c>
      <c r="J1723" t="s">
        <v>1729</v>
      </c>
      <c r="K1723">
        <v>1366996.57064</v>
      </c>
      <c r="L1723" s="1">
        <f t="shared" si="106"/>
        <v>0</v>
      </c>
      <c r="M1723" s="1">
        <f t="shared" si="107"/>
        <v>0</v>
      </c>
      <c r="N1723" s="1">
        <f t="shared" si="108"/>
        <v>0</v>
      </c>
      <c r="O1723" s="1"/>
    </row>
    <row r="1724" spans="1:15" x14ac:dyDescent="0.25">
      <c r="A1724">
        <v>3125</v>
      </c>
      <c r="B1724">
        <v>2740.1554850000002</v>
      </c>
      <c r="C1724">
        <v>0</v>
      </c>
      <c r="D1724">
        <v>10357.47752</v>
      </c>
      <c r="E1724">
        <v>0</v>
      </c>
      <c r="F1724">
        <v>40885.728909999998</v>
      </c>
      <c r="G1724">
        <v>0</v>
      </c>
      <c r="H1724">
        <v>3125</v>
      </c>
      <c r="I1724" t="str">
        <f t="shared" si="105"/>
        <v>YES</v>
      </c>
      <c r="J1724" t="s">
        <v>1730</v>
      </c>
      <c r="K1724">
        <v>1198779.0105699999</v>
      </c>
      <c r="L1724" s="1">
        <f t="shared" si="106"/>
        <v>0</v>
      </c>
      <c r="M1724" s="1">
        <f t="shared" si="107"/>
        <v>0</v>
      </c>
      <c r="N1724" s="1">
        <f t="shared" si="108"/>
        <v>0</v>
      </c>
      <c r="O1724" s="1"/>
    </row>
    <row r="1725" spans="1:15" x14ac:dyDescent="0.25">
      <c r="A1725">
        <v>3126</v>
      </c>
      <c r="B1725">
        <v>1867.3068659999999</v>
      </c>
      <c r="C1725">
        <v>0</v>
      </c>
      <c r="D1725">
        <v>6010.4334959999996</v>
      </c>
      <c r="E1725">
        <v>0</v>
      </c>
      <c r="F1725">
        <v>29065.392339999999</v>
      </c>
      <c r="G1725">
        <v>0</v>
      </c>
      <c r="H1725">
        <v>3126</v>
      </c>
      <c r="I1725" t="str">
        <f t="shared" si="105"/>
        <v>YES</v>
      </c>
      <c r="J1725" t="s">
        <v>1731</v>
      </c>
      <c r="K1725">
        <v>1410375.75183</v>
      </c>
      <c r="L1725" s="1">
        <f t="shared" si="106"/>
        <v>0</v>
      </c>
      <c r="M1725" s="1">
        <f t="shared" si="107"/>
        <v>0</v>
      </c>
      <c r="N1725" s="1">
        <f t="shared" si="108"/>
        <v>0</v>
      </c>
      <c r="O1725" s="1"/>
    </row>
    <row r="1726" spans="1:15" x14ac:dyDescent="0.25">
      <c r="A1726">
        <v>3127</v>
      </c>
      <c r="B1726">
        <v>842.54753879999998</v>
      </c>
      <c r="C1726">
        <v>0</v>
      </c>
      <c r="D1726">
        <v>5284.1097820000005</v>
      </c>
      <c r="E1726">
        <v>0</v>
      </c>
      <c r="F1726">
        <v>15286.311240000001</v>
      </c>
      <c r="G1726">
        <v>0</v>
      </c>
      <c r="H1726">
        <v>3127</v>
      </c>
      <c r="I1726" t="str">
        <f t="shared" si="105"/>
        <v>YES</v>
      </c>
      <c r="J1726" t="s">
        <v>1732</v>
      </c>
      <c r="K1726">
        <v>1392321.3988000001</v>
      </c>
      <c r="L1726" s="1">
        <f t="shared" si="106"/>
        <v>0</v>
      </c>
      <c r="M1726" s="1">
        <f t="shared" si="107"/>
        <v>0</v>
      </c>
      <c r="N1726" s="1">
        <f t="shared" si="108"/>
        <v>0</v>
      </c>
      <c r="O1726" s="1"/>
    </row>
    <row r="1727" spans="1:15" x14ac:dyDescent="0.25">
      <c r="A1727">
        <v>3128</v>
      </c>
      <c r="B1727">
        <v>635.10474420000003</v>
      </c>
      <c r="C1727">
        <v>0</v>
      </c>
      <c r="D1727">
        <v>5113.980321</v>
      </c>
      <c r="E1727">
        <v>0</v>
      </c>
      <c r="F1727">
        <v>9997.2357919999995</v>
      </c>
      <c r="G1727">
        <v>0</v>
      </c>
      <c r="H1727">
        <v>3128</v>
      </c>
      <c r="I1727" t="str">
        <f t="shared" si="105"/>
        <v>YES</v>
      </c>
      <c r="J1727" t="s">
        <v>1733</v>
      </c>
      <c r="K1727">
        <v>1827102.1106799999</v>
      </c>
      <c r="L1727" s="1">
        <f t="shared" si="106"/>
        <v>0</v>
      </c>
      <c r="M1727" s="1">
        <f t="shared" si="107"/>
        <v>0</v>
      </c>
      <c r="N1727" s="1">
        <f t="shared" si="108"/>
        <v>0</v>
      </c>
      <c r="O1727" s="1"/>
    </row>
    <row r="1728" spans="1:15" x14ac:dyDescent="0.25">
      <c r="A1728">
        <v>3129</v>
      </c>
      <c r="B1728">
        <v>842.54753879999998</v>
      </c>
      <c r="C1728">
        <v>0</v>
      </c>
      <c r="D1728">
        <v>4980.7612280000003</v>
      </c>
      <c r="E1728">
        <v>0</v>
      </c>
      <c r="F1728">
        <v>13957.20311</v>
      </c>
      <c r="G1728">
        <v>0</v>
      </c>
      <c r="H1728">
        <v>3129</v>
      </c>
      <c r="I1728" t="str">
        <f t="shared" si="105"/>
        <v>YES</v>
      </c>
      <c r="J1728" t="s">
        <v>1734</v>
      </c>
      <c r="K1728">
        <v>3126430.9057900002</v>
      </c>
      <c r="L1728" s="1">
        <f t="shared" si="106"/>
        <v>0</v>
      </c>
      <c r="M1728" s="1">
        <f t="shared" si="107"/>
        <v>0</v>
      </c>
      <c r="N1728" s="1">
        <f t="shared" si="108"/>
        <v>0</v>
      </c>
      <c r="O1728" s="1"/>
    </row>
    <row r="1729" spans="1:15" x14ac:dyDescent="0.25">
      <c r="A1729">
        <v>3130</v>
      </c>
      <c r="B1729">
        <v>693.7477811</v>
      </c>
      <c r="C1729">
        <v>0</v>
      </c>
      <c r="D1729">
        <v>3188.8025619999999</v>
      </c>
      <c r="E1729">
        <v>0</v>
      </c>
      <c r="F1729">
        <v>22432.703570000001</v>
      </c>
      <c r="G1729">
        <v>0</v>
      </c>
      <c r="H1729">
        <v>3130</v>
      </c>
      <c r="I1729" t="str">
        <f t="shared" si="105"/>
        <v>YES</v>
      </c>
      <c r="J1729" t="s">
        <v>1735</v>
      </c>
      <c r="K1729">
        <v>1279068.4339999999</v>
      </c>
      <c r="L1729" s="1">
        <f t="shared" si="106"/>
        <v>0</v>
      </c>
      <c r="M1729" s="1">
        <f t="shared" si="107"/>
        <v>0</v>
      </c>
      <c r="N1729" s="1">
        <f t="shared" si="108"/>
        <v>0</v>
      </c>
      <c r="O1729" s="1"/>
    </row>
    <row r="1730" spans="1:15" x14ac:dyDescent="0.25">
      <c r="A1730">
        <v>3131</v>
      </c>
      <c r="B1730">
        <v>404.88543429999999</v>
      </c>
      <c r="C1730">
        <v>0</v>
      </c>
      <c r="D1730">
        <v>538.10452799999996</v>
      </c>
      <c r="E1730">
        <v>0</v>
      </c>
      <c r="F1730">
        <v>5502.8343889999996</v>
      </c>
      <c r="G1730">
        <v>0</v>
      </c>
      <c r="H1730">
        <v>3131</v>
      </c>
      <c r="I1730" t="str">
        <f t="shared" ref="I1730:I1793" si="109">IF(A1730=H1730,"YES","NO")</f>
        <v>YES</v>
      </c>
      <c r="J1730" t="s">
        <v>1736</v>
      </c>
      <c r="K1730">
        <v>5952196.1166000003</v>
      </c>
      <c r="L1730" s="1">
        <f t="shared" si="106"/>
        <v>0</v>
      </c>
      <c r="M1730" s="1">
        <f t="shared" si="107"/>
        <v>0</v>
      </c>
      <c r="N1730" s="1">
        <f t="shared" si="108"/>
        <v>0</v>
      </c>
      <c r="O1730" s="1"/>
    </row>
    <row r="1731" spans="1:15" x14ac:dyDescent="0.25">
      <c r="A1731">
        <v>3200</v>
      </c>
      <c r="B1731">
        <v>10935.17598</v>
      </c>
      <c r="C1731">
        <v>0</v>
      </c>
      <c r="D1731">
        <v>18209.35529</v>
      </c>
      <c r="E1731">
        <v>0</v>
      </c>
      <c r="F1731">
        <v>44126.848610000001</v>
      </c>
      <c r="G1731">
        <v>0</v>
      </c>
      <c r="H1731">
        <v>3200</v>
      </c>
      <c r="I1731" t="str">
        <f t="shared" si="109"/>
        <v>YES</v>
      </c>
      <c r="J1731" t="s">
        <v>1737</v>
      </c>
      <c r="K1731">
        <v>1382919.0592100001</v>
      </c>
      <c r="L1731" s="1">
        <f t="shared" ref="L1731:L1794" si="110">$U$2*$K1731*C1731</f>
        <v>0</v>
      </c>
      <c r="M1731" s="1">
        <f t="shared" ref="M1731:M1794" si="111">$U$3*$K1731*E1731</f>
        <v>0</v>
      </c>
      <c r="N1731" s="1">
        <f t="shared" ref="N1731:N1794" si="112">$U$4*$K1731*G1731</f>
        <v>0</v>
      </c>
      <c r="O1731" s="1"/>
    </row>
    <row r="1732" spans="1:15" x14ac:dyDescent="0.25">
      <c r="A1732">
        <v>3201</v>
      </c>
      <c r="B1732">
        <v>1602.4422420000001</v>
      </c>
      <c r="C1732">
        <v>0</v>
      </c>
      <c r="D1732">
        <v>16892.785810000001</v>
      </c>
      <c r="E1732">
        <v>0</v>
      </c>
      <c r="F1732">
        <v>37260.846870000001</v>
      </c>
      <c r="G1732">
        <v>0</v>
      </c>
      <c r="H1732">
        <v>3201</v>
      </c>
      <c r="I1732" t="str">
        <f t="shared" si="109"/>
        <v>YES</v>
      </c>
      <c r="J1732" t="s">
        <v>1738</v>
      </c>
      <c r="K1732">
        <v>772502.61543799995</v>
      </c>
      <c r="L1732" s="1">
        <f t="shared" si="110"/>
        <v>0</v>
      </c>
      <c r="M1732" s="1">
        <f t="shared" si="111"/>
        <v>0</v>
      </c>
      <c r="N1732" s="1">
        <f t="shared" si="112"/>
        <v>0</v>
      </c>
      <c r="O1732" s="1"/>
    </row>
    <row r="1733" spans="1:15" x14ac:dyDescent="0.25">
      <c r="A1733">
        <v>3202</v>
      </c>
      <c r="B1733">
        <v>9582.0120719999995</v>
      </c>
      <c r="C1733">
        <v>0</v>
      </c>
      <c r="D1733">
        <v>25093.718690000002</v>
      </c>
      <c r="E1733">
        <v>0</v>
      </c>
      <c r="F1733">
        <v>51288.332119999999</v>
      </c>
      <c r="G1733">
        <v>0</v>
      </c>
      <c r="H1733">
        <v>3202</v>
      </c>
      <c r="I1733" t="str">
        <f t="shared" si="109"/>
        <v>YES</v>
      </c>
      <c r="J1733" t="s">
        <v>1739</v>
      </c>
      <c r="K1733">
        <v>1149023.69092</v>
      </c>
      <c r="L1733" s="1">
        <f t="shared" si="110"/>
        <v>0</v>
      </c>
      <c r="M1733" s="1">
        <f t="shared" si="111"/>
        <v>0</v>
      </c>
      <c r="N1733" s="1">
        <f t="shared" si="112"/>
        <v>0</v>
      </c>
      <c r="O1733" s="1"/>
    </row>
    <row r="1734" spans="1:15" x14ac:dyDescent="0.25">
      <c r="A1734">
        <v>3203</v>
      </c>
      <c r="B1734">
        <v>1073.728288</v>
      </c>
      <c r="C1734">
        <v>0</v>
      </c>
      <c r="D1734">
        <v>17059.419150000002</v>
      </c>
      <c r="E1734">
        <v>0</v>
      </c>
      <c r="F1734">
        <v>36880.149640000003</v>
      </c>
      <c r="G1734">
        <v>0</v>
      </c>
      <c r="H1734">
        <v>3203</v>
      </c>
      <c r="I1734" t="str">
        <f t="shared" si="109"/>
        <v>YES</v>
      </c>
      <c r="J1734" t="s">
        <v>1740</v>
      </c>
      <c r="K1734">
        <v>1604256.9507299999</v>
      </c>
      <c r="L1734" s="1">
        <f t="shared" si="110"/>
        <v>0</v>
      </c>
      <c r="M1734" s="1">
        <f t="shared" si="111"/>
        <v>0</v>
      </c>
      <c r="N1734" s="1">
        <f t="shared" si="112"/>
        <v>0</v>
      </c>
      <c r="O1734" s="1"/>
    </row>
    <row r="1735" spans="1:15" x14ac:dyDescent="0.25">
      <c r="A1735">
        <v>3204</v>
      </c>
      <c r="B1735">
        <v>1372.9235329999999</v>
      </c>
      <c r="C1735">
        <v>0</v>
      </c>
      <c r="D1735">
        <v>17376.96833</v>
      </c>
      <c r="E1735">
        <v>0</v>
      </c>
      <c r="F1735">
        <v>31452.044559999998</v>
      </c>
      <c r="G1735">
        <v>0</v>
      </c>
      <c r="H1735">
        <v>3204</v>
      </c>
      <c r="I1735" t="str">
        <f t="shared" si="109"/>
        <v>YES</v>
      </c>
      <c r="J1735" t="s">
        <v>1741</v>
      </c>
      <c r="K1735">
        <v>1195633.5589399999</v>
      </c>
      <c r="L1735" s="1">
        <f t="shared" si="110"/>
        <v>0</v>
      </c>
      <c r="M1735" s="1">
        <f t="shared" si="111"/>
        <v>0</v>
      </c>
      <c r="N1735" s="1">
        <f t="shared" si="112"/>
        <v>0</v>
      </c>
      <c r="O1735" s="1"/>
    </row>
    <row r="1736" spans="1:15" x14ac:dyDescent="0.25">
      <c r="A1736">
        <v>3205</v>
      </c>
      <c r="B1736">
        <v>166.63334370000001</v>
      </c>
      <c r="C1736">
        <v>0</v>
      </c>
      <c r="D1736">
        <v>1142.3677399999999</v>
      </c>
      <c r="E1736">
        <v>0</v>
      </c>
      <c r="F1736">
        <v>12605.343080000001</v>
      </c>
      <c r="G1736">
        <v>0</v>
      </c>
      <c r="H1736">
        <v>3205</v>
      </c>
      <c r="I1736" t="str">
        <f t="shared" si="109"/>
        <v>YES</v>
      </c>
      <c r="J1736" t="s">
        <v>1742</v>
      </c>
      <c r="K1736">
        <v>1845511.3321499999</v>
      </c>
      <c r="L1736" s="1">
        <f t="shared" si="110"/>
        <v>0</v>
      </c>
      <c r="M1736" s="1">
        <f t="shared" si="111"/>
        <v>0</v>
      </c>
      <c r="N1736" s="1">
        <f t="shared" si="112"/>
        <v>0</v>
      </c>
      <c r="O1736" s="1"/>
    </row>
    <row r="1737" spans="1:15" x14ac:dyDescent="0.25">
      <c r="A1737">
        <v>3206</v>
      </c>
      <c r="B1737">
        <v>1223.348168</v>
      </c>
      <c r="C1737">
        <v>0</v>
      </c>
      <c r="D1737">
        <v>8957.7045600000001</v>
      </c>
      <c r="E1737">
        <v>0</v>
      </c>
      <c r="F1737">
        <v>18682.275689999999</v>
      </c>
      <c r="G1737">
        <v>0</v>
      </c>
      <c r="H1737">
        <v>3206</v>
      </c>
      <c r="I1737" t="str">
        <f t="shared" si="109"/>
        <v>YES</v>
      </c>
      <c r="J1737" t="s">
        <v>1743</v>
      </c>
      <c r="K1737">
        <v>1110971.00761</v>
      </c>
      <c r="L1737" s="1">
        <f t="shared" si="110"/>
        <v>0</v>
      </c>
      <c r="M1737" s="1">
        <f t="shared" si="111"/>
        <v>0</v>
      </c>
      <c r="N1737" s="1">
        <f t="shared" si="112"/>
        <v>0</v>
      </c>
      <c r="O1737" s="1"/>
    </row>
    <row r="1738" spans="1:15" x14ac:dyDescent="0.25">
      <c r="A1738">
        <v>3207</v>
      </c>
      <c r="B1738">
        <v>218.09424290000001</v>
      </c>
      <c r="C1738">
        <v>0</v>
      </c>
      <c r="D1738">
        <v>1223.348168</v>
      </c>
      <c r="E1738">
        <v>0</v>
      </c>
      <c r="F1738">
        <v>8361.3827369999999</v>
      </c>
      <c r="G1738">
        <v>0</v>
      </c>
      <c r="H1738">
        <v>3207</v>
      </c>
      <c r="I1738" t="str">
        <f t="shared" si="109"/>
        <v>YES</v>
      </c>
      <c r="J1738" t="s">
        <v>1744</v>
      </c>
      <c r="K1738">
        <v>2199960.0808199998</v>
      </c>
      <c r="L1738" s="1">
        <f t="shared" si="110"/>
        <v>0</v>
      </c>
      <c r="M1738" s="1">
        <f t="shared" si="111"/>
        <v>0</v>
      </c>
      <c r="N1738" s="1">
        <f t="shared" si="112"/>
        <v>0</v>
      </c>
      <c r="O1738" s="1"/>
    </row>
    <row r="1739" spans="1:15" x14ac:dyDescent="0.25">
      <c r="A1739">
        <v>3208</v>
      </c>
      <c r="B1739">
        <v>159.48646120000001</v>
      </c>
      <c r="C1739">
        <v>0</v>
      </c>
      <c r="D1739">
        <v>159.48646120000001</v>
      </c>
      <c r="E1739">
        <v>0</v>
      </c>
      <c r="F1739">
        <v>159.48646120000001</v>
      </c>
      <c r="G1739">
        <v>0</v>
      </c>
      <c r="H1739">
        <v>3208</v>
      </c>
      <c r="I1739" t="str">
        <f t="shared" si="109"/>
        <v>YES</v>
      </c>
      <c r="J1739" t="s">
        <v>1745</v>
      </c>
      <c r="K1739">
        <v>25333998.157200001</v>
      </c>
      <c r="L1739" s="1">
        <f t="shared" si="110"/>
        <v>0</v>
      </c>
      <c r="M1739" s="1">
        <f t="shared" si="111"/>
        <v>0</v>
      </c>
      <c r="N1739" s="1">
        <f t="shared" si="112"/>
        <v>0</v>
      </c>
      <c r="O1739" s="1"/>
    </row>
    <row r="1740" spans="1:15" x14ac:dyDescent="0.25">
      <c r="A1740">
        <v>3209</v>
      </c>
      <c r="B1740">
        <v>2454.1784299999999</v>
      </c>
      <c r="C1740">
        <v>0</v>
      </c>
      <c r="D1740">
        <v>24130.443469999998</v>
      </c>
      <c r="E1740">
        <v>0</v>
      </c>
      <c r="F1740">
        <v>54313.687310000001</v>
      </c>
      <c r="G1740">
        <v>0</v>
      </c>
      <c r="H1740">
        <v>3209</v>
      </c>
      <c r="I1740" t="str">
        <f t="shared" si="109"/>
        <v>YES</v>
      </c>
      <c r="J1740" t="s">
        <v>1746</v>
      </c>
      <c r="K1740">
        <v>930521.69475999998</v>
      </c>
      <c r="L1740" s="1">
        <f t="shared" si="110"/>
        <v>0</v>
      </c>
      <c r="M1740" s="1">
        <f t="shared" si="111"/>
        <v>0</v>
      </c>
      <c r="N1740" s="1">
        <f t="shared" si="112"/>
        <v>0</v>
      </c>
      <c r="O1740" s="1"/>
    </row>
    <row r="1741" spans="1:15" x14ac:dyDescent="0.25">
      <c r="A1741">
        <v>3210</v>
      </c>
      <c r="B1741">
        <v>17539.454829999999</v>
      </c>
      <c r="C1741">
        <v>0</v>
      </c>
      <c r="D1741">
        <v>36605.103620000002</v>
      </c>
      <c r="E1741">
        <v>0</v>
      </c>
      <c r="F1741">
        <v>66988.57849</v>
      </c>
      <c r="G1741">
        <v>0</v>
      </c>
      <c r="H1741">
        <v>3210</v>
      </c>
      <c r="I1741" t="str">
        <f t="shared" si="109"/>
        <v>YES</v>
      </c>
      <c r="J1741" t="s">
        <v>1747</v>
      </c>
      <c r="K1741">
        <v>526056.21614599996</v>
      </c>
      <c r="L1741" s="1">
        <f t="shared" si="110"/>
        <v>0</v>
      </c>
      <c r="M1741" s="1">
        <f t="shared" si="111"/>
        <v>0</v>
      </c>
      <c r="N1741" s="1">
        <f t="shared" si="112"/>
        <v>0</v>
      </c>
      <c r="O1741" s="1"/>
    </row>
    <row r="1742" spans="1:15" x14ac:dyDescent="0.25">
      <c r="A1742">
        <v>3211</v>
      </c>
      <c r="B1742">
        <v>4362.4895489999999</v>
      </c>
      <c r="C1742">
        <v>0</v>
      </c>
      <c r="D1742">
        <v>29424.995849999999</v>
      </c>
      <c r="E1742">
        <v>0</v>
      </c>
      <c r="F1742">
        <v>56204.768819999998</v>
      </c>
      <c r="G1742">
        <v>0</v>
      </c>
      <c r="H1742">
        <v>3211</v>
      </c>
      <c r="I1742" t="str">
        <f t="shared" si="109"/>
        <v>YES</v>
      </c>
      <c r="J1742" t="s">
        <v>1748</v>
      </c>
      <c r="K1742">
        <v>1652643.6807500001</v>
      </c>
      <c r="L1742" s="1">
        <f t="shared" si="110"/>
        <v>0</v>
      </c>
      <c r="M1742" s="1">
        <f t="shared" si="111"/>
        <v>0</v>
      </c>
      <c r="N1742" s="1">
        <f t="shared" si="112"/>
        <v>0</v>
      </c>
      <c r="O1742" s="1"/>
    </row>
    <row r="1743" spans="1:15" x14ac:dyDescent="0.25">
      <c r="A1743">
        <v>3212</v>
      </c>
      <c r="B1743">
        <v>9862.0537179999992</v>
      </c>
      <c r="C1743">
        <v>0</v>
      </c>
      <c r="D1743">
        <v>37423.793720000001</v>
      </c>
      <c r="E1743">
        <v>0</v>
      </c>
      <c r="F1743">
        <v>64956.561450000001</v>
      </c>
      <c r="G1743">
        <v>0</v>
      </c>
      <c r="H1743">
        <v>3212</v>
      </c>
      <c r="I1743" t="str">
        <f t="shared" si="109"/>
        <v>YES</v>
      </c>
      <c r="J1743" t="s">
        <v>1749</v>
      </c>
      <c r="K1743">
        <v>768664.56053000002</v>
      </c>
      <c r="L1743" s="1">
        <f t="shared" si="110"/>
        <v>0</v>
      </c>
      <c r="M1743" s="1">
        <f t="shared" si="111"/>
        <v>0</v>
      </c>
      <c r="N1743" s="1">
        <f t="shared" si="112"/>
        <v>0</v>
      </c>
      <c r="O1743" s="1"/>
    </row>
    <row r="1744" spans="1:15" x14ac:dyDescent="0.25">
      <c r="A1744">
        <v>3213</v>
      </c>
      <c r="B1744">
        <v>5033.0379190000003</v>
      </c>
      <c r="C1744">
        <v>0</v>
      </c>
      <c r="D1744">
        <v>22954.585429999999</v>
      </c>
      <c r="E1744">
        <v>0</v>
      </c>
      <c r="F1744">
        <v>51588.341569999997</v>
      </c>
      <c r="G1744">
        <v>0</v>
      </c>
      <c r="H1744">
        <v>3213</v>
      </c>
      <c r="I1744" t="str">
        <f t="shared" si="109"/>
        <v>YES</v>
      </c>
      <c r="J1744" t="s">
        <v>1750</v>
      </c>
      <c r="K1744">
        <v>1650115.56724</v>
      </c>
      <c r="L1744" s="1">
        <f t="shared" si="110"/>
        <v>0</v>
      </c>
      <c r="M1744" s="1">
        <f t="shared" si="111"/>
        <v>0</v>
      </c>
      <c r="N1744" s="1">
        <f t="shared" si="112"/>
        <v>0</v>
      </c>
      <c r="O1744" s="1"/>
    </row>
    <row r="1745" spans="1:15" x14ac:dyDescent="0.25">
      <c r="A1745">
        <v>3214</v>
      </c>
      <c r="B1745">
        <v>10768.625899999999</v>
      </c>
      <c r="C1745">
        <v>0</v>
      </c>
      <c r="D1745">
        <v>26501.144410000001</v>
      </c>
      <c r="E1745">
        <v>0</v>
      </c>
      <c r="F1745">
        <v>51591.722549999999</v>
      </c>
      <c r="G1745">
        <v>0</v>
      </c>
      <c r="H1745">
        <v>3214</v>
      </c>
      <c r="I1745" t="str">
        <f t="shared" si="109"/>
        <v>YES</v>
      </c>
      <c r="J1745" t="s">
        <v>1751</v>
      </c>
      <c r="K1745">
        <v>594202.27000699996</v>
      </c>
      <c r="L1745" s="1">
        <f t="shared" si="110"/>
        <v>0</v>
      </c>
      <c r="M1745" s="1">
        <f t="shared" si="111"/>
        <v>0</v>
      </c>
      <c r="N1745" s="1">
        <f t="shared" si="112"/>
        <v>0</v>
      </c>
      <c r="O1745" s="1"/>
    </row>
    <row r="1746" spans="1:15" x14ac:dyDescent="0.25">
      <c r="A1746">
        <v>3215</v>
      </c>
      <c r="B1746">
        <v>19314.033879999999</v>
      </c>
      <c r="C1746">
        <v>0</v>
      </c>
      <c r="D1746">
        <v>44311.166169999997</v>
      </c>
      <c r="E1746">
        <v>0</v>
      </c>
      <c r="F1746">
        <v>82161.809399999998</v>
      </c>
      <c r="G1746">
        <v>0</v>
      </c>
      <c r="H1746">
        <v>3215</v>
      </c>
      <c r="I1746" t="str">
        <f t="shared" si="109"/>
        <v>YES</v>
      </c>
      <c r="J1746" t="s">
        <v>1752</v>
      </c>
      <c r="K1746">
        <v>673768.74319199997</v>
      </c>
      <c r="L1746" s="1">
        <f t="shared" si="110"/>
        <v>0</v>
      </c>
      <c r="M1746" s="1">
        <f t="shared" si="111"/>
        <v>0</v>
      </c>
      <c r="N1746" s="1">
        <f t="shared" si="112"/>
        <v>0</v>
      </c>
      <c r="O1746" s="1"/>
    </row>
    <row r="1747" spans="1:15" x14ac:dyDescent="0.25">
      <c r="A1747">
        <v>3216</v>
      </c>
      <c r="B1747">
        <v>8882.9600549999996</v>
      </c>
      <c r="C1747">
        <v>0</v>
      </c>
      <c r="D1747">
        <v>24489.432239999998</v>
      </c>
      <c r="E1747">
        <v>0</v>
      </c>
      <c r="F1747">
        <v>51239.690269999999</v>
      </c>
      <c r="G1747">
        <v>0</v>
      </c>
      <c r="H1747">
        <v>3216</v>
      </c>
      <c r="I1747" t="str">
        <f t="shared" si="109"/>
        <v>YES</v>
      </c>
      <c r="J1747" t="s">
        <v>1753</v>
      </c>
      <c r="K1747">
        <v>649353.79569000006</v>
      </c>
      <c r="L1747" s="1">
        <f t="shared" si="110"/>
        <v>0</v>
      </c>
      <c r="M1747" s="1">
        <f t="shared" si="111"/>
        <v>0</v>
      </c>
      <c r="N1747" s="1">
        <f t="shared" si="112"/>
        <v>0</v>
      </c>
      <c r="O1747" s="1"/>
    </row>
    <row r="1748" spans="1:15" x14ac:dyDescent="0.25">
      <c r="A1748">
        <v>3217</v>
      </c>
      <c r="B1748">
        <v>3145.6921849999999</v>
      </c>
      <c r="C1748">
        <v>0</v>
      </c>
      <c r="D1748">
        <v>17990.17985</v>
      </c>
      <c r="E1748">
        <v>0</v>
      </c>
      <c r="F1748">
        <v>41730.401299999998</v>
      </c>
      <c r="G1748">
        <v>0</v>
      </c>
      <c r="H1748">
        <v>3217</v>
      </c>
      <c r="I1748" t="str">
        <f t="shared" si="109"/>
        <v>YES</v>
      </c>
      <c r="J1748" t="s">
        <v>1754</v>
      </c>
      <c r="K1748">
        <v>2774626.6247700001</v>
      </c>
      <c r="L1748" s="1">
        <f t="shared" si="110"/>
        <v>0</v>
      </c>
      <c r="M1748" s="1">
        <f t="shared" si="111"/>
        <v>0</v>
      </c>
      <c r="N1748" s="1">
        <f t="shared" si="112"/>
        <v>0</v>
      </c>
      <c r="O1748" s="1"/>
    </row>
    <row r="1749" spans="1:15" x14ac:dyDescent="0.25">
      <c r="A1749">
        <v>3218</v>
      </c>
      <c r="B1749">
        <v>3655.7311300000001</v>
      </c>
      <c r="C1749">
        <v>0</v>
      </c>
      <c r="D1749">
        <v>19420.81595</v>
      </c>
      <c r="E1749">
        <v>0</v>
      </c>
      <c r="F1749">
        <v>41856.188609999997</v>
      </c>
      <c r="G1749">
        <v>0</v>
      </c>
      <c r="H1749">
        <v>3218</v>
      </c>
      <c r="I1749" t="str">
        <f t="shared" si="109"/>
        <v>YES</v>
      </c>
      <c r="J1749" t="s">
        <v>1755</v>
      </c>
      <c r="K1749">
        <v>872375.79535000003</v>
      </c>
      <c r="L1749" s="1">
        <f t="shared" si="110"/>
        <v>0</v>
      </c>
      <c r="M1749" s="1">
        <f t="shared" si="111"/>
        <v>0</v>
      </c>
      <c r="N1749" s="1">
        <f t="shared" si="112"/>
        <v>0</v>
      </c>
      <c r="O1749" s="1"/>
    </row>
    <row r="1750" spans="1:15" x14ac:dyDescent="0.25">
      <c r="A1750">
        <v>3219</v>
      </c>
      <c r="B1750">
        <v>9407.1229899999998</v>
      </c>
      <c r="C1750">
        <v>0</v>
      </c>
      <c r="D1750">
        <v>24772.76395</v>
      </c>
      <c r="E1750">
        <v>0</v>
      </c>
      <c r="F1750">
        <v>51508.012390000004</v>
      </c>
      <c r="G1750">
        <v>0</v>
      </c>
      <c r="H1750">
        <v>3219</v>
      </c>
      <c r="I1750" t="str">
        <f t="shared" si="109"/>
        <v>YES</v>
      </c>
      <c r="J1750" t="s">
        <v>1756</v>
      </c>
      <c r="K1750">
        <v>1202966.92234</v>
      </c>
      <c r="L1750" s="1">
        <f t="shared" si="110"/>
        <v>0</v>
      </c>
      <c r="M1750" s="1">
        <f t="shared" si="111"/>
        <v>0</v>
      </c>
      <c r="N1750" s="1">
        <f t="shared" si="112"/>
        <v>0</v>
      </c>
      <c r="O1750" s="1"/>
    </row>
    <row r="1751" spans="1:15" x14ac:dyDescent="0.25">
      <c r="A1751">
        <v>3220</v>
      </c>
      <c r="B1751">
        <v>18806.266879999999</v>
      </c>
      <c r="C1751">
        <v>0</v>
      </c>
      <c r="D1751">
        <v>52405.17899</v>
      </c>
      <c r="E1751">
        <v>0</v>
      </c>
      <c r="F1751">
        <v>83394.022140000001</v>
      </c>
      <c r="G1751">
        <v>0</v>
      </c>
      <c r="H1751">
        <v>3220</v>
      </c>
      <c r="I1751" t="str">
        <f t="shared" si="109"/>
        <v>YES</v>
      </c>
      <c r="J1751" t="s">
        <v>1757</v>
      </c>
      <c r="K1751">
        <v>308584.61729600001</v>
      </c>
      <c r="L1751" s="1">
        <f t="shared" si="110"/>
        <v>0</v>
      </c>
      <c r="M1751" s="1">
        <f t="shared" si="111"/>
        <v>0</v>
      </c>
      <c r="N1751" s="1">
        <f t="shared" si="112"/>
        <v>0</v>
      </c>
      <c r="O1751" s="1"/>
    </row>
    <row r="1752" spans="1:15" x14ac:dyDescent="0.25">
      <c r="A1752">
        <v>3221</v>
      </c>
      <c r="B1752">
        <v>16104.98782</v>
      </c>
      <c r="C1752">
        <v>0</v>
      </c>
      <c r="D1752">
        <v>39681.426829999997</v>
      </c>
      <c r="E1752">
        <v>0</v>
      </c>
      <c r="F1752">
        <v>72790.420140000002</v>
      </c>
      <c r="G1752">
        <v>0</v>
      </c>
      <c r="H1752">
        <v>3221</v>
      </c>
      <c r="I1752" t="str">
        <f t="shared" si="109"/>
        <v>YES</v>
      </c>
      <c r="J1752" t="s">
        <v>1758</v>
      </c>
      <c r="K1752">
        <v>740173.84578099998</v>
      </c>
      <c r="L1752" s="1">
        <f t="shared" si="110"/>
        <v>0</v>
      </c>
      <c r="M1752" s="1">
        <f t="shared" si="111"/>
        <v>0</v>
      </c>
      <c r="N1752" s="1">
        <f t="shared" si="112"/>
        <v>0</v>
      </c>
      <c r="O1752" s="1"/>
    </row>
    <row r="1753" spans="1:15" x14ac:dyDescent="0.25">
      <c r="A1753">
        <v>3222</v>
      </c>
      <c r="B1753">
        <v>13339.6121</v>
      </c>
      <c r="C1753">
        <v>0</v>
      </c>
      <c r="D1753">
        <v>37675.033259999997</v>
      </c>
      <c r="E1753">
        <v>0</v>
      </c>
      <c r="F1753">
        <v>71941.736069999999</v>
      </c>
      <c r="G1753">
        <v>0</v>
      </c>
      <c r="H1753">
        <v>3222</v>
      </c>
      <c r="I1753" t="str">
        <f t="shared" si="109"/>
        <v>YES</v>
      </c>
      <c r="J1753" t="s">
        <v>1759</v>
      </c>
      <c r="K1753">
        <v>380248.258875</v>
      </c>
      <c r="L1753" s="1">
        <f t="shared" si="110"/>
        <v>0</v>
      </c>
      <c r="M1753" s="1">
        <f t="shared" si="111"/>
        <v>0</v>
      </c>
      <c r="N1753" s="1">
        <f t="shared" si="112"/>
        <v>0</v>
      </c>
      <c r="O1753" s="1"/>
    </row>
    <row r="1754" spans="1:15" x14ac:dyDescent="0.25">
      <c r="A1754">
        <v>3224</v>
      </c>
      <c r="B1754">
        <v>399.66045930000001</v>
      </c>
      <c r="C1754">
        <v>0</v>
      </c>
      <c r="D1754">
        <v>550.20990640000002</v>
      </c>
      <c r="E1754">
        <v>0</v>
      </c>
      <c r="F1754">
        <v>923.01730499999996</v>
      </c>
      <c r="G1754">
        <v>0</v>
      </c>
      <c r="H1754">
        <v>3224</v>
      </c>
      <c r="I1754" t="str">
        <f t="shared" si="109"/>
        <v>YES</v>
      </c>
      <c r="J1754" t="s">
        <v>1760</v>
      </c>
      <c r="K1754">
        <v>6500766.3899299996</v>
      </c>
      <c r="L1754" s="1">
        <f t="shared" si="110"/>
        <v>0</v>
      </c>
      <c r="M1754" s="1">
        <f t="shared" si="111"/>
        <v>0</v>
      </c>
      <c r="N1754" s="1">
        <f t="shared" si="112"/>
        <v>0</v>
      </c>
      <c r="O1754" s="1"/>
    </row>
    <row r="1755" spans="1:15" x14ac:dyDescent="0.25">
      <c r="A1755">
        <v>3225</v>
      </c>
      <c r="B1755">
        <v>1284.570275</v>
      </c>
      <c r="C1755">
        <v>0</v>
      </c>
      <c r="D1755">
        <v>4495.3543529999997</v>
      </c>
      <c r="E1755">
        <v>0</v>
      </c>
      <c r="F1755">
        <v>33562.514219999997</v>
      </c>
      <c r="G1755">
        <v>0</v>
      </c>
      <c r="H1755">
        <v>3225</v>
      </c>
      <c r="I1755" t="str">
        <f t="shared" si="109"/>
        <v>YES</v>
      </c>
      <c r="J1755" t="s">
        <v>1761</v>
      </c>
      <c r="K1755">
        <v>1493487.0159100001</v>
      </c>
      <c r="L1755" s="1">
        <f t="shared" si="110"/>
        <v>0</v>
      </c>
      <c r="M1755" s="1">
        <f t="shared" si="111"/>
        <v>0</v>
      </c>
      <c r="N1755" s="1">
        <f t="shared" si="112"/>
        <v>0</v>
      </c>
      <c r="O1755" s="1"/>
    </row>
    <row r="1756" spans="1:15" x14ac:dyDescent="0.25">
      <c r="A1756">
        <v>3226</v>
      </c>
      <c r="B1756">
        <v>208.8008821</v>
      </c>
      <c r="C1756">
        <v>0</v>
      </c>
      <c r="D1756">
        <v>3582.878635</v>
      </c>
      <c r="E1756">
        <v>0</v>
      </c>
      <c r="F1756">
        <v>33959.011489999997</v>
      </c>
      <c r="G1756">
        <v>0</v>
      </c>
      <c r="H1756">
        <v>3226</v>
      </c>
      <c r="I1756" t="str">
        <f t="shared" si="109"/>
        <v>YES</v>
      </c>
      <c r="J1756" t="s">
        <v>1762</v>
      </c>
      <c r="K1756">
        <v>3027301.6033299998</v>
      </c>
      <c r="L1756" s="1">
        <f t="shared" si="110"/>
        <v>0</v>
      </c>
      <c r="M1756" s="1">
        <f t="shared" si="111"/>
        <v>0</v>
      </c>
      <c r="N1756" s="1">
        <f t="shared" si="112"/>
        <v>0</v>
      </c>
      <c r="O1756" s="1"/>
    </row>
    <row r="1757" spans="1:15" x14ac:dyDescent="0.25">
      <c r="A1757">
        <v>3227</v>
      </c>
      <c r="B1757">
        <v>2971.363535</v>
      </c>
      <c r="C1757">
        <v>0</v>
      </c>
      <c r="D1757">
        <v>8990.7181220000002</v>
      </c>
      <c r="E1757">
        <v>0</v>
      </c>
      <c r="F1757">
        <v>40619.19642</v>
      </c>
      <c r="G1757">
        <v>0</v>
      </c>
      <c r="H1757">
        <v>3227</v>
      </c>
      <c r="I1757" t="str">
        <f t="shared" si="109"/>
        <v>YES</v>
      </c>
      <c r="J1757" t="s">
        <v>1763</v>
      </c>
      <c r="K1757">
        <v>1161043.7256799999</v>
      </c>
      <c r="L1757" s="1">
        <f t="shared" si="110"/>
        <v>0</v>
      </c>
      <c r="M1757" s="1">
        <f t="shared" si="111"/>
        <v>0</v>
      </c>
      <c r="N1757" s="1">
        <f t="shared" si="112"/>
        <v>0</v>
      </c>
      <c r="O1757" s="1"/>
    </row>
    <row r="1758" spans="1:15" x14ac:dyDescent="0.25">
      <c r="A1758">
        <v>3228</v>
      </c>
      <c r="B1758">
        <v>3432.3291880000002</v>
      </c>
      <c r="C1758">
        <v>0</v>
      </c>
      <c r="D1758">
        <v>10861.60419</v>
      </c>
      <c r="E1758">
        <v>0</v>
      </c>
      <c r="F1758">
        <v>41812.495430000003</v>
      </c>
      <c r="G1758">
        <v>0</v>
      </c>
      <c r="H1758">
        <v>3228</v>
      </c>
      <c r="I1758" t="str">
        <f t="shared" si="109"/>
        <v>YES</v>
      </c>
      <c r="J1758" t="s">
        <v>1764</v>
      </c>
      <c r="K1758">
        <v>1162195.5489399999</v>
      </c>
      <c r="L1758" s="1">
        <f t="shared" si="110"/>
        <v>0</v>
      </c>
      <c r="M1758" s="1">
        <f t="shared" si="111"/>
        <v>0</v>
      </c>
      <c r="N1758" s="1">
        <f t="shared" si="112"/>
        <v>0</v>
      </c>
      <c r="O1758" s="1"/>
    </row>
    <row r="1759" spans="1:15" x14ac:dyDescent="0.25">
      <c r="A1759">
        <v>3229</v>
      </c>
      <c r="B1759">
        <v>751.05322739999997</v>
      </c>
      <c r="C1759">
        <v>0</v>
      </c>
      <c r="D1759">
        <v>1215.549107</v>
      </c>
      <c r="E1759">
        <v>0</v>
      </c>
      <c r="F1759">
        <v>4468.2026059999998</v>
      </c>
      <c r="G1759">
        <v>0</v>
      </c>
      <c r="H1759">
        <v>3229</v>
      </c>
      <c r="I1759" t="str">
        <f t="shared" si="109"/>
        <v>YES</v>
      </c>
      <c r="J1759" t="s">
        <v>1765</v>
      </c>
      <c r="K1759">
        <v>2623005.3934599999</v>
      </c>
      <c r="L1759" s="1">
        <f t="shared" si="110"/>
        <v>0</v>
      </c>
      <c r="M1759" s="1">
        <f t="shared" si="111"/>
        <v>0</v>
      </c>
      <c r="N1759" s="1">
        <f t="shared" si="112"/>
        <v>0</v>
      </c>
      <c r="O1759" s="1"/>
    </row>
    <row r="1760" spans="1:15" x14ac:dyDescent="0.25">
      <c r="A1760">
        <v>3230</v>
      </c>
      <c r="B1760">
        <v>1014.207363</v>
      </c>
      <c r="C1760">
        <v>0</v>
      </c>
      <c r="D1760">
        <v>17245.344659999999</v>
      </c>
      <c r="E1760">
        <v>0</v>
      </c>
      <c r="F1760">
        <v>44491.007680000002</v>
      </c>
      <c r="G1760">
        <v>0</v>
      </c>
      <c r="H1760">
        <v>3230</v>
      </c>
      <c r="I1760" t="str">
        <f t="shared" si="109"/>
        <v>YES</v>
      </c>
      <c r="J1760" t="s">
        <v>1766</v>
      </c>
      <c r="K1760">
        <v>1600027.1950999999</v>
      </c>
      <c r="L1760" s="1">
        <f t="shared" si="110"/>
        <v>0</v>
      </c>
      <c r="M1760" s="1">
        <f t="shared" si="111"/>
        <v>0</v>
      </c>
      <c r="N1760" s="1">
        <f t="shared" si="112"/>
        <v>0</v>
      </c>
      <c r="O1760" s="1"/>
    </row>
    <row r="1761" spans="1:15" x14ac:dyDescent="0.25">
      <c r="A1761">
        <v>3231</v>
      </c>
      <c r="B1761">
        <v>632.50098209999999</v>
      </c>
      <c r="C1761">
        <v>0</v>
      </c>
      <c r="D1761">
        <v>20303.63306</v>
      </c>
      <c r="E1761">
        <v>0</v>
      </c>
      <c r="F1761">
        <v>45047.585180000002</v>
      </c>
      <c r="G1761">
        <v>0</v>
      </c>
      <c r="H1761">
        <v>3231</v>
      </c>
      <c r="I1761" t="str">
        <f t="shared" si="109"/>
        <v>YES</v>
      </c>
      <c r="J1761" t="s">
        <v>1767</v>
      </c>
      <c r="K1761">
        <v>1343566.78846</v>
      </c>
      <c r="L1761" s="1">
        <f t="shared" si="110"/>
        <v>0</v>
      </c>
      <c r="M1761" s="1">
        <f t="shared" si="111"/>
        <v>0</v>
      </c>
      <c r="N1761" s="1">
        <f t="shared" si="112"/>
        <v>0</v>
      </c>
      <c r="O1761" s="1"/>
    </row>
    <row r="1762" spans="1:15" x14ac:dyDescent="0.25">
      <c r="A1762">
        <v>3232</v>
      </c>
      <c r="B1762">
        <v>376.80598470000001</v>
      </c>
      <c r="C1762">
        <v>0</v>
      </c>
      <c r="D1762">
        <v>6014.6415939999997</v>
      </c>
      <c r="E1762">
        <v>0</v>
      </c>
      <c r="F1762">
        <v>24081.82907</v>
      </c>
      <c r="G1762">
        <v>0</v>
      </c>
      <c r="H1762">
        <v>3232</v>
      </c>
      <c r="I1762" t="str">
        <f t="shared" si="109"/>
        <v>YES</v>
      </c>
      <c r="J1762" t="s">
        <v>1768</v>
      </c>
      <c r="K1762">
        <v>3966743.9451100002</v>
      </c>
      <c r="L1762" s="1">
        <f t="shared" si="110"/>
        <v>0</v>
      </c>
      <c r="M1762" s="1">
        <f t="shared" si="111"/>
        <v>0</v>
      </c>
      <c r="N1762" s="1">
        <f t="shared" si="112"/>
        <v>0</v>
      </c>
      <c r="O1762" s="1"/>
    </row>
    <row r="1763" spans="1:15" x14ac:dyDescent="0.25">
      <c r="A1763">
        <v>3238</v>
      </c>
      <c r="B1763">
        <v>70.432966199999996</v>
      </c>
      <c r="C1763">
        <v>0</v>
      </c>
      <c r="D1763">
        <v>113.0159537</v>
      </c>
      <c r="E1763">
        <v>0</v>
      </c>
      <c r="F1763">
        <v>152.3291581</v>
      </c>
      <c r="G1763">
        <v>0</v>
      </c>
      <c r="H1763">
        <v>3238</v>
      </c>
      <c r="I1763" t="str">
        <f t="shared" si="109"/>
        <v>YES</v>
      </c>
      <c r="J1763" t="s">
        <v>1769</v>
      </c>
      <c r="K1763">
        <v>3153445.7548600002</v>
      </c>
      <c r="L1763" s="1">
        <f t="shared" si="110"/>
        <v>0</v>
      </c>
      <c r="M1763" s="1">
        <f t="shared" si="111"/>
        <v>0</v>
      </c>
      <c r="N1763" s="1">
        <f t="shared" si="112"/>
        <v>0</v>
      </c>
      <c r="O1763" s="1"/>
    </row>
    <row r="1764" spans="1:15" x14ac:dyDescent="0.25">
      <c r="A1764">
        <v>3239</v>
      </c>
      <c r="B1764">
        <v>5689.9427539999997</v>
      </c>
      <c r="C1764">
        <v>0</v>
      </c>
      <c r="D1764">
        <v>63824.687680000003</v>
      </c>
      <c r="E1764">
        <v>0</v>
      </c>
      <c r="F1764">
        <v>225310.08309999999</v>
      </c>
      <c r="G1764">
        <v>0</v>
      </c>
      <c r="H1764">
        <v>3239</v>
      </c>
      <c r="I1764" t="str">
        <f t="shared" si="109"/>
        <v>YES</v>
      </c>
      <c r="J1764" t="s">
        <v>1770</v>
      </c>
      <c r="K1764">
        <v>1153108.76465</v>
      </c>
      <c r="L1764" s="1">
        <f t="shared" si="110"/>
        <v>0</v>
      </c>
      <c r="M1764" s="1">
        <f t="shared" si="111"/>
        <v>0</v>
      </c>
      <c r="N1764" s="1">
        <f t="shared" si="112"/>
        <v>0</v>
      </c>
      <c r="O1764" s="1"/>
    </row>
    <row r="1765" spans="1:15" x14ac:dyDescent="0.25">
      <c r="A1765">
        <v>3240</v>
      </c>
      <c r="B1765">
        <v>90.230443230000006</v>
      </c>
      <c r="C1765">
        <v>0</v>
      </c>
      <c r="D1765">
        <v>978.02045510000005</v>
      </c>
      <c r="E1765">
        <v>0</v>
      </c>
      <c r="F1765">
        <v>26323.37528</v>
      </c>
      <c r="G1765">
        <v>0</v>
      </c>
      <c r="H1765">
        <v>3240</v>
      </c>
      <c r="I1765" t="str">
        <f t="shared" si="109"/>
        <v>YES</v>
      </c>
      <c r="J1765" t="s">
        <v>1771</v>
      </c>
      <c r="K1765">
        <v>512267.646343</v>
      </c>
      <c r="L1765" s="1">
        <f t="shared" si="110"/>
        <v>0</v>
      </c>
      <c r="M1765" s="1">
        <f t="shared" si="111"/>
        <v>0</v>
      </c>
      <c r="N1765" s="1">
        <f t="shared" si="112"/>
        <v>0</v>
      </c>
      <c r="O1765" s="1"/>
    </row>
    <row r="1766" spans="1:15" x14ac:dyDescent="0.25">
      <c r="A1766">
        <v>3241</v>
      </c>
      <c r="B1766">
        <v>129.54364770000001</v>
      </c>
      <c r="C1766">
        <v>0</v>
      </c>
      <c r="D1766">
        <v>17847.816159999998</v>
      </c>
      <c r="E1766">
        <v>0</v>
      </c>
      <c r="F1766">
        <v>60538.504439999997</v>
      </c>
      <c r="G1766">
        <v>0</v>
      </c>
      <c r="H1766">
        <v>3241</v>
      </c>
      <c r="I1766" t="str">
        <f t="shared" si="109"/>
        <v>YES</v>
      </c>
      <c r="J1766" t="s">
        <v>1772</v>
      </c>
      <c r="K1766">
        <v>1018864.49264</v>
      </c>
      <c r="L1766" s="1">
        <f t="shared" si="110"/>
        <v>0</v>
      </c>
      <c r="M1766" s="1">
        <f t="shared" si="111"/>
        <v>0</v>
      </c>
      <c r="N1766" s="1">
        <f t="shared" si="112"/>
        <v>0</v>
      </c>
      <c r="O1766" s="1"/>
    </row>
    <row r="1767" spans="1:15" x14ac:dyDescent="0.25">
      <c r="A1767">
        <v>3242</v>
      </c>
      <c r="B1767">
        <v>104.9280256</v>
      </c>
      <c r="C1767">
        <v>0</v>
      </c>
      <c r="D1767">
        <v>12944.147489999999</v>
      </c>
      <c r="E1767">
        <v>0</v>
      </c>
      <c r="F1767">
        <v>48492.297850000003</v>
      </c>
      <c r="G1767">
        <v>0</v>
      </c>
      <c r="H1767">
        <v>3242</v>
      </c>
      <c r="I1767" t="str">
        <f t="shared" si="109"/>
        <v>YES</v>
      </c>
      <c r="J1767" t="s">
        <v>1773</v>
      </c>
      <c r="K1767">
        <v>777967.88911400002</v>
      </c>
      <c r="L1767" s="1">
        <f t="shared" si="110"/>
        <v>0</v>
      </c>
      <c r="M1767" s="1">
        <f t="shared" si="111"/>
        <v>0</v>
      </c>
      <c r="N1767" s="1">
        <f t="shared" si="112"/>
        <v>0</v>
      </c>
      <c r="O1767" s="1"/>
    </row>
    <row r="1768" spans="1:15" x14ac:dyDescent="0.25">
      <c r="A1768">
        <v>3243</v>
      </c>
      <c r="B1768">
        <v>42.582987459999998</v>
      </c>
      <c r="C1768">
        <v>0</v>
      </c>
      <c r="D1768">
        <v>463.48874119999999</v>
      </c>
      <c r="E1768">
        <v>0</v>
      </c>
      <c r="F1768">
        <v>3291.0993910000002</v>
      </c>
      <c r="G1768">
        <v>0</v>
      </c>
      <c r="H1768">
        <v>3243</v>
      </c>
      <c r="I1768" t="str">
        <f t="shared" si="109"/>
        <v>YES</v>
      </c>
      <c r="J1768" t="s">
        <v>1774</v>
      </c>
      <c r="K1768">
        <v>4004016.0234500002</v>
      </c>
      <c r="L1768" s="1">
        <f t="shared" si="110"/>
        <v>0</v>
      </c>
      <c r="M1768" s="1">
        <f t="shared" si="111"/>
        <v>0</v>
      </c>
      <c r="N1768" s="1">
        <f t="shared" si="112"/>
        <v>0</v>
      </c>
      <c r="O1768" s="1"/>
    </row>
    <row r="1769" spans="1:15" x14ac:dyDescent="0.25">
      <c r="A1769">
        <v>3244</v>
      </c>
      <c r="B1769">
        <v>10563.242459999999</v>
      </c>
      <c r="C1769">
        <v>0</v>
      </c>
      <c r="D1769">
        <v>12798.382100000001</v>
      </c>
      <c r="E1769">
        <v>0</v>
      </c>
      <c r="F1769">
        <v>27613.23645</v>
      </c>
      <c r="G1769">
        <v>0</v>
      </c>
      <c r="H1769">
        <v>3244</v>
      </c>
      <c r="I1769" t="str">
        <f t="shared" si="109"/>
        <v>YES</v>
      </c>
      <c r="J1769" t="s">
        <v>1775</v>
      </c>
      <c r="K1769">
        <v>1566209.1135</v>
      </c>
      <c r="L1769" s="1">
        <f t="shared" si="110"/>
        <v>0</v>
      </c>
      <c r="M1769" s="1">
        <f t="shared" si="111"/>
        <v>0</v>
      </c>
      <c r="N1769" s="1">
        <f t="shared" si="112"/>
        <v>0</v>
      </c>
      <c r="O1769" s="1"/>
    </row>
    <row r="1770" spans="1:15" x14ac:dyDescent="0.25">
      <c r="A1770">
        <v>3245</v>
      </c>
      <c r="B1770">
        <v>98.612018980000002</v>
      </c>
      <c r="C1770">
        <v>0</v>
      </c>
      <c r="D1770">
        <v>98.612018980000002</v>
      </c>
      <c r="E1770">
        <v>0</v>
      </c>
      <c r="F1770">
        <v>249.92851150000001</v>
      </c>
      <c r="G1770">
        <v>0</v>
      </c>
      <c r="H1770">
        <v>3245</v>
      </c>
      <c r="I1770" t="str">
        <f t="shared" si="109"/>
        <v>YES</v>
      </c>
      <c r="J1770" t="s">
        <v>1776</v>
      </c>
      <c r="K1770">
        <v>6405819.7847899999</v>
      </c>
      <c r="L1770" s="1">
        <f t="shared" si="110"/>
        <v>0</v>
      </c>
      <c r="M1770" s="1">
        <f t="shared" si="111"/>
        <v>0</v>
      </c>
      <c r="N1770" s="1">
        <f t="shared" si="112"/>
        <v>0</v>
      </c>
      <c r="O1770" s="1"/>
    </row>
    <row r="1771" spans="1:15" x14ac:dyDescent="0.25">
      <c r="A1771">
        <v>3246</v>
      </c>
      <c r="B1771">
        <v>10563.242459999999</v>
      </c>
      <c r="C1771">
        <v>0</v>
      </c>
      <c r="D1771">
        <v>13313.295899999999</v>
      </c>
      <c r="E1771">
        <v>0</v>
      </c>
      <c r="F1771">
        <v>49200.93361</v>
      </c>
      <c r="G1771">
        <v>0</v>
      </c>
      <c r="H1771">
        <v>3246</v>
      </c>
      <c r="I1771" t="str">
        <f t="shared" si="109"/>
        <v>YES</v>
      </c>
      <c r="J1771" t="s">
        <v>1777</v>
      </c>
      <c r="K1771">
        <v>1332685.62411</v>
      </c>
      <c r="L1771" s="1">
        <f t="shared" si="110"/>
        <v>0</v>
      </c>
      <c r="M1771" s="1">
        <f t="shared" si="111"/>
        <v>0</v>
      </c>
      <c r="N1771" s="1">
        <f t="shared" si="112"/>
        <v>0</v>
      </c>
      <c r="O1771" s="1"/>
    </row>
    <row r="1772" spans="1:15" x14ac:dyDescent="0.25">
      <c r="A1772">
        <v>3247</v>
      </c>
      <c r="B1772">
        <v>14888.392610000001</v>
      </c>
      <c r="C1772">
        <v>0</v>
      </c>
      <c r="D1772">
        <v>50042.998639999998</v>
      </c>
      <c r="E1772">
        <v>0</v>
      </c>
      <c r="F1772">
        <v>123912.1597</v>
      </c>
      <c r="G1772">
        <v>0</v>
      </c>
      <c r="H1772">
        <v>3247</v>
      </c>
      <c r="I1772" t="str">
        <f t="shared" si="109"/>
        <v>YES</v>
      </c>
      <c r="J1772" t="s">
        <v>1778</v>
      </c>
      <c r="K1772">
        <v>1824445.7022800001</v>
      </c>
      <c r="L1772" s="1">
        <f t="shared" si="110"/>
        <v>0</v>
      </c>
      <c r="M1772" s="1">
        <f t="shared" si="111"/>
        <v>0</v>
      </c>
      <c r="N1772" s="1">
        <f t="shared" si="112"/>
        <v>0</v>
      </c>
      <c r="O1772" s="1"/>
    </row>
    <row r="1773" spans="1:15" x14ac:dyDescent="0.25">
      <c r="A1773">
        <v>3248</v>
      </c>
      <c r="B1773">
        <v>7387.8457719999997</v>
      </c>
      <c r="C1773">
        <v>0</v>
      </c>
      <c r="D1773">
        <v>31044.070729999999</v>
      </c>
      <c r="E1773">
        <v>0</v>
      </c>
      <c r="F1773">
        <v>80968.752909999996</v>
      </c>
      <c r="G1773">
        <v>0</v>
      </c>
      <c r="H1773">
        <v>3248</v>
      </c>
      <c r="I1773" t="str">
        <f t="shared" si="109"/>
        <v>YES</v>
      </c>
      <c r="J1773" t="s">
        <v>1779</v>
      </c>
      <c r="K1773">
        <v>1123038.8380400001</v>
      </c>
      <c r="L1773" s="1">
        <f t="shared" si="110"/>
        <v>0</v>
      </c>
      <c r="M1773" s="1">
        <f t="shared" si="111"/>
        <v>0</v>
      </c>
      <c r="N1773" s="1">
        <f t="shared" si="112"/>
        <v>0</v>
      </c>
      <c r="O1773" s="1"/>
    </row>
    <row r="1774" spans="1:15" x14ac:dyDescent="0.25">
      <c r="A1774">
        <v>3249</v>
      </c>
      <c r="B1774">
        <v>6827.8445069999998</v>
      </c>
      <c r="C1774">
        <v>0</v>
      </c>
      <c r="D1774">
        <v>13213.24677</v>
      </c>
      <c r="E1774">
        <v>0</v>
      </c>
      <c r="F1774">
        <v>49248.452230000003</v>
      </c>
      <c r="G1774">
        <v>0</v>
      </c>
      <c r="H1774">
        <v>3249</v>
      </c>
      <c r="I1774" t="str">
        <f t="shared" si="109"/>
        <v>YES</v>
      </c>
      <c r="J1774" t="s">
        <v>1780</v>
      </c>
      <c r="K1774">
        <v>1259543.5196700001</v>
      </c>
      <c r="L1774" s="1">
        <f t="shared" si="110"/>
        <v>0</v>
      </c>
      <c r="M1774" s="1">
        <f t="shared" si="111"/>
        <v>0</v>
      </c>
      <c r="N1774" s="1">
        <f t="shared" si="112"/>
        <v>0</v>
      </c>
      <c r="O1774" s="1"/>
    </row>
    <row r="1775" spans="1:15" x14ac:dyDescent="0.25">
      <c r="A1775">
        <v>3250</v>
      </c>
      <c r="B1775">
        <v>1125.229955</v>
      </c>
      <c r="C1775">
        <v>0</v>
      </c>
      <c r="D1775">
        <v>1125.229955</v>
      </c>
      <c r="E1775">
        <v>0</v>
      </c>
      <c r="F1775">
        <v>11728.394480000001</v>
      </c>
      <c r="G1775">
        <v>0</v>
      </c>
      <c r="H1775">
        <v>3250</v>
      </c>
      <c r="I1775" t="str">
        <f t="shared" si="109"/>
        <v>YES</v>
      </c>
      <c r="J1775" t="s">
        <v>1781</v>
      </c>
      <c r="K1775">
        <v>2065965.6402199999</v>
      </c>
      <c r="L1775" s="1">
        <f t="shared" si="110"/>
        <v>0</v>
      </c>
      <c r="M1775" s="1">
        <f t="shared" si="111"/>
        <v>0</v>
      </c>
      <c r="N1775" s="1">
        <f t="shared" si="112"/>
        <v>0</v>
      </c>
      <c r="O1775" s="1"/>
    </row>
    <row r="1776" spans="1:15" x14ac:dyDescent="0.25">
      <c r="A1776">
        <v>3251</v>
      </c>
      <c r="B1776">
        <v>9440.1339220000009</v>
      </c>
      <c r="C1776">
        <v>0</v>
      </c>
      <c r="D1776">
        <v>33373.883470000001</v>
      </c>
      <c r="E1776">
        <v>0</v>
      </c>
      <c r="F1776">
        <v>61227.793109999999</v>
      </c>
      <c r="G1776">
        <v>0</v>
      </c>
      <c r="H1776">
        <v>3251</v>
      </c>
      <c r="I1776" t="str">
        <f t="shared" si="109"/>
        <v>YES</v>
      </c>
      <c r="J1776" t="s">
        <v>1782</v>
      </c>
      <c r="K1776">
        <v>1309274.7137</v>
      </c>
      <c r="L1776" s="1">
        <f t="shared" si="110"/>
        <v>0</v>
      </c>
      <c r="M1776" s="1">
        <f t="shared" si="111"/>
        <v>0</v>
      </c>
      <c r="N1776" s="1">
        <f t="shared" si="112"/>
        <v>0</v>
      </c>
      <c r="O1776" s="1"/>
    </row>
    <row r="1777" spans="1:15" x14ac:dyDescent="0.25">
      <c r="A1777">
        <v>3252</v>
      </c>
      <c r="B1777">
        <v>7502.545889</v>
      </c>
      <c r="C1777">
        <v>0</v>
      </c>
      <c r="D1777">
        <v>15112.83044</v>
      </c>
      <c r="E1777">
        <v>0</v>
      </c>
      <c r="F1777">
        <v>40096.033309999999</v>
      </c>
      <c r="G1777">
        <v>0</v>
      </c>
      <c r="H1777">
        <v>3252</v>
      </c>
      <c r="I1777" t="str">
        <f t="shared" si="109"/>
        <v>YES</v>
      </c>
      <c r="J1777" t="s">
        <v>1783</v>
      </c>
      <c r="K1777">
        <v>866125.486638</v>
      </c>
      <c r="L1777" s="1">
        <f t="shared" si="110"/>
        <v>0</v>
      </c>
      <c r="M1777" s="1">
        <f t="shared" si="111"/>
        <v>0</v>
      </c>
      <c r="N1777" s="1">
        <f t="shared" si="112"/>
        <v>0</v>
      </c>
      <c r="O1777" s="1"/>
    </row>
    <row r="1778" spans="1:15" x14ac:dyDescent="0.25">
      <c r="A1778">
        <v>3253</v>
      </c>
      <c r="B1778">
        <v>871.32689909999999</v>
      </c>
      <c r="C1778">
        <v>0</v>
      </c>
      <c r="D1778">
        <v>11605.78254</v>
      </c>
      <c r="E1778">
        <v>0</v>
      </c>
      <c r="F1778">
        <v>43178.567730000002</v>
      </c>
      <c r="G1778">
        <v>0</v>
      </c>
      <c r="H1778">
        <v>3253</v>
      </c>
      <c r="I1778" t="str">
        <f t="shared" si="109"/>
        <v>YES</v>
      </c>
      <c r="J1778" t="s">
        <v>1784</v>
      </c>
      <c r="K1778">
        <v>2492473.90527</v>
      </c>
      <c r="L1778" s="1">
        <f t="shared" si="110"/>
        <v>0</v>
      </c>
      <c r="M1778" s="1">
        <f t="shared" si="111"/>
        <v>0</v>
      </c>
      <c r="N1778" s="1">
        <f t="shared" si="112"/>
        <v>0</v>
      </c>
      <c r="O1778" s="1"/>
    </row>
    <row r="1779" spans="1:15" x14ac:dyDescent="0.25">
      <c r="A1779">
        <v>3269</v>
      </c>
      <c r="B1779">
        <v>6946.8977640000003</v>
      </c>
      <c r="C1779">
        <v>0</v>
      </c>
      <c r="D1779">
        <v>32033.316760000002</v>
      </c>
      <c r="E1779">
        <v>0</v>
      </c>
      <c r="F1779">
        <v>56168.757769999997</v>
      </c>
      <c r="G1779">
        <v>0</v>
      </c>
      <c r="H1779">
        <v>3269</v>
      </c>
      <c r="I1779" t="str">
        <f t="shared" si="109"/>
        <v>YES</v>
      </c>
      <c r="J1779" t="s">
        <v>1785</v>
      </c>
      <c r="K1779">
        <v>2028806.5727500001</v>
      </c>
      <c r="L1779" s="1">
        <f t="shared" si="110"/>
        <v>0</v>
      </c>
      <c r="M1779" s="1">
        <f t="shared" si="111"/>
        <v>0</v>
      </c>
      <c r="N1779" s="1">
        <f t="shared" si="112"/>
        <v>0</v>
      </c>
      <c r="O1779" s="1"/>
    </row>
    <row r="1780" spans="1:15" x14ac:dyDescent="0.25">
      <c r="A1780">
        <v>3270</v>
      </c>
      <c r="B1780">
        <v>262.35515220000002</v>
      </c>
      <c r="C1780">
        <v>0</v>
      </c>
      <c r="D1780">
        <v>262.35515220000002</v>
      </c>
      <c r="E1780">
        <v>0</v>
      </c>
      <c r="F1780">
        <v>1143.570072</v>
      </c>
      <c r="G1780">
        <v>0</v>
      </c>
      <c r="H1780">
        <v>3270</v>
      </c>
      <c r="I1780" t="str">
        <f t="shared" si="109"/>
        <v>YES</v>
      </c>
      <c r="J1780" t="s">
        <v>1786</v>
      </c>
      <c r="K1780">
        <v>17193394.647300001</v>
      </c>
      <c r="L1780" s="1">
        <f t="shared" si="110"/>
        <v>0</v>
      </c>
      <c r="M1780" s="1">
        <f t="shared" si="111"/>
        <v>0</v>
      </c>
      <c r="N1780" s="1">
        <f t="shared" si="112"/>
        <v>0</v>
      </c>
      <c r="O1780" s="1"/>
    </row>
    <row r="1781" spans="1:15" x14ac:dyDescent="0.25">
      <c r="A1781">
        <v>3271</v>
      </c>
      <c r="B1781">
        <v>10647.062550000001</v>
      </c>
      <c r="C1781">
        <v>0</v>
      </c>
      <c r="D1781">
        <v>33927.245459999998</v>
      </c>
      <c r="E1781">
        <v>0</v>
      </c>
      <c r="F1781">
        <v>59064.21529</v>
      </c>
      <c r="G1781">
        <v>0</v>
      </c>
      <c r="H1781">
        <v>3271</v>
      </c>
      <c r="I1781" t="str">
        <f t="shared" si="109"/>
        <v>YES</v>
      </c>
      <c r="J1781" t="s">
        <v>1787</v>
      </c>
      <c r="K1781">
        <v>911162.61614299996</v>
      </c>
      <c r="L1781" s="1">
        <f t="shared" si="110"/>
        <v>0</v>
      </c>
      <c r="M1781" s="1">
        <f t="shared" si="111"/>
        <v>0</v>
      </c>
      <c r="N1781" s="1">
        <f t="shared" si="112"/>
        <v>0</v>
      </c>
      <c r="O1781" s="1"/>
    </row>
    <row r="1782" spans="1:15" x14ac:dyDescent="0.25">
      <c r="A1782">
        <v>3272</v>
      </c>
      <c r="B1782">
        <v>2935.9743480000002</v>
      </c>
      <c r="C1782">
        <v>0</v>
      </c>
      <c r="D1782">
        <v>20356.840219999998</v>
      </c>
      <c r="E1782">
        <v>0</v>
      </c>
      <c r="F1782">
        <v>48385.598980000002</v>
      </c>
      <c r="G1782">
        <v>0</v>
      </c>
      <c r="H1782">
        <v>3272</v>
      </c>
      <c r="I1782" t="str">
        <f t="shared" si="109"/>
        <v>YES</v>
      </c>
      <c r="J1782" t="s">
        <v>1788</v>
      </c>
      <c r="K1782">
        <v>531065.88980799995</v>
      </c>
      <c r="L1782" s="1">
        <f t="shared" si="110"/>
        <v>0</v>
      </c>
      <c r="M1782" s="1">
        <f t="shared" si="111"/>
        <v>0</v>
      </c>
      <c r="N1782" s="1">
        <f t="shared" si="112"/>
        <v>0</v>
      </c>
      <c r="O1782" s="1"/>
    </row>
    <row r="1783" spans="1:15" x14ac:dyDescent="0.25">
      <c r="A1783">
        <v>3273</v>
      </c>
      <c r="B1783">
        <v>450.40450370000002</v>
      </c>
      <c r="C1783">
        <v>0</v>
      </c>
      <c r="D1783">
        <v>8603.2801789999994</v>
      </c>
      <c r="E1783">
        <v>0</v>
      </c>
      <c r="F1783">
        <v>22520.449110000001</v>
      </c>
      <c r="G1783">
        <v>0</v>
      </c>
      <c r="H1783">
        <v>3273</v>
      </c>
      <c r="I1783" t="str">
        <f t="shared" si="109"/>
        <v>YES</v>
      </c>
      <c r="J1783" t="s">
        <v>1789</v>
      </c>
      <c r="K1783">
        <v>1477183.92044</v>
      </c>
      <c r="L1783" s="1">
        <f t="shared" si="110"/>
        <v>0</v>
      </c>
      <c r="M1783" s="1">
        <f t="shared" si="111"/>
        <v>0</v>
      </c>
      <c r="N1783" s="1">
        <f t="shared" si="112"/>
        <v>0</v>
      </c>
      <c r="O1783" s="1"/>
    </row>
    <row r="1784" spans="1:15" x14ac:dyDescent="0.25">
      <c r="A1784">
        <v>3274</v>
      </c>
      <c r="B1784">
        <v>1235.3205009999999</v>
      </c>
      <c r="C1784">
        <v>0</v>
      </c>
      <c r="D1784">
        <v>12750.09037</v>
      </c>
      <c r="E1784">
        <v>0</v>
      </c>
      <c r="F1784">
        <v>31892.93492</v>
      </c>
      <c r="G1784">
        <v>0</v>
      </c>
      <c r="H1784">
        <v>3274</v>
      </c>
      <c r="I1784" t="str">
        <f t="shared" si="109"/>
        <v>YES</v>
      </c>
      <c r="J1784" t="s">
        <v>1790</v>
      </c>
      <c r="K1784">
        <v>1464372.1081300001</v>
      </c>
      <c r="L1784" s="1">
        <f t="shared" si="110"/>
        <v>0</v>
      </c>
      <c r="M1784" s="1">
        <f t="shared" si="111"/>
        <v>0</v>
      </c>
      <c r="N1784" s="1">
        <f t="shared" si="112"/>
        <v>0</v>
      </c>
      <c r="O1784" s="1"/>
    </row>
    <row r="1785" spans="1:15" x14ac:dyDescent="0.25">
      <c r="A1785">
        <v>3277</v>
      </c>
      <c r="B1785">
        <v>480.83458239999999</v>
      </c>
      <c r="C1785">
        <v>0</v>
      </c>
      <c r="D1785">
        <v>854.56893179999997</v>
      </c>
      <c r="E1785">
        <v>0</v>
      </c>
      <c r="F1785">
        <v>16423.65006</v>
      </c>
      <c r="G1785">
        <v>0</v>
      </c>
      <c r="H1785">
        <v>3277</v>
      </c>
      <c r="I1785" t="str">
        <f t="shared" si="109"/>
        <v>YES</v>
      </c>
      <c r="J1785" t="s">
        <v>1791</v>
      </c>
      <c r="K1785">
        <v>3571732.4755799999</v>
      </c>
      <c r="L1785" s="1">
        <f t="shared" si="110"/>
        <v>0</v>
      </c>
      <c r="M1785" s="1">
        <f t="shared" si="111"/>
        <v>0</v>
      </c>
      <c r="N1785" s="1">
        <f t="shared" si="112"/>
        <v>0</v>
      </c>
      <c r="O1785" s="1"/>
    </row>
    <row r="1786" spans="1:15" x14ac:dyDescent="0.25">
      <c r="A1786">
        <v>3278</v>
      </c>
      <c r="B1786">
        <v>800.69543650000003</v>
      </c>
      <c r="C1786">
        <v>0</v>
      </c>
      <c r="D1786">
        <v>2285.453086</v>
      </c>
      <c r="E1786">
        <v>0</v>
      </c>
      <c r="F1786">
        <v>48893.733970000001</v>
      </c>
      <c r="G1786">
        <v>0</v>
      </c>
      <c r="H1786">
        <v>3278</v>
      </c>
      <c r="I1786" t="str">
        <f t="shared" si="109"/>
        <v>YES</v>
      </c>
      <c r="J1786" t="s">
        <v>1792</v>
      </c>
      <c r="K1786">
        <v>1220160.0560399999</v>
      </c>
      <c r="L1786" s="1">
        <f t="shared" si="110"/>
        <v>0</v>
      </c>
      <c r="M1786" s="1">
        <f t="shared" si="111"/>
        <v>0</v>
      </c>
      <c r="N1786" s="1">
        <f t="shared" si="112"/>
        <v>0</v>
      </c>
      <c r="O1786" s="1"/>
    </row>
    <row r="1787" spans="1:15" x14ac:dyDescent="0.25">
      <c r="A1787">
        <v>3279</v>
      </c>
      <c r="B1787">
        <v>11306.558440000001</v>
      </c>
      <c r="C1787">
        <v>0</v>
      </c>
      <c r="D1787">
        <v>53801.384530000003</v>
      </c>
      <c r="E1787">
        <v>0</v>
      </c>
      <c r="F1787">
        <v>192016.38620000001</v>
      </c>
      <c r="G1787">
        <v>0</v>
      </c>
      <c r="H1787">
        <v>3279</v>
      </c>
      <c r="I1787" t="str">
        <f t="shared" si="109"/>
        <v>YES</v>
      </c>
      <c r="J1787" t="s">
        <v>1793</v>
      </c>
      <c r="K1787">
        <v>1145761.89173</v>
      </c>
      <c r="L1787" s="1">
        <f t="shared" si="110"/>
        <v>0</v>
      </c>
      <c r="M1787" s="1">
        <f t="shared" si="111"/>
        <v>0</v>
      </c>
      <c r="N1787" s="1">
        <f t="shared" si="112"/>
        <v>0</v>
      </c>
      <c r="O1787" s="1"/>
    </row>
    <row r="1788" spans="1:15" x14ac:dyDescent="0.25">
      <c r="A1788">
        <v>3280</v>
      </c>
      <c r="B1788">
        <v>1046.844288</v>
      </c>
      <c r="C1788">
        <v>0</v>
      </c>
      <c r="D1788">
        <v>22750.350009999998</v>
      </c>
      <c r="E1788">
        <v>0</v>
      </c>
      <c r="F1788">
        <v>79707.522389999998</v>
      </c>
      <c r="G1788">
        <v>0</v>
      </c>
      <c r="H1788">
        <v>3280</v>
      </c>
      <c r="I1788" t="str">
        <f t="shared" si="109"/>
        <v>YES</v>
      </c>
      <c r="J1788" t="s">
        <v>1794</v>
      </c>
      <c r="K1788">
        <v>1044806.86723</v>
      </c>
      <c r="L1788" s="1">
        <f t="shared" si="110"/>
        <v>0</v>
      </c>
      <c r="M1788" s="1">
        <f t="shared" si="111"/>
        <v>0</v>
      </c>
      <c r="N1788" s="1">
        <f t="shared" si="112"/>
        <v>0</v>
      </c>
      <c r="O1788" s="1"/>
    </row>
    <row r="1789" spans="1:15" x14ac:dyDescent="0.25">
      <c r="A1789">
        <v>3281</v>
      </c>
      <c r="B1789">
        <v>2245.0644090000001</v>
      </c>
      <c r="C1789">
        <v>0</v>
      </c>
      <c r="D1789">
        <v>40433.024039999997</v>
      </c>
      <c r="E1789">
        <v>0</v>
      </c>
      <c r="F1789">
        <v>111162.73299999999</v>
      </c>
      <c r="G1789">
        <v>0</v>
      </c>
      <c r="H1789">
        <v>3281</v>
      </c>
      <c r="I1789" t="str">
        <f t="shared" si="109"/>
        <v>YES</v>
      </c>
      <c r="J1789" t="s">
        <v>1795</v>
      </c>
      <c r="K1789">
        <v>1307559.79586</v>
      </c>
      <c r="L1789" s="1">
        <f t="shared" si="110"/>
        <v>0</v>
      </c>
      <c r="M1789" s="1">
        <f t="shared" si="111"/>
        <v>0</v>
      </c>
      <c r="N1789" s="1">
        <f t="shared" si="112"/>
        <v>0</v>
      </c>
      <c r="O1789" s="1"/>
    </row>
    <row r="1790" spans="1:15" x14ac:dyDescent="0.25">
      <c r="A1790">
        <v>3282</v>
      </c>
      <c r="B1790">
        <v>2245.0644090000001</v>
      </c>
      <c r="C1790">
        <v>0</v>
      </c>
      <c r="D1790">
        <v>28097.022079999999</v>
      </c>
      <c r="E1790">
        <v>0</v>
      </c>
      <c r="F1790">
        <v>81075.601240000004</v>
      </c>
      <c r="G1790">
        <v>0</v>
      </c>
      <c r="H1790">
        <v>3282</v>
      </c>
      <c r="I1790" t="str">
        <f t="shared" si="109"/>
        <v>YES</v>
      </c>
      <c r="J1790" t="s">
        <v>1796</v>
      </c>
      <c r="K1790">
        <v>2251448.1880100002</v>
      </c>
      <c r="L1790" s="1">
        <f t="shared" si="110"/>
        <v>0</v>
      </c>
      <c r="M1790" s="1">
        <f t="shared" si="111"/>
        <v>0</v>
      </c>
      <c r="N1790" s="1">
        <f t="shared" si="112"/>
        <v>0</v>
      </c>
      <c r="O1790" s="1"/>
    </row>
    <row r="1791" spans="1:15" x14ac:dyDescent="0.25">
      <c r="A1791">
        <v>3283</v>
      </c>
      <c r="B1791">
        <v>8803.1411459999999</v>
      </c>
      <c r="C1791">
        <v>0</v>
      </c>
      <c r="D1791">
        <v>19189.444299999999</v>
      </c>
      <c r="E1791">
        <v>0</v>
      </c>
      <c r="F1791">
        <v>74933.915120000005</v>
      </c>
      <c r="G1791">
        <v>0</v>
      </c>
      <c r="H1791">
        <v>3283</v>
      </c>
      <c r="I1791" t="str">
        <f t="shared" si="109"/>
        <v>YES</v>
      </c>
      <c r="J1791" t="s">
        <v>1797</v>
      </c>
      <c r="K1791">
        <v>2084449.92359</v>
      </c>
      <c r="L1791" s="1">
        <f t="shared" si="110"/>
        <v>0</v>
      </c>
      <c r="M1791" s="1">
        <f t="shared" si="111"/>
        <v>0</v>
      </c>
      <c r="N1791" s="1">
        <f t="shared" si="112"/>
        <v>0</v>
      </c>
      <c r="O1791" s="1"/>
    </row>
    <row r="1792" spans="1:15" x14ac:dyDescent="0.25">
      <c r="A1792">
        <v>3284</v>
      </c>
      <c r="B1792">
        <v>156.1104119</v>
      </c>
      <c r="C1792">
        <v>0</v>
      </c>
      <c r="D1792">
        <v>2633.8813260000002</v>
      </c>
      <c r="E1792">
        <v>0</v>
      </c>
      <c r="F1792">
        <v>16121.303550000001</v>
      </c>
      <c r="G1792">
        <v>0</v>
      </c>
      <c r="H1792">
        <v>3284</v>
      </c>
      <c r="I1792" t="str">
        <f t="shared" si="109"/>
        <v>YES</v>
      </c>
      <c r="J1792" t="s">
        <v>1798</v>
      </c>
      <c r="K1792">
        <v>3363875.8220000002</v>
      </c>
      <c r="L1792" s="1">
        <f t="shared" si="110"/>
        <v>0</v>
      </c>
      <c r="M1792" s="1">
        <f t="shared" si="111"/>
        <v>0</v>
      </c>
      <c r="N1792" s="1">
        <f t="shared" si="112"/>
        <v>0</v>
      </c>
      <c r="O1792" s="1"/>
    </row>
    <row r="1793" spans="1:15" x14ac:dyDescent="0.25">
      <c r="A1793">
        <v>3287</v>
      </c>
      <c r="B1793">
        <v>151.31649250000001</v>
      </c>
      <c r="C1793">
        <v>0</v>
      </c>
      <c r="D1793">
        <v>4991.5616749999999</v>
      </c>
      <c r="E1793">
        <v>0</v>
      </c>
      <c r="F1793">
        <v>43356.593200000003</v>
      </c>
      <c r="G1793">
        <v>0</v>
      </c>
      <c r="H1793">
        <v>3287</v>
      </c>
      <c r="I1793" t="str">
        <f t="shared" si="109"/>
        <v>YES</v>
      </c>
      <c r="J1793" t="s">
        <v>1799</v>
      </c>
      <c r="K1793">
        <v>1278883.8226000001</v>
      </c>
      <c r="L1793" s="1">
        <f t="shared" si="110"/>
        <v>0</v>
      </c>
      <c r="M1793" s="1">
        <f t="shared" si="111"/>
        <v>0</v>
      </c>
      <c r="N1793" s="1">
        <f t="shared" si="112"/>
        <v>0</v>
      </c>
      <c r="O1793" s="1"/>
    </row>
    <row r="1794" spans="1:15" x14ac:dyDescent="0.25">
      <c r="A1794">
        <v>3288</v>
      </c>
      <c r="B1794">
        <v>2659.2756159999999</v>
      </c>
      <c r="C1794">
        <v>0</v>
      </c>
      <c r="D1794">
        <v>16367.19146</v>
      </c>
      <c r="E1794">
        <v>0</v>
      </c>
      <c r="F1794">
        <v>45734.428440000003</v>
      </c>
      <c r="G1794">
        <v>0</v>
      </c>
      <c r="H1794">
        <v>3288</v>
      </c>
      <c r="I1794" t="str">
        <f t="shared" ref="I1794:I1857" si="113">IF(A1794=H1794,"YES","NO")</f>
        <v>YES</v>
      </c>
      <c r="J1794" t="s">
        <v>1800</v>
      </c>
      <c r="K1794">
        <v>1707093.9898999999</v>
      </c>
      <c r="L1794" s="1">
        <f t="shared" si="110"/>
        <v>0</v>
      </c>
      <c r="M1794" s="1">
        <f t="shared" si="111"/>
        <v>0</v>
      </c>
      <c r="N1794" s="1">
        <f t="shared" si="112"/>
        <v>0</v>
      </c>
      <c r="O1794" s="1"/>
    </row>
    <row r="1795" spans="1:15" x14ac:dyDescent="0.25">
      <c r="A1795">
        <v>3289</v>
      </c>
      <c r="B1795">
        <v>11528.356529999999</v>
      </c>
      <c r="C1795">
        <v>0</v>
      </c>
      <c r="D1795">
        <v>37649.661319999999</v>
      </c>
      <c r="E1795">
        <v>0</v>
      </c>
      <c r="F1795">
        <v>82618.278219999993</v>
      </c>
      <c r="G1795">
        <v>0</v>
      </c>
      <c r="H1795">
        <v>3289</v>
      </c>
      <c r="I1795" t="str">
        <f t="shared" si="113"/>
        <v>YES</v>
      </c>
      <c r="J1795" t="s">
        <v>1801</v>
      </c>
      <c r="K1795">
        <v>706882.45110199996</v>
      </c>
      <c r="L1795" s="1">
        <f t="shared" ref="L1795:L1858" si="114">$U$2*$K1795*C1795</f>
        <v>0</v>
      </c>
      <c r="M1795" s="1">
        <f t="shared" ref="M1795:M1858" si="115">$U$3*$K1795*E1795</f>
        <v>0</v>
      </c>
      <c r="N1795" s="1">
        <f t="shared" ref="N1795:N1858" si="116">$U$4*$K1795*G1795</f>
        <v>0</v>
      </c>
      <c r="O1795" s="1"/>
    </row>
    <row r="1796" spans="1:15" x14ac:dyDescent="0.25">
      <c r="A1796">
        <v>3290</v>
      </c>
      <c r="B1796">
        <v>9148.0372759999991</v>
      </c>
      <c r="C1796">
        <v>0</v>
      </c>
      <c r="D1796">
        <v>37334.939619999997</v>
      </c>
      <c r="E1796">
        <v>0</v>
      </c>
      <c r="F1796">
        <v>64674.503299999997</v>
      </c>
      <c r="G1796">
        <v>0</v>
      </c>
      <c r="H1796">
        <v>3290</v>
      </c>
      <c r="I1796" t="str">
        <f t="shared" si="113"/>
        <v>YES</v>
      </c>
      <c r="J1796" t="s">
        <v>1802</v>
      </c>
      <c r="K1796">
        <v>963487.136727</v>
      </c>
      <c r="L1796" s="1">
        <f t="shared" si="114"/>
        <v>0</v>
      </c>
      <c r="M1796" s="1">
        <f t="shared" si="115"/>
        <v>0</v>
      </c>
      <c r="N1796" s="1">
        <f t="shared" si="116"/>
        <v>0</v>
      </c>
      <c r="O1796" s="1"/>
    </row>
    <row r="1797" spans="1:15" x14ac:dyDescent="0.25">
      <c r="A1797">
        <v>3291</v>
      </c>
      <c r="B1797">
        <v>2518.646021</v>
      </c>
      <c r="C1797">
        <v>0</v>
      </c>
      <c r="D1797">
        <v>18103.396140000001</v>
      </c>
      <c r="E1797">
        <v>0</v>
      </c>
      <c r="F1797">
        <v>48678.488619999996</v>
      </c>
      <c r="G1797">
        <v>0</v>
      </c>
      <c r="H1797">
        <v>3291</v>
      </c>
      <c r="I1797" t="str">
        <f t="shared" si="113"/>
        <v>YES</v>
      </c>
      <c r="J1797" t="s">
        <v>1803</v>
      </c>
      <c r="K1797">
        <v>1562203.9208</v>
      </c>
      <c r="L1797" s="1">
        <f t="shared" si="114"/>
        <v>0</v>
      </c>
      <c r="M1797" s="1">
        <f t="shared" si="115"/>
        <v>0</v>
      </c>
      <c r="N1797" s="1">
        <f t="shared" si="116"/>
        <v>0</v>
      </c>
      <c r="O1797" s="1"/>
    </row>
    <row r="1798" spans="1:15" x14ac:dyDescent="0.25">
      <c r="A1798">
        <v>3292</v>
      </c>
      <c r="B1798">
        <v>2203.2371459999999</v>
      </c>
      <c r="C1798">
        <v>0</v>
      </c>
      <c r="D1798">
        <v>25023.6404</v>
      </c>
      <c r="E1798">
        <v>0</v>
      </c>
      <c r="F1798">
        <v>50188.622280000003</v>
      </c>
      <c r="G1798">
        <v>0</v>
      </c>
      <c r="H1798">
        <v>3292</v>
      </c>
      <c r="I1798" t="str">
        <f t="shared" si="113"/>
        <v>YES</v>
      </c>
      <c r="J1798" t="s">
        <v>1804</v>
      </c>
      <c r="K1798">
        <v>1717746.7889400001</v>
      </c>
      <c r="L1798" s="1">
        <f t="shared" si="114"/>
        <v>0</v>
      </c>
      <c r="M1798" s="1">
        <f t="shared" si="115"/>
        <v>0</v>
      </c>
      <c r="N1798" s="1">
        <f t="shared" si="116"/>
        <v>0</v>
      </c>
      <c r="O1798" s="1"/>
    </row>
    <row r="1799" spans="1:15" x14ac:dyDescent="0.25">
      <c r="A1799">
        <v>3293</v>
      </c>
      <c r="B1799">
        <v>5221.4538279999997</v>
      </c>
      <c r="C1799">
        <v>0</v>
      </c>
      <c r="D1799">
        <v>12939.958060000001</v>
      </c>
      <c r="E1799">
        <v>0</v>
      </c>
      <c r="F1799">
        <v>37649.661319999999</v>
      </c>
      <c r="G1799">
        <v>0</v>
      </c>
      <c r="H1799">
        <v>3293</v>
      </c>
      <c r="I1799" t="str">
        <f t="shared" si="113"/>
        <v>YES</v>
      </c>
      <c r="J1799" t="s">
        <v>1805</v>
      </c>
      <c r="K1799">
        <v>1924754.0906100001</v>
      </c>
      <c r="L1799" s="1">
        <f t="shared" si="114"/>
        <v>0</v>
      </c>
      <c r="M1799" s="1">
        <f t="shared" si="115"/>
        <v>0</v>
      </c>
      <c r="N1799" s="1">
        <f t="shared" si="116"/>
        <v>0</v>
      </c>
      <c r="O1799" s="1"/>
    </row>
    <row r="1800" spans="1:15" x14ac:dyDescent="0.25">
      <c r="A1800">
        <v>3294</v>
      </c>
      <c r="B1800">
        <v>6657.1496639999996</v>
      </c>
      <c r="C1800">
        <v>0</v>
      </c>
      <c r="D1800">
        <v>31649.462230000001</v>
      </c>
      <c r="E1800">
        <v>0</v>
      </c>
      <c r="F1800">
        <v>53960.475209999997</v>
      </c>
      <c r="G1800">
        <v>0</v>
      </c>
      <c r="H1800">
        <v>3294</v>
      </c>
      <c r="I1800" t="str">
        <f t="shared" si="113"/>
        <v>YES</v>
      </c>
      <c r="J1800" t="s">
        <v>1806</v>
      </c>
      <c r="K1800">
        <v>1512081.0873799999</v>
      </c>
      <c r="L1800" s="1">
        <f t="shared" si="114"/>
        <v>0</v>
      </c>
      <c r="M1800" s="1">
        <f t="shared" si="115"/>
        <v>0</v>
      </c>
      <c r="N1800" s="1">
        <f t="shared" si="116"/>
        <v>0</v>
      </c>
      <c r="O1800" s="1"/>
    </row>
    <row r="1801" spans="1:15" x14ac:dyDescent="0.25">
      <c r="A1801">
        <v>3295</v>
      </c>
      <c r="B1801">
        <v>2758.0471120000002</v>
      </c>
      <c r="C1801">
        <v>0</v>
      </c>
      <c r="D1801">
        <v>29716.180670000002</v>
      </c>
      <c r="E1801">
        <v>0</v>
      </c>
      <c r="F1801">
        <v>49596.066800000001</v>
      </c>
      <c r="G1801">
        <v>0</v>
      </c>
      <c r="H1801">
        <v>3295</v>
      </c>
      <c r="I1801" t="str">
        <f t="shared" si="113"/>
        <v>YES</v>
      </c>
      <c r="J1801" t="s">
        <v>1807</v>
      </c>
      <c r="K1801">
        <v>1019632.81428</v>
      </c>
      <c r="L1801" s="1">
        <f t="shared" si="114"/>
        <v>0</v>
      </c>
      <c r="M1801" s="1">
        <f t="shared" si="115"/>
        <v>0</v>
      </c>
      <c r="N1801" s="1">
        <f t="shared" si="116"/>
        <v>0</v>
      </c>
      <c r="O1801" s="1"/>
    </row>
    <row r="1802" spans="1:15" x14ac:dyDescent="0.25">
      <c r="A1802">
        <v>3298</v>
      </c>
      <c r="B1802">
        <v>409.080172</v>
      </c>
      <c r="C1802">
        <v>0</v>
      </c>
      <c r="D1802">
        <v>14198.11872</v>
      </c>
      <c r="E1802">
        <v>0</v>
      </c>
      <c r="F1802">
        <v>27652.348099999999</v>
      </c>
      <c r="G1802">
        <v>0</v>
      </c>
      <c r="H1802">
        <v>3298</v>
      </c>
      <c r="I1802" t="str">
        <f t="shared" si="113"/>
        <v>YES</v>
      </c>
      <c r="J1802" t="s">
        <v>1808</v>
      </c>
      <c r="K1802">
        <v>1425102.89179</v>
      </c>
      <c r="L1802" s="1">
        <f t="shared" si="114"/>
        <v>0</v>
      </c>
      <c r="M1802" s="1">
        <f t="shared" si="115"/>
        <v>0</v>
      </c>
      <c r="N1802" s="1">
        <f t="shared" si="116"/>
        <v>0</v>
      </c>
      <c r="O1802" s="1"/>
    </row>
    <row r="1803" spans="1:15" x14ac:dyDescent="0.25">
      <c r="A1803">
        <v>3299</v>
      </c>
      <c r="B1803">
        <v>8578.9237250000006</v>
      </c>
      <c r="C1803">
        <v>0</v>
      </c>
      <c r="D1803">
        <v>19194.699919999999</v>
      </c>
      <c r="E1803">
        <v>0</v>
      </c>
      <c r="F1803">
        <v>42853.368219999997</v>
      </c>
      <c r="G1803">
        <v>0</v>
      </c>
      <c r="H1803">
        <v>3299</v>
      </c>
      <c r="I1803" t="str">
        <f t="shared" si="113"/>
        <v>YES</v>
      </c>
      <c r="J1803" t="s">
        <v>1809</v>
      </c>
      <c r="K1803">
        <v>1197689.1706399999</v>
      </c>
      <c r="L1803" s="1">
        <f t="shared" si="114"/>
        <v>0</v>
      </c>
      <c r="M1803" s="1">
        <f t="shared" si="115"/>
        <v>0</v>
      </c>
      <c r="N1803" s="1">
        <f t="shared" si="116"/>
        <v>0</v>
      </c>
      <c r="O1803" s="1"/>
    </row>
    <row r="1804" spans="1:15" x14ac:dyDescent="0.25">
      <c r="A1804">
        <v>3300</v>
      </c>
      <c r="B1804">
        <v>212.3415914</v>
      </c>
      <c r="C1804">
        <v>0</v>
      </c>
      <c r="D1804">
        <v>212.3415914</v>
      </c>
      <c r="E1804">
        <v>0</v>
      </c>
      <c r="F1804">
        <v>212.3415914</v>
      </c>
      <c r="G1804">
        <v>0</v>
      </c>
      <c r="H1804">
        <v>3300</v>
      </c>
      <c r="I1804" t="str">
        <f t="shared" si="113"/>
        <v>YES</v>
      </c>
      <c r="J1804" t="s">
        <v>1810</v>
      </c>
      <c r="K1804">
        <v>5326486.6997199999</v>
      </c>
      <c r="L1804" s="1">
        <f t="shared" si="114"/>
        <v>0</v>
      </c>
      <c r="M1804" s="1">
        <f t="shared" si="115"/>
        <v>0</v>
      </c>
      <c r="N1804" s="1">
        <f t="shared" si="116"/>
        <v>0</v>
      </c>
      <c r="O1804" s="1"/>
    </row>
    <row r="1805" spans="1:15" x14ac:dyDescent="0.25">
      <c r="A1805">
        <v>3301</v>
      </c>
      <c r="B1805">
        <v>858.50662390000002</v>
      </c>
      <c r="C1805">
        <v>0</v>
      </c>
      <c r="D1805">
        <v>14198.11872</v>
      </c>
      <c r="E1805">
        <v>0</v>
      </c>
      <c r="F1805">
        <v>20678.52043</v>
      </c>
      <c r="G1805">
        <v>0</v>
      </c>
      <c r="H1805">
        <v>3301</v>
      </c>
      <c r="I1805" t="str">
        <f t="shared" si="113"/>
        <v>YES</v>
      </c>
      <c r="J1805" t="s">
        <v>1811</v>
      </c>
      <c r="K1805">
        <v>1460579.9792500001</v>
      </c>
      <c r="L1805" s="1">
        <f t="shared" si="114"/>
        <v>0</v>
      </c>
      <c r="M1805" s="1">
        <f t="shared" si="115"/>
        <v>0</v>
      </c>
      <c r="N1805" s="1">
        <f t="shared" si="116"/>
        <v>0</v>
      </c>
      <c r="O1805" s="1"/>
    </row>
    <row r="1806" spans="1:15" x14ac:dyDescent="0.25">
      <c r="A1806">
        <v>3302</v>
      </c>
      <c r="B1806">
        <v>3887.6302810000002</v>
      </c>
      <c r="C1806">
        <v>0</v>
      </c>
      <c r="D1806">
        <v>17400.249210000002</v>
      </c>
      <c r="E1806">
        <v>0</v>
      </c>
      <c r="F1806">
        <v>31078.289219999999</v>
      </c>
      <c r="G1806">
        <v>0</v>
      </c>
      <c r="H1806">
        <v>3302</v>
      </c>
      <c r="I1806" t="str">
        <f t="shared" si="113"/>
        <v>YES</v>
      </c>
      <c r="J1806" t="s">
        <v>1812</v>
      </c>
      <c r="K1806">
        <v>1418639.64784</v>
      </c>
      <c r="L1806" s="1">
        <f t="shared" si="114"/>
        <v>0</v>
      </c>
      <c r="M1806" s="1">
        <f t="shared" si="115"/>
        <v>0</v>
      </c>
      <c r="N1806" s="1">
        <f t="shared" si="116"/>
        <v>0</v>
      </c>
      <c r="O1806" s="1"/>
    </row>
    <row r="1807" spans="1:15" x14ac:dyDescent="0.25">
      <c r="A1807">
        <v>3303</v>
      </c>
      <c r="B1807">
        <v>8209.8329560000002</v>
      </c>
      <c r="C1807">
        <v>0</v>
      </c>
      <c r="D1807">
        <v>14948.22385</v>
      </c>
      <c r="E1807">
        <v>0</v>
      </c>
      <c r="F1807">
        <v>39383.987710000001</v>
      </c>
      <c r="G1807">
        <v>0</v>
      </c>
      <c r="H1807">
        <v>3303</v>
      </c>
      <c r="I1807" t="str">
        <f t="shared" si="113"/>
        <v>YES</v>
      </c>
      <c r="J1807" t="s">
        <v>1813</v>
      </c>
      <c r="K1807">
        <v>1091409.90965</v>
      </c>
      <c r="L1807" s="1">
        <f t="shared" si="114"/>
        <v>0</v>
      </c>
      <c r="M1807" s="1">
        <f t="shared" si="115"/>
        <v>0</v>
      </c>
      <c r="N1807" s="1">
        <f t="shared" si="116"/>
        <v>0</v>
      </c>
      <c r="O1807" s="1"/>
    </row>
    <row r="1808" spans="1:15" x14ac:dyDescent="0.25">
      <c r="A1808">
        <v>3304</v>
      </c>
      <c r="B1808">
        <v>1109.9111399999999</v>
      </c>
      <c r="C1808">
        <v>0</v>
      </c>
      <c r="D1808">
        <v>9191.1606680000004</v>
      </c>
      <c r="E1808">
        <v>0</v>
      </c>
      <c r="F1808">
        <v>18299.772150000001</v>
      </c>
      <c r="G1808">
        <v>0</v>
      </c>
      <c r="H1808">
        <v>3304</v>
      </c>
      <c r="I1808" t="str">
        <f t="shared" si="113"/>
        <v>YES</v>
      </c>
      <c r="J1808" t="s">
        <v>1814</v>
      </c>
      <c r="K1808">
        <v>701545.42446000001</v>
      </c>
      <c r="L1808" s="1">
        <f t="shared" si="114"/>
        <v>0</v>
      </c>
      <c r="M1808" s="1">
        <f t="shared" si="115"/>
        <v>0</v>
      </c>
      <c r="N1808" s="1">
        <f t="shared" si="116"/>
        <v>0</v>
      </c>
      <c r="O1808" s="1"/>
    </row>
    <row r="1809" spans="1:15" x14ac:dyDescent="0.25">
      <c r="A1809">
        <v>3305</v>
      </c>
      <c r="B1809">
        <v>74.511621390000002</v>
      </c>
      <c r="C1809">
        <v>0</v>
      </c>
      <c r="D1809">
        <v>74.511621390000002</v>
      </c>
      <c r="E1809">
        <v>0</v>
      </c>
      <c r="F1809">
        <v>74.511621390000002</v>
      </c>
      <c r="G1809">
        <v>0</v>
      </c>
      <c r="H1809">
        <v>3305</v>
      </c>
      <c r="I1809" t="str">
        <f t="shared" si="113"/>
        <v>YES</v>
      </c>
      <c r="J1809" t="s">
        <v>1815</v>
      </c>
      <c r="K1809">
        <v>7315709.1071800003</v>
      </c>
      <c r="L1809" s="1">
        <f t="shared" si="114"/>
        <v>0</v>
      </c>
      <c r="M1809" s="1">
        <f t="shared" si="115"/>
        <v>0</v>
      </c>
      <c r="N1809" s="1">
        <f t="shared" si="116"/>
        <v>0</v>
      </c>
      <c r="O1809" s="1"/>
    </row>
    <row r="1810" spans="1:15" x14ac:dyDescent="0.25">
      <c r="A1810">
        <v>3306</v>
      </c>
      <c r="B1810">
        <v>1597.999589</v>
      </c>
      <c r="C1810">
        <v>0</v>
      </c>
      <c r="D1810">
        <v>14200.35225</v>
      </c>
      <c r="E1810">
        <v>0</v>
      </c>
      <c r="F1810">
        <v>22679.858960000001</v>
      </c>
      <c r="G1810">
        <v>0</v>
      </c>
      <c r="H1810">
        <v>3306</v>
      </c>
      <c r="I1810" t="str">
        <f t="shared" si="113"/>
        <v>YES</v>
      </c>
      <c r="J1810" t="s">
        <v>1816</v>
      </c>
      <c r="K1810">
        <v>1704376.8172599999</v>
      </c>
      <c r="L1810" s="1">
        <f t="shared" si="114"/>
        <v>0</v>
      </c>
      <c r="M1810" s="1">
        <f t="shared" si="115"/>
        <v>0</v>
      </c>
      <c r="N1810" s="1">
        <f t="shared" si="116"/>
        <v>0</v>
      </c>
      <c r="O1810" s="1"/>
    </row>
    <row r="1811" spans="1:15" x14ac:dyDescent="0.25">
      <c r="A1811">
        <v>3307</v>
      </c>
      <c r="B1811">
        <v>114.0837497</v>
      </c>
      <c r="C1811">
        <v>0</v>
      </c>
      <c r="D1811">
        <v>114.0837497</v>
      </c>
      <c r="E1811">
        <v>0</v>
      </c>
      <c r="F1811">
        <v>1119.337675</v>
      </c>
      <c r="G1811">
        <v>0</v>
      </c>
      <c r="H1811">
        <v>3307</v>
      </c>
      <c r="I1811" t="str">
        <f t="shared" si="113"/>
        <v>YES</v>
      </c>
      <c r="J1811" t="s">
        <v>1817</v>
      </c>
      <c r="K1811">
        <v>26360812.156599998</v>
      </c>
      <c r="L1811" s="1">
        <f t="shared" si="114"/>
        <v>0</v>
      </c>
      <c r="M1811" s="1">
        <f t="shared" si="115"/>
        <v>0</v>
      </c>
      <c r="N1811" s="1">
        <f t="shared" si="116"/>
        <v>0</v>
      </c>
      <c r="O1811" s="1"/>
    </row>
    <row r="1812" spans="1:15" x14ac:dyDescent="0.25">
      <c r="A1812">
        <v>3400</v>
      </c>
      <c r="B1812">
        <v>8992.7468019999997</v>
      </c>
      <c r="C1812">
        <v>0</v>
      </c>
      <c r="D1812">
        <v>61141.693679999997</v>
      </c>
      <c r="E1812">
        <v>0</v>
      </c>
      <c r="F1812">
        <v>129625.4795</v>
      </c>
      <c r="G1812">
        <v>0</v>
      </c>
      <c r="H1812">
        <v>3400</v>
      </c>
      <c r="I1812" t="str">
        <f t="shared" si="113"/>
        <v>YES</v>
      </c>
      <c r="J1812" t="s">
        <v>1818</v>
      </c>
      <c r="K1812">
        <v>674623.11736300006</v>
      </c>
      <c r="L1812" s="1">
        <f t="shared" si="114"/>
        <v>0</v>
      </c>
      <c r="M1812" s="1">
        <f t="shared" si="115"/>
        <v>0</v>
      </c>
      <c r="N1812" s="1">
        <f t="shared" si="116"/>
        <v>0</v>
      </c>
      <c r="O1812" s="1"/>
    </row>
    <row r="1813" spans="1:15" x14ac:dyDescent="0.25">
      <c r="A1813">
        <v>3401</v>
      </c>
      <c r="B1813">
        <v>3168.3311659999999</v>
      </c>
      <c r="C1813">
        <v>0</v>
      </c>
      <c r="D1813">
        <v>16757.60194</v>
      </c>
      <c r="E1813">
        <v>0</v>
      </c>
      <c r="F1813">
        <v>94425.199890000004</v>
      </c>
      <c r="G1813">
        <v>0</v>
      </c>
      <c r="H1813">
        <v>3401</v>
      </c>
      <c r="I1813" t="str">
        <f t="shared" si="113"/>
        <v>YES</v>
      </c>
      <c r="J1813" t="s">
        <v>1819</v>
      </c>
      <c r="K1813">
        <v>955030.10550099995</v>
      </c>
      <c r="L1813" s="1">
        <f t="shared" si="114"/>
        <v>0</v>
      </c>
      <c r="M1813" s="1">
        <f t="shared" si="115"/>
        <v>0</v>
      </c>
      <c r="N1813" s="1">
        <f t="shared" si="116"/>
        <v>0</v>
      </c>
      <c r="O1813" s="1"/>
    </row>
    <row r="1814" spans="1:15" x14ac:dyDescent="0.25">
      <c r="A1814">
        <v>3402</v>
      </c>
      <c r="B1814">
        <v>5353.463726</v>
      </c>
      <c r="C1814">
        <v>0</v>
      </c>
      <c r="D1814">
        <v>67892.942349999998</v>
      </c>
      <c r="E1814">
        <v>0</v>
      </c>
      <c r="F1814">
        <v>115380.0763</v>
      </c>
      <c r="G1814">
        <v>0</v>
      </c>
      <c r="H1814">
        <v>3402</v>
      </c>
      <c r="I1814" t="str">
        <f t="shared" si="113"/>
        <v>YES</v>
      </c>
      <c r="J1814" t="s">
        <v>1820</v>
      </c>
      <c r="K1814">
        <v>1194569.33987</v>
      </c>
      <c r="L1814" s="1">
        <f t="shared" si="114"/>
        <v>0</v>
      </c>
      <c r="M1814" s="1">
        <f t="shared" si="115"/>
        <v>0</v>
      </c>
      <c r="N1814" s="1">
        <f t="shared" si="116"/>
        <v>0</v>
      </c>
      <c r="O1814" s="1"/>
    </row>
    <row r="1815" spans="1:15" x14ac:dyDescent="0.25">
      <c r="A1815">
        <v>3403</v>
      </c>
      <c r="B1815">
        <v>4213.5072369999998</v>
      </c>
      <c r="C1815">
        <v>0</v>
      </c>
      <c r="D1815">
        <v>28143.143889999999</v>
      </c>
      <c r="E1815">
        <v>0</v>
      </c>
      <c r="F1815">
        <v>109939.3401</v>
      </c>
      <c r="G1815">
        <v>0</v>
      </c>
      <c r="H1815">
        <v>3403</v>
      </c>
      <c r="I1815" t="str">
        <f t="shared" si="113"/>
        <v>YES</v>
      </c>
      <c r="J1815" t="s">
        <v>1821</v>
      </c>
      <c r="K1815">
        <v>852236.15219599998</v>
      </c>
      <c r="L1815" s="1">
        <f t="shared" si="114"/>
        <v>0</v>
      </c>
      <c r="M1815" s="1">
        <f t="shared" si="115"/>
        <v>0</v>
      </c>
      <c r="N1815" s="1">
        <f t="shared" si="116"/>
        <v>0</v>
      </c>
      <c r="O1815" s="1"/>
    </row>
    <row r="1816" spans="1:15" x14ac:dyDescent="0.25">
      <c r="A1816">
        <v>3404</v>
      </c>
      <c r="B1816">
        <v>11779.82286</v>
      </c>
      <c r="C1816">
        <v>0</v>
      </c>
      <c r="D1816">
        <v>80419.225850000003</v>
      </c>
      <c r="E1816">
        <v>0</v>
      </c>
      <c r="F1816">
        <v>136709.4417</v>
      </c>
      <c r="G1816">
        <v>0</v>
      </c>
      <c r="H1816">
        <v>3404</v>
      </c>
      <c r="I1816" t="str">
        <f t="shared" si="113"/>
        <v>YES</v>
      </c>
      <c r="J1816" t="s">
        <v>1822</v>
      </c>
      <c r="K1816">
        <v>660620.27304</v>
      </c>
      <c r="L1816" s="1">
        <f t="shared" si="114"/>
        <v>0</v>
      </c>
      <c r="M1816" s="1">
        <f t="shared" si="115"/>
        <v>0</v>
      </c>
      <c r="N1816" s="1">
        <f t="shared" si="116"/>
        <v>0</v>
      </c>
      <c r="O1816" s="1"/>
    </row>
    <row r="1817" spans="1:15" x14ac:dyDescent="0.25">
      <c r="A1817">
        <v>3405</v>
      </c>
      <c r="B1817">
        <v>3325.034971</v>
      </c>
      <c r="C1817">
        <v>0</v>
      </c>
      <c r="D1817">
        <v>36077.549149999999</v>
      </c>
      <c r="E1817">
        <v>0</v>
      </c>
      <c r="F1817">
        <v>100951.6456</v>
      </c>
      <c r="G1817">
        <v>0</v>
      </c>
      <c r="H1817">
        <v>3405</v>
      </c>
      <c r="I1817" t="str">
        <f t="shared" si="113"/>
        <v>YES</v>
      </c>
      <c r="J1817" t="s">
        <v>1823</v>
      </c>
      <c r="K1817">
        <v>841964.36162700003</v>
      </c>
      <c r="L1817" s="1">
        <f t="shared" si="114"/>
        <v>0</v>
      </c>
      <c r="M1817" s="1">
        <f t="shared" si="115"/>
        <v>0</v>
      </c>
      <c r="N1817" s="1">
        <f t="shared" si="116"/>
        <v>0</v>
      </c>
      <c r="O1817" s="1"/>
    </row>
    <row r="1818" spans="1:15" x14ac:dyDescent="0.25">
      <c r="A1818">
        <v>3408</v>
      </c>
      <c r="B1818">
        <v>163.77842770000001</v>
      </c>
      <c r="C1818">
        <v>0</v>
      </c>
      <c r="D1818">
        <v>1848.6714689999999</v>
      </c>
      <c r="E1818">
        <v>0</v>
      </c>
      <c r="F1818">
        <v>33453.032370000001</v>
      </c>
      <c r="G1818">
        <v>0</v>
      </c>
      <c r="H1818">
        <v>3408</v>
      </c>
      <c r="I1818" t="str">
        <f t="shared" si="113"/>
        <v>YES</v>
      </c>
      <c r="J1818" t="s">
        <v>1824</v>
      </c>
      <c r="K1818">
        <v>1604251.9373900001</v>
      </c>
      <c r="L1818" s="1">
        <f t="shared" si="114"/>
        <v>0</v>
      </c>
      <c r="M1818" s="1">
        <f t="shared" si="115"/>
        <v>0</v>
      </c>
      <c r="N1818" s="1">
        <f t="shared" si="116"/>
        <v>0</v>
      </c>
      <c r="O1818" s="1"/>
    </row>
    <row r="1819" spans="1:15" x14ac:dyDescent="0.25">
      <c r="A1819">
        <v>3409</v>
      </c>
      <c r="B1819">
        <v>5633.454436</v>
      </c>
      <c r="C1819">
        <v>0</v>
      </c>
      <c r="D1819">
        <v>37224.609470000003</v>
      </c>
      <c r="E1819">
        <v>0</v>
      </c>
      <c r="F1819">
        <v>94727.077170000004</v>
      </c>
      <c r="G1819">
        <v>0</v>
      </c>
      <c r="H1819">
        <v>3409</v>
      </c>
      <c r="I1819" t="str">
        <f t="shared" si="113"/>
        <v>YES</v>
      </c>
      <c r="J1819" t="s">
        <v>1825</v>
      </c>
      <c r="K1819">
        <v>1205220.7458599999</v>
      </c>
      <c r="L1819" s="1">
        <f t="shared" si="114"/>
        <v>0</v>
      </c>
      <c r="M1819" s="1">
        <f t="shared" si="115"/>
        <v>0</v>
      </c>
      <c r="N1819" s="1">
        <f t="shared" si="116"/>
        <v>0</v>
      </c>
      <c r="O1819" s="1"/>
    </row>
    <row r="1820" spans="1:15" x14ac:dyDescent="0.25">
      <c r="A1820">
        <v>3410</v>
      </c>
      <c r="B1820">
        <v>5392.3036529999999</v>
      </c>
      <c r="C1820">
        <v>0</v>
      </c>
      <c r="D1820">
        <v>56729.849979999999</v>
      </c>
      <c r="E1820">
        <v>0</v>
      </c>
      <c r="F1820">
        <v>152843.17050000001</v>
      </c>
      <c r="G1820">
        <v>0</v>
      </c>
      <c r="H1820">
        <v>3410</v>
      </c>
      <c r="I1820" t="str">
        <f t="shared" si="113"/>
        <v>YES</v>
      </c>
      <c r="J1820" t="s">
        <v>1826</v>
      </c>
      <c r="K1820">
        <v>1083562.6928099999</v>
      </c>
      <c r="L1820" s="1">
        <f t="shared" si="114"/>
        <v>0</v>
      </c>
      <c r="M1820" s="1">
        <f t="shared" si="115"/>
        <v>0</v>
      </c>
      <c r="N1820" s="1">
        <f t="shared" si="116"/>
        <v>0</v>
      </c>
      <c r="O1820" s="1"/>
    </row>
    <row r="1821" spans="1:15" x14ac:dyDescent="0.25">
      <c r="A1821">
        <v>3411</v>
      </c>
      <c r="B1821">
        <v>5797.0388999999996</v>
      </c>
      <c r="C1821">
        <v>0</v>
      </c>
      <c r="D1821">
        <v>26024.673699999999</v>
      </c>
      <c r="E1821">
        <v>0</v>
      </c>
      <c r="F1821">
        <v>100669.2387</v>
      </c>
      <c r="G1821">
        <v>0</v>
      </c>
      <c r="H1821">
        <v>3411</v>
      </c>
      <c r="I1821" t="str">
        <f t="shared" si="113"/>
        <v>YES</v>
      </c>
      <c r="J1821" t="s">
        <v>1827</v>
      </c>
      <c r="K1821">
        <v>829138.45343999995</v>
      </c>
      <c r="L1821" s="1">
        <f t="shared" si="114"/>
        <v>0</v>
      </c>
      <c r="M1821" s="1">
        <f t="shared" si="115"/>
        <v>0</v>
      </c>
      <c r="N1821" s="1">
        <f t="shared" si="116"/>
        <v>0</v>
      </c>
      <c r="O1821" s="1"/>
    </row>
    <row r="1822" spans="1:15" x14ac:dyDescent="0.25">
      <c r="A1822">
        <v>3412</v>
      </c>
      <c r="B1822">
        <v>1186.8669500000001</v>
      </c>
      <c r="C1822">
        <v>0</v>
      </c>
      <c r="D1822">
        <v>9598.4971929999992</v>
      </c>
      <c r="E1822">
        <v>0</v>
      </c>
      <c r="F1822">
        <v>56292.682509999999</v>
      </c>
      <c r="G1822">
        <v>0</v>
      </c>
      <c r="H1822">
        <v>3412</v>
      </c>
      <c r="I1822" t="str">
        <f t="shared" si="113"/>
        <v>YES</v>
      </c>
      <c r="J1822" t="s">
        <v>1828</v>
      </c>
      <c r="K1822">
        <v>892984.58216200001</v>
      </c>
      <c r="L1822" s="1">
        <f t="shared" si="114"/>
        <v>0</v>
      </c>
      <c r="M1822" s="1">
        <f t="shared" si="115"/>
        <v>0</v>
      </c>
      <c r="N1822" s="1">
        <f t="shared" si="116"/>
        <v>0</v>
      </c>
      <c r="O1822" s="1"/>
    </row>
    <row r="1823" spans="1:15" x14ac:dyDescent="0.25">
      <c r="A1823">
        <v>3413</v>
      </c>
      <c r="B1823">
        <v>2578.844603</v>
      </c>
      <c r="C1823">
        <v>0</v>
      </c>
      <c r="D1823">
        <v>14383.497869999999</v>
      </c>
      <c r="E1823">
        <v>0</v>
      </c>
      <c r="F1823">
        <v>92234.156900000002</v>
      </c>
      <c r="G1823">
        <v>0</v>
      </c>
      <c r="H1823">
        <v>3413</v>
      </c>
      <c r="I1823" t="str">
        <f t="shared" si="113"/>
        <v>YES</v>
      </c>
      <c r="J1823" t="s">
        <v>1829</v>
      </c>
      <c r="K1823">
        <v>3882014.09394</v>
      </c>
      <c r="L1823" s="1">
        <f t="shared" si="114"/>
        <v>0</v>
      </c>
      <c r="M1823" s="1">
        <f t="shared" si="115"/>
        <v>0</v>
      </c>
      <c r="N1823" s="1">
        <f t="shared" si="116"/>
        <v>0</v>
      </c>
      <c r="O1823" s="1"/>
    </row>
    <row r="1824" spans="1:15" x14ac:dyDescent="0.25">
      <c r="A1824">
        <v>3416</v>
      </c>
      <c r="B1824">
        <v>22107.82531</v>
      </c>
      <c r="C1824">
        <v>0</v>
      </c>
      <c r="D1824">
        <v>77992.82733</v>
      </c>
      <c r="E1824">
        <v>0</v>
      </c>
      <c r="F1824">
        <v>286877.50719999999</v>
      </c>
      <c r="G1824">
        <v>0</v>
      </c>
      <c r="H1824">
        <v>3416</v>
      </c>
      <c r="I1824" t="str">
        <f t="shared" si="113"/>
        <v>YES</v>
      </c>
      <c r="J1824" t="s">
        <v>1830</v>
      </c>
      <c r="K1824">
        <v>270071.21446500003</v>
      </c>
      <c r="L1824" s="1">
        <f t="shared" si="114"/>
        <v>0</v>
      </c>
      <c r="M1824" s="1">
        <f t="shared" si="115"/>
        <v>0</v>
      </c>
      <c r="N1824" s="1">
        <f t="shared" si="116"/>
        <v>0</v>
      </c>
      <c r="O1824" s="1"/>
    </row>
    <row r="1825" spans="1:15" x14ac:dyDescent="0.25">
      <c r="A1825">
        <v>3417</v>
      </c>
      <c r="B1825">
        <v>10947.93353</v>
      </c>
      <c r="C1825">
        <v>0</v>
      </c>
      <c r="D1825">
        <v>59386.407440000003</v>
      </c>
      <c r="E1825">
        <v>0</v>
      </c>
      <c r="F1825">
        <v>198052.1201</v>
      </c>
      <c r="G1825">
        <v>0</v>
      </c>
      <c r="H1825">
        <v>3417</v>
      </c>
      <c r="I1825" t="str">
        <f t="shared" si="113"/>
        <v>YES</v>
      </c>
      <c r="J1825" t="s">
        <v>1831</v>
      </c>
      <c r="K1825">
        <v>313759.14192099997</v>
      </c>
      <c r="L1825" s="1">
        <f t="shared" si="114"/>
        <v>0</v>
      </c>
      <c r="M1825" s="1">
        <f t="shared" si="115"/>
        <v>0</v>
      </c>
      <c r="N1825" s="1">
        <f t="shared" si="116"/>
        <v>0</v>
      </c>
      <c r="O1825" s="1"/>
    </row>
    <row r="1826" spans="1:15" x14ac:dyDescent="0.25">
      <c r="A1826">
        <v>3418</v>
      </c>
      <c r="B1826">
        <v>14993.365169999999</v>
      </c>
      <c r="C1826">
        <v>0</v>
      </c>
      <c r="D1826">
        <v>67369.05386</v>
      </c>
      <c r="E1826">
        <v>0</v>
      </c>
      <c r="F1826">
        <v>238079.80609999999</v>
      </c>
      <c r="G1826">
        <v>0</v>
      </c>
      <c r="H1826">
        <v>3418</v>
      </c>
      <c r="I1826" t="str">
        <f t="shared" si="113"/>
        <v>YES</v>
      </c>
      <c r="J1826" t="s">
        <v>1832</v>
      </c>
      <c r="K1826">
        <v>484973.43373300001</v>
      </c>
      <c r="L1826" s="1">
        <f t="shared" si="114"/>
        <v>0</v>
      </c>
      <c r="M1826" s="1">
        <f t="shared" si="115"/>
        <v>0</v>
      </c>
      <c r="N1826" s="1">
        <f t="shared" si="116"/>
        <v>0</v>
      </c>
      <c r="O1826" s="1"/>
    </row>
    <row r="1827" spans="1:15" x14ac:dyDescent="0.25">
      <c r="A1827">
        <v>3419</v>
      </c>
      <c r="B1827">
        <v>6113.3685969999997</v>
      </c>
      <c r="C1827">
        <v>0</v>
      </c>
      <c r="D1827">
        <v>41572.740969999999</v>
      </c>
      <c r="E1827">
        <v>0</v>
      </c>
      <c r="F1827">
        <v>131962.5827</v>
      </c>
      <c r="G1827">
        <v>0</v>
      </c>
      <c r="H1827">
        <v>3419</v>
      </c>
      <c r="I1827" t="str">
        <f t="shared" si="113"/>
        <v>YES</v>
      </c>
      <c r="J1827" t="s">
        <v>1833</v>
      </c>
      <c r="K1827">
        <v>619383.40372099995</v>
      </c>
      <c r="L1827" s="1">
        <f t="shared" si="114"/>
        <v>0</v>
      </c>
      <c r="M1827" s="1">
        <f t="shared" si="115"/>
        <v>0</v>
      </c>
      <c r="N1827" s="1">
        <f t="shared" si="116"/>
        <v>0</v>
      </c>
      <c r="O1827" s="1"/>
    </row>
    <row r="1828" spans="1:15" x14ac:dyDescent="0.25">
      <c r="A1828">
        <v>3420</v>
      </c>
      <c r="B1828">
        <v>38639.667750000001</v>
      </c>
      <c r="C1828">
        <v>0</v>
      </c>
      <c r="D1828">
        <v>121791.0824</v>
      </c>
      <c r="E1828">
        <v>0</v>
      </c>
      <c r="F1828">
        <v>393577.44270000001</v>
      </c>
      <c r="G1828">
        <v>0</v>
      </c>
      <c r="H1828">
        <v>3420</v>
      </c>
      <c r="I1828" t="str">
        <f t="shared" si="113"/>
        <v>YES</v>
      </c>
      <c r="J1828" t="s">
        <v>1834</v>
      </c>
      <c r="K1828">
        <v>160129.726998</v>
      </c>
      <c r="L1828" s="1">
        <f t="shared" si="114"/>
        <v>0</v>
      </c>
      <c r="M1828" s="1">
        <f t="shared" si="115"/>
        <v>0</v>
      </c>
      <c r="N1828" s="1">
        <f t="shared" si="116"/>
        <v>0</v>
      </c>
      <c r="O1828" s="1"/>
    </row>
    <row r="1829" spans="1:15" x14ac:dyDescent="0.25">
      <c r="A1829">
        <v>3421</v>
      </c>
      <c r="B1829">
        <v>2424.961198</v>
      </c>
      <c r="C1829">
        <v>0</v>
      </c>
      <c r="D1829">
        <v>27103.883010000001</v>
      </c>
      <c r="E1829">
        <v>0</v>
      </c>
      <c r="F1829">
        <v>81046.896970000002</v>
      </c>
      <c r="G1829">
        <v>0</v>
      </c>
      <c r="H1829">
        <v>3421</v>
      </c>
      <c r="I1829" t="str">
        <f t="shared" si="113"/>
        <v>YES</v>
      </c>
      <c r="J1829" t="s">
        <v>1835</v>
      </c>
      <c r="K1829">
        <v>461134.694127</v>
      </c>
      <c r="L1829" s="1">
        <f t="shared" si="114"/>
        <v>0</v>
      </c>
      <c r="M1829" s="1">
        <f t="shared" si="115"/>
        <v>0</v>
      </c>
      <c r="N1829" s="1">
        <f t="shared" si="116"/>
        <v>0</v>
      </c>
      <c r="O1829" s="1"/>
    </row>
    <row r="1830" spans="1:15" x14ac:dyDescent="0.25">
      <c r="A1830">
        <v>3422</v>
      </c>
      <c r="B1830">
        <v>11046.00424</v>
      </c>
      <c r="C1830">
        <v>0</v>
      </c>
      <c r="D1830">
        <v>53979.613830000002</v>
      </c>
      <c r="E1830">
        <v>0</v>
      </c>
      <c r="F1830">
        <v>176913.0575</v>
      </c>
      <c r="G1830">
        <v>0</v>
      </c>
      <c r="H1830">
        <v>3422</v>
      </c>
      <c r="I1830" t="str">
        <f t="shared" si="113"/>
        <v>YES</v>
      </c>
      <c r="J1830" t="s">
        <v>1836</v>
      </c>
      <c r="K1830">
        <v>761929.28227099997</v>
      </c>
      <c r="L1830" s="1">
        <f t="shared" si="114"/>
        <v>0</v>
      </c>
      <c r="M1830" s="1">
        <f t="shared" si="115"/>
        <v>0</v>
      </c>
      <c r="N1830" s="1">
        <f t="shared" si="116"/>
        <v>0</v>
      </c>
      <c r="O1830" s="1"/>
    </row>
    <row r="1831" spans="1:15" x14ac:dyDescent="0.25">
      <c r="A1831">
        <v>3423</v>
      </c>
      <c r="B1831">
        <v>3244.909564</v>
      </c>
      <c r="C1831">
        <v>0</v>
      </c>
      <c r="D1831">
        <v>33291.622380000001</v>
      </c>
      <c r="E1831">
        <v>0</v>
      </c>
      <c r="F1831">
        <v>72213.408320000002</v>
      </c>
      <c r="G1831">
        <v>0</v>
      </c>
      <c r="H1831">
        <v>3423</v>
      </c>
      <c r="I1831" t="str">
        <f t="shared" si="113"/>
        <v>YES</v>
      </c>
      <c r="J1831" t="s">
        <v>1837</v>
      </c>
      <c r="K1831">
        <v>793872.36917900003</v>
      </c>
      <c r="L1831" s="1">
        <f t="shared" si="114"/>
        <v>0</v>
      </c>
      <c r="M1831" s="1">
        <f t="shared" si="115"/>
        <v>0</v>
      </c>
      <c r="N1831" s="1">
        <f t="shared" si="116"/>
        <v>0</v>
      </c>
      <c r="O1831" s="1"/>
    </row>
    <row r="1832" spans="1:15" x14ac:dyDescent="0.25">
      <c r="A1832">
        <v>3424</v>
      </c>
      <c r="B1832">
        <v>5361.6396709999999</v>
      </c>
      <c r="C1832">
        <v>0</v>
      </c>
      <c r="D1832">
        <v>43778.998910000002</v>
      </c>
      <c r="E1832">
        <v>0</v>
      </c>
      <c r="F1832">
        <v>136703.69279999999</v>
      </c>
      <c r="G1832">
        <v>0</v>
      </c>
      <c r="H1832">
        <v>3424</v>
      </c>
      <c r="I1832" t="str">
        <f t="shared" si="113"/>
        <v>YES</v>
      </c>
      <c r="J1832" t="s">
        <v>1838</v>
      </c>
      <c r="K1832">
        <v>922303.35441100004</v>
      </c>
      <c r="L1832" s="1">
        <f t="shared" si="114"/>
        <v>0</v>
      </c>
      <c r="M1832" s="1">
        <f t="shared" si="115"/>
        <v>0</v>
      </c>
      <c r="N1832" s="1">
        <f t="shared" si="116"/>
        <v>0</v>
      </c>
      <c r="O1832" s="1"/>
    </row>
    <row r="1833" spans="1:15" x14ac:dyDescent="0.25">
      <c r="A1833">
        <v>3425</v>
      </c>
      <c r="B1833">
        <v>4246.9143809999996</v>
      </c>
      <c r="C1833">
        <v>0</v>
      </c>
      <c r="D1833">
        <v>14840.2747</v>
      </c>
      <c r="E1833">
        <v>0</v>
      </c>
      <c r="F1833">
        <v>65456.690399999999</v>
      </c>
      <c r="G1833">
        <v>0</v>
      </c>
      <c r="H1833">
        <v>3425</v>
      </c>
      <c r="I1833" t="str">
        <f t="shared" si="113"/>
        <v>YES</v>
      </c>
      <c r="J1833" t="s">
        <v>1839</v>
      </c>
      <c r="K1833">
        <v>701821.22496200004</v>
      </c>
      <c r="L1833" s="1">
        <f t="shared" si="114"/>
        <v>0</v>
      </c>
      <c r="M1833" s="1">
        <f t="shared" si="115"/>
        <v>0</v>
      </c>
      <c r="N1833" s="1">
        <f t="shared" si="116"/>
        <v>0</v>
      </c>
      <c r="O1833" s="1"/>
    </row>
    <row r="1834" spans="1:15" x14ac:dyDescent="0.25">
      <c r="A1834">
        <v>3426</v>
      </c>
      <c r="B1834">
        <v>1897.6099099999999</v>
      </c>
      <c r="C1834">
        <v>0</v>
      </c>
      <c r="D1834">
        <v>3815.2413489999999</v>
      </c>
      <c r="E1834">
        <v>0</v>
      </c>
      <c r="F1834">
        <v>29631.696329999999</v>
      </c>
      <c r="G1834">
        <v>0</v>
      </c>
      <c r="H1834">
        <v>3426</v>
      </c>
      <c r="I1834" t="str">
        <f t="shared" si="113"/>
        <v>YES</v>
      </c>
      <c r="J1834" t="s">
        <v>1840</v>
      </c>
      <c r="K1834">
        <v>2094105.93848</v>
      </c>
      <c r="L1834" s="1">
        <f t="shared" si="114"/>
        <v>0</v>
      </c>
      <c r="M1834" s="1">
        <f t="shared" si="115"/>
        <v>0</v>
      </c>
      <c r="N1834" s="1">
        <f t="shared" si="116"/>
        <v>0</v>
      </c>
      <c r="O1834" s="1"/>
    </row>
    <row r="1835" spans="1:15" x14ac:dyDescent="0.25">
      <c r="A1835">
        <v>3429</v>
      </c>
      <c r="B1835">
        <v>7539.8056779999997</v>
      </c>
      <c r="C1835">
        <v>0</v>
      </c>
      <c r="D1835">
        <v>38577.121090000001</v>
      </c>
      <c r="E1835">
        <v>0</v>
      </c>
      <c r="F1835">
        <v>101357.433</v>
      </c>
      <c r="G1835">
        <v>0</v>
      </c>
      <c r="H1835">
        <v>3429</v>
      </c>
      <c r="I1835" t="str">
        <f t="shared" si="113"/>
        <v>YES</v>
      </c>
      <c r="J1835" t="s">
        <v>1841</v>
      </c>
      <c r="K1835">
        <v>884113.34569099999</v>
      </c>
      <c r="L1835" s="1">
        <f t="shared" si="114"/>
        <v>0</v>
      </c>
      <c r="M1835" s="1">
        <f t="shared" si="115"/>
        <v>0</v>
      </c>
      <c r="N1835" s="1">
        <f t="shared" si="116"/>
        <v>0</v>
      </c>
      <c r="O1835" s="1"/>
    </row>
    <row r="1836" spans="1:15" x14ac:dyDescent="0.25">
      <c r="A1836">
        <v>3430</v>
      </c>
      <c r="B1836">
        <v>5968.2463180000004</v>
      </c>
      <c r="C1836">
        <v>0</v>
      </c>
      <c r="D1836">
        <v>36832.250590000003</v>
      </c>
      <c r="E1836">
        <v>0</v>
      </c>
      <c r="F1836">
        <v>90938.625639999998</v>
      </c>
      <c r="G1836">
        <v>0</v>
      </c>
      <c r="H1836">
        <v>3430</v>
      </c>
      <c r="I1836" t="str">
        <f t="shared" si="113"/>
        <v>YES</v>
      </c>
      <c r="J1836" t="s">
        <v>1842</v>
      </c>
      <c r="K1836">
        <v>940838.66036700003</v>
      </c>
      <c r="L1836" s="1">
        <f t="shared" si="114"/>
        <v>0</v>
      </c>
      <c r="M1836" s="1">
        <f t="shared" si="115"/>
        <v>0</v>
      </c>
      <c r="N1836" s="1">
        <f t="shared" si="116"/>
        <v>0</v>
      </c>
      <c r="O1836" s="1"/>
    </row>
    <row r="1837" spans="1:15" x14ac:dyDescent="0.25">
      <c r="A1837">
        <v>3431</v>
      </c>
      <c r="B1837">
        <v>3494.073288</v>
      </c>
      <c r="C1837">
        <v>0</v>
      </c>
      <c r="D1837">
        <v>32211.653490000001</v>
      </c>
      <c r="E1837">
        <v>0</v>
      </c>
      <c r="F1837">
        <v>91973.360889999996</v>
      </c>
      <c r="G1837">
        <v>0</v>
      </c>
      <c r="H1837">
        <v>3431</v>
      </c>
      <c r="I1837" t="str">
        <f t="shared" si="113"/>
        <v>YES</v>
      </c>
      <c r="J1837" t="s">
        <v>1843</v>
      </c>
      <c r="K1837">
        <v>694234.87648400001</v>
      </c>
      <c r="L1837" s="1">
        <f t="shared" si="114"/>
        <v>0</v>
      </c>
      <c r="M1837" s="1">
        <f t="shared" si="115"/>
        <v>0</v>
      </c>
      <c r="N1837" s="1">
        <f t="shared" si="116"/>
        <v>0</v>
      </c>
      <c r="O1837" s="1"/>
    </row>
    <row r="1838" spans="1:15" x14ac:dyDescent="0.25">
      <c r="A1838">
        <v>3432</v>
      </c>
      <c r="B1838">
        <v>767.78060540000001</v>
      </c>
      <c r="C1838">
        <v>0</v>
      </c>
      <c r="D1838">
        <v>26779.670620000001</v>
      </c>
      <c r="E1838">
        <v>0</v>
      </c>
      <c r="F1838">
        <v>61501.269659999998</v>
      </c>
      <c r="G1838">
        <v>0</v>
      </c>
      <c r="H1838">
        <v>3432</v>
      </c>
      <c r="I1838" t="str">
        <f t="shared" si="113"/>
        <v>YES</v>
      </c>
      <c r="J1838" t="s">
        <v>1844</v>
      </c>
      <c r="K1838">
        <v>1426812.0115100001</v>
      </c>
      <c r="L1838" s="1">
        <f t="shared" si="114"/>
        <v>0</v>
      </c>
      <c r="M1838" s="1">
        <f t="shared" si="115"/>
        <v>0</v>
      </c>
      <c r="N1838" s="1">
        <f t="shared" si="116"/>
        <v>0</v>
      </c>
      <c r="O1838" s="1"/>
    </row>
    <row r="1839" spans="1:15" x14ac:dyDescent="0.25">
      <c r="A1839">
        <v>3433</v>
      </c>
      <c r="B1839">
        <v>2905.2367399999998</v>
      </c>
      <c r="C1839">
        <v>0</v>
      </c>
      <c r="D1839">
        <v>30568.85657</v>
      </c>
      <c r="E1839">
        <v>0</v>
      </c>
      <c r="F1839">
        <v>81258.623749999999</v>
      </c>
      <c r="G1839">
        <v>0</v>
      </c>
      <c r="H1839">
        <v>3433</v>
      </c>
      <c r="I1839" t="str">
        <f t="shared" si="113"/>
        <v>YES</v>
      </c>
      <c r="J1839" t="s">
        <v>1845</v>
      </c>
      <c r="K1839">
        <v>483077.03923499997</v>
      </c>
      <c r="L1839" s="1">
        <f t="shared" si="114"/>
        <v>0</v>
      </c>
      <c r="M1839" s="1">
        <f t="shared" si="115"/>
        <v>0</v>
      </c>
      <c r="N1839" s="1">
        <f t="shared" si="116"/>
        <v>0</v>
      </c>
      <c r="O1839" s="1"/>
    </row>
    <row r="1840" spans="1:15" x14ac:dyDescent="0.25">
      <c r="A1840">
        <v>3434</v>
      </c>
      <c r="B1840">
        <v>21189.687480000001</v>
      </c>
      <c r="C1840">
        <v>0</v>
      </c>
      <c r="D1840">
        <v>36775.662770000003</v>
      </c>
      <c r="E1840">
        <v>0</v>
      </c>
      <c r="F1840">
        <v>111162.71060000001</v>
      </c>
      <c r="G1840">
        <v>0</v>
      </c>
      <c r="H1840">
        <v>3434</v>
      </c>
      <c r="I1840" t="str">
        <f t="shared" si="113"/>
        <v>YES</v>
      </c>
      <c r="J1840" t="s">
        <v>1846</v>
      </c>
      <c r="K1840">
        <v>904733.04842400004</v>
      </c>
      <c r="L1840" s="1">
        <f t="shared" si="114"/>
        <v>0</v>
      </c>
      <c r="M1840" s="1">
        <f t="shared" si="115"/>
        <v>0</v>
      </c>
      <c r="N1840" s="1">
        <f t="shared" si="116"/>
        <v>0</v>
      </c>
      <c r="O1840" s="1"/>
    </row>
    <row r="1841" spans="1:15" x14ac:dyDescent="0.25">
      <c r="A1841">
        <v>3437</v>
      </c>
      <c r="B1841">
        <v>1976.758918</v>
      </c>
      <c r="C1841">
        <v>0</v>
      </c>
      <c r="D1841">
        <v>15751.018249999999</v>
      </c>
      <c r="E1841">
        <v>0</v>
      </c>
      <c r="F1841">
        <v>62697.902670000003</v>
      </c>
      <c r="G1841">
        <v>0</v>
      </c>
      <c r="H1841">
        <v>3437</v>
      </c>
      <c r="I1841" t="str">
        <f t="shared" si="113"/>
        <v>YES</v>
      </c>
      <c r="J1841" t="s">
        <v>1847</v>
      </c>
      <c r="K1841">
        <v>413718.68021299999</v>
      </c>
      <c r="L1841" s="1">
        <f t="shared" si="114"/>
        <v>0</v>
      </c>
      <c r="M1841" s="1">
        <f t="shared" si="115"/>
        <v>0</v>
      </c>
      <c r="N1841" s="1">
        <f t="shared" si="116"/>
        <v>0</v>
      </c>
      <c r="O1841" s="1"/>
    </row>
    <row r="1842" spans="1:15" x14ac:dyDescent="0.25">
      <c r="A1842">
        <v>3438</v>
      </c>
      <c r="B1842">
        <v>10329.5507</v>
      </c>
      <c r="C1842">
        <v>0</v>
      </c>
      <c r="D1842">
        <v>53376.266029999999</v>
      </c>
      <c r="E1842">
        <v>0</v>
      </c>
      <c r="F1842">
        <v>173296.1452</v>
      </c>
      <c r="G1842">
        <v>0</v>
      </c>
      <c r="H1842">
        <v>3438</v>
      </c>
      <c r="I1842" t="str">
        <f t="shared" si="113"/>
        <v>YES</v>
      </c>
      <c r="J1842" t="s">
        <v>1848</v>
      </c>
      <c r="K1842">
        <v>589857.62098600005</v>
      </c>
      <c r="L1842" s="1">
        <f t="shared" si="114"/>
        <v>0</v>
      </c>
      <c r="M1842" s="1">
        <f t="shared" si="115"/>
        <v>0</v>
      </c>
      <c r="N1842" s="1">
        <f t="shared" si="116"/>
        <v>0</v>
      </c>
      <c r="O1842" s="1"/>
    </row>
    <row r="1843" spans="1:15" x14ac:dyDescent="0.25">
      <c r="A1843">
        <v>3439</v>
      </c>
      <c r="B1843">
        <v>6534.283563</v>
      </c>
      <c r="C1843">
        <v>0</v>
      </c>
      <c r="D1843">
        <v>37433.309589999997</v>
      </c>
      <c r="E1843">
        <v>0</v>
      </c>
      <c r="F1843">
        <v>171562.5491</v>
      </c>
      <c r="G1843">
        <v>0</v>
      </c>
      <c r="H1843">
        <v>3439</v>
      </c>
      <c r="I1843" t="str">
        <f t="shared" si="113"/>
        <v>YES</v>
      </c>
      <c r="J1843" t="s">
        <v>1849</v>
      </c>
      <c r="K1843">
        <v>567976.277795</v>
      </c>
      <c r="L1843" s="1">
        <f t="shared" si="114"/>
        <v>0</v>
      </c>
      <c r="M1843" s="1">
        <f t="shared" si="115"/>
        <v>0</v>
      </c>
      <c r="N1843" s="1">
        <f t="shared" si="116"/>
        <v>0</v>
      </c>
      <c r="O1843" s="1"/>
    </row>
    <row r="1844" spans="1:15" x14ac:dyDescent="0.25">
      <c r="A1844">
        <v>3440</v>
      </c>
      <c r="B1844">
        <v>8290.4180890000007</v>
      </c>
      <c r="C1844">
        <v>0</v>
      </c>
      <c r="D1844">
        <v>42715.726110000003</v>
      </c>
      <c r="E1844">
        <v>0</v>
      </c>
      <c r="F1844">
        <v>161080.2893</v>
      </c>
      <c r="G1844">
        <v>0</v>
      </c>
      <c r="H1844">
        <v>3440</v>
      </c>
      <c r="I1844" t="str">
        <f t="shared" si="113"/>
        <v>YES</v>
      </c>
      <c r="J1844" t="s">
        <v>1850</v>
      </c>
      <c r="K1844">
        <v>974769.65495899995</v>
      </c>
      <c r="L1844" s="1">
        <f t="shared" si="114"/>
        <v>0</v>
      </c>
      <c r="M1844" s="1">
        <f t="shared" si="115"/>
        <v>0</v>
      </c>
      <c r="N1844" s="1">
        <f t="shared" si="116"/>
        <v>0</v>
      </c>
      <c r="O1844" s="1"/>
    </row>
    <row r="1845" spans="1:15" x14ac:dyDescent="0.25">
      <c r="A1845">
        <v>3441</v>
      </c>
      <c r="B1845">
        <v>9987.1074590000007</v>
      </c>
      <c r="C1845">
        <v>0</v>
      </c>
      <c r="D1845">
        <v>52143.079859999998</v>
      </c>
      <c r="E1845">
        <v>0</v>
      </c>
      <c r="F1845">
        <v>192394.73540000001</v>
      </c>
      <c r="G1845">
        <v>0</v>
      </c>
      <c r="H1845">
        <v>3441</v>
      </c>
      <c r="I1845" t="str">
        <f t="shared" si="113"/>
        <v>YES</v>
      </c>
      <c r="J1845" t="s">
        <v>1851</v>
      </c>
      <c r="K1845">
        <v>769153.86705999996</v>
      </c>
      <c r="L1845" s="1">
        <f t="shared" si="114"/>
        <v>0</v>
      </c>
      <c r="M1845" s="1">
        <f t="shared" si="115"/>
        <v>0</v>
      </c>
      <c r="N1845" s="1">
        <f t="shared" si="116"/>
        <v>0</v>
      </c>
      <c r="O1845" s="1"/>
    </row>
    <row r="1846" spans="1:15" x14ac:dyDescent="0.25">
      <c r="A1846">
        <v>3442</v>
      </c>
      <c r="B1846">
        <v>28150.702669999999</v>
      </c>
      <c r="C1846">
        <v>0</v>
      </c>
      <c r="D1846">
        <v>89164.307449999993</v>
      </c>
      <c r="E1846">
        <v>0</v>
      </c>
      <c r="F1846">
        <v>340117.02549999999</v>
      </c>
      <c r="G1846">
        <v>0</v>
      </c>
      <c r="H1846">
        <v>3442</v>
      </c>
      <c r="I1846" t="str">
        <f t="shared" si="113"/>
        <v>YES</v>
      </c>
      <c r="J1846" t="s">
        <v>1852</v>
      </c>
      <c r="K1846">
        <v>524235.83357100002</v>
      </c>
      <c r="L1846" s="1">
        <f t="shared" si="114"/>
        <v>0</v>
      </c>
      <c r="M1846" s="1">
        <f t="shared" si="115"/>
        <v>0</v>
      </c>
      <c r="N1846" s="1">
        <f t="shared" si="116"/>
        <v>0</v>
      </c>
      <c r="O1846" s="1"/>
    </row>
    <row r="1847" spans="1:15" x14ac:dyDescent="0.25">
      <c r="A1847">
        <v>3443</v>
      </c>
      <c r="B1847">
        <v>18983.07905</v>
      </c>
      <c r="C1847">
        <v>0</v>
      </c>
      <c r="D1847">
        <v>78130.897870000001</v>
      </c>
      <c r="E1847">
        <v>0</v>
      </c>
      <c r="F1847">
        <v>307418.65500000003</v>
      </c>
      <c r="G1847">
        <v>0</v>
      </c>
      <c r="H1847">
        <v>3443</v>
      </c>
      <c r="I1847" t="str">
        <f t="shared" si="113"/>
        <v>YES</v>
      </c>
      <c r="J1847" t="s">
        <v>1853</v>
      </c>
      <c r="K1847">
        <v>638332.775486</v>
      </c>
      <c r="L1847" s="1">
        <f t="shared" si="114"/>
        <v>0</v>
      </c>
      <c r="M1847" s="1">
        <f t="shared" si="115"/>
        <v>0</v>
      </c>
      <c r="N1847" s="1">
        <f t="shared" si="116"/>
        <v>0</v>
      </c>
      <c r="O1847" s="1"/>
    </row>
    <row r="1848" spans="1:15" x14ac:dyDescent="0.25">
      <c r="A1848">
        <v>3444</v>
      </c>
      <c r="B1848">
        <v>2193.3580029999998</v>
      </c>
      <c r="C1848">
        <v>0</v>
      </c>
      <c r="D1848">
        <v>45313.805740000003</v>
      </c>
      <c r="E1848">
        <v>0</v>
      </c>
      <c r="F1848">
        <v>115976.8977</v>
      </c>
      <c r="G1848">
        <v>0</v>
      </c>
      <c r="H1848">
        <v>3444</v>
      </c>
      <c r="I1848" t="str">
        <f t="shared" si="113"/>
        <v>YES</v>
      </c>
      <c r="J1848" t="s">
        <v>1854</v>
      </c>
      <c r="K1848">
        <v>928000.40761999995</v>
      </c>
      <c r="L1848" s="1">
        <f t="shared" si="114"/>
        <v>0</v>
      </c>
      <c r="M1848" s="1">
        <f t="shared" si="115"/>
        <v>0</v>
      </c>
      <c r="N1848" s="1">
        <f t="shared" si="116"/>
        <v>0</v>
      </c>
      <c r="O1848" s="1"/>
    </row>
    <row r="1849" spans="1:15" x14ac:dyDescent="0.25">
      <c r="A1849">
        <v>3447</v>
      </c>
      <c r="B1849">
        <v>2728.9281249999999</v>
      </c>
      <c r="C1849">
        <v>0</v>
      </c>
      <c r="D1849">
        <v>13991.164360000001</v>
      </c>
      <c r="E1849">
        <v>0</v>
      </c>
      <c r="F1849">
        <v>90327.48014</v>
      </c>
      <c r="G1849">
        <v>0</v>
      </c>
      <c r="H1849">
        <v>3447</v>
      </c>
      <c r="I1849" t="str">
        <f t="shared" si="113"/>
        <v>YES</v>
      </c>
      <c r="J1849" t="s">
        <v>1855</v>
      </c>
      <c r="K1849">
        <v>820629.126162</v>
      </c>
      <c r="L1849" s="1">
        <f t="shared" si="114"/>
        <v>0</v>
      </c>
      <c r="M1849" s="1">
        <f t="shared" si="115"/>
        <v>0</v>
      </c>
      <c r="N1849" s="1">
        <f t="shared" si="116"/>
        <v>0</v>
      </c>
      <c r="O1849" s="1"/>
    </row>
    <row r="1850" spans="1:15" x14ac:dyDescent="0.25">
      <c r="A1850">
        <v>3448</v>
      </c>
      <c r="B1850">
        <v>1503.997304</v>
      </c>
      <c r="C1850">
        <v>0</v>
      </c>
      <c r="D1850">
        <v>13756.384480000001</v>
      </c>
      <c r="E1850">
        <v>0</v>
      </c>
      <c r="F1850">
        <v>89811.022500000006</v>
      </c>
      <c r="G1850">
        <v>0</v>
      </c>
      <c r="H1850">
        <v>3448</v>
      </c>
      <c r="I1850" t="str">
        <f t="shared" si="113"/>
        <v>YES</v>
      </c>
      <c r="J1850" t="s">
        <v>1856</v>
      </c>
      <c r="K1850">
        <v>716681.16735999996</v>
      </c>
      <c r="L1850" s="1">
        <f t="shared" si="114"/>
        <v>0</v>
      </c>
      <c r="M1850" s="1">
        <f t="shared" si="115"/>
        <v>0</v>
      </c>
      <c r="N1850" s="1">
        <f t="shared" si="116"/>
        <v>0</v>
      </c>
      <c r="O1850" s="1"/>
    </row>
    <row r="1851" spans="1:15" x14ac:dyDescent="0.25">
      <c r="A1851">
        <v>3449</v>
      </c>
      <c r="B1851">
        <v>1095.4919030000001</v>
      </c>
      <c r="C1851">
        <v>0</v>
      </c>
      <c r="D1851">
        <v>13771.8271</v>
      </c>
      <c r="E1851">
        <v>0</v>
      </c>
      <c r="F1851">
        <v>80113.91347</v>
      </c>
      <c r="G1851">
        <v>0</v>
      </c>
      <c r="H1851">
        <v>3449</v>
      </c>
      <c r="I1851" t="str">
        <f t="shared" si="113"/>
        <v>YES</v>
      </c>
      <c r="J1851" t="s">
        <v>1857</v>
      </c>
      <c r="K1851">
        <v>408978.16114699998</v>
      </c>
      <c r="L1851" s="1">
        <f t="shared" si="114"/>
        <v>0</v>
      </c>
      <c r="M1851" s="1">
        <f t="shared" si="115"/>
        <v>0</v>
      </c>
      <c r="N1851" s="1">
        <f t="shared" si="116"/>
        <v>0</v>
      </c>
      <c r="O1851" s="1"/>
    </row>
    <row r="1852" spans="1:15" x14ac:dyDescent="0.25">
      <c r="A1852">
        <v>3450</v>
      </c>
      <c r="B1852">
        <v>4137.9636140000002</v>
      </c>
      <c r="C1852">
        <v>0</v>
      </c>
      <c r="D1852">
        <v>30145.492050000001</v>
      </c>
      <c r="E1852">
        <v>0</v>
      </c>
      <c r="F1852">
        <v>106342.18030000001</v>
      </c>
      <c r="G1852">
        <v>0</v>
      </c>
      <c r="H1852">
        <v>3450</v>
      </c>
      <c r="I1852" t="str">
        <f t="shared" si="113"/>
        <v>YES</v>
      </c>
      <c r="J1852" t="s">
        <v>1858</v>
      </c>
      <c r="K1852">
        <v>1143430.2067799999</v>
      </c>
      <c r="L1852" s="1">
        <f t="shared" si="114"/>
        <v>0</v>
      </c>
      <c r="M1852" s="1">
        <f t="shared" si="115"/>
        <v>0</v>
      </c>
      <c r="N1852" s="1">
        <f t="shared" si="116"/>
        <v>0</v>
      </c>
      <c r="O1852" s="1"/>
    </row>
    <row r="1853" spans="1:15" x14ac:dyDescent="0.25">
      <c r="A1853">
        <v>3453</v>
      </c>
      <c r="B1853">
        <v>8677.5265670000008</v>
      </c>
      <c r="C1853">
        <v>0</v>
      </c>
      <c r="D1853">
        <v>44497.6823</v>
      </c>
      <c r="E1853">
        <v>0</v>
      </c>
      <c r="F1853">
        <v>169485.3279</v>
      </c>
      <c r="G1853">
        <v>0</v>
      </c>
      <c r="H1853">
        <v>3453</v>
      </c>
      <c r="I1853" t="str">
        <f t="shared" si="113"/>
        <v>YES</v>
      </c>
      <c r="J1853" t="s">
        <v>1859</v>
      </c>
      <c r="K1853">
        <v>714630.46159199998</v>
      </c>
      <c r="L1853" s="1">
        <f t="shared" si="114"/>
        <v>0</v>
      </c>
      <c r="M1853" s="1">
        <f t="shared" si="115"/>
        <v>0</v>
      </c>
      <c r="N1853" s="1">
        <f t="shared" si="116"/>
        <v>0</v>
      </c>
      <c r="O1853" s="1"/>
    </row>
    <row r="1854" spans="1:15" x14ac:dyDescent="0.25">
      <c r="A1854">
        <v>3454</v>
      </c>
      <c r="B1854">
        <v>20624.42078</v>
      </c>
      <c r="C1854">
        <v>0</v>
      </c>
      <c r="D1854">
        <v>89558.080520000003</v>
      </c>
      <c r="E1854">
        <v>0</v>
      </c>
      <c r="F1854">
        <v>267560.40649999998</v>
      </c>
      <c r="G1854">
        <v>0</v>
      </c>
      <c r="H1854">
        <v>3454</v>
      </c>
      <c r="I1854" t="str">
        <f t="shared" si="113"/>
        <v>YES</v>
      </c>
      <c r="J1854" t="s">
        <v>1860</v>
      </c>
      <c r="K1854">
        <v>531732.29249300004</v>
      </c>
      <c r="L1854" s="1">
        <f t="shared" si="114"/>
        <v>0</v>
      </c>
      <c r="M1854" s="1">
        <f t="shared" si="115"/>
        <v>0</v>
      </c>
      <c r="N1854" s="1">
        <f t="shared" si="116"/>
        <v>0</v>
      </c>
      <c r="O1854" s="1"/>
    </row>
    <row r="1855" spans="1:15" x14ac:dyDescent="0.25">
      <c r="A1855">
        <v>3455</v>
      </c>
      <c r="B1855">
        <v>7498.5473380000003</v>
      </c>
      <c r="C1855">
        <v>0</v>
      </c>
      <c r="D1855">
        <v>66572.625899999999</v>
      </c>
      <c r="E1855">
        <v>0</v>
      </c>
      <c r="F1855">
        <v>228877.98420000001</v>
      </c>
      <c r="G1855">
        <v>0</v>
      </c>
      <c r="H1855">
        <v>3455</v>
      </c>
      <c r="I1855" t="str">
        <f t="shared" si="113"/>
        <v>YES</v>
      </c>
      <c r="J1855" t="s">
        <v>1861</v>
      </c>
      <c r="K1855">
        <v>260010.73637500001</v>
      </c>
      <c r="L1855" s="1">
        <f t="shared" si="114"/>
        <v>0</v>
      </c>
      <c r="M1855" s="1">
        <f t="shared" si="115"/>
        <v>0</v>
      </c>
      <c r="N1855" s="1">
        <f t="shared" si="116"/>
        <v>0</v>
      </c>
      <c r="O1855" s="1"/>
    </row>
    <row r="1856" spans="1:15" x14ac:dyDescent="0.25">
      <c r="A1856">
        <v>3456</v>
      </c>
      <c r="B1856">
        <v>37160.479229999997</v>
      </c>
      <c r="C1856">
        <v>0</v>
      </c>
      <c r="D1856">
        <v>161172.96100000001</v>
      </c>
      <c r="E1856">
        <v>0</v>
      </c>
      <c r="F1856">
        <v>414694.20419999998</v>
      </c>
      <c r="G1856">
        <v>0</v>
      </c>
      <c r="H1856">
        <v>3456</v>
      </c>
      <c r="I1856" t="str">
        <f t="shared" si="113"/>
        <v>YES</v>
      </c>
      <c r="J1856" t="s">
        <v>1862</v>
      </c>
      <c r="K1856">
        <v>388818.13447699999</v>
      </c>
      <c r="L1856" s="1">
        <f t="shared" si="114"/>
        <v>0</v>
      </c>
      <c r="M1856" s="1">
        <f t="shared" si="115"/>
        <v>0</v>
      </c>
      <c r="N1856" s="1">
        <f t="shared" si="116"/>
        <v>0</v>
      </c>
      <c r="O1856" s="1"/>
    </row>
    <row r="1857" spans="1:15" x14ac:dyDescent="0.25">
      <c r="A1857">
        <v>3457</v>
      </c>
      <c r="B1857">
        <v>12880.1101</v>
      </c>
      <c r="C1857">
        <v>0</v>
      </c>
      <c r="D1857">
        <v>83167.117710000006</v>
      </c>
      <c r="E1857">
        <v>0</v>
      </c>
      <c r="F1857">
        <v>270190.18949999998</v>
      </c>
      <c r="G1857">
        <v>0</v>
      </c>
      <c r="H1857">
        <v>3457</v>
      </c>
      <c r="I1857" t="str">
        <f t="shared" si="113"/>
        <v>YES</v>
      </c>
      <c r="J1857" t="s">
        <v>1863</v>
      </c>
      <c r="K1857">
        <v>281173.03270799998</v>
      </c>
      <c r="L1857" s="1">
        <f t="shared" si="114"/>
        <v>0</v>
      </c>
      <c r="M1857" s="1">
        <f t="shared" si="115"/>
        <v>0</v>
      </c>
      <c r="N1857" s="1">
        <f t="shared" si="116"/>
        <v>0</v>
      </c>
      <c r="O1857" s="1"/>
    </row>
    <row r="1858" spans="1:15" x14ac:dyDescent="0.25">
      <c r="A1858">
        <v>3458</v>
      </c>
      <c r="B1858">
        <v>7413.4273830000002</v>
      </c>
      <c r="C1858">
        <v>0</v>
      </c>
      <c r="D1858">
        <v>42955.866110000003</v>
      </c>
      <c r="E1858">
        <v>0</v>
      </c>
      <c r="F1858">
        <v>178960.1825</v>
      </c>
      <c r="G1858">
        <v>0</v>
      </c>
      <c r="H1858">
        <v>3458</v>
      </c>
      <c r="I1858" t="str">
        <f t="shared" ref="I1858:I1921" si="117">IF(A1858=H1858,"YES","NO")</f>
        <v>YES</v>
      </c>
      <c r="J1858" t="s">
        <v>1864</v>
      </c>
      <c r="K1858">
        <v>547590.31938899995</v>
      </c>
      <c r="L1858" s="1">
        <f t="shared" si="114"/>
        <v>0</v>
      </c>
      <c r="M1858" s="1">
        <f t="shared" si="115"/>
        <v>0</v>
      </c>
      <c r="N1858" s="1">
        <f t="shared" si="116"/>
        <v>0</v>
      </c>
      <c r="O1858" s="1"/>
    </row>
    <row r="1859" spans="1:15" x14ac:dyDescent="0.25">
      <c r="A1859">
        <v>3459</v>
      </c>
      <c r="B1859">
        <v>12089.81119</v>
      </c>
      <c r="C1859">
        <v>0</v>
      </c>
      <c r="D1859">
        <v>74643.396779999995</v>
      </c>
      <c r="E1859">
        <v>0</v>
      </c>
      <c r="F1859">
        <v>243036.52009999999</v>
      </c>
      <c r="G1859">
        <v>0</v>
      </c>
      <c r="H1859">
        <v>3459</v>
      </c>
      <c r="I1859" t="str">
        <f t="shared" si="117"/>
        <v>YES</v>
      </c>
      <c r="J1859" t="s">
        <v>1865</v>
      </c>
      <c r="K1859">
        <v>978647.40750900004</v>
      </c>
      <c r="L1859" s="1">
        <f t="shared" ref="L1859:L1922" si="118">$U$2*$K1859*C1859</f>
        <v>0</v>
      </c>
      <c r="M1859" s="1">
        <f t="shared" ref="M1859:M1922" si="119">$U$3*$K1859*E1859</f>
        <v>0</v>
      </c>
      <c r="N1859" s="1">
        <f t="shared" ref="N1859:N1922" si="120">$U$4*$K1859*G1859</f>
        <v>0</v>
      </c>
      <c r="O1859" s="1"/>
    </row>
    <row r="1860" spans="1:15" x14ac:dyDescent="0.25">
      <c r="A1860">
        <v>3460</v>
      </c>
      <c r="B1860">
        <v>7677.7339380000003</v>
      </c>
      <c r="C1860">
        <v>0</v>
      </c>
      <c r="D1860">
        <v>50906.052499999998</v>
      </c>
      <c r="E1860">
        <v>0</v>
      </c>
      <c r="F1860">
        <v>169277.79810000001</v>
      </c>
      <c r="G1860">
        <v>0</v>
      </c>
      <c r="H1860">
        <v>3460</v>
      </c>
      <c r="I1860" t="str">
        <f t="shared" si="117"/>
        <v>YES</v>
      </c>
      <c r="J1860" t="s">
        <v>1866</v>
      </c>
      <c r="K1860">
        <v>520604.37539399997</v>
      </c>
      <c r="L1860" s="1">
        <f t="shared" si="118"/>
        <v>0</v>
      </c>
      <c r="M1860" s="1">
        <f t="shared" si="119"/>
        <v>0</v>
      </c>
      <c r="N1860" s="1">
        <f t="shared" si="120"/>
        <v>0</v>
      </c>
      <c r="O1860" s="1"/>
    </row>
    <row r="1861" spans="1:15" x14ac:dyDescent="0.25">
      <c r="A1861">
        <v>3463</v>
      </c>
      <c r="B1861">
        <v>6564.6743800000004</v>
      </c>
      <c r="C1861">
        <v>0</v>
      </c>
      <c r="D1861">
        <v>32229.89572</v>
      </c>
      <c r="E1861">
        <v>0</v>
      </c>
      <c r="F1861">
        <v>84220.888479999994</v>
      </c>
      <c r="G1861">
        <v>0</v>
      </c>
      <c r="H1861">
        <v>3463</v>
      </c>
      <c r="I1861" t="str">
        <f t="shared" si="117"/>
        <v>YES</v>
      </c>
      <c r="J1861" t="s">
        <v>1867</v>
      </c>
      <c r="K1861">
        <v>1025360.6040000001</v>
      </c>
      <c r="L1861" s="1">
        <f t="shared" si="118"/>
        <v>0</v>
      </c>
      <c r="M1861" s="1">
        <f t="shared" si="119"/>
        <v>0</v>
      </c>
      <c r="N1861" s="1">
        <f t="shared" si="120"/>
        <v>0</v>
      </c>
      <c r="O1861" s="1"/>
    </row>
    <row r="1862" spans="1:15" x14ac:dyDescent="0.25">
      <c r="A1862">
        <v>3464</v>
      </c>
      <c r="B1862">
        <v>11820.503500000001</v>
      </c>
      <c r="C1862">
        <v>0</v>
      </c>
      <c r="D1862">
        <v>48105.934390000002</v>
      </c>
      <c r="E1862">
        <v>0</v>
      </c>
      <c r="F1862">
        <v>162370.79639999999</v>
      </c>
      <c r="G1862">
        <v>0</v>
      </c>
      <c r="H1862">
        <v>3464</v>
      </c>
      <c r="I1862" t="str">
        <f t="shared" si="117"/>
        <v>YES</v>
      </c>
      <c r="J1862" t="s">
        <v>1868</v>
      </c>
      <c r="K1862">
        <v>1051322.15949</v>
      </c>
      <c r="L1862" s="1">
        <f t="shared" si="118"/>
        <v>0</v>
      </c>
      <c r="M1862" s="1">
        <f t="shared" si="119"/>
        <v>0</v>
      </c>
      <c r="N1862" s="1">
        <f t="shared" si="120"/>
        <v>0</v>
      </c>
      <c r="O1862" s="1"/>
    </row>
    <row r="1863" spans="1:15" x14ac:dyDescent="0.25">
      <c r="A1863">
        <v>3465</v>
      </c>
      <c r="B1863">
        <v>6496.8582100000003</v>
      </c>
      <c r="C1863">
        <v>0</v>
      </c>
      <c r="D1863">
        <v>29057.965800000002</v>
      </c>
      <c r="E1863">
        <v>0</v>
      </c>
      <c r="F1863">
        <v>98455.541750000004</v>
      </c>
      <c r="G1863">
        <v>0</v>
      </c>
      <c r="H1863">
        <v>3465</v>
      </c>
      <c r="I1863" t="str">
        <f t="shared" si="117"/>
        <v>YES</v>
      </c>
      <c r="J1863" t="s">
        <v>1869</v>
      </c>
      <c r="K1863">
        <v>666078.93388899998</v>
      </c>
      <c r="L1863" s="1">
        <f t="shared" si="118"/>
        <v>0</v>
      </c>
      <c r="M1863" s="1">
        <f t="shared" si="119"/>
        <v>0</v>
      </c>
      <c r="N1863" s="1">
        <f t="shared" si="120"/>
        <v>0</v>
      </c>
      <c r="O1863" s="1"/>
    </row>
    <row r="1864" spans="1:15" x14ac:dyDescent="0.25">
      <c r="A1864">
        <v>3466</v>
      </c>
      <c r="B1864">
        <v>6426.1651590000001</v>
      </c>
      <c r="C1864">
        <v>0</v>
      </c>
      <c r="D1864">
        <v>30809.270479999999</v>
      </c>
      <c r="E1864">
        <v>0</v>
      </c>
      <c r="F1864">
        <v>139112.81409999999</v>
      </c>
      <c r="G1864">
        <v>0</v>
      </c>
      <c r="H1864">
        <v>3466</v>
      </c>
      <c r="I1864" t="str">
        <f t="shared" si="117"/>
        <v>YES</v>
      </c>
      <c r="J1864" t="s">
        <v>1870</v>
      </c>
      <c r="K1864">
        <v>420215.80270100001</v>
      </c>
      <c r="L1864" s="1">
        <f t="shared" si="118"/>
        <v>0</v>
      </c>
      <c r="M1864" s="1">
        <f t="shared" si="119"/>
        <v>0</v>
      </c>
      <c r="N1864" s="1">
        <f t="shared" si="120"/>
        <v>0</v>
      </c>
      <c r="O1864" s="1"/>
    </row>
    <row r="1865" spans="1:15" x14ac:dyDescent="0.25">
      <c r="A1865">
        <v>3467</v>
      </c>
      <c r="B1865">
        <v>2988.1693759999998</v>
      </c>
      <c r="C1865">
        <v>0</v>
      </c>
      <c r="D1865">
        <v>27552.304830000001</v>
      </c>
      <c r="E1865">
        <v>0</v>
      </c>
      <c r="F1865">
        <v>118923.0619</v>
      </c>
      <c r="G1865">
        <v>0</v>
      </c>
      <c r="H1865">
        <v>3467</v>
      </c>
      <c r="I1865" t="str">
        <f t="shared" si="117"/>
        <v>YES</v>
      </c>
      <c r="J1865" t="s">
        <v>1871</v>
      </c>
      <c r="K1865">
        <v>744907.02475400001</v>
      </c>
      <c r="L1865" s="1">
        <f t="shared" si="118"/>
        <v>0</v>
      </c>
      <c r="M1865" s="1">
        <f t="shared" si="119"/>
        <v>0</v>
      </c>
      <c r="N1865" s="1">
        <f t="shared" si="120"/>
        <v>0</v>
      </c>
      <c r="O1865" s="1"/>
    </row>
    <row r="1866" spans="1:15" x14ac:dyDescent="0.25">
      <c r="A1866">
        <v>3468</v>
      </c>
      <c r="B1866">
        <v>6817.5018799999998</v>
      </c>
      <c r="C1866">
        <v>0</v>
      </c>
      <c r="D1866">
        <v>33976.486819999998</v>
      </c>
      <c r="E1866">
        <v>0</v>
      </c>
      <c r="F1866">
        <v>145555.60440000001</v>
      </c>
      <c r="G1866">
        <v>0</v>
      </c>
      <c r="H1866">
        <v>3468</v>
      </c>
      <c r="I1866" t="str">
        <f t="shared" si="117"/>
        <v>YES</v>
      </c>
      <c r="J1866" t="s">
        <v>1872</v>
      </c>
      <c r="K1866">
        <v>774955.32485900004</v>
      </c>
      <c r="L1866" s="1">
        <f t="shared" si="118"/>
        <v>0</v>
      </c>
      <c r="M1866" s="1">
        <f t="shared" si="119"/>
        <v>0</v>
      </c>
      <c r="N1866" s="1">
        <f t="shared" si="120"/>
        <v>0</v>
      </c>
      <c r="O1866" s="1"/>
    </row>
    <row r="1867" spans="1:15" x14ac:dyDescent="0.25">
      <c r="A1867">
        <v>3471</v>
      </c>
      <c r="B1867">
        <v>15562.5057</v>
      </c>
      <c r="C1867">
        <v>0</v>
      </c>
      <c r="D1867">
        <v>57709.214330000003</v>
      </c>
      <c r="E1867">
        <v>0</v>
      </c>
      <c r="F1867">
        <v>164122.42629999999</v>
      </c>
      <c r="G1867">
        <v>0</v>
      </c>
      <c r="H1867">
        <v>3471</v>
      </c>
      <c r="I1867" t="str">
        <f t="shared" si="117"/>
        <v>YES</v>
      </c>
      <c r="J1867" t="s">
        <v>1873</v>
      </c>
      <c r="K1867">
        <v>701216.12954500003</v>
      </c>
      <c r="L1867" s="1">
        <f t="shared" si="118"/>
        <v>0</v>
      </c>
      <c r="M1867" s="1">
        <f t="shared" si="119"/>
        <v>0</v>
      </c>
      <c r="N1867" s="1">
        <f t="shared" si="120"/>
        <v>0</v>
      </c>
      <c r="O1867" s="1"/>
    </row>
    <row r="1868" spans="1:15" x14ac:dyDescent="0.25">
      <c r="A1868">
        <v>3472</v>
      </c>
      <c r="B1868">
        <v>4452.5420599999998</v>
      </c>
      <c r="C1868">
        <v>0</v>
      </c>
      <c r="D1868">
        <v>15777.466549999999</v>
      </c>
      <c r="E1868">
        <v>0</v>
      </c>
      <c r="F1868">
        <v>69356.356419999996</v>
      </c>
      <c r="G1868">
        <v>0</v>
      </c>
      <c r="H1868">
        <v>3472</v>
      </c>
      <c r="I1868" t="str">
        <f t="shared" si="117"/>
        <v>YES</v>
      </c>
      <c r="J1868" t="s">
        <v>1874</v>
      </c>
      <c r="K1868">
        <v>1428673.0835899999</v>
      </c>
      <c r="L1868" s="1">
        <f t="shared" si="118"/>
        <v>0</v>
      </c>
      <c r="M1868" s="1">
        <f t="shared" si="119"/>
        <v>0</v>
      </c>
      <c r="N1868" s="1">
        <f t="shared" si="120"/>
        <v>0</v>
      </c>
      <c r="O1868" s="1"/>
    </row>
    <row r="1869" spans="1:15" x14ac:dyDescent="0.25">
      <c r="A1869">
        <v>3473</v>
      </c>
      <c r="B1869">
        <v>6450.4062359999998</v>
      </c>
      <c r="C1869">
        <v>0</v>
      </c>
      <c r="D1869">
        <v>48831.498399999997</v>
      </c>
      <c r="E1869">
        <v>0</v>
      </c>
      <c r="F1869">
        <v>132105.2163</v>
      </c>
      <c r="G1869">
        <v>0</v>
      </c>
      <c r="H1869">
        <v>3473</v>
      </c>
      <c r="I1869" t="str">
        <f t="shared" si="117"/>
        <v>YES</v>
      </c>
      <c r="J1869" t="s">
        <v>1875</v>
      </c>
      <c r="K1869">
        <v>754824.49060599995</v>
      </c>
      <c r="L1869" s="1">
        <f t="shared" si="118"/>
        <v>0</v>
      </c>
      <c r="M1869" s="1">
        <f t="shared" si="119"/>
        <v>0</v>
      </c>
      <c r="N1869" s="1">
        <f t="shared" si="120"/>
        <v>0</v>
      </c>
      <c r="O1869" s="1"/>
    </row>
    <row r="1870" spans="1:15" x14ac:dyDescent="0.25">
      <c r="A1870">
        <v>3474</v>
      </c>
      <c r="B1870">
        <v>3493.9320309999998</v>
      </c>
      <c r="C1870">
        <v>0</v>
      </c>
      <c r="D1870">
        <v>19059.6741</v>
      </c>
      <c r="E1870">
        <v>0</v>
      </c>
      <c r="F1870">
        <v>103510.4081</v>
      </c>
      <c r="G1870">
        <v>0</v>
      </c>
      <c r="H1870">
        <v>3474</v>
      </c>
      <c r="I1870" t="str">
        <f t="shared" si="117"/>
        <v>YES</v>
      </c>
      <c r="J1870" t="s">
        <v>1876</v>
      </c>
      <c r="K1870">
        <v>745502.66497899999</v>
      </c>
      <c r="L1870" s="1">
        <f t="shared" si="118"/>
        <v>0</v>
      </c>
      <c r="M1870" s="1">
        <f t="shared" si="119"/>
        <v>0</v>
      </c>
      <c r="N1870" s="1">
        <f t="shared" si="120"/>
        <v>0</v>
      </c>
      <c r="O1870" s="1"/>
    </row>
    <row r="1871" spans="1:15" x14ac:dyDescent="0.25">
      <c r="A1871">
        <v>3477</v>
      </c>
      <c r="B1871">
        <v>1581.625937</v>
      </c>
      <c r="C1871">
        <v>0</v>
      </c>
      <c r="D1871">
        <v>2105.87327</v>
      </c>
      <c r="E1871">
        <v>0</v>
      </c>
      <c r="F1871">
        <v>2544.5310599999998</v>
      </c>
      <c r="G1871">
        <v>0</v>
      </c>
      <c r="H1871">
        <v>3477</v>
      </c>
      <c r="I1871" t="str">
        <f t="shared" si="117"/>
        <v>YES</v>
      </c>
      <c r="J1871" t="s">
        <v>1877</v>
      </c>
      <c r="K1871">
        <v>3313590.28</v>
      </c>
      <c r="L1871" s="1">
        <f t="shared" si="118"/>
        <v>0</v>
      </c>
      <c r="M1871" s="1">
        <f t="shared" si="119"/>
        <v>0</v>
      </c>
      <c r="N1871" s="1">
        <f t="shared" si="120"/>
        <v>0</v>
      </c>
      <c r="O1871" s="1"/>
    </row>
    <row r="1872" spans="1:15" x14ac:dyDescent="0.25">
      <c r="A1872">
        <v>3478</v>
      </c>
      <c r="B1872">
        <v>1581.625937</v>
      </c>
      <c r="C1872">
        <v>0</v>
      </c>
      <c r="D1872">
        <v>2351.3952370000002</v>
      </c>
      <c r="E1872">
        <v>0</v>
      </c>
      <c r="F1872">
        <v>2544.5310599999998</v>
      </c>
      <c r="G1872">
        <v>0</v>
      </c>
      <c r="H1872">
        <v>3478</v>
      </c>
      <c r="I1872" t="str">
        <f t="shared" si="117"/>
        <v>YES</v>
      </c>
      <c r="J1872" t="s">
        <v>1878</v>
      </c>
      <c r="K1872">
        <v>5401570.6531699998</v>
      </c>
      <c r="L1872" s="1">
        <f t="shared" si="118"/>
        <v>0</v>
      </c>
      <c r="M1872" s="1">
        <f t="shared" si="119"/>
        <v>0</v>
      </c>
      <c r="N1872" s="1">
        <f t="shared" si="120"/>
        <v>0</v>
      </c>
      <c r="O1872" s="1"/>
    </row>
    <row r="1873" spans="1:15" x14ac:dyDescent="0.25">
      <c r="A1873">
        <v>3479</v>
      </c>
      <c r="B1873">
        <v>421.49427839999998</v>
      </c>
      <c r="C1873">
        <v>0</v>
      </c>
      <c r="D1873">
        <v>421.49427839999998</v>
      </c>
      <c r="E1873">
        <v>0</v>
      </c>
      <c r="F1873">
        <v>421.49427839999998</v>
      </c>
      <c r="G1873">
        <v>0</v>
      </c>
      <c r="H1873">
        <v>3479</v>
      </c>
      <c r="I1873" t="str">
        <f t="shared" si="117"/>
        <v>YES</v>
      </c>
      <c r="J1873" t="s">
        <v>1879</v>
      </c>
      <c r="K1873">
        <v>10701434.875399999</v>
      </c>
      <c r="L1873" s="1">
        <f t="shared" si="118"/>
        <v>0</v>
      </c>
      <c r="M1873" s="1">
        <f t="shared" si="119"/>
        <v>0</v>
      </c>
      <c r="N1873" s="1">
        <f t="shared" si="120"/>
        <v>0</v>
      </c>
      <c r="O1873" s="1"/>
    </row>
    <row r="1874" spans="1:15" x14ac:dyDescent="0.25">
      <c r="A1874">
        <v>3480</v>
      </c>
      <c r="B1874">
        <v>524.2473334</v>
      </c>
      <c r="C1874">
        <v>0</v>
      </c>
      <c r="D1874">
        <v>16634.632269999998</v>
      </c>
      <c r="E1874">
        <v>0</v>
      </c>
      <c r="F1874">
        <v>53119.692730000002</v>
      </c>
      <c r="G1874">
        <v>0</v>
      </c>
      <c r="H1874">
        <v>3480</v>
      </c>
      <c r="I1874" t="str">
        <f t="shared" si="117"/>
        <v>YES</v>
      </c>
      <c r="J1874" t="s">
        <v>1880</v>
      </c>
      <c r="K1874">
        <v>10154271.711300001</v>
      </c>
      <c r="L1874" s="1">
        <f t="shared" si="118"/>
        <v>0</v>
      </c>
      <c r="M1874" s="1">
        <f t="shared" si="119"/>
        <v>0</v>
      </c>
      <c r="N1874" s="1">
        <f t="shared" si="120"/>
        <v>0</v>
      </c>
      <c r="O1874" s="1"/>
    </row>
    <row r="1875" spans="1:15" x14ac:dyDescent="0.25">
      <c r="A1875">
        <v>3481</v>
      </c>
      <c r="B1875">
        <v>245.5219664</v>
      </c>
      <c r="C1875">
        <v>0</v>
      </c>
      <c r="D1875">
        <v>1827.147903</v>
      </c>
      <c r="E1875">
        <v>0</v>
      </c>
      <c r="F1875">
        <v>2351.3952370000002</v>
      </c>
      <c r="G1875">
        <v>0</v>
      </c>
      <c r="H1875">
        <v>3481</v>
      </c>
      <c r="I1875" t="str">
        <f t="shared" si="117"/>
        <v>YES</v>
      </c>
      <c r="J1875" t="s">
        <v>1881</v>
      </c>
      <c r="K1875">
        <v>4351436.0422400003</v>
      </c>
      <c r="L1875" s="1">
        <f t="shared" si="118"/>
        <v>0</v>
      </c>
      <c r="M1875" s="1">
        <f t="shared" si="119"/>
        <v>0</v>
      </c>
      <c r="N1875" s="1">
        <f t="shared" si="120"/>
        <v>0</v>
      </c>
      <c r="O1875" s="1"/>
    </row>
    <row r="1876" spans="1:15" x14ac:dyDescent="0.25">
      <c r="A1876">
        <v>3482</v>
      </c>
      <c r="B1876">
        <v>240.09012849999999</v>
      </c>
      <c r="C1876">
        <v>0</v>
      </c>
      <c r="D1876">
        <v>609.51532359999999</v>
      </c>
      <c r="E1876">
        <v>0</v>
      </c>
      <c r="F1876">
        <v>735.90675750000003</v>
      </c>
      <c r="G1876">
        <v>0</v>
      </c>
      <c r="H1876">
        <v>3482</v>
      </c>
      <c r="I1876" t="str">
        <f t="shared" si="117"/>
        <v>YES</v>
      </c>
      <c r="J1876" t="s">
        <v>1882</v>
      </c>
      <c r="K1876">
        <v>4584241.6213699998</v>
      </c>
      <c r="L1876" s="1">
        <f t="shared" si="118"/>
        <v>0</v>
      </c>
      <c r="M1876" s="1">
        <f t="shared" si="119"/>
        <v>0</v>
      </c>
      <c r="N1876" s="1">
        <f t="shared" si="120"/>
        <v>0</v>
      </c>
      <c r="O1876" s="1"/>
    </row>
    <row r="1877" spans="1:15" x14ac:dyDescent="0.25">
      <c r="A1877">
        <v>3483</v>
      </c>
      <c r="B1877">
        <v>193.13582349999999</v>
      </c>
      <c r="C1877">
        <v>0</v>
      </c>
      <c r="D1877">
        <v>811.35454470000002</v>
      </c>
      <c r="E1877">
        <v>0</v>
      </c>
      <c r="F1877">
        <v>2618.1316590000001</v>
      </c>
      <c r="G1877">
        <v>0</v>
      </c>
      <c r="H1877">
        <v>3483</v>
      </c>
      <c r="I1877" t="str">
        <f t="shared" si="117"/>
        <v>YES</v>
      </c>
      <c r="J1877" t="s">
        <v>1883</v>
      </c>
      <c r="K1877">
        <v>6531628.2343800003</v>
      </c>
      <c r="L1877" s="1">
        <f t="shared" si="118"/>
        <v>0</v>
      </c>
      <c r="M1877" s="1">
        <f t="shared" si="119"/>
        <v>0</v>
      </c>
      <c r="N1877" s="1">
        <f t="shared" si="120"/>
        <v>0</v>
      </c>
      <c r="O1877" s="1"/>
    </row>
    <row r="1878" spans="1:15" x14ac:dyDescent="0.25">
      <c r="A1878">
        <v>3484</v>
      </c>
      <c r="B1878">
        <v>308.25581019999998</v>
      </c>
      <c r="C1878">
        <v>0</v>
      </c>
      <c r="D1878">
        <v>308.25581019999998</v>
      </c>
      <c r="E1878">
        <v>0</v>
      </c>
      <c r="F1878">
        <v>914.50989909999998</v>
      </c>
      <c r="G1878">
        <v>0</v>
      </c>
      <c r="H1878">
        <v>3484</v>
      </c>
      <c r="I1878" t="str">
        <f t="shared" si="117"/>
        <v>YES</v>
      </c>
      <c r="J1878" t="s">
        <v>1884</v>
      </c>
      <c r="K1878">
        <v>5276961.5914099999</v>
      </c>
      <c r="L1878" s="1">
        <f t="shared" si="118"/>
        <v>0</v>
      </c>
      <c r="M1878" s="1">
        <f t="shared" si="119"/>
        <v>0</v>
      </c>
      <c r="N1878" s="1">
        <f t="shared" si="120"/>
        <v>0</v>
      </c>
      <c r="O1878" s="1"/>
    </row>
    <row r="1879" spans="1:15" x14ac:dyDescent="0.25">
      <c r="A1879">
        <v>3485</v>
      </c>
      <c r="B1879">
        <v>306.97368719999997</v>
      </c>
      <c r="C1879">
        <v>0</v>
      </c>
      <c r="D1879">
        <v>306.97368719999997</v>
      </c>
      <c r="E1879">
        <v>0</v>
      </c>
      <c r="F1879">
        <v>306.97368719999997</v>
      </c>
      <c r="G1879">
        <v>0</v>
      </c>
      <c r="H1879">
        <v>3485</v>
      </c>
      <c r="I1879" t="str">
        <f t="shared" si="117"/>
        <v>YES</v>
      </c>
      <c r="J1879" t="s">
        <v>1885</v>
      </c>
      <c r="K1879">
        <v>5861273.15209</v>
      </c>
      <c r="L1879" s="1">
        <f t="shared" si="118"/>
        <v>0</v>
      </c>
      <c r="M1879" s="1">
        <f t="shared" si="119"/>
        <v>0</v>
      </c>
      <c r="N1879" s="1">
        <f t="shared" si="120"/>
        <v>0</v>
      </c>
      <c r="O1879" s="1"/>
    </row>
    <row r="1880" spans="1:15" x14ac:dyDescent="0.25">
      <c r="A1880">
        <v>3487</v>
      </c>
      <c r="B1880">
        <v>14670.322270000001</v>
      </c>
      <c r="C1880">
        <v>0</v>
      </c>
      <c r="D1880">
        <v>39776.636290000002</v>
      </c>
      <c r="E1880">
        <v>0</v>
      </c>
      <c r="F1880">
        <v>127583.5472</v>
      </c>
      <c r="G1880">
        <v>0</v>
      </c>
      <c r="H1880">
        <v>3487</v>
      </c>
      <c r="I1880" t="str">
        <f t="shared" si="117"/>
        <v>YES</v>
      </c>
      <c r="J1880" t="s">
        <v>1886</v>
      </c>
      <c r="K1880">
        <v>1115627.8067999999</v>
      </c>
      <c r="L1880" s="1">
        <f t="shared" si="118"/>
        <v>0</v>
      </c>
      <c r="M1880" s="1">
        <f t="shared" si="119"/>
        <v>0</v>
      </c>
      <c r="N1880" s="1">
        <f t="shared" si="120"/>
        <v>0</v>
      </c>
      <c r="O1880" s="1"/>
    </row>
    <row r="1881" spans="1:15" x14ac:dyDescent="0.25">
      <c r="A1881">
        <v>3488</v>
      </c>
      <c r="B1881">
        <v>7171.4011570000002</v>
      </c>
      <c r="C1881">
        <v>0</v>
      </c>
      <c r="D1881">
        <v>25838.880679999998</v>
      </c>
      <c r="E1881">
        <v>0</v>
      </c>
      <c r="F1881">
        <v>103640.94070000001</v>
      </c>
      <c r="G1881">
        <v>0</v>
      </c>
      <c r="H1881">
        <v>3488</v>
      </c>
      <c r="I1881" t="str">
        <f t="shared" si="117"/>
        <v>YES</v>
      </c>
      <c r="J1881" t="s">
        <v>1887</v>
      </c>
      <c r="K1881">
        <v>767249.79851700005</v>
      </c>
      <c r="L1881" s="1">
        <f t="shared" si="118"/>
        <v>0</v>
      </c>
      <c r="M1881" s="1">
        <f t="shared" si="119"/>
        <v>0</v>
      </c>
      <c r="N1881" s="1">
        <f t="shared" si="120"/>
        <v>0</v>
      </c>
      <c r="O1881" s="1"/>
    </row>
    <row r="1882" spans="1:15" x14ac:dyDescent="0.25">
      <c r="A1882">
        <v>3489</v>
      </c>
      <c r="B1882">
        <v>10670.788</v>
      </c>
      <c r="C1882">
        <v>0</v>
      </c>
      <c r="D1882">
        <v>57049.462489999998</v>
      </c>
      <c r="E1882">
        <v>0</v>
      </c>
      <c r="F1882">
        <v>140601.3591</v>
      </c>
      <c r="G1882">
        <v>0</v>
      </c>
      <c r="H1882">
        <v>3489</v>
      </c>
      <c r="I1882" t="str">
        <f t="shared" si="117"/>
        <v>YES</v>
      </c>
      <c r="J1882" t="s">
        <v>1888</v>
      </c>
      <c r="K1882">
        <v>878083.86895699997</v>
      </c>
      <c r="L1882" s="1">
        <f t="shared" si="118"/>
        <v>0</v>
      </c>
      <c r="M1882" s="1">
        <f t="shared" si="119"/>
        <v>0</v>
      </c>
      <c r="N1882" s="1">
        <f t="shared" si="120"/>
        <v>0</v>
      </c>
      <c r="O1882" s="1"/>
    </row>
    <row r="1883" spans="1:15" x14ac:dyDescent="0.25">
      <c r="A1883">
        <v>3490</v>
      </c>
      <c r="B1883">
        <v>5272.580215</v>
      </c>
      <c r="C1883">
        <v>0</v>
      </c>
      <c r="D1883">
        <v>51666.716840000001</v>
      </c>
      <c r="E1883">
        <v>0</v>
      </c>
      <c r="F1883">
        <v>135231.6347</v>
      </c>
      <c r="G1883">
        <v>0</v>
      </c>
      <c r="H1883">
        <v>3490</v>
      </c>
      <c r="I1883" t="str">
        <f t="shared" si="117"/>
        <v>YES</v>
      </c>
      <c r="J1883" t="s">
        <v>1889</v>
      </c>
      <c r="K1883">
        <v>546392.46369400003</v>
      </c>
      <c r="L1883" s="1">
        <f t="shared" si="118"/>
        <v>0</v>
      </c>
      <c r="M1883" s="1">
        <f t="shared" si="119"/>
        <v>0</v>
      </c>
      <c r="N1883" s="1">
        <f t="shared" si="120"/>
        <v>0</v>
      </c>
      <c r="O1883" s="1"/>
    </row>
    <row r="1884" spans="1:15" x14ac:dyDescent="0.25">
      <c r="A1884">
        <v>3491</v>
      </c>
      <c r="B1884">
        <v>10273.64229</v>
      </c>
      <c r="C1884">
        <v>0</v>
      </c>
      <c r="D1884">
        <v>34277.486799999999</v>
      </c>
      <c r="E1884">
        <v>0</v>
      </c>
      <c r="F1884">
        <v>112989.5834</v>
      </c>
      <c r="G1884">
        <v>0</v>
      </c>
      <c r="H1884">
        <v>3491</v>
      </c>
      <c r="I1884" t="str">
        <f t="shared" si="117"/>
        <v>YES</v>
      </c>
      <c r="J1884" t="s">
        <v>1890</v>
      </c>
      <c r="K1884">
        <v>1435129.0608099999</v>
      </c>
      <c r="L1884" s="1">
        <f t="shared" si="118"/>
        <v>0</v>
      </c>
      <c r="M1884" s="1">
        <f t="shared" si="119"/>
        <v>0</v>
      </c>
      <c r="N1884" s="1">
        <f t="shared" si="120"/>
        <v>0</v>
      </c>
      <c r="O1884" s="1"/>
    </row>
    <row r="1885" spans="1:15" x14ac:dyDescent="0.25">
      <c r="A1885">
        <v>3492</v>
      </c>
      <c r="B1885">
        <v>13013.896930000001</v>
      </c>
      <c r="C1885">
        <v>0</v>
      </c>
      <c r="D1885">
        <v>27447.869770000001</v>
      </c>
      <c r="E1885">
        <v>0</v>
      </c>
      <c r="F1885">
        <v>118468.28049999999</v>
      </c>
      <c r="G1885">
        <v>0</v>
      </c>
      <c r="H1885">
        <v>3492</v>
      </c>
      <c r="I1885" t="str">
        <f t="shared" si="117"/>
        <v>YES</v>
      </c>
      <c r="J1885" t="s">
        <v>1891</v>
      </c>
      <c r="K1885">
        <v>701777.01741199999</v>
      </c>
      <c r="L1885" s="1">
        <f t="shared" si="118"/>
        <v>0</v>
      </c>
      <c r="M1885" s="1">
        <f t="shared" si="119"/>
        <v>0</v>
      </c>
      <c r="N1885" s="1">
        <f t="shared" si="120"/>
        <v>0</v>
      </c>
      <c r="O1885" s="1"/>
    </row>
    <row r="1886" spans="1:15" x14ac:dyDescent="0.25">
      <c r="A1886">
        <v>3493</v>
      </c>
      <c r="B1886">
        <v>6910.9667790000003</v>
      </c>
      <c r="C1886">
        <v>0</v>
      </c>
      <c r="D1886">
        <v>43444.074260000001</v>
      </c>
      <c r="E1886">
        <v>0</v>
      </c>
      <c r="F1886">
        <v>92762.266759999999</v>
      </c>
      <c r="G1886">
        <v>0</v>
      </c>
      <c r="H1886">
        <v>3493</v>
      </c>
      <c r="I1886" t="str">
        <f t="shared" si="117"/>
        <v>YES</v>
      </c>
      <c r="J1886" t="s">
        <v>1892</v>
      </c>
      <c r="K1886">
        <v>492697.407664</v>
      </c>
      <c r="L1886" s="1">
        <f t="shared" si="118"/>
        <v>0</v>
      </c>
      <c r="M1886" s="1">
        <f t="shared" si="119"/>
        <v>0</v>
      </c>
      <c r="N1886" s="1">
        <f t="shared" si="120"/>
        <v>0</v>
      </c>
      <c r="O1886" s="1"/>
    </row>
    <row r="1887" spans="1:15" x14ac:dyDescent="0.25">
      <c r="A1887">
        <v>3494</v>
      </c>
      <c r="B1887">
        <v>13728.656199999999</v>
      </c>
      <c r="C1887">
        <v>0</v>
      </c>
      <c r="D1887">
        <v>39321.892110000001</v>
      </c>
      <c r="E1887">
        <v>0</v>
      </c>
      <c r="F1887">
        <v>121507.3744</v>
      </c>
      <c r="G1887">
        <v>0</v>
      </c>
      <c r="H1887">
        <v>3494</v>
      </c>
      <c r="I1887" t="str">
        <f t="shared" si="117"/>
        <v>YES</v>
      </c>
      <c r="J1887" t="s">
        <v>1893</v>
      </c>
      <c r="K1887">
        <v>663721.37014300004</v>
      </c>
      <c r="L1887" s="1">
        <f t="shared" si="118"/>
        <v>0</v>
      </c>
      <c r="M1887" s="1">
        <f t="shared" si="119"/>
        <v>0</v>
      </c>
      <c r="N1887" s="1">
        <f t="shared" si="120"/>
        <v>0</v>
      </c>
      <c r="O1887" s="1"/>
    </row>
    <row r="1888" spans="1:15" x14ac:dyDescent="0.25">
      <c r="A1888">
        <v>3497</v>
      </c>
      <c r="B1888">
        <v>3443.6029250000001</v>
      </c>
      <c r="C1888">
        <v>0</v>
      </c>
      <c r="D1888">
        <v>38451.368730000002</v>
      </c>
      <c r="E1888">
        <v>0</v>
      </c>
      <c r="F1888">
        <v>123008.9311</v>
      </c>
      <c r="G1888">
        <v>0</v>
      </c>
      <c r="H1888">
        <v>3497</v>
      </c>
      <c r="I1888" t="str">
        <f t="shared" si="117"/>
        <v>YES</v>
      </c>
      <c r="J1888" t="s">
        <v>1894</v>
      </c>
      <c r="K1888">
        <v>964669.10892699996</v>
      </c>
      <c r="L1888" s="1">
        <f t="shared" si="118"/>
        <v>0</v>
      </c>
      <c r="M1888" s="1">
        <f t="shared" si="119"/>
        <v>0</v>
      </c>
      <c r="N1888" s="1">
        <f t="shared" si="120"/>
        <v>0</v>
      </c>
      <c r="O1888" s="1"/>
    </row>
    <row r="1889" spans="1:15" x14ac:dyDescent="0.25">
      <c r="A1889">
        <v>3498</v>
      </c>
      <c r="B1889">
        <v>1876.2077429999999</v>
      </c>
      <c r="C1889">
        <v>0</v>
      </c>
      <c r="D1889">
        <v>12677.197910000001</v>
      </c>
      <c r="E1889">
        <v>0</v>
      </c>
      <c r="F1889">
        <v>51377.017650000002</v>
      </c>
      <c r="G1889">
        <v>0</v>
      </c>
      <c r="H1889">
        <v>3498</v>
      </c>
      <c r="I1889" t="str">
        <f t="shared" si="117"/>
        <v>YES</v>
      </c>
      <c r="J1889" t="s">
        <v>1895</v>
      </c>
      <c r="K1889">
        <v>661385.96321399999</v>
      </c>
      <c r="L1889" s="1">
        <f t="shared" si="118"/>
        <v>0</v>
      </c>
      <c r="M1889" s="1">
        <f t="shared" si="119"/>
        <v>0</v>
      </c>
      <c r="N1889" s="1">
        <f t="shared" si="120"/>
        <v>0</v>
      </c>
      <c r="O1889" s="1"/>
    </row>
    <row r="1890" spans="1:15" x14ac:dyDescent="0.25">
      <c r="A1890">
        <v>3499</v>
      </c>
      <c r="B1890">
        <v>6637.0219420000003</v>
      </c>
      <c r="C1890">
        <v>0</v>
      </c>
      <c r="D1890">
        <v>54392.80689</v>
      </c>
      <c r="E1890">
        <v>0</v>
      </c>
      <c r="F1890">
        <v>132775.52859999999</v>
      </c>
      <c r="G1890">
        <v>0</v>
      </c>
      <c r="H1890">
        <v>3499</v>
      </c>
      <c r="I1890" t="str">
        <f t="shared" si="117"/>
        <v>YES</v>
      </c>
      <c r="J1890" t="s">
        <v>1896</v>
      </c>
      <c r="K1890">
        <v>702144.87342900003</v>
      </c>
      <c r="L1890" s="1">
        <f t="shared" si="118"/>
        <v>0</v>
      </c>
      <c r="M1890" s="1">
        <f t="shared" si="119"/>
        <v>0</v>
      </c>
      <c r="N1890" s="1">
        <f t="shared" si="120"/>
        <v>0</v>
      </c>
      <c r="O1890" s="1"/>
    </row>
    <row r="1891" spans="1:15" x14ac:dyDescent="0.25">
      <c r="A1891">
        <v>3500</v>
      </c>
      <c r="B1891">
        <v>3774.514795</v>
      </c>
      <c r="C1891">
        <v>0</v>
      </c>
      <c r="D1891">
        <v>25006.898789999999</v>
      </c>
      <c r="E1891">
        <v>0</v>
      </c>
      <c r="F1891">
        <v>104926.6461</v>
      </c>
      <c r="G1891">
        <v>0</v>
      </c>
      <c r="H1891">
        <v>3500</v>
      </c>
      <c r="I1891" t="str">
        <f t="shared" si="117"/>
        <v>YES</v>
      </c>
      <c r="J1891" t="s">
        <v>1897</v>
      </c>
      <c r="K1891">
        <v>1276066.12481</v>
      </c>
      <c r="L1891" s="1">
        <f t="shared" si="118"/>
        <v>0</v>
      </c>
      <c r="M1891" s="1">
        <f t="shared" si="119"/>
        <v>0</v>
      </c>
      <c r="N1891" s="1">
        <f t="shared" si="120"/>
        <v>0</v>
      </c>
      <c r="O1891" s="1"/>
    </row>
    <row r="1892" spans="1:15" x14ac:dyDescent="0.25">
      <c r="A1892">
        <v>3503</v>
      </c>
      <c r="B1892">
        <v>15277.89248</v>
      </c>
      <c r="C1892">
        <v>0</v>
      </c>
      <c r="D1892">
        <v>56227.792609999997</v>
      </c>
      <c r="E1892">
        <v>0</v>
      </c>
      <c r="F1892">
        <v>161055.8768</v>
      </c>
      <c r="G1892">
        <v>0</v>
      </c>
      <c r="H1892">
        <v>3503</v>
      </c>
      <c r="I1892" t="str">
        <f t="shared" si="117"/>
        <v>YES</v>
      </c>
      <c r="J1892" t="s">
        <v>1898</v>
      </c>
      <c r="K1892">
        <v>2832018.87256</v>
      </c>
      <c r="L1892" s="1">
        <f t="shared" si="118"/>
        <v>0</v>
      </c>
      <c r="M1892" s="1">
        <f t="shared" si="119"/>
        <v>0</v>
      </c>
      <c r="N1892" s="1">
        <f t="shared" si="120"/>
        <v>0</v>
      </c>
      <c r="O1892" s="1"/>
    </row>
    <row r="1893" spans="1:15" x14ac:dyDescent="0.25">
      <c r="A1893">
        <v>3504</v>
      </c>
      <c r="B1893">
        <v>10885.928739999999</v>
      </c>
      <c r="C1893">
        <v>0</v>
      </c>
      <c r="D1893">
        <v>33580.015290000003</v>
      </c>
      <c r="E1893">
        <v>0</v>
      </c>
      <c r="F1893">
        <v>83884.8802</v>
      </c>
      <c r="G1893">
        <v>0</v>
      </c>
      <c r="H1893">
        <v>3504</v>
      </c>
      <c r="I1893" t="str">
        <f t="shared" si="117"/>
        <v>YES</v>
      </c>
      <c r="J1893" t="s">
        <v>1899</v>
      </c>
      <c r="K1893">
        <v>4471520.7272500005</v>
      </c>
      <c r="L1893" s="1">
        <f t="shared" si="118"/>
        <v>0</v>
      </c>
      <c r="M1893" s="1">
        <f t="shared" si="119"/>
        <v>0</v>
      </c>
      <c r="N1893" s="1">
        <f t="shared" si="120"/>
        <v>0</v>
      </c>
      <c r="O1893" s="1"/>
    </row>
    <row r="1894" spans="1:15" x14ac:dyDescent="0.25">
      <c r="A1894">
        <v>3505</v>
      </c>
      <c r="B1894">
        <v>12266.08101</v>
      </c>
      <c r="C1894">
        <v>0</v>
      </c>
      <c r="D1894">
        <v>53692.881939999999</v>
      </c>
      <c r="E1894">
        <v>0</v>
      </c>
      <c r="F1894">
        <v>152925.11569999999</v>
      </c>
      <c r="G1894">
        <v>0</v>
      </c>
      <c r="H1894">
        <v>3505</v>
      </c>
      <c r="I1894" t="str">
        <f t="shared" si="117"/>
        <v>YES</v>
      </c>
      <c r="J1894" t="s">
        <v>1900</v>
      </c>
      <c r="K1894">
        <v>1237814.2890300001</v>
      </c>
      <c r="L1894" s="1">
        <f t="shared" si="118"/>
        <v>0</v>
      </c>
      <c r="M1894" s="1">
        <f t="shared" si="119"/>
        <v>0</v>
      </c>
      <c r="N1894" s="1">
        <f t="shared" si="120"/>
        <v>0</v>
      </c>
      <c r="O1894" s="1"/>
    </row>
    <row r="1895" spans="1:15" x14ac:dyDescent="0.25">
      <c r="A1895">
        <v>3594</v>
      </c>
      <c r="B1895">
        <v>311.10846750000002</v>
      </c>
      <c r="C1895">
        <v>0</v>
      </c>
      <c r="D1895">
        <v>682.37937380000005</v>
      </c>
      <c r="E1895">
        <v>0</v>
      </c>
      <c r="F1895">
        <v>805.90551749999997</v>
      </c>
      <c r="G1895">
        <v>0</v>
      </c>
      <c r="H1895">
        <v>3594</v>
      </c>
      <c r="I1895" t="str">
        <f t="shared" si="117"/>
        <v>YES</v>
      </c>
      <c r="J1895" t="s">
        <v>1901</v>
      </c>
      <c r="K1895">
        <v>1195981.8189300001</v>
      </c>
      <c r="L1895" s="1">
        <f t="shared" si="118"/>
        <v>0</v>
      </c>
      <c r="M1895" s="1">
        <f t="shared" si="119"/>
        <v>0</v>
      </c>
      <c r="N1895" s="1">
        <f t="shared" si="120"/>
        <v>0</v>
      </c>
      <c r="O1895" s="1"/>
    </row>
    <row r="1896" spans="1:15" x14ac:dyDescent="0.25">
      <c r="A1896">
        <v>3595</v>
      </c>
      <c r="B1896">
        <v>1117.1832910000001</v>
      </c>
      <c r="C1896">
        <v>0</v>
      </c>
      <c r="D1896">
        <v>1117.1832910000001</v>
      </c>
      <c r="E1896">
        <v>0</v>
      </c>
      <c r="F1896">
        <v>6785.3142989999997</v>
      </c>
      <c r="G1896">
        <v>0</v>
      </c>
      <c r="H1896">
        <v>3595</v>
      </c>
      <c r="I1896" t="str">
        <f t="shared" si="117"/>
        <v>YES</v>
      </c>
      <c r="J1896" t="s">
        <v>1902</v>
      </c>
      <c r="K1896">
        <v>818905.19564000005</v>
      </c>
      <c r="L1896" s="1">
        <f t="shared" si="118"/>
        <v>0</v>
      </c>
      <c r="M1896" s="1">
        <f t="shared" si="119"/>
        <v>0</v>
      </c>
      <c r="N1896" s="1">
        <f t="shared" si="120"/>
        <v>0</v>
      </c>
      <c r="O1896" s="1"/>
    </row>
    <row r="1897" spans="1:15" x14ac:dyDescent="0.25">
      <c r="A1897">
        <v>3596</v>
      </c>
      <c r="B1897">
        <v>1016.115995</v>
      </c>
      <c r="C1897">
        <v>0</v>
      </c>
      <c r="D1897">
        <v>5136.748004</v>
      </c>
      <c r="E1897">
        <v>0</v>
      </c>
      <c r="F1897">
        <v>33728.999620000002</v>
      </c>
      <c r="G1897">
        <v>0</v>
      </c>
      <c r="H1897">
        <v>3596</v>
      </c>
      <c r="I1897" t="str">
        <f t="shared" si="117"/>
        <v>YES</v>
      </c>
      <c r="J1897" t="s">
        <v>1903</v>
      </c>
      <c r="K1897">
        <v>1053578.54051</v>
      </c>
      <c r="L1897" s="1">
        <f t="shared" si="118"/>
        <v>0</v>
      </c>
      <c r="M1897" s="1">
        <f t="shared" si="119"/>
        <v>0</v>
      </c>
      <c r="N1897" s="1">
        <f t="shared" si="120"/>
        <v>0</v>
      </c>
      <c r="O1897" s="1"/>
    </row>
    <row r="1898" spans="1:15" x14ac:dyDescent="0.25">
      <c r="A1898">
        <v>3597</v>
      </c>
      <c r="B1898">
        <v>545.38952240000003</v>
      </c>
      <c r="C1898">
        <v>0</v>
      </c>
      <c r="D1898">
        <v>4573.0332060000001</v>
      </c>
      <c r="E1898">
        <v>0</v>
      </c>
      <c r="F1898">
        <v>10018.050869999999</v>
      </c>
      <c r="G1898">
        <v>0</v>
      </c>
      <c r="H1898">
        <v>3597</v>
      </c>
      <c r="I1898" t="str">
        <f t="shared" si="117"/>
        <v>YES</v>
      </c>
      <c r="J1898" t="s">
        <v>1904</v>
      </c>
      <c r="K1898">
        <v>1262475.05969</v>
      </c>
      <c r="L1898" s="1">
        <f t="shared" si="118"/>
        <v>0</v>
      </c>
      <c r="M1898" s="1">
        <f t="shared" si="119"/>
        <v>0</v>
      </c>
      <c r="N1898" s="1">
        <f t="shared" si="120"/>
        <v>0</v>
      </c>
      <c r="O1898" s="1"/>
    </row>
    <row r="1899" spans="1:15" x14ac:dyDescent="0.25">
      <c r="A1899">
        <v>3598</v>
      </c>
      <c r="B1899">
        <v>1.166338235</v>
      </c>
      <c r="C1899">
        <v>0</v>
      </c>
      <c r="D1899">
        <v>1.8505217009999999</v>
      </c>
      <c r="E1899">
        <v>0</v>
      </c>
      <c r="F1899">
        <v>418.2128816</v>
      </c>
      <c r="G1899">
        <v>0</v>
      </c>
      <c r="H1899">
        <v>3598</v>
      </c>
      <c r="I1899" t="str">
        <f t="shared" si="117"/>
        <v>YES</v>
      </c>
      <c r="J1899" t="s">
        <v>1905</v>
      </c>
      <c r="K1899">
        <v>3202590.33549</v>
      </c>
      <c r="L1899" s="1">
        <f t="shared" si="118"/>
        <v>0</v>
      </c>
      <c r="M1899" s="1">
        <f t="shared" si="119"/>
        <v>0</v>
      </c>
      <c r="N1899" s="1">
        <f t="shared" si="120"/>
        <v>0</v>
      </c>
      <c r="O1899" s="1"/>
    </row>
    <row r="1900" spans="1:15" x14ac:dyDescent="0.25">
      <c r="A1900">
        <v>3599</v>
      </c>
      <c r="B1900">
        <v>123.52614370000001</v>
      </c>
      <c r="C1900">
        <v>0</v>
      </c>
      <c r="D1900">
        <v>735.90675750000003</v>
      </c>
      <c r="E1900">
        <v>0</v>
      </c>
      <c r="F1900">
        <v>964.31686139999999</v>
      </c>
      <c r="G1900">
        <v>0</v>
      </c>
      <c r="H1900">
        <v>3599</v>
      </c>
      <c r="I1900" t="str">
        <f t="shared" si="117"/>
        <v>YES</v>
      </c>
      <c r="J1900" t="s">
        <v>1906</v>
      </c>
      <c r="K1900">
        <v>2313250.8796199998</v>
      </c>
      <c r="L1900" s="1">
        <f t="shared" si="118"/>
        <v>0</v>
      </c>
      <c r="M1900" s="1">
        <f t="shared" si="119"/>
        <v>0</v>
      </c>
      <c r="N1900" s="1">
        <f t="shared" si="120"/>
        <v>0</v>
      </c>
      <c r="O1900" s="1"/>
    </row>
    <row r="1901" spans="1:15" x14ac:dyDescent="0.25">
      <c r="A1901">
        <v>3600</v>
      </c>
      <c r="B1901">
        <v>2376.2600600000001</v>
      </c>
      <c r="C1901">
        <v>0</v>
      </c>
      <c r="D1901">
        <v>30829.268550000001</v>
      </c>
      <c r="E1901">
        <v>0</v>
      </c>
      <c r="F1901">
        <v>92006.719920000003</v>
      </c>
      <c r="G1901">
        <v>0</v>
      </c>
      <c r="H1901">
        <v>3600</v>
      </c>
      <c r="I1901" t="str">
        <f t="shared" si="117"/>
        <v>YES</v>
      </c>
      <c r="J1901" t="s">
        <v>1907</v>
      </c>
      <c r="K1901">
        <v>926512.99941100006</v>
      </c>
      <c r="L1901" s="1">
        <f t="shared" si="118"/>
        <v>0</v>
      </c>
      <c r="M1901" s="1">
        <f t="shared" si="119"/>
        <v>0</v>
      </c>
      <c r="N1901" s="1">
        <f t="shared" si="120"/>
        <v>0</v>
      </c>
      <c r="O1901" s="1"/>
    </row>
    <row r="1902" spans="1:15" x14ac:dyDescent="0.25">
      <c r="A1902">
        <v>3601</v>
      </c>
      <c r="B1902">
        <v>4539.264682</v>
      </c>
      <c r="C1902">
        <v>0</v>
      </c>
      <c r="D1902">
        <v>44448.615429999998</v>
      </c>
      <c r="E1902">
        <v>0</v>
      </c>
      <c r="F1902">
        <v>102155.5042</v>
      </c>
      <c r="G1902">
        <v>0</v>
      </c>
      <c r="H1902">
        <v>3601</v>
      </c>
      <c r="I1902" t="str">
        <f t="shared" si="117"/>
        <v>YES</v>
      </c>
      <c r="J1902" t="s">
        <v>1908</v>
      </c>
      <c r="K1902">
        <v>1208683.4169099999</v>
      </c>
      <c r="L1902" s="1">
        <f t="shared" si="118"/>
        <v>0</v>
      </c>
      <c r="M1902" s="1">
        <f t="shared" si="119"/>
        <v>0</v>
      </c>
      <c r="N1902" s="1">
        <f t="shared" si="120"/>
        <v>0</v>
      </c>
      <c r="O1902" s="1"/>
    </row>
    <row r="1903" spans="1:15" x14ac:dyDescent="0.25">
      <c r="A1903">
        <v>3602</v>
      </c>
      <c r="B1903">
        <v>20067.122950000001</v>
      </c>
      <c r="C1903">
        <v>0</v>
      </c>
      <c r="D1903">
        <v>38245.012369999997</v>
      </c>
      <c r="E1903">
        <v>0</v>
      </c>
      <c r="F1903">
        <v>94926.941330000001</v>
      </c>
      <c r="G1903">
        <v>0</v>
      </c>
      <c r="H1903">
        <v>3602</v>
      </c>
      <c r="I1903" t="str">
        <f t="shared" si="117"/>
        <v>YES</v>
      </c>
      <c r="J1903" t="s">
        <v>1909</v>
      </c>
      <c r="K1903">
        <v>1151869.8935</v>
      </c>
      <c r="L1903" s="1">
        <f t="shared" si="118"/>
        <v>0</v>
      </c>
      <c r="M1903" s="1">
        <f t="shared" si="119"/>
        <v>0</v>
      </c>
      <c r="N1903" s="1">
        <f t="shared" si="120"/>
        <v>0</v>
      </c>
      <c r="O1903" s="1"/>
    </row>
    <row r="1904" spans="1:15" x14ac:dyDescent="0.25">
      <c r="A1904">
        <v>3603</v>
      </c>
      <c r="B1904">
        <v>2439.4118060000001</v>
      </c>
      <c r="C1904">
        <v>0</v>
      </c>
      <c r="D1904">
        <v>29403.175149999999</v>
      </c>
      <c r="E1904">
        <v>0</v>
      </c>
      <c r="F1904">
        <v>69484.358689999994</v>
      </c>
      <c r="G1904">
        <v>0</v>
      </c>
      <c r="H1904">
        <v>3603</v>
      </c>
      <c r="I1904" t="str">
        <f t="shared" si="117"/>
        <v>YES</v>
      </c>
      <c r="J1904" t="s">
        <v>1910</v>
      </c>
      <c r="K1904">
        <v>897576.53369800001</v>
      </c>
      <c r="L1904" s="1">
        <f t="shared" si="118"/>
        <v>0</v>
      </c>
      <c r="M1904" s="1">
        <f t="shared" si="119"/>
        <v>0</v>
      </c>
      <c r="N1904" s="1">
        <f t="shared" si="120"/>
        <v>0</v>
      </c>
      <c r="O1904" s="1"/>
    </row>
    <row r="1905" spans="1:15" x14ac:dyDescent="0.25">
      <c r="A1905">
        <v>3604</v>
      </c>
      <c r="B1905">
        <v>3369.7403340000001</v>
      </c>
      <c r="C1905">
        <v>0</v>
      </c>
      <c r="D1905">
        <v>40213.505100000002</v>
      </c>
      <c r="E1905">
        <v>0</v>
      </c>
      <c r="F1905">
        <v>94859.986610000007</v>
      </c>
      <c r="G1905">
        <v>0</v>
      </c>
      <c r="H1905">
        <v>3604</v>
      </c>
      <c r="I1905" t="str">
        <f t="shared" si="117"/>
        <v>YES</v>
      </c>
      <c r="J1905" t="s">
        <v>1911</v>
      </c>
      <c r="K1905">
        <v>1268137.85353</v>
      </c>
      <c r="L1905" s="1">
        <f t="shared" si="118"/>
        <v>0</v>
      </c>
      <c r="M1905" s="1">
        <f t="shared" si="119"/>
        <v>0</v>
      </c>
      <c r="N1905" s="1">
        <f t="shared" si="120"/>
        <v>0</v>
      </c>
      <c r="O1905" s="1"/>
    </row>
    <row r="1906" spans="1:15" x14ac:dyDescent="0.25">
      <c r="A1906">
        <v>3607</v>
      </c>
      <c r="B1906">
        <v>311.10846750000002</v>
      </c>
      <c r="C1906">
        <v>0</v>
      </c>
      <c r="D1906">
        <v>801.11617360000002</v>
      </c>
      <c r="E1906">
        <v>0</v>
      </c>
      <c r="F1906">
        <v>1045.9956460000001</v>
      </c>
      <c r="G1906">
        <v>0</v>
      </c>
      <c r="H1906">
        <v>3607</v>
      </c>
      <c r="I1906" t="str">
        <f t="shared" si="117"/>
        <v>YES</v>
      </c>
      <c r="J1906" t="s">
        <v>1912</v>
      </c>
      <c r="K1906">
        <v>3001063.5627600001</v>
      </c>
      <c r="L1906" s="1">
        <f t="shared" si="118"/>
        <v>0</v>
      </c>
      <c r="M1906" s="1">
        <f t="shared" si="119"/>
        <v>0</v>
      </c>
      <c r="N1906" s="1">
        <f t="shared" si="120"/>
        <v>0</v>
      </c>
      <c r="O1906" s="1"/>
    </row>
    <row r="1907" spans="1:15" x14ac:dyDescent="0.25">
      <c r="A1907">
        <v>3608</v>
      </c>
      <c r="B1907">
        <v>68.641368540000002</v>
      </c>
      <c r="C1907">
        <v>0</v>
      </c>
      <c r="D1907">
        <v>68.641368540000002</v>
      </c>
      <c r="E1907">
        <v>0</v>
      </c>
      <c r="F1907">
        <v>263.49356979999999</v>
      </c>
      <c r="G1907">
        <v>0</v>
      </c>
      <c r="H1907">
        <v>3608</v>
      </c>
      <c r="I1907" t="str">
        <f t="shared" si="117"/>
        <v>YES</v>
      </c>
      <c r="J1907" t="s">
        <v>1913</v>
      </c>
      <c r="K1907">
        <v>3516754.59803</v>
      </c>
      <c r="L1907" s="1">
        <f t="shared" si="118"/>
        <v>0</v>
      </c>
      <c r="M1907" s="1">
        <f t="shared" si="119"/>
        <v>0</v>
      </c>
      <c r="N1907" s="1">
        <f t="shared" si="120"/>
        <v>0</v>
      </c>
      <c r="O1907" s="1"/>
    </row>
    <row r="1908" spans="1:15" x14ac:dyDescent="0.25">
      <c r="A1908">
        <v>3609</v>
      </c>
      <c r="B1908">
        <v>0.68418346600000002</v>
      </c>
      <c r="C1908">
        <v>0</v>
      </c>
      <c r="D1908">
        <v>329.61696890000002</v>
      </c>
      <c r="E1908">
        <v>0</v>
      </c>
      <c r="F1908">
        <v>398.25833740000002</v>
      </c>
      <c r="G1908">
        <v>0</v>
      </c>
      <c r="H1908">
        <v>3609</v>
      </c>
      <c r="I1908" t="str">
        <f t="shared" si="117"/>
        <v>YES</v>
      </c>
      <c r="J1908" t="s">
        <v>1914</v>
      </c>
      <c r="K1908">
        <v>1878632.89271</v>
      </c>
      <c r="L1908" s="1">
        <f t="shared" si="118"/>
        <v>0</v>
      </c>
      <c r="M1908" s="1">
        <f t="shared" si="119"/>
        <v>0</v>
      </c>
      <c r="N1908" s="1">
        <f t="shared" si="120"/>
        <v>0</v>
      </c>
      <c r="O1908" s="1"/>
    </row>
    <row r="1909" spans="1:15" x14ac:dyDescent="0.25">
      <c r="A1909">
        <v>3610</v>
      </c>
      <c r="B1909">
        <v>24.17143609</v>
      </c>
      <c r="C1909">
        <v>0</v>
      </c>
      <c r="D1909">
        <v>24.17143609</v>
      </c>
      <c r="E1909">
        <v>0</v>
      </c>
      <c r="F1909">
        <v>24.17143609</v>
      </c>
      <c r="G1909">
        <v>0</v>
      </c>
      <c r="H1909">
        <v>3610</v>
      </c>
      <c r="I1909" t="str">
        <f t="shared" si="117"/>
        <v>YES</v>
      </c>
      <c r="J1909" t="s">
        <v>1915</v>
      </c>
      <c r="K1909">
        <v>7416478.8683799999</v>
      </c>
      <c r="L1909" s="1">
        <f t="shared" si="118"/>
        <v>0</v>
      </c>
      <c r="M1909" s="1">
        <f t="shared" si="119"/>
        <v>0</v>
      </c>
      <c r="N1909" s="1">
        <f t="shared" si="120"/>
        <v>0</v>
      </c>
      <c r="O1909" s="1"/>
    </row>
    <row r="1910" spans="1:15" x14ac:dyDescent="0.25">
      <c r="A1910">
        <v>3611</v>
      </c>
      <c r="B1910">
        <v>413.11826539999998</v>
      </c>
      <c r="C1910">
        <v>0</v>
      </c>
      <c r="D1910">
        <v>724.2267329</v>
      </c>
      <c r="E1910">
        <v>0</v>
      </c>
      <c r="F1910">
        <v>2512.8331499999999</v>
      </c>
      <c r="G1910">
        <v>0</v>
      </c>
      <c r="H1910">
        <v>3611</v>
      </c>
      <c r="I1910" t="str">
        <f t="shared" si="117"/>
        <v>YES</v>
      </c>
      <c r="J1910" t="s">
        <v>1916</v>
      </c>
      <c r="K1910">
        <v>2318056.6491700001</v>
      </c>
      <c r="L1910" s="1">
        <f t="shared" si="118"/>
        <v>0</v>
      </c>
      <c r="M1910" s="1">
        <f t="shared" si="119"/>
        <v>0</v>
      </c>
      <c r="N1910" s="1">
        <f t="shared" si="120"/>
        <v>0</v>
      </c>
      <c r="O1910" s="1"/>
    </row>
    <row r="1911" spans="1:15" x14ac:dyDescent="0.25">
      <c r="A1911">
        <v>3612</v>
      </c>
      <c r="B1911">
        <v>133.59842939999999</v>
      </c>
      <c r="C1911">
        <v>0</v>
      </c>
      <c r="D1911">
        <v>134.28261280000001</v>
      </c>
      <c r="E1911">
        <v>0</v>
      </c>
      <c r="F1911">
        <v>178.0738748</v>
      </c>
      <c r="G1911">
        <v>0</v>
      </c>
      <c r="H1911">
        <v>3612</v>
      </c>
      <c r="I1911" t="str">
        <f t="shared" si="117"/>
        <v>YES</v>
      </c>
      <c r="J1911" t="s">
        <v>1917</v>
      </c>
      <c r="K1911">
        <v>4855195.7488900004</v>
      </c>
      <c r="L1911" s="1">
        <f t="shared" si="118"/>
        <v>0</v>
      </c>
      <c r="M1911" s="1">
        <f t="shared" si="119"/>
        <v>0</v>
      </c>
      <c r="N1911" s="1">
        <f t="shared" si="120"/>
        <v>0</v>
      </c>
      <c r="O1911" s="1"/>
    </row>
    <row r="1912" spans="1:15" x14ac:dyDescent="0.25">
      <c r="A1912">
        <v>3613</v>
      </c>
      <c r="B1912">
        <v>203.6372667</v>
      </c>
      <c r="C1912">
        <v>0</v>
      </c>
      <c r="D1912">
        <v>432.04737060000002</v>
      </c>
      <c r="E1912">
        <v>0</v>
      </c>
      <c r="F1912">
        <v>1088.0248590000001</v>
      </c>
      <c r="G1912">
        <v>0</v>
      </c>
      <c r="H1912">
        <v>3613</v>
      </c>
      <c r="I1912" t="str">
        <f t="shared" si="117"/>
        <v>YES</v>
      </c>
      <c r="J1912" t="s">
        <v>1918</v>
      </c>
      <c r="K1912">
        <v>1456408.25599</v>
      </c>
      <c r="L1912" s="1">
        <f t="shared" si="118"/>
        <v>0</v>
      </c>
      <c r="M1912" s="1">
        <f t="shared" si="119"/>
        <v>0</v>
      </c>
      <c r="N1912" s="1">
        <f t="shared" si="120"/>
        <v>0</v>
      </c>
      <c r="O1912" s="1"/>
    </row>
    <row r="1913" spans="1:15" x14ac:dyDescent="0.25">
      <c r="A1913">
        <v>3614</v>
      </c>
      <c r="B1913">
        <v>447.06571339999999</v>
      </c>
      <c r="C1913">
        <v>0</v>
      </c>
      <c r="D1913">
        <v>1017.059938</v>
      </c>
      <c r="E1913">
        <v>0</v>
      </c>
      <c r="F1913">
        <v>1958.4301660000001</v>
      </c>
      <c r="G1913">
        <v>0</v>
      </c>
      <c r="H1913">
        <v>3614</v>
      </c>
      <c r="I1913" t="str">
        <f t="shared" si="117"/>
        <v>YES</v>
      </c>
      <c r="J1913" t="s">
        <v>1919</v>
      </c>
      <c r="K1913">
        <v>2910067.65258</v>
      </c>
      <c r="L1913" s="1">
        <f t="shared" si="118"/>
        <v>0</v>
      </c>
      <c r="M1913" s="1">
        <f t="shared" si="119"/>
        <v>0</v>
      </c>
      <c r="N1913" s="1">
        <f t="shared" si="120"/>
        <v>0</v>
      </c>
      <c r="O1913" s="1"/>
    </row>
    <row r="1914" spans="1:15" x14ac:dyDescent="0.25">
      <c r="A1914">
        <v>3615</v>
      </c>
      <c r="B1914">
        <v>53.680829240000001</v>
      </c>
      <c r="C1914">
        <v>0</v>
      </c>
      <c r="D1914">
        <v>216.881517</v>
      </c>
      <c r="E1914">
        <v>0</v>
      </c>
      <c r="F1914">
        <v>312.38750779999998</v>
      </c>
      <c r="G1914">
        <v>0</v>
      </c>
      <c r="H1914">
        <v>3615</v>
      </c>
      <c r="I1914" t="str">
        <f t="shared" si="117"/>
        <v>YES</v>
      </c>
      <c r="J1914" t="s">
        <v>1920</v>
      </c>
      <c r="K1914">
        <v>3844599.93084</v>
      </c>
      <c r="L1914" s="1">
        <f t="shared" si="118"/>
        <v>0</v>
      </c>
      <c r="M1914" s="1">
        <f t="shared" si="119"/>
        <v>0</v>
      </c>
      <c r="N1914" s="1">
        <f t="shared" si="120"/>
        <v>0</v>
      </c>
      <c r="O1914" s="1"/>
    </row>
    <row r="1915" spans="1:15" x14ac:dyDescent="0.25">
      <c r="A1915">
        <v>3616</v>
      </c>
      <c r="B1915">
        <v>95.505990740000001</v>
      </c>
      <c r="C1915">
        <v>0</v>
      </c>
      <c r="D1915">
        <v>619.08272929999998</v>
      </c>
      <c r="E1915">
        <v>0</v>
      </c>
      <c r="F1915">
        <v>3591.2922920000001</v>
      </c>
      <c r="G1915">
        <v>0</v>
      </c>
      <c r="H1915">
        <v>3616</v>
      </c>
      <c r="I1915" t="str">
        <f t="shared" si="117"/>
        <v>YES</v>
      </c>
      <c r="J1915" t="s">
        <v>1921</v>
      </c>
      <c r="K1915">
        <v>3013271.4368699999</v>
      </c>
      <c r="L1915" s="1">
        <f t="shared" si="118"/>
        <v>0</v>
      </c>
      <c r="M1915" s="1">
        <f t="shared" si="119"/>
        <v>0</v>
      </c>
      <c r="N1915" s="1">
        <f t="shared" si="120"/>
        <v>0</v>
      </c>
      <c r="O1915" s="1"/>
    </row>
    <row r="1916" spans="1:15" x14ac:dyDescent="0.25">
      <c r="A1916">
        <v>3617</v>
      </c>
      <c r="B1916">
        <v>251.11175349999999</v>
      </c>
      <c r="C1916">
        <v>0</v>
      </c>
      <c r="D1916">
        <v>251.11175349999999</v>
      </c>
      <c r="E1916">
        <v>0</v>
      </c>
      <c r="F1916">
        <v>342.81843800000001</v>
      </c>
      <c r="G1916">
        <v>0</v>
      </c>
      <c r="H1916">
        <v>3617</v>
      </c>
      <c r="I1916" t="str">
        <f t="shared" si="117"/>
        <v>YES</v>
      </c>
      <c r="J1916" t="s">
        <v>1922</v>
      </c>
      <c r="K1916">
        <v>3238551.3818999999</v>
      </c>
      <c r="L1916" s="1">
        <f t="shared" si="118"/>
        <v>0</v>
      </c>
      <c r="M1916" s="1">
        <f t="shared" si="119"/>
        <v>0</v>
      </c>
      <c r="N1916" s="1">
        <f t="shared" si="120"/>
        <v>0</v>
      </c>
      <c r="O1916" s="1"/>
    </row>
    <row r="1917" spans="1:15" x14ac:dyDescent="0.25">
      <c r="A1917">
        <v>3618</v>
      </c>
      <c r="B1917">
        <v>47.377889289999999</v>
      </c>
      <c r="C1917">
        <v>0</v>
      </c>
      <c r="D1917">
        <v>140.85205199999999</v>
      </c>
      <c r="E1917">
        <v>0</v>
      </c>
      <c r="F1917">
        <v>140.85205199999999</v>
      </c>
      <c r="G1917">
        <v>0</v>
      </c>
      <c r="H1917">
        <v>3618</v>
      </c>
      <c r="I1917" t="str">
        <f t="shared" si="117"/>
        <v>YES</v>
      </c>
      <c r="J1917" t="s">
        <v>1923</v>
      </c>
      <c r="K1917">
        <v>2211727.7014299999</v>
      </c>
      <c r="L1917" s="1">
        <f t="shared" si="118"/>
        <v>0</v>
      </c>
      <c r="M1917" s="1">
        <f t="shared" si="119"/>
        <v>0</v>
      </c>
      <c r="N1917" s="1">
        <f t="shared" si="120"/>
        <v>0</v>
      </c>
      <c r="O1917" s="1"/>
    </row>
    <row r="1918" spans="1:15" x14ac:dyDescent="0.25">
      <c r="A1918">
        <v>3619</v>
      </c>
      <c r="B1918">
        <v>203.6372667</v>
      </c>
      <c r="C1918">
        <v>0</v>
      </c>
      <c r="D1918">
        <v>203.6372667</v>
      </c>
      <c r="E1918">
        <v>0</v>
      </c>
      <c r="F1918">
        <v>1137.2070220000001</v>
      </c>
      <c r="G1918">
        <v>0</v>
      </c>
      <c r="H1918">
        <v>3619</v>
      </c>
      <c r="I1918" t="str">
        <f t="shared" si="117"/>
        <v>YES</v>
      </c>
      <c r="J1918" t="s">
        <v>1924</v>
      </c>
      <c r="K1918">
        <v>2943256.8251800002</v>
      </c>
      <c r="L1918" s="1">
        <f t="shared" si="118"/>
        <v>0</v>
      </c>
      <c r="M1918" s="1">
        <f t="shared" si="119"/>
        <v>0</v>
      </c>
      <c r="N1918" s="1">
        <f t="shared" si="120"/>
        <v>0</v>
      </c>
      <c r="O1918" s="1"/>
    </row>
    <row r="1919" spans="1:15" x14ac:dyDescent="0.25">
      <c r="A1919">
        <v>3620</v>
      </c>
      <c r="B1919">
        <v>320.67427950000001</v>
      </c>
      <c r="C1919">
        <v>0</v>
      </c>
      <c r="D1919">
        <v>646.80747299999996</v>
      </c>
      <c r="E1919">
        <v>0</v>
      </c>
      <c r="F1919">
        <v>1042.0455899999999</v>
      </c>
      <c r="G1919">
        <v>0</v>
      </c>
      <c r="H1919">
        <v>3620</v>
      </c>
      <c r="I1919" t="str">
        <f t="shared" si="117"/>
        <v>YES</v>
      </c>
      <c r="J1919" t="s">
        <v>1925</v>
      </c>
      <c r="K1919">
        <v>2808010.7596999998</v>
      </c>
      <c r="L1919" s="1">
        <f t="shared" si="118"/>
        <v>0</v>
      </c>
      <c r="M1919" s="1">
        <f t="shared" si="119"/>
        <v>0</v>
      </c>
      <c r="N1919" s="1">
        <f t="shared" si="120"/>
        <v>0</v>
      </c>
      <c r="O1919" s="1"/>
    </row>
    <row r="1920" spans="1:15" x14ac:dyDescent="0.25">
      <c r="A1920">
        <v>3621</v>
      </c>
      <c r="B1920">
        <v>306.20241449999997</v>
      </c>
      <c r="C1920">
        <v>0</v>
      </c>
      <c r="D1920">
        <v>1062.4259050000001</v>
      </c>
      <c r="E1920">
        <v>0</v>
      </c>
      <c r="F1920">
        <v>4584.7131989999998</v>
      </c>
      <c r="G1920">
        <v>0</v>
      </c>
      <c r="H1920">
        <v>3621</v>
      </c>
      <c r="I1920" t="str">
        <f t="shared" si="117"/>
        <v>YES</v>
      </c>
      <c r="J1920" t="s">
        <v>1926</v>
      </c>
      <c r="K1920">
        <v>1919345.0618700001</v>
      </c>
      <c r="L1920" s="1">
        <f t="shared" si="118"/>
        <v>0</v>
      </c>
      <c r="M1920" s="1">
        <f t="shared" si="119"/>
        <v>0</v>
      </c>
      <c r="N1920" s="1">
        <f t="shared" si="120"/>
        <v>0</v>
      </c>
      <c r="O1920" s="1"/>
    </row>
    <row r="1921" spans="1:15" x14ac:dyDescent="0.25">
      <c r="A1921">
        <v>3622</v>
      </c>
      <c r="B1921">
        <v>91.706684480000007</v>
      </c>
      <c r="C1921">
        <v>0</v>
      </c>
      <c r="D1921">
        <v>91.706684480000007</v>
      </c>
      <c r="E1921">
        <v>0</v>
      </c>
      <c r="F1921">
        <v>663.37897450000003</v>
      </c>
      <c r="G1921">
        <v>0</v>
      </c>
      <c r="H1921">
        <v>3622</v>
      </c>
      <c r="I1921" t="str">
        <f t="shared" si="117"/>
        <v>YES</v>
      </c>
      <c r="J1921" t="s">
        <v>1927</v>
      </c>
      <c r="K1921">
        <v>2331703.0600700001</v>
      </c>
      <c r="L1921" s="1">
        <f t="shared" si="118"/>
        <v>0</v>
      </c>
      <c r="M1921" s="1">
        <f t="shared" si="119"/>
        <v>0</v>
      </c>
      <c r="N1921" s="1">
        <f t="shared" si="120"/>
        <v>0</v>
      </c>
      <c r="O1921" s="1"/>
    </row>
    <row r="1922" spans="1:15" x14ac:dyDescent="0.25">
      <c r="A1922">
        <v>3623</v>
      </c>
      <c r="B1922">
        <v>47.377889289999999</v>
      </c>
      <c r="C1922">
        <v>0</v>
      </c>
      <c r="D1922">
        <v>140.85205199999999</v>
      </c>
      <c r="E1922">
        <v>0</v>
      </c>
      <c r="F1922">
        <v>140.85205199999999</v>
      </c>
      <c r="G1922">
        <v>0</v>
      </c>
      <c r="H1922">
        <v>3623</v>
      </c>
      <c r="I1922" t="str">
        <f t="shared" ref="I1922:I1985" si="121">IF(A1922=H1922,"YES","NO")</f>
        <v>YES</v>
      </c>
      <c r="J1922" t="s">
        <v>1928</v>
      </c>
      <c r="K1922">
        <v>1413390.58176</v>
      </c>
      <c r="L1922" s="1">
        <f t="shared" si="118"/>
        <v>0</v>
      </c>
      <c r="M1922" s="1">
        <f t="shared" si="119"/>
        <v>0</v>
      </c>
      <c r="N1922" s="1">
        <f t="shared" si="120"/>
        <v>0</v>
      </c>
      <c r="O1922" s="1"/>
    </row>
    <row r="1923" spans="1:15" x14ac:dyDescent="0.25">
      <c r="A1923">
        <v>3624</v>
      </c>
      <c r="B1923">
        <v>306.20241449999997</v>
      </c>
      <c r="C1923">
        <v>0</v>
      </c>
      <c r="D1923">
        <v>2955.1645819999999</v>
      </c>
      <c r="E1923">
        <v>0</v>
      </c>
      <c r="F1923">
        <v>6124.4710530000002</v>
      </c>
      <c r="G1923">
        <v>0</v>
      </c>
      <c r="H1923">
        <v>3624</v>
      </c>
      <c r="I1923" t="str">
        <f t="shared" si="121"/>
        <v>YES</v>
      </c>
      <c r="J1923" t="s">
        <v>1929</v>
      </c>
      <c r="K1923">
        <v>1658132.6596899999</v>
      </c>
      <c r="L1923" s="1">
        <f t="shared" ref="L1923:L1986" si="122">$U$2*$K1923*C1923</f>
        <v>0</v>
      </c>
      <c r="M1923" s="1">
        <f t="shared" ref="M1923:M1986" si="123">$U$3*$K1923*E1923</f>
        <v>0</v>
      </c>
      <c r="N1923" s="1">
        <f t="shared" ref="N1923:N1986" si="124">$U$4*$K1923*G1923</f>
        <v>0</v>
      </c>
      <c r="O1923" s="1"/>
    </row>
    <row r="1924" spans="1:15" x14ac:dyDescent="0.25">
      <c r="A1924">
        <v>3625</v>
      </c>
      <c r="B1924">
        <v>294.0784524</v>
      </c>
      <c r="C1924">
        <v>0</v>
      </c>
      <c r="D1924">
        <v>294.0784524</v>
      </c>
      <c r="E1924">
        <v>0</v>
      </c>
      <c r="F1924">
        <v>294.0784524</v>
      </c>
      <c r="G1924">
        <v>0</v>
      </c>
      <c r="H1924">
        <v>3625</v>
      </c>
      <c r="I1924" t="str">
        <f t="shared" si="121"/>
        <v>YES</v>
      </c>
      <c r="J1924" t="s">
        <v>1930</v>
      </c>
      <c r="K1924">
        <v>33871954.842600003</v>
      </c>
      <c r="L1924" s="1">
        <f t="shared" si="122"/>
        <v>0</v>
      </c>
      <c r="M1924" s="1">
        <f t="shared" si="123"/>
        <v>0</v>
      </c>
      <c r="N1924" s="1">
        <f t="shared" si="124"/>
        <v>0</v>
      </c>
      <c r="O1924" s="1"/>
    </row>
    <row r="1925" spans="1:15" x14ac:dyDescent="0.25">
      <c r="A1925">
        <v>3626</v>
      </c>
      <c r="B1925">
        <v>149.49971310000001</v>
      </c>
      <c r="C1925">
        <v>0</v>
      </c>
      <c r="D1925">
        <v>149.49971310000001</v>
      </c>
      <c r="E1925">
        <v>0</v>
      </c>
      <c r="F1925">
        <v>197.41513560000001</v>
      </c>
      <c r="G1925">
        <v>0</v>
      </c>
      <c r="H1925">
        <v>3626</v>
      </c>
      <c r="I1925" t="str">
        <f t="shared" si="121"/>
        <v>YES</v>
      </c>
      <c r="J1925" t="s">
        <v>1931</v>
      </c>
      <c r="K1925">
        <v>5710310.4274599999</v>
      </c>
      <c r="L1925" s="1">
        <f t="shared" si="122"/>
        <v>0</v>
      </c>
      <c r="M1925" s="1">
        <f t="shared" si="123"/>
        <v>0</v>
      </c>
      <c r="N1925" s="1">
        <f t="shared" si="124"/>
        <v>0</v>
      </c>
      <c r="O1925" s="1"/>
    </row>
    <row r="1926" spans="1:15" x14ac:dyDescent="0.25">
      <c r="A1926">
        <v>3627</v>
      </c>
      <c r="B1926">
        <v>786.39028399999995</v>
      </c>
      <c r="C1926">
        <v>0</v>
      </c>
      <c r="D1926">
        <v>1376.279702</v>
      </c>
      <c r="E1926">
        <v>0</v>
      </c>
      <c r="F1926">
        <v>4373.9493480000001</v>
      </c>
      <c r="G1926">
        <v>0</v>
      </c>
      <c r="H1926">
        <v>3627</v>
      </c>
      <c r="I1926" t="str">
        <f t="shared" si="121"/>
        <v>YES</v>
      </c>
      <c r="J1926" t="s">
        <v>1932</v>
      </c>
      <c r="K1926">
        <v>2176035.4614300001</v>
      </c>
      <c r="L1926" s="1">
        <f t="shared" si="122"/>
        <v>0</v>
      </c>
      <c r="M1926" s="1">
        <f t="shared" si="123"/>
        <v>0</v>
      </c>
      <c r="N1926" s="1">
        <f t="shared" si="124"/>
        <v>0</v>
      </c>
      <c r="O1926" s="1"/>
    </row>
    <row r="1927" spans="1:15" x14ac:dyDescent="0.25">
      <c r="A1927">
        <v>3628</v>
      </c>
      <c r="B1927">
        <v>91.706684480000007</v>
      </c>
      <c r="C1927">
        <v>0</v>
      </c>
      <c r="D1927">
        <v>261.15831500000002</v>
      </c>
      <c r="E1927">
        <v>0</v>
      </c>
      <c r="F1927">
        <v>679.28025820000005</v>
      </c>
      <c r="G1927">
        <v>0</v>
      </c>
      <c r="H1927">
        <v>3628</v>
      </c>
      <c r="I1927" t="str">
        <f t="shared" si="121"/>
        <v>YES</v>
      </c>
      <c r="J1927" t="s">
        <v>1933</v>
      </c>
      <c r="K1927">
        <v>784521.61548200005</v>
      </c>
      <c r="L1927" s="1">
        <f t="shared" si="122"/>
        <v>0</v>
      </c>
      <c r="M1927" s="1">
        <f t="shared" si="123"/>
        <v>0</v>
      </c>
      <c r="N1927" s="1">
        <f t="shared" si="124"/>
        <v>0</v>
      </c>
      <c r="O1927" s="1"/>
    </row>
    <row r="1928" spans="1:15" x14ac:dyDescent="0.25">
      <c r="A1928">
        <v>3629</v>
      </c>
      <c r="B1928">
        <v>93.474162699999994</v>
      </c>
      <c r="C1928">
        <v>0</v>
      </c>
      <c r="D1928">
        <v>282.2554189</v>
      </c>
      <c r="E1928">
        <v>0</v>
      </c>
      <c r="F1928">
        <v>400.19437379999999</v>
      </c>
      <c r="G1928">
        <v>0</v>
      </c>
      <c r="H1928">
        <v>3629</v>
      </c>
      <c r="I1928" t="str">
        <f t="shared" si="121"/>
        <v>YES</v>
      </c>
      <c r="J1928" t="s">
        <v>1934</v>
      </c>
      <c r="K1928">
        <v>2788620.7049099999</v>
      </c>
      <c r="L1928" s="1">
        <f t="shared" si="122"/>
        <v>0</v>
      </c>
      <c r="M1928" s="1">
        <f t="shared" si="123"/>
        <v>0</v>
      </c>
      <c r="N1928" s="1">
        <f t="shared" si="124"/>
        <v>0</v>
      </c>
      <c r="O1928" s="1"/>
    </row>
    <row r="1929" spans="1:15" x14ac:dyDescent="0.25">
      <c r="A1929">
        <v>3630</v>
      </c>
      <c r="B1929">
        <v>660.71749999999997</v>
      </c>
      <c r="C1929">
        <v>0</v>
      </c>
      <c r="D1929">
        <v>1548.766388</v>
      </c>
      <c r="E1929">
        <v>0</v>
      </c>
      <c r="F1929">
        <v>10666.243759999999</v>
      </c>
      <c r="G1929">
        <v>0</v>
      </c>
      <c r="H1929">
        <v>3630</v>
      </c>
      <c r="I1929" t="str">
        <f t="shared" si="121"/>
        <v>YES</v>
      </c>
      <c r="J1929" t="s">
        <v>1935</v>
      </c>
      <c r="K1929">
        <v>1737230.9189500001</v>
      </c>
      <c r="L1929" s="1">
        <f t="shared" si="122"/>
        <v>0</v>
      </c>
      <c r="M1929" s="1">
        <f t="shared" si="123"/>
        <v>0</v>
      </c>
      <c r="N1929" s="1">
        <f t="shared" si="124"/>
        <v>0</v>
      </c>
      <c r="O1929" s="1"/>
    </row>
    <row r="1930" spans="1:15" x14ac:dyDescent="0.25">
      <c r="A1930">
        <v>3631</v>
      </c>
      <c r="B1930">
        <v>278.31116960000003</v>
      </c>
      <c r="C1930">
        <v>0</v>
      </c>
      <c r="D1930">
        <v>278.31116960000003</v>
      </c>
      <c r="E1930">
        <v>0</v>
      </c>
      <c r="F1930">
        <v>552.70243449999998</v>
      </c>
      <c r="G1930">
        <v>0</v>
      </c>
      <c r="H1930">
        <v>3631</v>
      </c>
      <c r="I1930" t="str">
        <f t="shared" si="121"/>
        <v>YES</v>
      </c>
      <c r="J1930" t="s">
        <v>1936</v>
      </c>
      <c r="K1930">
        <v>2664091.7564400001</v>
      </c>
      <c r="L1930" s="1">
        <f t="shared" si="122"/>
        <v>0</v>
      </c>
      <c r="M1930" s="1">
        <f t="shared" si="123"/>
        <v>0</v>
      </c>
      <c r="N1930" s="1">
        <f t="shared" si="124"/>
        <v>0</v>
      </c>
      <c r="O1930" s="1"/>
    </row>
    <row r="1931" spans="1:15" x14ac:dyDescent="0.25">
      <c r="A1931">
        <v>3632</v>
      </c>
      <c r="B1931">
        <v>278.31116960000003</v>
      </c>
      <c r="C1931">
        <v>0</v>
      </c>
      <c r="D1931">
        <v>687.67095700000004</v>
      </c>
      <c r="E1931">
        <v>0</v>
      </c>
      <c r="F1931">
        <v>878.44191720000003</v>
      </c>
      <c r="G1931">
        <v>0</v>
      </c>
      <c r="H1931">
        <v>3632</v>
      </c>
      <c r="I1931" t="str">
        <f t="shared" si="121"/>
        <v>YES</v>
      </c>
      <c r="J1931" t="s">
        <v>1937</v>
      </c>
      <c r="K1931">
        <v>3140426.2702799998</v>
      </c>
      <c r="L1931" s="1">
        <f t="shared" si="122"/>
        <v>0</v>
      </c>
      <c r="M1931" s="1">
        <f t="shared" si="123"/>
        <v>0</v>
      </c>
      <c r="N1931" s="1">
        <f t="shared" si="124"/>
        <v>0</v>
      </c>
      <c r="O1931" s="1"/>
    </row>
    <row r="1932" spans="1:15" x14ac:dyDescent="0.25">
      <c r="A1932">
        <v>3633</v>
      </c>
      <c r="B1932">
        <v>427.44601189999997</v>
      </c>
      <c r="C1932">
        <v>0</v>
      </c>
      <c r="D1932">
        <v>1155.4472169999999</v>
      </c>
      <c r="E1932">
        <v>0</v>
      </c>
      <c r="F1932">
        <v>1700.9494079999999</v>
      </c>
      <c r="G1932">
        <v>0</v>
      </c>
      <c r="H1932">
        <v>3633</v>
      </c>
      <c r="I1932" t="str">
        <f t="shared" si="121"/>
        <v>YES</v>
      </c>
      <c r="J1932" t="s">
        <v>1938</v>
      </c>
      <c r="K1932">
        <v>1716763.3694800001</v>
      </c>
      <c r="L1932" s="1">
        <f t="shared" si="122"/>
        <v>0</v>
      </c>
      <c r="M1932" s="1">
        <f t="shared" si="123"/>
        <v>0</v>
      </c>
      <c r="N1932" s="1">
        <f t="shared" si="124"/>
        <v>0</v>
      </c>
      <c r="O1932" s="1"/>
    </row>
    <row r="1933" spans="1:15" x14ac:dyDescent="0.25">
      <c r="A1933">
        <v>3634</v>
      </c>
      <c r="B1933">
        <v>723.18973119999998</v>
      </c>
      <c r="C1933">
        <v>0</v>
      </c>
      <c r="D1933">
        <v>3641.8366449999999</v>
      </c>
      <c r="E1933">
        <v>0</v>
      </c>
      <c r="F1933">
        <v>48950.656470000002</v>
      </c>
      <c r="G1933">
        <v>0</v>
      </c>
      <c r="H1933">
        <v>3634</v>
      </c>
      <c r="I1933" t="str">
        <f t="shared" si="121"/>
        <v>YES</v>
      </c>
      <c r="J1933" t="s">
        <v>1939</v>
      </c>
      <c r="K1933">
        <v>1564314.93658</v>
      </c>
      <c r="L1933" s="1">
        <f t="shared" si="122"/>
        <v>0</v>
      </c>
      <c r="M1933" s="1">
        <f t="shared" si="123"/>
        <v>0</v>
      </c>
      <c r="N1933" s="1">
        <f t="shared" si="124"/>
        <v>0</v>
      </c>
      <c r="O1933" s="1"/>
    </row>
    <row r="1934" spans="1:15" x14ac:dyDescent="0.25">
      <c r="A1934">
        <v>3635</v>
      </c>
      <c r="B1934">
        <v>2.8441756640000002</v>
      </c>
      <c r="C1934">
        <v>0</v>
      </c>
      <c r="D1934">
        <v>2.8441756640000002</v>
      </c>
      <c r="E1934">
        <v>0</v>
      </c>
      <c r="F1934">
        <v>2.8441756640000002</v>
      </c>
      <c r="G1934">
        <v>0</v>
      </c>
      <c r="H1934">
        <v>3635</v>
      </c>
      <c r="I1934" t="str">
        <f t="shared" si="121"/>
        <v>YES</v>
      </c>
      <c r="J1934" t="s">
        <v>1940</v>
      </c>
      <c r="K1934">
        <v>7809656.2089400003</v>
      </c>
      <c r="L1934" s="1">
        <f t="shared" si="122"/>
        <v>0</v>
      </c>
      <c r="M1934" s="1">
        <f t="shared" si="123"/>
        <v>0</v>
      </c>
      <c r="N1934" s="1">
        <f t="shared" si="124"/>
        <v>0</v>
      </c>
      <c r="O1934" s="1"/>
    </row>
    <row r="1935" spans="1:15" x14ac:dyDescent="0.25">
      <c r="A1935">
        <v>3636</v>
      </c>
      <c r="B1935">
        <v>133.59842939999999</v>
      </c>
      <c r="C1935">
        <v>0</v>
      </c>
      <c r="D1935">
        <v>134.28261280000001</v>
      </c>
      <c r="E1935">
        <v>0</v>
      </c>
      <c r="F1935">
        <v>178.0738748</v>
      </c>
      <c r="G1935">
        <v>0</v>
      </c>
      <c r="H1935">
        <v>3636</v>
      </c>
      <c r="I1935" t="str">
        <f t="shared" si="121"/>
        <v>YES</v>
      </c>
      <c r="J1935" t="s">
        <v>1941</v>
      </c>
      <c r="K1935">
        <v>4655192.63069</v>
      </c>
      <c r="L1935" s="1">
        <f t="shared" si="122"/>
        <v>0</v>
      </c>
      <c r="M1935" s="1">
        <f t="shared" si="123"/>
        <v>0</v>
      </c>
      <c r="N1935" s="1">
        <f t="shared" si="124"/>
        <v>0</v>
      </c>
      <c r="O1935" s="1"/>
    </row>
    <row r="1936" spans="1:15" x14ac:dyDescent="0.25">
      <c r="A1936">
        <v>3650</v>
      </c>
      <c r="B1936">
        <v>91.658169520000001</v>
      </c>
      <c r="C1936">
        <v>0</v>
      </c>
      <c r="D1936">
        <v>224.68830990000001</v>
      </c>
      <c r="E1936">
        <v>0</v>
      </c>
      <c r="F1936">
        <v>487.0192078</v>
      </c>
      <c r="G1936">
        <v>0</v>
      </c>
      <c r="H1936">
        <v>3650</v>
      </c>
      <c r="I1936" t="str">
        <f t="shared" si="121"/>
        <v>YES</v>
      </c>
      <c r="J1936" t="s">
        <v>1942</v>
      </c>
      <c r="K1936">
        <v>1712927.59555</v>
      </c>
      <c r="L1936" s="1">
        <f t="shared" si="122"/>
        <v>0</v>
      </c>
      <c r="M1936" s="1">
        <f t="shared" si="123"/>
        <v>0</v>
      </c>
      <c r="N1936" s="1">
        <f t="shared" si="124"/>
        <v>0</v>
      </c>
      <c r="O1936" s="1"/>
    </row>
    <row r="1937" spans="1:15" x14ac:dyDescent="0.25">
      <c r="A1937">
        <v>3651</v>
      </c>
      <c r="B1937">
        <v>39.555977640000002</v>
      </c>
      <c r="C1937">
        <v>0</v>
      </c>
      <c r="D1937">
        <v>234.8775296</v>
      </c>
      <c r="E1937">
        <v>0</v>
      </c>
      <c r="F1937">
        <v>395.70290569999997</v>
      </c>
      <c r="G1937">
        <v>0</v>
      </c>
      <c r="H1937">
        <v>3651</v>
      </c>
      <c r="I1937" t="str">
        <f t="shared" si="121"/>
        <v>YES</v>
      </c>
      <c r="J1937" t="s">
        <v>1943</v>
      </c>
      <c r="K1937">
        <v>1797879.89818</v>
      </c>
      <c r="L1937" s="1">
        <f t="shared" si="122"/>
        <v>0</v>
      </c>
      <c r="M1937" s="1">
        <f t="shared" si="123"/>
        <v>0</v>
      </c>
      <c r="N1937" s="1">
        <f t="shared" si="124"/>
        <v>0</v>
      </c>
      <c r="O1937" s="1"/>
    </row>
    <row r="1938" spans="1:15" x14ac:dyDescent="0.25">
      <c r="A1938">
        <v>3652</v>
      </c>
      <c r="B1938">
        <v>149.49971310000001</v>
      </c>
      <c r="C1938">
        <v>0</v>
      </c>
      <c r="D1938">
        <v>197.41513560000001</v>
      </c>
      <c r="E1938">
        <v>0</v>
      </c>
      <c r="F1938">
        <v>330.44527590000001</v>
      </c>
      <c r="G1938">
        <v>0</v>
      </c>
      <c r="H1938">
        <v>3652</v>
      </c>
      <c r="I1938" t="str">
        <f t="shared" si="121"/>
        <v>YES</v>
      </c>
      <c r="J1938" t="s">
        <v>1944</v>
      </c>
      <c r="K1938">
        <v>4699573.3710200004</v>
      </c>
      <c r="L1938" s="1">
        <f t="shared" si="122"/>
        <v>0</v>
      </c>
      <c r="M1938" s="1">
        <f t="shared" si="123"/>
        <v>0</v>
      </c>
      <c r="N1938" s="1">
        <f t="shared" si="124"/>
        <v>0</v>
      </c>
      <c r="O1938" s="1"/>
    </row>
    <row r="1939" spans="1:15" x14ac:dyDescent="0.25">
      <c r="A1939">
        <v>3653</v>
      </c>
      <c r="B1939">
        <v>98.500816009999994</v>
      </c>
      <c r="C1939">
        <v>0</v>
      </c>
      <c r="D1939">
        <v>325.83212090000001</v>
      </c>
      <c r="E1939">
        <v>0</v>
      </c>
      <c r="F1939">
        <v>668.34205010000005</v>
      </c>
      <c r="G1939">
        <v>0</v>
      </c>
      <c r="H1939">
        <v>3653</v>
      </c>
      <c r="I1939" t="str">
        <f t="shared" si="121"/>
        <v>YES</v>
      </c>
      <c r="J1939" t="s">
        <v>1945</v>
      </c>
      <c r="K1939">
        <v>2171851.3932599998</v>
      </c>
      <c r="L1939" s="1">
        <f t="shared" si="122"/>
        <v>0</v>
      </c>
      <c r="M1939" s="1">
        <f t="shared" si="123"/>
        <v>0</v>
      </c>
      <c r="N1939" s="1">
        <f t="shared" si="124"/>
        <v>0</v>
      </c>
      <c r="O1939" s="1"/>
    </row>
    <row r="1940" spans="1:15" x14ac:dyDescent="0.25">
      <c r="A1940">
        <v>3654</v>
      </c>
      <c r="B1940">
        <v>129.60234070000001</v>
      </c>
      <c r="C1940">
        <v>0</v>
      </c>
      <c r="D1940">
        <v>292.30191619999999</v>
      </c>
      <c r="E1940">
        <v>0</v>
      </c>
      <c r="F1940">
        <v>458.28869780000002</v>
      </c>
      <c r="G1940">
        <v>0</v>
      </c>
      <c r="H1940">
        <v>3654</v>
      </c>
      <c r="I1940" t="str">
        <f t="shared" si="121"/>
        <v>YES</v>
      </c>
      <c r="J1940" t="s">
        <v>1946</v>
      </c>
      <c r="K1940">
        <v>2589907.0337999999</v>
      </c>
      <c r="L1940" s="1">
        <f t="shared" si="122"/>
        <v>0</v>
      </c>
      <c r="M1940" s="1">
        <f t="shared" si="123"/>
        <v>0</v>
      </c>
      <c r="N1940" s="1">
        <f t="shared" si="124"/>
        <v>0</v>
      </c>
      <c r="O1940" s="1"/>
    </row>
    <row r="1941" spans="1:15" x14ac:dyDescent="0.25">
      <c r="A1941">
        <v>3655</v>
      </c>
      <c r="B1941">
        <v>274.45015430000001</v>
      </c>
      <c r="C1941">
        <v>0</v>
      </c>
      <c r="D1941">
        <v>751.20641160000002</v>
      </c>
      <c r="E1941">
        <v>0</v>
      </c>
      <c r="F1941">
        <v>16187.76345</v>
      </c>
      <c r="G1941">
        <v>0</v>
      </c>
      <c r="H1941">
        <v>3655</v>
      </c>
      <c r="I1941" t="str">
        <f t="shared" si="121"/>
        <v>YES</v>
      </c>
      <c r="J1941" t="s">
        <v>1947</v>
      </c>
      <c r="K1941">
        <v>1693353.8833900001</v>
      </c>
      <c r="L1941" s="1">
        <f t="shared" si="122"/>
        <v>0</v>
      </c>
      <c r="M1941" s="1">
        <f t="shared" si="123"/>
        <v>0</v>
      </c>
      <c r="N1941" s="1">
        <f t="shared" si="124"/>
        <v>0</v>
      </c>
      <c r="O1941" s="1"/>
    </row>
    <row r="1942" spans="1:15" x14ac:dyDescent="0.25">
      <c r="A1942">
        <v>3656</v>
      </c>
      <c r="B1942">
        <v>149.237787</v>
      </c>
      <c r="C1942">
        <v>0</v>
      </c>
      <c r="D1942">
        <v>149.237787</v>
      </c>
      <c r="E1942">
        <v>0</v>
      </c>
      <c r="F1942">
        <v>3327.7704309999999</v>
      </c>
      <c r="G1942">
        <v>0</v>
      </c>
      <c r="H1942">
        <v>3656</v>
      </c>
      <c r="I1942" t="str">
        <f t="shared" si="121"/>
        <v>YES</v>
      </c>
      <c r="J1942" t="s">
        <v>1948</v>
      </c>
      <c r="K1942">
        <v>2765631.7299000002</v>
      </c>
      <c r="L1942" s="1">
        <f t="shared" si="122"/>
        <v>0</v>
      </c>
      <c r="M1942" s="1">
        <f t="shared" si="123"/>
        <v>0</v>
      </c>
      <c r="N1942" s="1">
        <f t="shared" si="124"/>
        <v>0</v>
      </c>
      <c r="O1942" s="1"/>
    </row>
    <row r="1943" spans="1:15" x14ac:dyDescent="0.25">
      <c r="A1943">
        <v>3657</v>
      </c>
      <c r="B1943">
        <v>91.658169520000001</v>
      </c>
      <c r="C1943">
        <v>0</v>
      </c>
      <c r="D1943">
        <v>91.658169520000001</v>
      </c>
      <c r="E1943">
        <v>0</v>
      </c>
      <c r="F1943">
        <v>242.01052759999999</v>
      </c>
      <c r="G1943">
        <v>0</v>
      </c>
      <c r="H1943">
        <v>3657</v>
      </c>
      <c r="I1943" t="str">
        <f t="shared" si="121"/>
        <v>YES</v>
      </c>
      <c r="J1943" t="s">
        <v>1949</v>
      </c>
      <c r="K1943">
        <v>1848999.9919100001</v>
      </c>
      <c r="L1943" s="1">
        <f t="shared" si="122"/>
        <v>0</v>
      </c>
      <c r="M1943" s="1">
        <f t="shared" si="123"/>
        <v>0</v>
      </c>
      <c r="N1943" s="1">
        <f t="shared" si="124"/>
        <v>0</v>
      </c>
      <c r="O1943" s="1"/>
    </row>
    <row r="1944" spans="1:15" x14ac:dyDescent="0.25">
      <c r="A1944">
        <v>3658</v>
      </c>
      <c r="B1944">
        <v>215.32272380000001</v>
      </c>
      <c r="C1944">
        <v>0</v>
      </c>
      <c r="D1944">
        <v>842.0994991</v>
      </c>
      <c r="E1944">
        <v>0</v>
      </c>
      <c r="F1944">
        <v>37557.641490000002</v>
      </c>
      <c r="G1944">
        <v>0</v>
      </c>
      <c r="H1944">
        <v>3658</v>
      </c>
      <c r="I1944" t="str">
        <f t="shared" si="121"/>
        <v>YES</v>
      </c>
      <c r="J1944" t="s">
        <v>1950</v>
      </c>
      <c r="K1944">
        <v>1770678.8328100001</v>
      </c>
      <c r="L1944" s="1">
        <f t="shared" si="122"/>
        <v>0</v>
      </c>
      <c r="M1944" s="1">
        <f t="shared" si="123"/>
        <v>0</v>
      </c>
      <c r="N1944" s="1">
        <f t="shared" si="124"/>
        <v>0</v>
      </c>
      <c r="O1944" s="1"/>
    </row>
    <row r="1945" spans="1:15" x14ac:dyDescent="0.25">
      <c r="A1945">
        <v>3659</v>
      </c>
      <c r="B1945">
        <v>25.5642034</v>
      </c>
      <c r="C1945">
        <v>0</v>
      </c>
      <c r="D1945">
        <v>25.5642034</v>
      </c>
      <c r="E1945">
        <v>0</v>
      </c>
      <c r="F1945">
        <v>136.3743656</v>
      </c>
      <c r="G1945">
        <v>0</v>
      </c>
      <c r="H1945">
        <v>3659</v>
      </c>
      <c r="I1945" t="str">
        <f t="shared" si="121"/>
        <v>YES</v>
      </c>
      <c r="J1945" t="s">
        <v>1951</v>
      </c>
      <c r="K1945">
        <v>3298545.4609699999</v>
      </c>
      <c r="L1945" s="1">
        <f t="shared" si="122"/>
        <v>0</v>
      </c>
      <c r="M1945" s="1">
        <f t="shared" si="123"/>
        <v>0</v>
      </c>
      <c r="N1945" s="1">
        <f t="shared" si="124"/>
        <v>0</v>
      </c>
      <c r="O1945" s="1"/>
    </row>
    <row r="1946" spans="1:15" x14ac:dyDescent="0.25">
      <c r="A1946">
        <v>3660</v>
      </c>
      <c r="B1946">
        <v>148.23674260000001</v>
      </c>
      <c r="C1946">
        <v>0</v>
      </c>
      <c r="D1946">
        <v>609.53961749999996</v>
      </c>
      <c r="E1946">
        <v>0</v>
      </c>
      <c r="F1946">
        <v>1579.5298499999999</v>
      </c>
      <c r="G1946">
        <v>0</v>
      </c>
      <c r="H1946">
        <v>3660</v>
      </c>
      <c r="I1946" t="str">
        <f t="shared" si="121"/>
        <v>YES</v>
      </c>
      <c r="J1946" t="s">
        <v>1952</v>
      </c>
      <c r="K1946">
        <v>1412361.29073</v>
      </c>
      <c r="L1946" s="1">
        <f t="shared" si="122"/>
        <v>0</v>
      </c>
      <c r="M1946" s="1">
        <f t="shared" si="123"/>
        <v>0</v>
      </c>
      <c r="N1946" s="1">
        <f t="shared" si="124"/>
        <v>0</v>
      </c>
      <c r="O1946" s="1"/>
    </row>
    <row r="1947" spans="1:15" x14ac:dyDescent="0.25">
      <c r="A1947">
        <v>3661</v>
      </c>
      <c r="B1947">
        <v>162.15804650000001</v>
      </c>
      <c r="C1947">
        <v>0</v>
      </c>
      <c r="D1947">
        <v>162.15804650000001</v>
      </c>
      <c r="E1947">
        <v>0</v>
      </c>
      <c r="F1947">
        <v>230.49693819999999</v>
      </c>
      <c r="G1947">
        <v>0</v>
      </c>
      <c r="H1947">
        <v>3661</v>
      </c>
      <c r="I1947" t="str">
        <f t="shared" si="121"/>
        <v>YES</v>
      </c>
      <c r="J1947" t="s">
        <v>1953</v>
      </c>
      <c r="K1947">
        <v>19844895.7837</v>
      </c>
      <c r="L1947" s="1">
        <f t="shared" si="122"/>
        <v>0</v>
      </c>
      <c r="M1947" s="1">
        <f t="shared" si="123"/>
        <v>0</v>
      </c>
      <c r="N1947" s="1">
        <f t="shared" si="124"/>
        <v>0</v>
      </c>
      <c r="O1947" s="1"/>
    </row>
    <row r="1948" spans="1:15" x14ac:dyDescent="0.25">
      <c r="A1948">
        <v>3662</v>
      </c>
      <c r="B1948">
        <v>161.9277237</v>
      </c>
      <c r="C1948">
        <v>0</v>
      </c>
      <c r="D1948">
        <v>361.8653698</v>
      </c>
      <c r="E1948">
        <v>0</v>
      </c>
      <c r="F1948">
        <v>702.04726349999999</v>
      </c>
      <c r="G1948">
        <v>0</v>
      </c>
      <c r="H1948">
        <v>3662</v>
      </c>
      <c r="I1948" t="str">
        <f t="shared" si="121"/>
        <v>YES</v>
      </c>
      <c r="J1948" t="s">
        <v>1954</v>
      </c>
      <c r="K1948">
        <v>1773340.1131800001</v>
      </c>
      <c r="L1948" s="1">
        <f t="shared" si="122"/>
        <v>0</v>
      </c>
      <c r="M1948" s="1">
        <f t="shared" si="123"/>
        <v>0</v>
      </c>
      <c r="N1948" s="1">
        <f t="shared" si="124"/>
        <v>0</v>
      </c>
      <c r="O1948" s="1"/>
    </row>
    <row r="1949" spans="1:15" x14ac:dyDescent="0.25">
      <c r="A1949">
        <v>3663</v>
      </c>
      <c r="B1949">
        <v>230.185541</v>
      </c>
      <c r="C1949">
        <v>0</v>
      </c>
      <c r="D1949">
        <v>411.29680389999999</v>
      </c>
      <c r="E1949">
        <v>0</v>
      </c>
      <c r="F1949">
        <v>729.91716289999999</v>
      </c>
      <c r="G1949">
        <v>0</v>
      </c>
      <c r="H1949">
        <v>3663</v>
      </c>
      <c r="I1949" t="str">
        <f t="shared" si="121"/>
        <v>YES</v>
      </c>
      <c r="J1949" t="s">
        <v>1955</v>
      </c>
      <c r="K1949">
        <v>2009894.51838</v>
      </c>
      <c r="L1949" s="1">
        <f t="shared" si="122"/>
        <v>0</v>
      </c>
      <c r="M1949" s="1">
        <f t="shared" si="123"/>
        <v>0</v>
      </c>
      <c r="N1949" s="1">
        <f t="shared" si="124"/>
        <v>0</v>
      </c>
      <c r="O1949" s="1"/>
    </row>
    <row r="1950" spans="1:15" x14ac:dyDescent="0.25">
      <c r="A1950">
        <v>3664</v>
      </c>
      <c r="B1950">
        <v>183.96549899999999</v>
      </c>
      <c r="C1950">
        <v>0</v>
      </c>
      <c r="D1950">
        <v>302.64821189999998</v>
      </c>
      <c r="E1950">
        <v>0</v>
      </c>
      <c r="F1950">
        <v>622.24966099999995</v>
      </c>
      <c r="G1950">
        <v>0</v>
      </c>
      <c r="H1950">
        <v>3664</v>
      </c>
      <c r="I1950" t="str">
        <f t="shared" si="121"/>
        <v>YES</v>
      </c>
      <c r="J1950" t="s">
        <v>1956</v>
      </c>
      <c r="K1950">
        <v>2136965.7896799999</v>
      </c>
      <c r="L1950" s="1">
        <f t="shared" si="122"/>
        <v>0</v>
      </c>
      <c r="M1950" s="1">
        <f t="shared" si="123"/>
        <v>0</v>
      </c>
      <c r="N1950" s="1">
        <f t="shared" si="124"/>
        <v>0</v>
      </c>
      <c r="O1950" s="1"/>
    </row>
    <row r="1951" spans="1:15" x14ac:dyDescent="0.25">
      <c r="A1951">
        <v>3665</v>
      </c>
      <c r="B1951">
        <v>119.7667395</v>
      </c>
      <c r="C1951">
        <v>0</v>
      </c>
      <c r="D1951">
        <v>302.64821189999998</v>
      </c>
      <c r="E1951">
        <v>0</v>
      </c>
      <c r="F1951">
        <v>394.91835609999998</v>
      </c>
      <c r="G1951">
        <v>0</v>
      </c>
      <c r="H1951">
        <v>3665</v>
      </c>
      <c r="I1951" t="str">
        <f t="shared" si="121"/>
        <v>YES</v>
      </c>
      <c r="J1951" t="s">
        <v>1957</v>
      </c>
      <c r="K1951">
        <v>1299911.9336999999</v>
      </c>
      <c r="L1951" s="1">
        <f t="shared" si="122"/>
        <v>0</v>
      </c>
      <c r="M1951" s="1">
        <f t="shared" si="123"/>
        <v>0</v>
      </c>
      <c r="N1951" s="1">
        <f t="shared" si="124"/>
        <v>0</v>
      </c>
      <c r="O1951" s="1"/>
    </row>
    <row r="1952" spans="1:15" x14ac:dyDescent="0.25">
      <c r="A1952">
        <v>3666</v>
      </c>
      <c r="B1952">
        <v>215.32272380000001</v>
      </c>
      <c r="C1952">
        <v>0</v>
      </c>
      <c r="D1952">
        <v>677.05326709999997</v>
      </c>
      <c r="E1952">
        <v>0</v>
      </c>
      <c r="F1952">
        <v>7749.6141889999999</v>
      </c>
      <c r="G1952">
        <v>0</v>
      </c>
      <c r="H1952">
        <v>3666</v>
      </c>
      <c r="I1952" t="str">
        <f t="shared" si="121"/>
        <v>YES</v>
      </c>
      <c r="J1952" t="s">
        <v>1958</v>
      </c>
      <c r="K1952">
        <v>1048307.6552</v>
      </c>
      <c r="L1952" s="1">
        <f t="shared" si="122"/>
        <v>0</v>
      </c>
      <c r="M1952" s="1">
        <f t="shared" si="123"/>
        <v>0</v>
      </c>
      <c r="N1952" s="1">
        <f t="shared" si="124"/>
        <v>0</v>
      </c>
      <c r="O1952" s="1"/>
    </row>
    <row r="1953" spans="1:15" x14ac:dyDescent="0.25">
      <c r="A1953">
        <v>3667</v>
      </c>
      <c r="B1953">
        <v>41.838780759999999</v>
      </c>
      <c r="C1953">
        <v>0</v>
      </c>
      <c r="D1953">
        <v>41.838780759999999</v>
      </c>
      <c r="E1953">
        <v>0</v>
      </c>
      <c r="F1953">
        <v>41.838780759999999</v>
      </c>
      <c r="G1953">
        <v>0</v>
      </c>
      <c r="H1953">
        <v>3667</v>
      </c>
      <c r="I1953" t="str">
        <f t="shared" si="121"/>
        <v>YES</v>
      </c>
      <c r="J1953" t="s">
        <v>1959</v>
      </c>
      <c r="K1953">
        <v>2775321.87366</v>
      </c>
      <c r="L1953" s="1">
        <f t="shared" si="122"/>
        <v>0</v>
      </c>
      <c r="M1953" s="1">
        <f t="shared" si="123"/>
        <v>0</v>
      </c>
      <c r="N1953" s="1">
        <f t="shared" si="124"/>
        <v>0</v>
      </c>
      <c r="O1953" s="1"/>
    </row>
    <row r="1954" spans="1:15" x14ac:dyDescent="0.25">
      <c r="A1954">
        <v>3668</v>
      </c>
      <c r="B1954">
        <v>22.533736739999998</v>
      </c>
      <c r="C1954">
        <v>0</v>
      </c>
      <c r="D1954">
        <v>39.855954519999997</v>
      </c>
      <c r="E1954">
        <v>0</v>
      </c>
      <c r="F1954">
        <v>60.186126610000002</v>
      </c>
      <c r="G1954">
        <v>0</v>
      </c>
      <c r="H1954">
        <v>3668</v>
      </c>
      <c r="I1954" t="str">
        <f t="shared" si="121"/>
        <v>YES</v>
      </c>
      <c r="J1954" t="s">
        <v>1960</v>
      </c>
      <c r="K1954">
        <v>2907593.4593500001</v>
      </c>
      <c r="L1954" s="1">
        <f t="shared" si="122"/>
        <v>0</v>
      </c>
      <c r="M1954" s="1">
        <f t="shared" si="123"/>
        <v>0</v>
      </c>
      <c r="N1954" s="1">
        <f t="shared" si="124"/>
        <v>0</v>
      </c>
      <c r="O1954" s="1"/>
    </row>
    <row r="1955" spans="1:15" x14ac:dyDescent="0.25">
      <c r="A1955">
        <v>3669</v>
      </c>
      <c r="B1955">
        <v>17.322217779999999</v>
      </c>
      <c r="C1955">
        <v>0</v>
      </c>
      <c r="D1955">
        <v>39.855954519999997</v>
      </c>
      <c r="E1955">
        <v>0</v>
      </c>
      <c r="F1955">
        <v>243.41759279999999</v>
      </c>
      <c r="G1955">
        <v>0</v>
      </c>
      <c r="H1955">
        <v>3669</v>
      </c>
      <c r="I1955" t="str">
        <f t="shared" si="121"/>
        <v>YES</v>
      </c>
      <c r="J1955" t="s">
        <v>1961</v>
      </c>
      <c r="K1955">
        <v>2235140.0685700001</v>
      </c>
      <c r="L1955" s="1">
        <f t="shared" si="122"/>
        <v>0</v>
      </c>
      <c r="M1955" s="1">
        <f t="shared" si="123"/>
        <v>0</v>
      </c>
      <c r="N1955" s="1">
        <f t="shared" si="124"/>
        <v>0</v>
      </c>
      <c r="O1955" s="1"/>
    </row>
    <row r="1956" spans="1:15" x14ac:dyDescent="0.25">
      <c r="A1956">
        <v>3670</v>
      </c>
      <c r="B1956">
        <v>45.761488059999998</v>
      </c>
      <c r="C1956">
        <v>0</v>
      </c>
      <c r="D1956">
        <v>455.77188949999999</v>
      </c>
      <c r="E1956">
        <v>0</v>
      </c>
      <c r="F1956">
        <v>4903.8299209999996</v>
      </c>
      <c r="G1956">
        <v>0</v>
      </c>
      <c r="H1956">
        <v>3670</v>
      </c>
      <c r="I1956" t="str">
        <f t="shared" si="121"/>
        <v>YES</v>
      </c>
      <c r="J1956" t="s">
        <v>1962</v>
      </c>
      <c r="K1956">
        <v>1154863.5957599999</v>
      </c>
      <c r="L1956" s="1">
        <f t="shared" si="122"/>
        <v>0</v>
      </c>
      <c r="M1956" s="1">
        <f t="shared" si="123"/>
        <v>0</v>
      </c>
      <c r="N1956" s="1">
        <f t="shared" si="124"/>
        <v>0</v>
      </c>
      <c r="O1956" s="1"/>
    </row>
    <row r="1957" spans="1:15" x14ac:dyDescent="0.25">
      <c r="A1957">
        <v>3671</v>
      </c>
      <c r="B1957">
        <v>41.838780759999999</v>
      </c>
      <c r="C1957">
        <v>0</v>
      </c>
      <c r="D1957">
        <v>41.838780759999999</v>
      </c>
      <c r="E1957">
        <v>0</v>
      </c>
      <c r="F1957">
        <v>140.3318122</v>
      </c>
      <c r="G1957">
        <v>0</v>
      </c>
      <c r="H1957">
        <v>3671</v>
      </c>
      <c r="I1957" t="str">
        <f t="shared" si="121"/>
        <v>YES</v>
      </c>
      <c r="J1957" t="s">
        <v>1963</v>
      </c>
      <c r="K1957">
        <v>2623270.22725</v>
      </c>
      <c r="L1957" s="1">
        <f t="shared" si="122"/>
        <v>0</v>
      </c>
      <c r="M1957" s="1">
        <f t="shared" si="123"/>
        <v>0</v>
      </c>
      <c r="N1957" s="1">
        <f t="shared" si="124"/>
        <v>0</v>
      </c>
      <c r="O1957" s="1"/>
    </row>
    <row r="1958" spans="1:15" x14ac:dyDescent="0.25">
      <c r="A1958">
        <v>3672</v>
      </c>
      <c r="B1958">
        <v>26.4531156</v>
      </c>
      <c r="C1958">
        <v>0</v>
      </c>
      <c r="D1958">
        <v>26.4531156</v>
      </c>
      <c r="E1958">
        <v>0</v>
      </c>
      <c r="F1958">
        <v>313.7208445</v>
      </c>
      <c r="G1958">
        <v>0</v>
      </c>
      <c r="H1958">
        <v>3672</v>
      </c>
      <c r="I1958" t="str">
        <f t="shared" si="121"/>
        <v>YES</v>
      </c>
      <c r="J1958" t="s">
        <v>1964</v>
      </c>
      <c r="K1958">
        <v>3413358.1109099998</v>
      </c>
      <c r="L1958" s="1">
        <f t="shared" si="122"/>
        <v>0</v>
      </c>
      <c r="M1958" s="1">
        <f t="shared" si="123"/>
        <v>0</v>
      </c>
      <c r="N1958" s="1">
        <f t="shared" si="124"/>
        <v>0</v>
      </c>
      <c r="O1958" s="1"/>
    </row>
    <row r="1959" spans="1:15" x14ac:dyDescent="0.25">
      <c r="A1959">
        <v>3673</v>
      </c>
      <c r="B1959">
        <v>101.43683</v>
      </c>
      <c r="C1959">
        <v>0</v>
      </c>
      <c r="D1959">
        <v>500.13272760000001</v>
      </c>
      <c r="E1959">
        <v>0</v>
      </c>
      <c r="F1959">
        <v>6179.6675310000001</v>
      </c>
      <c r="G1959">
        <v>0</v>
      </c>
      <c r="H1959">
        <v>3673</v>
      </c>
      <c r="I1959" t="str">
        <f t="shared" si="121"/>
        <v>YES</v>
      </c>
      <c r="J1959" t="s">
        <v>1965</v>
      </c>
      <c r="K1959">
        <v>1840746.1701700001</v>
      </c>
      <c r="L1959" s="1">
        <f t="shared" si="122"/>
        <v>0</v>
      </c>
      <c r="M1959" s="1">
        <f t="shared" si="123"/>
        <v>0</v>
      </c>
      <c r="N1959" s="1">
        <f t="shared" si="124"/>
        <v>0</v>
      </c>
      <c r="O1959" s="1"/>
    </row>
    <row r="1960" spans="1:15" x14ac:dyDescent="0.25">
      <c r="A1960">
        <v>3674</v>
      </c>
      <c r="B1960">
        <v>46.282250329999997</v>
      </c>
      <c r="C1960">
        <v>0</v>
      </c>
      <c r="D1960">
        <v>108.9983649</v>
      </c>
      <c r="E1960">
        <v>0</v>
      </c>
      <c r="F1960">
        <v>108.9983649</v>
      </c>
      <c r="G1960">
        <v>0</v>
      </c>
      <c r="H1960">
        <v>3674</v>
      </c>
      <c r="I1960" t="str">
        <f t="shared" si="121"/>
        <v>YES</v>
      </c>
      <c r="J1960" t="s">
        <v>1966</v>
      </c>
      <c r="K1960">
        <v>1448990.1362999999</v>
      </c>
      <c r="L1960" s="1">
        <f t="shared" si="122"/>
        <v>0</v>
      </c>
      <c r="M1960" s="1">
        <f t="shared" si="123"/>
        <v>0</v>
      </c>
      <c r="N1960" s="1">
        <f t="shared" si="124"/>
        <v>0</v>
      </c>
      <c r="O1960" s="1"/>
    </row>
    <row r="1961" spans="1:15" x14ac:dyDescent="0.25">
      <c r="A1961">
        <v>3675</v>
      </c>
      <c r="B1961">
        <v>62.716114519999998</v>
      </c>
      <c r="C1961">
        <v>0</v>
      </c>
      <c r="D1961">
        <v>363.91516810000002</v>
      </c>
      <c r="E1961">
        <v>0</v>
      </c>
      <c r="F1961">
        <v>2205.6154729999998</v>
      </c>
      <c r="G1961">
        <v>0</v>
      </c>
      <c r="H1961">
        <v>3675</v>
      </c>
      <c r="I1961" t="str">
        <f t="shared" si="121"/>
        <v>YES</v>
      </c>
      <c r="J1961" t="s">
        <v>1967</v>
      </c>
      <c r="K1961">
        <v>1963485.99868</v>
      </c>
      <c r="L1961" s="1">
        <f t="shared" si="122"/>
        <v>0</v>
      </c>
      <c r="M1961" s="1">
        <f t="shared" si="123"/>
        <v>0</v>
      </c>
      <c r="N1961" s="1">
        <f t="shared" si="124"/>
        <v>0</v>
      </c>
      <c r="O1961" s="1"/>
    </row>
    <row r="1962" spans="1:15" x14ac:dyDescent="0.25">
      <c r="A1962">
        <v>3676</v>
      </c>
      <c r="B1962">
        <v>89.388575700000004</v>
      </c>
      <c r="C1962">
        <v>0</v>
      </c>
      <c r="D1962">
        <v>1756.4995280000001</v>
      </c>
      <c r="E1962">
        <v>0</v>
      </c>
      <c r="F1962">
        <v>9387.7710459999998</v>
      </c>
      <c r="G1962">
        <v>0</v>
      </c>
      <c r="H1962">
        <v>3676</v>
      </c>
      <c r="I1962" t="str">
        <f t="shared" si="121"/>
        <v>YES</v>
      </c>
      <c r="J1962" t="s">
        <v>1968</v>
      </c>
      <c r="K1962">
        <v>2474032.24927</v>
      </c>
      <c r="L1962" s="1">
        <f t="shared" si="122"/>
        <v>0</v>
      </c>
      <c r="M1962" s="1">
        <f t="shared" si="123"/>
        <v>0</v>
      </c>
      <c r="N1962" s="1">
        <f t="shared" si="124"/>
        <v>0</v>
      </c>
      <c r="O1962" s="1"/>
    </row>
    <row r="1963" spans="1:15" x14ac:dyDescent="0.25">
      <c r="A1963">
        <v>3677</v>
      </c>
      <c r="B1963">
        <v>68.338891660000002</v>
      </c>
      <c r="C1963">
        <v>0</v>
      </c>
      <c r="D1963">
        <v>68.338891660000002</v>
      </c>
      <c r="E1963">
        <v>0</v>
      </c>
      <c r="F1963">
        <v>230.49693819999999</v>
      </c>
      <c r="G1963">
        <v>0</v>
      </c>
      <c r="H1963">
        <v>3677</v>
      </c>
      <c r="I1963" t="str">
        <f t="shared" si="121"/>
        <v>YES</v>
      </c>
      <c r="J1963" t="s">
        <v>1969</v>
      </c>
      <c r="K1963">
        <v>8363391.3158900002</v>
      </c>
      <c r="L1963" s="1">
        <f t="shared" si="122"/>
        <v>0</v>
      </c>
      <c r="M1963" s="1">
        <f t="shared" si="123"/>
        <v>0</v>
      </c>
      <c r="N1963" s="1">
        <f t="shared" si="124"/>
        <v>0</v>
      </c>
      <c r="O1963" s="1"/>
    </row>
    <row r="1964" spans="1:15" x14ac:dyDescent="0.25">
      <c r="A1964">
        <v>3678</v>
      </c>
      <c r="B1964">
        <v>249.6153391</v>
      </c>
      <c r="C1964">
        <v>0</v>
      </c>
      <c r="D1964">
        <v>274.273189</v>
      </c>
      <c r="E1964">
        <v>0</v>
      </c>
      <c r="F1964">
        <v>1417.514308</v>
      </c>
      <c r="G1964">
        <v>0</v>
      </c>
      <c r="H1964">
        <v>3678</v>
      </c>
      <c r="I1964" t="str">
        <f t="shared" si="121"/>
        <v>YES</v>
      </c>
      <c r="J1964" t="s">
        <v>1970</v>
      </c>
      <c r="K1964">
        <v>3938720.8252400002</v>
      </c>
      <c r="L1964" s="1">
        <f t="shared" si="122"/>
        <v>0</v>
      </c>
      <c r="M1964" s="1">
        <f t="shared" si="123"/>
        <v>0</v>
      </c>
      <c r="N1964" s="1">
        <f t="shared" si="124"/>
        <v>0</v>
      </c>
      <c r="O1964" s="1"/>
    </row>
    <row r="1965" spans="1:15" x14ac:dyDescent="0.25">
      <c r="A1965">
        <v>3679</v>
      </c>
      <c r="B1965">
        <v>1052.5258799999999</v>
      </c>
      <c r="C1965">
        <v>0</v>
      </c>
      <c r="D1965">
        <v>2761.2312919999999</v>
      </c>
      <c r="E1965">
        <v>0</v>
      </c>
      <c r="F1965">
        <v>14402.36123</v>
      </c>
      <c r="G1965">
        <v>0</v>
      </c>
      <c r="H1965">
        <v>3679</v>
      </c>
      <c r="I1965" t="str">
        <f t="shared" si="121"/>
        <v>YES</v>
      </c>
      <c r="J1965" t="s">
        <v>1971</v>
      </c>
      <c r="K1965">
        <v>1993821.84397</v>
      </c>
      <c r="L1965" s="1">
        <f t="shared" si="122"/>
        <v>0</v>
      </c>
      <c r="M1965" s="1">
        <f t="shared" si="123"/>
        <v>0</v>
      </c>
      <c r="N1965" s="1">
        <f t="shared" si="124"/>
        <v>0</v>
      </c>
      <c r="O1965" s="1"/>
    </row>
    <row r="1966" spans="1:15" x14ac:dyDescent="0.25">
      <c r="A1966">
        <v>3680</v>
      </c>
      <c r="B1966">
        <v>797.02014359999998</v>
      </c>
      <c r="C1966">
        <v>0</v>
      </c>
      <c r="D1966">
        <v>1392.5143680000001</v>
      </c>
      <c r="E1966">
        <v>0</v>
      </c>
      <c r="F1966">
        <v>6621.0178830000004</v>
      </c>
      <c r="G1966">
        <v>0</v>
      </c>
      <c r="H1966">
        <v>3680</v>
      </c>
      <c r="I1966" t="str">
        <f t="shared" si="121"/>
        <v>YES</v>
      </c>
      <c r="J1966" t="s">
        <v>1972</v>
      </c>
      <c r="K1966">
        <v>733523.73046999995</v>
      </c>
      <c r="L1966" s="1">
        <f t="shared" si="122"/>
        <v>0</v>
      </c>
      <c r="M1966" s="1">
        <f t="shared" si="123"/>
        <v>0</v>
      </c>
      <c r="N1966" s="1">
        <f t="shared" si="124"/>
        <v>0</v>
      </c>
      <c r="O1966" s="1"/>
    </row>
    <row r="1967" spans="1:15" x14ac:dyDescent="0.25">
      <c r="A1967">
        <v>3681</v>
      </c>
      <c r="B1967">
        <v>142.3217357</v>
      </c>
      <c r="C1967">
        <v>0</v>
      </c>
      <c r="D1967">
        <v>243.75856569999999</v>
      </c>
      <c r="E1967">
        <v>0</v>
      </c>
      <c r="F1967">
        <v>5368.6438840000001</v>
      </c>
      <c r="G1967">
        <v>0</v>
      </c>
      <c r="H1967">
        <v>3681</v>
      </c>
      <c r="I1967" t="str">
        <f t="shared" si="121"/>
        <v>YES</v>
      </c>
      <c r="J1967" t="s">
        <v>1973</v>
      </c>
      <c r="K1967">
        <v>2582617.8069699998</v>
      </c>
      <c r="L1967" s="1">
        <f t="shared" si="122"/>
        <v>0</v>
      </c>
      <c r="M1967" s="1">
        <f t="shared" si="123"/>
        <v>0</v>
      </c>
      <c r="N1967" s="1">
        <f t="shared" si="124"/>
        <v>0</v>
      </c>
      <c r="O1967" s="1"/>
    </row>
    <row r="1968" spans="1:15" x14ac:dyDescent="0.25">
      <c r="A1968">
        <v>3682</v>
      </c>
      <c r="B1968">
        <v>286.23163579999999</v>
      </c>
      <c r="C1968">
        <v>0</v>
      </c>
      <c r="D1968">
        <v>286.23163579999999</v>
      </c>
      <c r="E1968">
        <v>0</v>
      </c>
      <c r="F1968">
        <v>286.23163579999999</v>
      </c>
      <c r="G1968">
        <v>0</v>
      </c>
      <c r="H1968">
        <v>3682</v>
      </c>
      <c r="I1968" t="str">
        <f t="shared" si="121"/>
        <v>YES</v>
      </c>
      <c r="J1968" t="s">
        <v>1974</v>
      </c>
      <c r="K1968">
        <v>10681676.011700001</v>
      </c>
      <c r="L1968" s="1">
        <f t="shared" si="122"/>
        <v>0</v>
      </c>
      <c r="M1968" s="1">
        <f t="shared" si="123"/>
        <v>0</v>
      </c>
      <c r="N1968" s="1">
        <f t="shared" si="124"/>
        <v>0</v>
      </c>
      <c r="O1968" s="1"/>
    </row>
    <row r="1969" spans="1:15" x14ac:dyDescent="0.25">
      <c r="A1969">
        <v>3683</v>
      </c>
      <c r="B1969">
        <v>24.657849970000001</v>
      </c>
      <c r="C1969">
        <v>0</v>
      </c>
      <c r="D1969">
        <v>1356.8416110000001</v>
      </c>
      <c r="E1969">
        <v>0</v>
      </c>
      <c r="F1969">
        <v>6044.3487960000002</v>
      </c>
      <c r="G1969">
        <v>0</v>
      </c>
      <c r="H1969">
        <v>3683</v>
      </c>
      <c r="I1969" t="str">
        <f t="shared" si="121"/>
        <v>YES</v>
      </c>
      <c r="J1969" t="s">
        <v>1975</v>
      </c>
      <c r="K1969">
        <v>3017688.9200400002</v>
      </c>
      <c r="L1969" s="1">
        <f t="shared" si="122"/>
        <v>0</v>
      </c>
      <c r="M1969" s="1">
        <f t="shared" si="123"/>
        <v>0</v>
      </c>
      <c r="N1969" s="1">
        <f t="shared" si="124"/>
        <v>0</v>
      </c>
      <c r="O1969" s="1"/>
    </row>
    <row r="1970" spans="1:15" x14ac:dyDescent="0.25">
      <c r="A1970">
        <v>3684</v>
      </c>
      <c r="B1970">
        <v>1299.9998000000001</v>
      </c>
      <c r="C1970">
        <v>0</v>
      </c>
      <c r="D1970">
        <v>5944.2930660000002</v>
      </c>
      <c r="E1970">
        <v>0</v>
      </c>
      <c r="F1970">
        <v>15119.481379999999</v>
      </c>
      <c r="G1970">
        <v>0</v>
      </c>
      <c r="H1970">
        <v>3684</v>
      </c>
      <c r="I1970" t="str">
        <f t="shared" si="121"/>
        <v>YES</v>
      </c>
      <c r="J1970" t="s">
        <v>1976</v>
      </c>
      <c r="K1970">
        <v>1607386.6759800001</v>
      </c>
      <c r="L1970" s="1">
        <f t="shared" si="122"/>
        <v>0</v>
      </c>
      <c r="M1970" s="1">
        <f t="shared" si="123"/>
        <v>0</v>
      </c>
      <c r="N1970" s="1">
        <f t="shared" si="124"/>
        <v>0</v>
      </c>
      <c r="O1970" s="1"/>
    </row>
    <row r="1971" spans="1:15" x14ac:dyDescent="0.25">
      <c r="A1971">
        <v>3685</v>
      </c>
      <c r="B1971">
        <v>2276.8964040000001</v>
      </c>
      <c r="C1971">
        <v>0</v>
      </c>
      <c r="D1971">
        <v>6588.8339210000004</v>
      </c>
      <c r="E1971">
        <v>0</v>
      </c>
      <c r="F1971">
        <v>20298.98257</v>
      </c>
      <c r="G1971">
        <v>0</v>
      </c>
      <c r="H1971">
        <v>3685</v>
      </c>
      <c r="I1971" t="str">
        <f t="shared" si="121"/>
        <v>YES</v>
      </c>
      <c r="J1971" t="s">
        <v>1977</v>
      </c>
      <c r="K1971">
        <v>1254321.71043</v>
      </c>
      <c r="L1971" s="1">
        <f t="shared" si="122"/>
        <v>0</v>
      </c>
      <c r="M1971" s="1">
        <f t="shared" si="123"/>
        <v>0</v>
      </c>
      <c r="N1971" s="1">
        <f t="shared" si="124"/>
        <v>0</v>
      </c>
      <c r="O1971" s="1"/>
    </row>
    <row r="1972" spans="1:15" x14ac:dyDescent="0.25">
      <c r="A1972">
        <v>3686</v>
      </c>
      <c r="B1972">
        <v>158.64519770000001</v>
      </c>
      <c r="C1972">
        <v>0</v>
      </c>
      <c r="D1972">
        <v>2323.1543019999999</v>
      </c>
      <c r="E1972">
        <v>0</v>
      </c>
      <c r="F1972">
        <v>10636.05848</v>
      </c>
      <c r="G1972">
        <v>0</v>
      </c>
      <c r="H1972">
        <v>3686</v>
      </c>
      <c r="I1972" t="str">
        <f t="shared" si="121"/>
        <v>YES</v>
      </c>
      <c r="J1972" t="s">
        <v>1978</v>
      </c>
      <c r="K1972">
        <v>2878888.43065</v>
      </c>
      <c r="L1972" s="1">
        <f t="shared" si="122"/>
        <v>0</v>
      </c>
      <c r="M1972" s="1">
        <f t="shared" si="123"/>
        <v>0</v>
      </c>
      <c r="N1972" s="1">
        <f t="shared" si="124"/>
        <v>0</v>
      </c>
      <c r="O1972" s="1"/>
    </row>
    <row r="1973" spans="1:15" x14ac:dyDescent="0.25">
      <c r="A1973">
        <v>3687</v>
      </c>
      <c r="B1973">
        <v>46.901227040000002</v>
      </c>
      <c r="C1973">
        <v>0</v>
      </c>
      <c r="D1973">
        <v>1144.5174440000001</v>
      </c>
      <c r="E1973">
        <v>0</v>
      </c>
      <c r="F1973">
        <v>5343.3325299999997</v>
      </c>
      <c r="G1973">
        <v>0</v>
      </c>
      <c r="H1973">
        <v>3687</v>
      </c>
      <c r="I1973" t="str">
        <f t="shared" si="121"/>
        <v>YES</v>
      </c>
      <c r="J1973" t="s">
        <v>1979</v>
      </c>
      <c r="K1973">
        <v>3521436.2187600001</v>
      </c>
      <c r="L1973" s="1">
        <f t="shared" si="122"/>
        <v>0</v>
      </c>
      <c r="M1973" s="1">
        <f t="shared" si="123"/>
        <v>0</v>
      </c>
      <c r="N1973" s="1">
        <f t="shared" si="124"/>
        <v>0</v>
      </c>
      <c r="O1973" s="1"/>
    </row>
    <row r="1974" spans="1:15" x14ac:dyDescent="0.25">
      <c r="A1974">
        <v>3688</v>
      </c>
      <c r="B1974">
        <v>199.0197091</v>
      </c>
      <c r="C1974">
        <v>0</v>
      </c>
      <c r="D1974">
        <v>199.0197091</v>
      </c>
      <c r="E1974">
        <v>0</v>
      </c>
      <c r="F1974">
        <v>199.0197091</v>
      </c>
      <c r="G1974">
        <v>0</v>
      </c>
      <c r="H1974">
        <v>3688</v>
      </c>
      <c r="I1974" t="str">
        <f t="shared" si="121"/>
        <v>YES</v>
      </c>
      <c r="J1974" t="s">
        <v>1980</v>
      </c>
      <c r="K1974">
        <v>6226999.63246</v>
      </c>
      <c r="L1974" s="1">
        <f t="shared" si="122"/>
        <v>0</v>
      </c>
      <c r="M1974" s="1">
        <f t="shared" si="123"/>
        <v>0</v>
      </c>
      <c r="N1974" s="1">
        <f t="shared" si="124"/>
        <v>0</v>
      </c>
      <c r="O1974" s="1"/>
    </row>
    <row r="1975" spans="1:15" x14ac:dyDescent="0.25">
      <c r="A1975">
        <v>3689</v>
      </c>
      <c r="B1975">
        <v>1181.417361</v>
      </c>
      <c r="C1975">
        <v>0</v>
      </c>
      <c r="D1975">
        <v>5635.5083910000003</v>
      </c>
      <c r="E1975">
        <v>0</v>
      </c>
      <c r="F1975">
        <v>15193.975839999999</v>
      </c>
      <c r="G1975">
        <v>0</v>
      </c>
      <c r="H1975">
        <v>3689</v>
      </c>
      <c r="I1975" t="str">
        <f t="shared" si="121"/>
        <v>YES</v>
      </c>
      <c r="J1975" t="s">
        <v>1981</v>
      </c>
      <c r="K1975">
        <v>2482463.54892</v>
      </c>
      <c r="L1975" s="1">
        <f t="shared" si="122"/>
        <v>0</v>
      </c>
      <c r="M1975" s="1">
        <f t="shared" si="123"/>
        <v>0</v>
      </c>
      <c r="N1975" s="1">
        <f t="shared" si="124"/>
        <v>0</v>
      </c>
      <c r="O1975" s="1"/>
    </row>
    <row r="1976" spans="1:15" x14ac:dyDescent="0.25">
      <c r="A1976">
        <v>3690</v>
      </c>
      <c r="B1976">
        <v>118.6287457</v>
      </c>
      <c r="C1976">
        <v>0</v>
      </c>
      <c r="D1976">
        <v>2660.5700040000002</v>
      </c>
      <c r="E1976">
        <v>0</v>
      </c>
      <c r="F1976">
        <v>14699.114670000001</v>
      </c>
      <c r="G1976">
        <v>0</v>
      </c>
      <c r="H1976">
        <v>3690</v>
      </c>
      <c r="I1976" t="str">
        <f t="shared" si="121"/>
        <v>YES</v>
      </c>
      <c r="J1976" t="s">
        <v>1982</v>
      </c>
      <c r="K1976">
        <v>725934.48447400006</v>
      </c>
      <c r="L1976" s="1">
        <f t="shared" si="122"/>
        <v>0</v>
      </c>
      <c r="M1976" s="1">
        <f t="shared" si="123"/>
        <v>0</v>
      </c>
      <c r="N1976" s="1">
        <f t="shared" si="124"/>
        <v>0</v>
      </c>
      <c r="O1976" s="1"/>
    </row>
    <row r="1977" spans="1:15" x14ac:dyDescent="0.25">
      <c r="A1977">
        <v>3691</v>
      </c>
      <c r="B1977">
        <v>1300.7276380000001</v>
      </c>
      <c r="C1977">
        <v>0</v>
      </c>
      <c r="D1977">
        <v>13583.16023</v>
      </c>
      <c r="E1977">
        <v>0</v>
      </c>
      <c r="F1977">
        <v>23400.3416</v>
      </c>
      <c r="G1977">
        <v>0</v>
      </c>
      <c r="H1977">
        <v>3691</v>
      </c>
      <c r="I1977" t="str">
        <f t="shared" si="121"/>
        <v>YES</v>
      </c>
      <c r="J1977" t="s">
        <v>1983</v>
      </c>
      <c r="K1977">
        <v>1843824.5783599999</v>
      </c>
      <c r="L1977" s="1">
        <f t="shared" si="122"/>
        <v>0</v>
      </c>
      <c r="M1977" s="1">
        <f t="shared" si="123"/>
        <v>0</v>
      </c>
      <c r="N1977" s="1">
        <f t="shared" si="124"/>
        <v>0</v>
      </c>
      <c r="O1977" s="1"/>
    </row>
    <row r="1978" spans="1:15" x14ac:dyDescent="0.25">
      <c r="A1978">
        <v>3692</v>
      </c>
      <c r="B1978">
        <v>1125.818757</v>
      </c>
      <c r="C1978">
        <v>0</v>
      </c>
      <c r="D1978">
        <v>16444.679970000001</v>
      </c>
      <c r="E1978">
        <v>0</v>
      </c>
      <c r="F1978">
        <v>48733.738940000003</v>
      </c>
      <c r="G1978">
        <v>0</v>
      </c>
      <c r="H1978">
        <v>3692</v>
      </c>
      <c r="I1978" t="str">
        <f t="shared" si="121"/>
        <v>YES</v>
      </c>
      <c r="J1978" t="s">
        <v>1984</v>
      </c>
      <c r="K1978">
        <v>2349549.32223</v>
      </c>
      <c r="L1978" s="1">
        <f t="shared" si="122"/>
        <v>0</v>
      </c>
      <c r="M1978" s="1">
        <f t="shared" si="123"/>
        <v>0</v>
      </c>
      <c r="N1978" s="1">
        <f t="shared" si="124"/>
        <v>0</v>
      </c>
      <c r="O1978" s="1"/>
    </row>
    <row r="1979" spans="1:15" x14ac:dyDescent="0.25">
      <c r="A1979">
        <v>3693</v>
      </c>
      <c r="B1979">
        <v>4657.5571980000004</v>
      </c>
      <c r="C1979">
        <v>0</v>
      </c>
      <c r="D1979">
        <v>15300.4925</v>
      </c>
      <c r="E1979">
        <v>0</v>
      </c>
      <c r="F1979">
        <v>44690.46615</v>
      </c>
      <c r="G1979">
        <v>0</v>
      </c>
      <c r="H1979">
        <v>3693</v>
      </c>
      <c r="I1979" t="str">
        <f t="shared" si="121"/>
        <v>YES</v>
      </c>
      <c r="J1979" t="s">
        <v>1985</v>
      </c>
      <c r="K1979">
        <v>503959.71332899999</v>
      </c>
      <c r="L1979" s="1">
        <f t="shared" si="122"/>
        <v>0</v>
      </c>
      <c r="M1979" s="1">
        <f t="shared" si="123"/>
        <v>0</v>
      </c>
      <c r="N1979" s="1">
        <f t="shared" si="124"/>
        <v>0</v>
      </c>
      <c r="O1979" s="1"/>
    </row>
    <row r="1980" spans="1:15" x14ac:dyDescent="0.25">
      <c r="A1980">
        <v>3694</v>
      </c>
      <c r="B1980">
        <v>4191.8429610000003</v>
      </c>
      <c r="C1980">
        <v>0</v>
      </c>
      <c r="D1980">
        <v>14908.4377</v>
      </c>
      <c r="E1980">
        <v>0</v>
      </c>
      <c r="F1980">
        <v>42944.929259999997</v>
      </c>
      <c r="G1980">
        <v>0</v>
      </c>
      <c r="H1980">
        <v>3694</v>
      </c>
      <c r="I1980" t="str">
        <f t="shared" si="121"/>
        <v>YES</v>
      </c>
      <c r="J1980" t="s">
        <v>1986</v>
      </c>
      <c r="K1980">
        <v>489925.05151899997</v>
      </c>
      <c r="L1980" s="1">
        <f t="shared" si="122"/>
        <v>0</v>
      </c>
      <c r="M1980" s="1">
        <f t="shared" si="123"/>
        <v>0</v>
      </c>
      <c r="N1980" s="1">
        <f t="shared" si="124"/>
        <v>0</v>
      </c>
      <c r="O1980" s="1"/>
    </row>
    <row r="1981" spans="1:15" x14ac:dyDescent="0.25">
      <c r="A1981">
        <v>3708</v>
      </c>
      <c r="B1981">
        <v>895.10293360000003</v>
      </c>
      <c r="C1981">
        <v>0</v>
      </c>
      <c r="D1981">
        <v>4628.1116899999997</v>
      </c>
      <c r="E1981">
        <v>0</v>
      </c>
      <c r="F1981">
        <v>19154.720679999999</v>
      </c>
      <c r="G1981">
        <v>0</v>
      </c>
      <c r="H1981">
        <v>3708</v>
      </c>
      <c r="I1981" t="str">
        <f t="shared" si="121"/>
        <v>YES</v>
      </c>
      <c r="J1981" t="s">
        <v>1987</v>
      </c>
      <c r="K1981">
        <v>2276826.5260000001</v>
      </c>
      <c r="L1981" s="1">
        <f t="shared" si="122"/>
        <v>0</v>
      </c>
      <c r="M1981" s="1">
        <f t="shared" si="123"/>
        <v>0</v>
      </c>
      <c r="N1981" s="1">
        <f t="shared" si="124"/>
        <v>0</v>
      </c>
      <c r="O1981" s="1"/>
    </row>
    <row r="1982" spans="1:15" x14ac:dyDescent="0.25">
      <c r="A1982">
        <v>3709</v>
      </c>
      <c r="B1982">
        <v>1697.3305559999999</v>
      </c>
      <c r="C1982">
        <v>0</v>
      </c>
      <c r="D1982">
        <v>4615.6637620000001</v>
      </c>
      <c r="E1982">
        <v>0</v>
      </c>
      <c r="F1982">
        <v>25936.806990000001</v>
      </c>
      <c r="G1982">
        <v>0</v>
      </c>
      <c r="H1982">
        <v>3709</v>
      </c>
      <c r="I1982" t="str">
        <f t="shared" si="121"/>
        <v>YES</v>
      </c>
      <c r="J1982" t="s">
        <v>1988</v>
      </c>
      <c r="K1982">
        <v>1464462.92967</v>
      </c>
      <c r="L1982" s="1">
        <f t="shared" si="122"/>
        <v>0</v>
      </c>
      <c r="M1982" s="1">
        <f t="shared" si="123"/>
        <v>0</v>
      </c>
      <c r="N1982" s="1">
        <f t="shared" si="124"/>
        <v>0</v>
      </c>
      <c r="O1982" s="1"/>
    </row>
    <row r="1983" spans="1:15" x14ac:dyDescent="0.25">
      <c r="A1983">
        <v>3710</v>
      </c>
      <c r="B1983">
        <v>3419.6227730000001</v>
      </c>
      <c r="C1983">
        <v>0</v>
      </c>
      <c r="D1983">
        <v>10273.310020000001</v>
      </c>
      <c r="E1983">
        <v>0</v>
      </c>
      <c r="F1983">
        <v>80442.656419999999</v>
      </c>
      <c r="G1983">
        <v>0</v>
      </c>
      <c r="H1983">
        <v>3710</v>
      </c>
      <c r="I1983" t="str">
        <f t="shared" si="121"/>
        <v>YES</v>
      </c>
      <c r="J1983" t="s">
        <v>1989</v>
      </c>
      <c r="K1983">
        <v>685629.55335199996</v>
      </c>
      <c r="L1983" s="1">
        <f t="shared" si="122"/>
        <v>0</v>
      </c>
      <c r="M1983" s="1">
        <f t="shared" si="123"/>
        <v>0</v>
      </c>
      <c r="N1983" s="1">
        <f t="shared" si="124"/>
        <v>0</v>
      </c>
      <c r="O1983" s="1"/>
    </row>
    <row r="1984" spans="1:15" x14ac:dyDescent="0.25">
      <c r="A1984">
        <v>3711</v>
      </c>
      <c r="B1984">
        <v>5408.9806900000003</v>
      </c>
      <c r="C1984">
        <v>0</v>
      </c>
      <c r="D1984">
        <v>69783.901070000007</v>
      </c>
      <c r="E1984">
        <v>0</v>
      </c>
      <c r="F1984">
        <v>120012.5315</v>
      </c>
      <c r="G1984">
        <v>0</v>
      </c>
      <c r="H1984">
        <v>3711</v>
      </c>
      <c r="I1984" t="str">
        <f t="shared" si="121"/>
        <v>YES</v>
      </c>
      <c r="J1984" t="s">
        <v>1990</v>
      </c>
      <c r="K1984">
        <v>843284.82624199998</v>
      </c>
      <c r="L1984" s="1">
        <f t="shared" si="122"/>
        <v>0</v>
      </c>
      <c r="M1984" s="1">
        <f t="shared" si="123"/>
        <v>0</v>
      </c>
      <c r="N1984" s="1">
        <f t="shared" si="124"/>
        <v>0</v>
      </c>
      <c r="O1984" s="1"/>
    </row>
    <row r="1985" spans="1:15" x14ac:dyDescent="0.25">
      <c r="A1985">
        <v>3712</v>
      </c>
      <c r="B1985">
        <v>831.33247340000003</v>
      </c>
      <c r="C1985">
        <v>0</v>
      </c>
      <c r="D1985">
        <v>6872.9652889999998</v>
      </c>
      <c r="E1985">
        <v>0</v>
      </c>
      <c r="F1985">
        <v>42803.747750000002</v>
      </c>
      <c r="G1985">
        <v>0</v>
      </c>
      <c r="H1985">
        <v>3712</v>
      </c>
      <c r="I1985" t="str">
        <f t="shared" si="121"/>
        <v>YES</v>
      </c>
      <c r="J1985" t="s">
        <v>1991</v>
      </c>
      <c r="K1985">
        <v>1986019.70148</v>
      </c>
      <c r="L1985" s="1">
        <f t="shared" si="122"/>
        <v>0</v>
      </c>
      <c r="M1985" s="1">
        <f t="shared" si="123"/>
        <v>0</v>
      </c>
      <c r="N1985" s="1">
        <f t="shared" si="124"/>
        <v>0</v>
      </c>
      <c r="O1985" s="1"/>
    </row>
    <row r="1986" spans="1:15" x14ac:dyDescent="0.25">
      <c r="A1986">
        <v>3713</v>
      </c>
      <c r="B1986">
        <v>3427.3817130000002</v>
      </c>
      <c r="C1986">
        <v>0</v>
      </c>
      <c r="D1986">
        <v>8674.2014440000003</v>
      </c>
      <c r="E1986">
        <v>0</v>
      </c>
      <c r="F1986">
        <v>79780.729519999993</v>
      </c>
      <c r="G1986">
        <v>0</v>
      </c>
      <c r="H1986">
        <v>3713</v>
      </c>
      <c r="I1986" t="str">
        <f t="shared" ref="I1986:I2049" si="125">IF(A1986=H1986,"YES","NO")</f>
        <v>YES</v>
      </c>
      <c r="J1986" t="s">
        <v>1992</v>
      </c>
      <c r="K1986">
        <v>853917.41180300002</v>
      </c>
      <c r="L1986" s="1">
        <f t="shared" si="122"/>
        <v>0</v>
      </c>
      <c r="M1986" s="1">
        <f t="shared" si="123"/>
        <v>0</v>
      </c>
      <c r="N1986" s="1">
        <f t="shared" si="124"/>
        <v>0</v>
      </c>
      <c r="O1986" s="1"/>
    </row>
    <row r="1987" spans="1:15" x14ac:dyDescent="0.25">
      <c r="A1987">
        <v>3714</v>
      </c>
      <c r="B1987">
        <v>5329.1927859999996</v>
      </c>
      <c r="C1987">
        <v>0</v>
      </c>
      <c r="D1987">
        <v>55427.275000000001</v>
      </c>
      <c r="E1987">
        <v>0</v>
      </c>
      <c r="F1987">
        <v>115039.8009</v>
      </c>
      <c r="G1987">
        <v>0</v>
      </c>
      <c r="H1987">
        <v>3714</v>
      </c>
      <c r="I1987" t="str">
        <f t="shared" si="125"/>
        <v>YES</v>
      </c>
      <c r="J1987" t="s">
        <v>1993</v>
      </c>
      <c r="K1987">
        <v>825978.71065999998</v>
      </c>
      <c r="L1987" s="1">
        <f t="shared" ref="L1987:L2050" si="126">$U$2*$K1987*C1987</f>
        <v>0</v>
      </c>
      <c r="M1987" s="1">
        <f t="shared" ref="M1987:M2050" si="127">$U$3*$K1987*E1987</f>
        <v>0</v>
      </c>
      <c r="N1987" s="1">
        <f t="shared" ref="N1987:N2050" si="128">$U$4*$K1987*G1987</f>
        <v>0</v>
      </c>
      <c r="O1987" s="1"/>
    </row>
    <row r="1988" spans="1:15" x14ac:dyDescent="0.25">
      <c r="A1988">
        <v>3715</v>
      </c>
      <c r="B1988">
        <v>4625.130204</v>
      </c>
      <c r="C1988">
        <v>0</v>
      </c>
      <c r="D1988">
        <v>22706.137480000001</v>
      </c>
      <c r="E1988">
        <v>0</v>
      </c>
      <c r="F1988">
        <v>81595.086280000003</v>
      </c>
      <c r="G1988">
        <v>0</v>
      </c>
      <c r="H1988">
        <v>3715</v>
      </c>
      <c r="I1988" t="str">
        <f t="shared" si="125"/>
        <v>YES</v>
      </c>
      <c r="J1988" t="s">
        <v>1994</v>
      </c>
      <c r="K1988">
        <v>617777.35919900006</v>
      </c>
      <c r="L1988" s="1">
        <f t="shared" si="126"/>
        <v>0</v>
      </c>
      <c r="M1988" s="1">
        <f t="shared" si="127"/>
        <v>0</v>
      </c>
      <c r="N1988" s="1">
        <f t="shared" si="128"/>
        <v>0</v>
      </c>
      <c r="O1988" s="1"/>
    </row>
    <row r="1989" spans="1:15" x14ac:dyDescent="0.25">
      <c r="A1989">
        <v>3716</v>
      </c>
      <c r="B1989">
        <v>2075.020892</v>
      </c>
      <c r="C1989">
        <v>0</v>
      </c>
      <c r="D1989">
        <v>20352.810229999999</v>
      </c>
      <c r="E1989">
        <v>0</v>
      </c>
      <c r="F1989">
        <v>78874.392569999996</v>
      </c>
      <c r="G1989">
        <v>0</v>
      </c>
      <c r="H1989">
        <v>3716</v>
      </c>
      <c r="I1989" t="str">
        <f t="shared" si="125"/>
        <v>YES</v>
      </c>
      <c r="J1989" t="s">
        <v>1995</v>
      </c>
      <c r="K1989">
        <v>712467.19282</v>
      </c>
      <c r="L1989" s="1">
        <f t="shared" si="126"/>
        <v>0</v>
      </c>
      <c r="M1989" s="1">
        <f t="shared" si="127"/>
        <v>0</v>
      </c>
      <c r="N1989" s="1">
        <f t="shared" si="128"/>
        <v>0</v>
      </c>
      <c r="O1989" s="1"/>
    </row>
    <row r="1990" spans="1:15" x14ac:dyDescent="0.25">
      <c r="A1990">
        <v>3717</v>
      </c>
      <c r="B1990">
        <v>2403.234606</v>
      </c>
      <c r="C1990">
        <v>0</v>
      </c>
      <c r="D1990">
        <v>6295.1556689999998</v>
      </c>
      <c r="E1990">
        <v>0</v>
      </c>
      <c r="F1990">
        <v>50881.556550000001</v>
      </c>
      <c r="G1990">
        <v>0</v>
      </c>
      <c r="H1990">
        <v>3717</v>
      </c>
      <c r="I1990" t="str">
        <f t="shared" si="125"/>
        <v>YES</v>
      </c>
      <c r="J1990" t="s">
        <v>1996</v>
      </c>
      <c r="K1990">
        <v>828572.43138199998</v>
      </c>
      <c r="L1990" s="1">
        <f t="shared" si="126"/>
        <v>0</v>
      </c>
      <c r="M1990" s="1">
        <f t="shared" si="127"/>
        <v>0</v>
      </c>
      <c r="N1990" s="1">
        <f t="shared" si="128"/>
        <v>0</v>
      </c>
      <c r="O1990" s="1"/>
    </row>
    <row r="1991" spans="1:15" x14ac:dyDescent="0.25">
      <c r="A1991">
        <v>3718</v>
      </c>
      <c r="B1991">
        <v>3516.2503099999999</v>
      </c>
      <c r="C1991">
        <v>0</v>
      </c>
      <c r="D1991">
        <v>41593.40294</v>
      </c>
      <c r="E1991">
        <v>0</v>
      </c>
      <c r="F1991">
        <v>96848.039170000004</v>
      </c>
      <c r="G1991">
        <v>0</v>
      </c>
      <c r="H1991">
        <v>3718</v>
      </c>
      <c r="I1991" t="str">
        <f t="shared" si="125"/>
        <v>YES</v>
      </c>
      <c r="J1991" t="s">
        <v>1997</v>
      </c>
      <c r="K1991">
        <v>1071025.9352599999</v>
      </c>
      <c r="L1991" s="1">
        <f t="shared" si="126"/>
        <v>0</v>
      </c>
      <c r="M1991" s="1">
        <f t="shared" si="127"/>
        <v>0</v>
      </c>
      <c r="N1991" s="1">
        <f t="shared" si="128"/>
        <v>0</v>
      </c>
      <c r="O1991" s="1"/>
    </row>
    <row r="1992" spans="1:15" x14ac:dyDescent="0.25">
      <c r="A1992">
        <v>3723</v>
      </c>
      <c r="B1992">
        <v>1927.583742</v>
      </c>
      <c r="C1992">
        <v>0</v>
      </c>
      <c r="D1992">
        <v>10905.89041</v>
      </c>
      <c r="E1992">
        <v>0</v>
      </c>
      <c r="F1992">
        <v>51238.104630000002</v>
      </c>
      <c r="G1992">
        <v>0</v>
      </c>
      <c r="H1992">
        <v>3723</v>
      </c>
      <c r="I1992" t="str">
        <f t="shared" si="125"/>
        <v>YES</v>
      </c>
      <c r="J1992" t="s">
        <v>1998</v>
      </c>
      <c r="K1992">
        <v>750285.05349700002</v>
      </c>
      <c r="L1992" s="1">
        <f t="shared" si="126"/>
        <v>0</v>
      </c>
      <c r="M1992" s="1">
        <f t="shared" si="127"/>
        <v>0</v>
      </c>
      <c r="N1992" s="1">
        <f t="shared" si="128"/>
        <v>0</v>
      </c>
      <c r="O1992" s="1"/>
    </row>
    <row r="1993" spans="1:15" x14ac:dyDescent="0.25">
      <c r="A1993">
        <v>3724</v>
      </c>
      <c r="B1993">
        <v>724.78127189999998</v>
      </c>
      <c r="C1993">
        <v>0</v>
      </c>
      <c r="D1993">
        <v>4521.2189719999997</v>
      </c>
      <c r="E1993">
        <v>0</v>
      </c>
      <c r="F1993">
        <v>7143.3884029999999</v>
      </c>
      <c r="G1993">
        <v>0</v>
      </c>
      <c r="H1993">
        <v>3724</v>
      </c>
      <c r="I1993" t="str">
        <f t="shared" si="125"/>
        <v>YES</v>
      </c>
      <c r="J1993" t="s">
        <v>1999</v>
      </c>
      <c r="K1993">
        <v>1839955.7209399999</v>
      </c>
      <c r="L1993" s="1">
        <f t="shared" si="126"/>
        <v>0</v>
      </c>
      <c r="M1993" s="1">
        <f t="shared" si="127"/>
        <v>0</v>
      </c>
      <c r="N1993" s="1">
        <f t="shared" si="128"/>
        <v>0</v>
      </c>
      <c r="O1993" s="1"/>
    </row>
    <row r="1994" spans="1:15" x14ac:dyDescent="0.25">
      <c r="A1994">
        <v>3725</v>
      </c>
      <c r="B1994">
        <v>2527.424035</v>
      </c>
      <c r="C1994">
        <v>0</v>
      </c>
      <c r="D1994">
        <v>4763.4380650000003</v>
      </c>
      <c r="E1994">
        <v>0</v>
      </c>
      <c r="F1994">
        <v>41534.405789999997</v>
      </c>
      <c r="G1994">
        <v>0</v>
      </c>
      <c r="H1994">
        <v>3725</v>
      </c>
      <c r="I1994" t="str">
        <f t="shared" si="125"/>
        <v>YES</v>
      </c>
      <c r="J1994" t="s">
        <v>2000</v>
      </c>
      <c r="K1994">
        <v>1129926.8223000001</v>
      </c>
      <c r="L1994" s="1">
        <f t="shared" si="126"/>
        <v>0</v>
      </c>
      <c r="M1994" s="1">
        <f t="shared" si="127"/>
        <v>0</v>
      </c>
      <c r="N1994" s="1">
        <f t="shared" si="128"/>
        <v>0</v>
      </c>
      <c r="O1994" s="1"/>
    </row>
    <row r="1995" spans="1:15" x14ac:dyDescent="0.25">
      <c r="A1995">
        <v>3726</v>
      </c>
      <c r="B1995">
        <v>1543.920664</v>
      </c>
      <c r="C1995">
        <v>0</v>
      </c>
      <c r="D1995">
        <v>16911.683560000001</v>
      </c>
      <c r="E1995">
        <v>0</v>
      </c>
      <c r="F1995">
        <v>55761.423060000001</v>
      </c>
      <c r="G1995">
        <v>0</v>
      </c>
      <c r="H1995">
        <v>3726</v>
      </c>
      <c r="I1995" t="str">
        <f t="shared" si="125"/>
        <v>YES</v>
      </c>
      <c r="J1995" t="s">
        <v>2001</v>
      </c>
      <c r="K1995">
        <v>701248.11107900005</v>
      </c>
      <c r="L1995" s="1">
        <f t="shared" si="126"/>
        <v>0</v>
      </c>
      <c r="M1995" s="1">
        <f t="shared" si="127"/>
        <v>0</v>
      </c>
      <c r="N1995" s="1">
        <f t="shared" si="128"/>
        <v>0</v>
      </c>
      <c r="O1995" s="1"/>
    </row>
    <row r="1996" spans="1:15" x14ac:dyDescent="0.25">
      <c r="A1996">
        <v>3727</v>
      </c>
      <c r="B1996">
        <v>2270.3688769999999</v>
      </c>
      <c r="C1996">
        <v>0</v>
      </c>
      <c r="D1996">
        <v>7430.5338019999999</v>
      </c>
      <c r="E1996">
        <v>0</v>
      </c>
      <c r="F1996">
        <v>44338.56897</v>
      </c>
      <c r="G1996">
        <v>0</v>
      </c>
      <c r="H1996">
        <v>3727</v>
      </c>
      <c r="I1996" t="str">
        <f t="shared" si="125"/>
        <v>YES</v>
      </c>
      <c r="J1996" t="s">
        <v>2002</v>
      </c>
      <c r="K1996">
        <v>879870.71054999996</v>
      </c>
      <c r="L1996" s="1">
        <f t="shared" si="126"/>
        <v>0</v>
      </c>
      <c r="M1996" s="1">
        <f t="shared" si="127"/>
        <v>0</v>
      </c>
      <c r="N1996" s="1">
        <f t="shared" si="128"/>
        <v>0</v>
      </c>
      <c r="O1996" s="1"/>
    </row>
    <row r="1997" spans="1:15" x14ac:dyDescent="0.25">
      <c r="A1997">
        <v>3728</v>
      </c>
      <c r="B1997">
        <v>2390.8236350000002</v>
      </c>
      <c r="C1997">
        <v>0</v>
      </c>
      <c r="D1997">
        <v>5500.6115179999997</v>
      </c>
      <c r="E1997">
        <v>0</v>
      </c>
      <c r="F1997">
        <v>48088.135479999997</v>
      </c>
      <c r="G1997">
        <v>0</v>
      </c>
      <c r="H1997">
        <v>3728</v>
      </c>
      <c r="I1997" t="str">
        <f t="shared" si="125"/>
        <v>YES</v>
      </c>
      <c r="J1997" t="s">
        <v>2003</v>
      </c>
      <c r="K1997">
        <v>793977.08376800001</v>
      </c>
      <c r="L1997" s="1">
        <f t="shared" si="126"/>
        <v>0</v>
      </c>
      <c r="M1997" s="1">
        <f t="shared" si="127"/>
        <v>0</v>
      </c>
      <c r="N1997" s="1">
        <f t="shared" si="128"/>
        <v>0</v>
      </c>
      <c r="O1997" s="1"/>
    </row>
    <row r="1998" spans="1:15" x14ac:dyDescent="0.25">
      <c r="A1998">
        <v>3729</v>
      </c>
      <c r="B1998">
        <v>1706.7831650000001</v>
      </c>
      <c r="C1998">
        <v>0</v>
      </c>
      <c r="D1998">
        <v>6874.3917499999998</v>
      </c>
      <c r="E1998">
        <v>0</v>
      </c>
      <c r="F1998">
        <v>40310.130360000003</v>
      </c>
      <c r="G1998">
        <v>0</v>
      </c>
      <c r="H1998">
        <v>3729</v>
      </c>
      <c r="I1998" t="str">
        <f t="shared" si="125"/>
        <v>YES</v>
      </c>
      <c r="J1998" t="s">
        <v>2004</v>
      </c>
      <c r="K1998">
        <v>821216.190909</v>
      </c>
      <c r="L1998" s="1">
        <f t="shared" si="126"/>
        <v>0</v>
      </c>
      <c r="M1998" s="1">
        <f t="shared" si="127"/>
        <v>0</v>
      </c>
      <c r="N1998" s="1">
        <f t="shared" si="128"/>
        <v>0</v>
      </c>
      <c r="O1998" s="1"/>
    </row>
    <row r="1999" spans="1:15" x14ac:dyDescent="0.25">
      <c r="A1999">
        <v>3730</v>
      </c>
      <c r="B1999">
        <v>359.9014487</v>
      </c>
      <c r="C1999">
        <v>0</v>
      </c>
      <c r="D1999">
        <v>1509.539552</v>
      </c>
      <c r="E1999">
        <v>0</v>
      </c>
      <c r="F1999">
        <v>5410.9007899999997</v>
      </c>
      <c r="G1999">
        <v>0</v>
      </c>
      <c r="H1999">
        <v>3730</v>
      </c>
      <c r="I1999" t="str">
        <f t="shared" si="125"/>
        <v>YES</v>
      </c>
      <c r="J1999" t="s">
        <v>2005</v>
      </c>
      <c r="K1999">
        <v>2347516.1922599999</v>
      </c>
      <c r="L1999" s="1">
        <f t="shared" si="126"/>
        <v>0</v>
      </c>
      <c r="M1999" s="1">
        <f t="shared" si="127"/>
        <v>0</v>
      </c>
      <c r="N1999" s="1">
        <f t="shared" si="128"/>
        <v>0</v>
      </c>
      <c r="O1999" s="1"/>
    </row>
    <row r="2000" spans="1:15" x14ac:dyDescent="0.25">
      <c r="A2000">
        <v>3731</v>
      </c>
      <c r="B2000">
        <v>1702.3332680000001</v>
      </c>
      <c r="C2000">
        <v>0</v>
      </c>
      <c r="D2000">
        <v>5229.4803259999999</v>
      </c>
      <c r="E2000">
        <v>0</v>
      </c>
      <c r="F2000">
        <v>53248.200389999998</v>
      </c>
      <c r="G2000">
        <v>0</v>
      </c>
      <c r="H2000">
        <v>3731</v>
      </c>
      <c r="I2000" t="str">
        <f t="shared" si="125"/>
        <v>YES</v>
      </c>
      <c r="J2000" t="s">
        <v>2006</v>
      </c>
      <c r="K2000">
        <v>505147.69037700002</v>
      </c>
      <c r="L2000" s="1">
        <f t="shared" si="126"/>
        <v>0</v>
      </c>
      <c r="M2000" s="1">
        <f t="shared" si="127"/>
        <v>0</v>
      </c>
      <c r="N2000" s="1">
        <f t="shared" si="128"/>
        <v>0</v>
      </c>
      <c r="O2000" s="1"/>
    </row>
    <row r="2001" spans="1:15" x14ac:dyDescent="0.25">
      <c r="A2001">
        <v>3732</v>
      </c>
      <c r="B2001">
        <v>2286.9319930000001</v>
      </c>
      <c r="C2001">
        <v>0</v>
      </c>
      <c r="D2001">
        <v>5277.6207889999996</v>
      </c>
      <c r="E2001">
        <v>0</v>
      </c>
      <c r="F2001">
        <v>61884.578509999999</v>
      </c>
      <c r="G2001">
        <v>0</v>
      </c>
      <c r="H2001">
        <v>3732</v>
      </c>
      <c r="I2001" t="str">
        <f t="shared" si="125"/>
        <v>YES</v>
      </c>
      <c r="J2001" t="s">
        <v>2007</v>
      </c>
      <c r="K2001">
        <v>461662.57429700001</v>
      </c>
      <c r="L2001" s="1">
        <f t="shared" si="126"/>
        <v>0</v>
      </c>
      <c r="M2001" s="1">
        <f t="shared" si="127"/>
        <v>0</v>
      </c>
      <c r="N2001" s="1">
        <f t="shared" si="128"/>
        <v>0</v>
      </c>
      <c r="O2001" s="1"/>
    </row>
    <row r="2002" spans="1:15" x14ac:dyDescent="0.25">
      <c r="A2002">
        <v>3800</v>
      </c>
      <c r="B2002">
        <v>12115.327439999999</v>
      </c>
      <c r="C2002">
        <v>0</v>
      </c>
      <c r="D2002">
        <v>39776.40408</v>
      </c>
      <c r="E2002">
        <v>0</v>
      </c>
      <c r="F2002">
        <v>85200.091790000006</v>
      </c>
      <c r="G2002">
        <v>0</v>
      </c>
      <c r="H2002">
        <v>3800</v>
      </c>
      <c r="I2002" t="str">
        <f t="shared" si="125"/>
        <v>YES</v>
      </c>
      <c r="J2002" t="s">
        <v>2008</v>
      </c>
      <c r="K2002">
        <v>1157534.28525</v>
      </c>
      <c r="L2002" s="1">
        <f t="shared" si="126"/>
        <v>0</v>
      </c>
      <c r="M2002" s="1">
        <f t="shared" si="127"/>
        <v>0</v>
      </c>
      <c r="N2002" s="1">
        <f t="shared" si="128"/>
        <v>0</v>
      </c>
      <c r="O2002" s="1"/>
    </row>
    <row r="2003" spans="1:15" x14ac:dyDescent="0.25">
      <c r="A2003">
        <v>3801</v>
      </c>
      <c r="B2003">
        <v>10046.46372</v>
      </c>
      <c r="C2003">
        <v>0</v>
      </c>
      <c r="D2003">
        <v>46816.19758</v>
      </c>
      <c r="E2003">
        <v>0</v>
      </c>
      <c r="F2003">
        <v>142324.092</v>
      </c>
      <c r="G2003">
        <v>0</v>
      </c>
      <c r="H2003">
        <v>3801</v>
      </c>
      <c r="I2003" t="str">
        <f t="shared" si="125"/>
        <v>YES</v>
      </c>
      <c r="J2003" t="s">
        <v>2009</v>
      </c>
      <c r="K2003">
        <v>991447.59050299996</v>
      </c>
      <c r="L2003" s="1">
        <f t="shared" si="126"/>
        <v>0</v>
      </c>
      <c r="M2003" s="1">
        <f t="shared" si="127"/>
        <v>0</v>
      </c>
      <c r="N2003" s="1">
        <f t="shared" si="128"/>
        <v>0</v>
      </c>
      <c r="O2003" s="1"/>
    </row>
    <row r="2004" spans="1:15" x14ac:dyDescent="0.25">
      <c r="A2004">
        <v>3802</v>
      </c>
      <c r="B2004">
        <v>4450.6611249999996</v>
      </c>
      <c r="C2004">
        <v>0</v>
      </c>
      <c r="D2004">
        <v>35570.395170000003</v>
      </c>
      <c r="E2004">
        <v>0</v>
      </c>
      <c r="F2004">
        <v>66861.955130000002</v>
      </c>
      <c r="G2004">
        <v>0</v>
      </c>
      <c r="H2004">
        <v>3802</v>
      </c>
      <c r="I2004" t="str">
        <f t="shared" si="125"/>
        <v>YES</v>
      </c>
      <c r="J2004" t="s">
        <v>2010</v>
      </c>
      <c r="K2004">
        <v>857009.82278199994</v>
      </c>
      <c r="L2004" s="1">
        <f t="shared" si="126"/>
        <v>0</v>
      </c>
      <c r="M2004" s="1">
        <f t="shared" si="127"/>
        <v>0</v>
      </c>
      <c r="N2004" s="1">
        <f t="shared" si="128"/>
        <v>0</v>
      </c>
      <c r="O2004" s="1"/>
    </row>
    <row r="2005" spans="1:15" x14ac:dyDescent="0.25">
      <c r="A2005">
        <v>3803</v>
      </c>
      <c r="B2005">
        <v>3178.0593389999999</v>
      </c>
      <c r="C2005">
        <v>0</v>
      </c>
      <c r="D2005">
        <v>27047.288349999999</v>
      </c>
      <c r="E2005">
        <v>0</v>
      </c>
      <c r="F2005">
        <v>63258.768580000004</v>
      </c>
      <c r="G2005">
        <v>0</v>
      </c>
      <c r="H2005">
        <v>3803</v>
      </c>
      <c r="I2005" t="str">
        <f t="shared" si="125"/>
        <v>YES</v>
      </c>
      <c r="J2005" t="s">
        <v>2011</v>
      </c>
      <c r="K2005">
        <v>1195769.0827500001</v>
      </c>
      <c r="L2005" s="1">
        <f t="shared" si="126"/>
        <v>0</v>
      </c>
      <c r="M2005" s="1">
        <f t="shared" si="127"/>
        <v>0</v>
      </c>
      <c r="N2005" s="1">
        <f t="shared" si="128"/>
        <v>0</v>
      </c>
      <c r="O2005" s="1"/>
    </row>
    <row r="2006" spans="1:15" x14ac:dyDescent="0.25">
      <c r="A2006">
        <v>3804</v>
      </c>
      <c r="B2006">
        <v>1362.475269</v>
      </c>
      <c r="C2006">
        <v>0</v>
      </c>
      <c r="D2006">
        <v>25994.047839999999</v>
      </c>
      <c r="E2006">
        <v>0</v>
      </c>
      <c r="F2006">
        <v>67779.270759999999</v>
      </c>
      <c r="G2006">
        <v>0</v>
      </c>
      <c r="H2006">
        <v>3804</v>
      </c>
      <c r="I2006" t="str">
        <f t="shared" si="125"/>
        <v>YES</v>
      </c>
      <c r="J2006" t="s">
        <v>2012</v>
      </c>
      <c r="K2006">
        <v>2277998.3916199999</v>
      </c>
      <c r="L2006" s="1">
        <f t="shared" si="126"/>
        <v>0</v>
      </c>
      <c r="M2006" s="1">
        <f t="shared" si="127"/>
        <v>0</v>
      </c>
      <c r="N2006" s="1">
        <f t="shared" si="128"/>
        <v>0</v>
      </c>
      <c r="O2006" s="1"/>
    </row>
    <row r="2007" spans="1:15" x14ac:dyDescent="0.25">
      <c r="A2007">
        <v>3805</v>
      </c>
      <c r="B2007">
        <v>2189.3184200000001</v>
      </c>
      <c r="C2007">
        <v>0</v>
      </c>
      <c r="D2007">
        <v>16956.09201</v>
      </c>
      <c r="E2007">
        <v>0</v>
      </c>
      <c r="F2007">
        <v>58288.568319999998</v>
      </c>
      <c r="G2007">
        <v>0</v>
      </c>
      <c r="H2007">
        <v>3805</v>
      </c>
      <c r="I2007" t="str">
        <f t="shared" si="125"/>
        <v>YES</v>
      </c>
      <c r="J2007" t="s">
        <v>2013</v>
      </c>
      <c r="K2007">
        <v>579852.23080599995</v>
      </c>
      <c r="L2007" s="1">
        <f t="shared" si="126"/>
        <v>0</v>
      </c>
      <c r="M2007" s="1">
        <f t="shared" si="127"/>
        <v>0</v>
      </c>
      <c r="N2007" s="1">
        <f t="shared" si="128"/>
        <v>0</v>
      </c>
      <c r="O2007" s="1"/>
    </row>
    <row r="2008" spans="1:15" x14ac:dyDescent="0.25">
      <c r="A2008">
        <v>3808</v>
      </c>
      <c r="B2008">
        <v>374.5982649</v>
      </c>
      <c r="C2008">
        <v>0</v>
      </c>
      <c r="D2008">
        <v>6008.627657</v>
      </c>
      <c r="E2008">
        <v>0</v>
      </c>
      <c r="F2008">
        <v>31166.141049999998</v>
      </c>
      <c r="G2008">
        <v>0</v>
      </c>
      <c r="H2008">
        <v>3808</v>
      </c>
      <c r="I2008" t="str">
        <f t="shared" si="125"/>
        <v>YES</v>
      </c>
      <c r="J2008" t="s">
        <v>2014</v>
      </c>
      <c r="K2008">
        <v>2295880.1244000001</v>
      </c>
      <c r="L2008" s="1">
        <f t="shared" si="126"/>
        <v>0</v>
      </c>
      <c r="M2008" s="1">
        <f t="shared" si="127"/>
        <v>0</v>
      </c>
      <c r="N2008" s="1">
        <f t="shared" si="128"/>
        <v>0</v>
      </c>
      <c r="O2008" s="1"/>
    </row>
    <row r="2009" spans="1:15" x14ac:dyDescent="0.25">
      <c r="A2009">
        <v>3809</v>
      </c>
      <c r="B2009">
        <v>5634.0293920000004</v>
      </c>
      <c r="C2009">
        <v>0</v>
      </c>
      <c r="D2009">
        <v>33998.768029999999</v>
      </c>
      <c r="E2009">
        <v>0</v>
      </c>
      <c r="F2009">
        <v>76043.035759999999</v>
      </c>
      <c r="G2009">
        <v>0</v>
      </c>
      <c r="H2009">
        <v>3809</v>
      </c>
      <c r="I2009" t="str">
        <f t="shared" si="125"/>
        <v>YES</v>
      </c>
      <c r="J2009" t="s">
        <v>2015</v>
      </c>
      <c r="K2009">
        <v>716612.40064300003</v>
      </c>
      <c r="L2009" s="1">
        <f t="shared" si="126"/>
        <v>0</v>
      </c>
      <c r="M2009" s="1">
        <f t="shared" si="127"/>
        <v>0</v>
      </c>
      <c r="N2009" s="1">
        <f t="shared" si="128"/>
        <v>0</v>
      </c>
      <c r="O2009" s="1"/>
    </row>
    <row r="2010" spans="1:15" x14ac:dyDescent="0.25">
      <c r="A2010">
        <v>3810</v>
      </c>
      <c r="B2010">
        <v>4924.8656730000002</v>
      </c>
      <c r="C2010">
        <v>0</v>
      </c>
      <c r="D2010">
        <v>35988.31508</v>
      </c>
      <c r="E2010">
        <v>0</v>
      </c>
      <c r="F2010">
        <v>87355.914019999997</v>
      </c>
      <c r="G2010">
        <v>0</v>
      </c>
      <c r="H2010">
        <v>3810</v>
      </c>
      <c r="I2010" t="str">
        <f t="shared" si="125"/>
        <v>YES</v>
      </c>
      <c r="J2010" t="s">
        <v>2016</v>
      </c>
      <c r="K2010">
        <v>2398388.4713099999</v>
      </c>
      <c r="L2010" s="1">
        <f t="shared" si="126"/>
        <v>0</v>
      </c>
      <c r="M2010" s="1">
        <f t="shared" si="127"/>
        <v>0</v>
      </c>
      <c r="N2010" s="1">
        <f t="shared" si="128"/>
        <v>0</v>
      </c>
      <c r="O2010" s="1"/>
    </row>
    <row r="2011" spans="1:15" x14ac:dyDescent="0.25">
      <c r="A2011">
        <v>3811</v>
      </c>
      <c r="B2011">
        <v>16383.806930000001</v>
      </c>
      <c r="C2011">
        <v>0</v>
      </c>
      <c r="D2011">
        <v>54090.267180000003</v>
      </c>
      <c r="E2011">
        <v>0</v>
      </c>
      <c r="F2011">
        <v>135928.36689999999</v>
      </c>
      <c r="G2011">
        <v>0</v>
      </c>
      <c r="H2011">
        <v>3811</v>
      </c>
      <c r="I2011" t="str">
        <f t="shared" si="125"/>
        <v>YES</v>
      </c>
      <c r="J2011" t="s">
        <v>2017</v>
      </c>
      <c r="K2011">
        <v>971879.240016</v>
      </c>
      <c r="L2011" s="1">
        <f t="shared" si="126"/>
        <v>0</v>
      </c>
      <c r="M2011" s="1">
        <f t="shared" si="127"/>
        <v>0</v>
      </c>
      <c r="N2011" s="1">
        <f t="shared" si="128"/>
        <v>0</v>
      </c>
      <c r="O2011" s="1"/>
    </row>
    <row r="2012" spans="1:15" x14ac:dyDescent="0.25">
      <c r="A2012">
        <v>3812</v>
      </c>
      <c r="B2012">
        <v>6039.6455429999996</v>
      </c>
      <c r="C2012">
        <v>0</v>
      </c>
      <c r="D2012">
        <v>51862.228300000002</v>
      </c>
      <c r="E2012">
        <v>0</v>
      </c>
      <c r="F2012">
        <v>123085.13679999999</v>
      </c>
      <c r="G2012">
        <v>0</v>
      </c>
      <c r="H2012">
        <v>3812</v>
      </c>
      <c r="I2012" t="str">
        <f t="shared" si="125"/>
        <v>YES</v>
      </c>
      <c r="J2012" t="s">
        <v>2018</v>
      </c>
      <c r="K2012">
        <v>1185460.59772</v>
      </c>
      <c r="L2012" s="1">
        <f t="shared" si="126"/>
        <v>0</v>
      </c>
      <c r="M2012" s="1">
        <f t="shared" si="127"/>
        <v>0</v>
      </c>
      <c r="N2012" s="1">
        <f t="shared" si="128"/>
        <v>0</v>
      </c>
      <c r="O2012" s="1"/>
    </row>
    <row r="2013" spans="1:15" x14ac:dyDescent="0.25">
      <c r="A2013">
        <v>3813</v>
      </c>
      <c r="B2013">
        <v>25523.710780000001</v>
      </c>
      <c r="C2013">
        <v>0</v>
      </c>
      <c r="D2013">
        <v>57415.618240000003</v>
      </c>
      <c r="E2013">
        <v>0</v>
      </c>
      <c r="F2013">
        <v>142775.71359999999</v>
      </c>
      <c r="G2013">
        <v>0</v>
      </c>
      <c r="H2013">
        <v>3813</v>
      </c>
      <c r="I2013" t="str">
        <f t="shared" si="125"/>
        <v>YES</v>
      </c>
      <c r="J2013" t="s">
        <v>2019</v>
      </c>
      <c r="K2013">
        <v>302761.43749699998</v>
      </c>
      <c r="L2013" s="1">
        <f t="shared" si="126"/>
        <v>0</v>
      </c>
      <c r="M2013" s="1">
        <f t="shared" si="127"/>
        <v>0</v>
      </c>
      <c r="N2013" s="1">
        <f t="shared" si="128"/>
        <v>0</v>
      </c>
      <c r="O2013" s="1"/>
    </row>
    <row r="2014" spans="1:15" x14ac:dyDescent="0.25">
      <c r="A2014">
        <v>3814</v>
      </c>
      <c r="B2014">
        <v>14923.968860000001</v>
      </c>
      <c r="C2014">
        <v>0</v>
      </c>
      <c r="D2014">
        <v>45080.536480000002</v>
      </c>
      <c r="E2014">
        <v>0</v>
      </c>
      <c r="F2014">
        <v>116601.14509999999</v>
      </c>
      <c r="G2014">
        <v>0</v>
      </c>
      <c r="H2014">
        <v>3814</v>
      </c>
      <c r="I2014" t="str">
        <f t="shared" si="125"/>
        <v>YES</v>
      </c>
      <c r="J2014" t="s">
        <v>2020</v>
      </c>
      <c r="K2014">
        <v>886183.32234299998</v>
      </c>
      <c r="L2014" s="1">
        <f t="shared" si="126"/>
        <v>0</v>
      </c>
      <c r="M2014" s="1">
        <f t="shared" si="127"/>
        <v>0</v>
      </c>
      <c r="N2014" s="1">
        <f t="shared" si="128"/>
        <v>0</v>
      </c>
      <c r="O2014" s="1"/>
    </row>
    <row r="2015" spans="1:15" x14ac:dyDescent="0.25">
      <c r="A2015">
        <v>3815</v>
      </c>
      <c r="B2015">
        <v>12381.820970000001</v>
      </c>
      <c r="C2015">
        <v>0</v>
      </c>
      <c r="D2015">
        <v>60479.551160000003</v>
      </c>
      <c r="E2015">
        <v>0</v>
      </c>
      <c r="F2015">
        <v>140683.6974</v>
      </c>
      <c r="G2015">
        <v>0</v>
      </c>
      <c r="H2015">
        <v>3815</v>
      </c>
      <c r="I2015" t="str">
        <f t="shared" si="125"/>
        <v>YES</v>
      </c>
      <c r="J2015" t="s">
        <v>2021</v>
      </c>
      <c r="K2015">
        <v>925059.82910900004</v>
      </c>
      <c r="L2015" s="1">
        <f t="shared" si="126"/>
        <v>0</v>
      </c>
      <c r="M2015" s="1">
        <f t="shared" si="127"/>
        <v>0</v>
      </c>
      <c r="N2015" s="1">
        <f t="shared" si="128"/>
        <v>0</v>
      </c>
      <c r="O2015" s="1"/>
    </row>
    <row r="2016" spans="1:15" x14ac:dyDescent="0.25">
      <c r="A2016">
        <v>3816</v>
      </c>
      <c r="B2016">
        <v>4534.1644500000002</v>
      </c>
      <c r="C2016">
        <v>0</v>
      </c>
      <c r="D2016">
        <v>27856.615379999999</v>
      </c>
      <c r="E2016">
        <v>0</v>
      </c>
      <c r="F2016">
        <v>58738.499669999997</v>
      </c>
      <c r="G2016">
        <v>0</v>
      </c>
      <c r="H2016">
        <v>3816</v>
      </c>
      <c r="I2016" t="str">
        <f t="shared" si="125"/>
        <v>YES</v>
      </c>
      <c r="J2016" t="s">
        <v>2022</v>
      </c>
      <c r="K2016">
        <v>586568.51108800003</v>
      </c>
      <c r="L2016" s="1">
        <f t="shared" si="126"/>
        <v>0</v>
      </c>
      <c r="M2016" s="1">
        <f t="shared" si="127"/>
        <v>0</v>
      </c>
      <c r="N2016" s="1">
        <f t="shared" si="128"/>
        <v>0</v>
      </c>
      <c r="O2016" s="1"/>
    </row>
    <row r="2017" spans="1:15" x14ac:dyDescent="0.25">
      <c r="A2017">
        <v>3817</v>
      </c>
      <c r="B2017">
        <v>597.37090420000004</v>
      </c>
      <c r="C2017">
        <v>0</v>
      </c>
      <c r="D2017">
        <v>597.37090420000004</v>
      </c>
      <c r="E2017">
        <v>0</v>
      </c>
      <c r="F2017">
        <v>44401.157890000002</v>
      </c>
      <c r="G2017">
        <v>0</v>
      </c>
      <c r="H2017">
        <v>3817</v>
      </c>
      <c r="I2017" t="str">
        <f t="shared" si="125"/>
        <v>YES</v>
      </c>
      <c r="J2017" t="s">
        <v>2023</v>
      </c>
      <c r="K2017">
        <v>2704483.8332000002</v>
      </c>
      <c r="L2017" s="1">
        <f t="shared" si="126"/>
        <v>0</v>
      </c>
      <c r="M2017" s="1">
        <f t="shared" si="127"/>
        <v>0</v>
      </c>
      <c r="N2017" s="1">
        <f t="shared" si="128"/>
        <v>0</v>
      </c>
      <c r="O2017" s="1"/>
    </row>
    <row r="2018" spans="1:15" x14ac:dyDescent="0.25">
      <c r="A2018">
        <v>3818</v>
      </c>
      <c r="B2018">
        <v>7305.6637179999998</v>
      </c>
      <c r="C2018">
        <v>0</v>
      </c>
      <c r="D2018">
        <v>28702.845020000001</v>
      </c>
      <c r="E2018">
        <v>0</v>
      </c>
      <c r="F2018">
        <v>65960.947799999994</v>
      </c>
      <c r="G2018">
        <v>0</v>
      </c>
      <c r="H2018">
        <v>3818</v>
      </c>
      <c r="I2018" t="str">
        <f t="shared" si="125"/>
        <v>YES</v>
      </c>
      <c r="J2018" t="s">
        <v>2024</v>
      </c>
      <c r="K2018">
        <v>756465.41497599997</v>
      </c>
      <c r="L2018" s="1">
        <f t="shared" si="126"/>
        <v>0</v>
      </c>
      <c r="M2018" s="1">
        <f t="shared" si="127"/>
        <v>0</v>
      </c>
      <c r="N2018" s="1">
        <f t="shared" si="128"/>
        <v>0</v>
      </c>
      <c r="O2018" s="1"/>
    </row>
    <row r="2019" spans="1:15" x14ac:dyDescent="0.25">
      <c r="A2019">
        <v>3819</v>
      </c>
      <c r="B2019">
        <v>1215.768705</v>
      </c>
      <c r="C2019">
        <v>0</v>
      </c>
      <c r="D2019">
        <v>21531.945950000001</v>
      </c>
      <c r="E2019">
        <v>0</v>
      </c>
      <c r="F2019">
        <v>61623.177369999998</v>
      </c>
      <c r="G2019">
        <v>0</v>
      </c>
      <c r="H2019">
        <v>3819</v>
      </c>
      <c r="I2019" t="str">
        <f t="shared" si="125"/>
        <v>YES</v>
      </c>
      <c r="J2019" t="s">
        <v>2025</v>
      </c>
      <c r="K2019">
        <v>735021.07279899996</v>
      </c>
      <c r="L2019" s="1">
        <f t="shared" si="126"/>
        <v>0</v>
      </c>
      <c r="M2019" s="1">
        <f t="shared" si="127"/>
        <v>0</v>
      </c>
      <c r="N2019" s="1">
        <f t="shared" si="128"/>
        <v>0</v>
      </c>
      <c r="O2019" s="1"/>
    </row>
    <row r="2020" spans="1:15" x14ac:dyDescent="0.25">
      <c r="A2020">
        <v>3822</v>
      </c>
      <c r="B2020">
        <v>1383.106663</v>
      </c>
      <c r="C2020">
        <v>0</v>
      </c>
      <c r="D2020">
        <v>27670.32561</v>
      </c>
      <c r="E2020">
        <v>0</v>
      </c>
      <c r="F2020">
        <v>64648.230049999998</v>
      </c>
      <c r="G2020">
        <v>0</v>
      </c>
      <c r="H2020">
        <v>3822</v>
      </c>
      <c r="I2020" t="str">
        <f t="shared" si="125"/>
        <v>YES</v>
      </c>
      <c r="J2020" t="s">
        <v>2026</v>
      </c>
      <c r="K2020">
        <v>1086406.8630900001</v>
      </c>
      <c r="L2020" s="1">
        <f t="shared" si="126"/>
        <v>0</v>
      </c>
      <c r="M2020" s="1">
        <f t="shared" si="127"/>
        <v>0</v>
      </c>
      <c r="N2020" s="1">
        <f t="shared" si="128"/>
        <v>0</v>
      </c>
      <c r="O2020" s="1"/>
    </row>
    <row r="2021" spans="1:15" x14ac:dyDescent="0.25">
      <c r="A2021">
        <v>3823</v>
      </c>
      <c r="B2021">
        <v>1076.062825</v>
      </c>
      <c r="C2021">
        <v>0</v>
      </c>
      <c r="D2021">
        <v>7024.0276059999997</v>
      </c>
      <c r="E2021">
        <v>0</v>
      </c>
      <c r="F2021">
        <v>48844.186600000001</v>
      </c>
      <c r="G2021">
        <v>0</v>
      </c>
      <c r="H2021">
        <v>3823</v>
      </c>
      <c r="I2021" t="str">
        <f t="shared" si="125"/>
        <v>YES</v>
      </c>
      <c r="J2021" t="s">
        <v>2027</v>
      </c>
      <c r="K2021">
        <v>1814530.1021499999</v>
      </c>
      <c r="L2021" s="1">
        <f t="shared" si="126"/>
        <v>0</v>
      </c>
      <c r="M2021" s="1">
        <f t="shared" si="127"/>
        <v>0</v>
      </c>
      <c r="N2021" s="1">
        <f t="shared" si="128"/>
        <v>0</v>
      </c>
      <c r="O2021" s="1"/>
    </row>
    <row r="2022" spans="1:15" x14ac:dyDescent="0.25">
      <c r="A2022">
        <v>3824</v>
      </c>
      <c r="B2022">
        <v>1874.507619</v>
      </c>
      <c r="C2022">
        <v>0</v>
      </c>
      <c r="D2022">
        <v>4312.4078440000003</v>
      </c>
      <c r="E2022">
        <v>0</v>
      </c>
      <c r="F2022">
        <v>16392.955620000001</v>
      </c>
      <c r="G2022">
        <v>0</v>
      </c>
      <c r="H2022">
        <v>3824</v>
      </c>
      <c r="I2022" t="str">
        <f t="shared" si="125"/>
        <v>YES</v>
      </c>
      <c r="J2022" t="s">
        <v>2028</v>
      </c>
      <c r="K2022">
        <v>5149644.2004199997</v>
      </c>
      <c r="L2022" s="1">
        <f t="shared" si="126"/>
        <v>0</v>
      </c>
      <c r="M2022" s="1">
        <f t="shared" si="127"/>
        <v>0</v>
      </c>
      <c r="N2022" s="1">
        <f t="shared" si="128"/>
        <v>0</v>
      </c>
      <c r="O2022" s="1"/>
    </row>
    <row r="2023" spans="1:15" x14ac:dyDescent="0.25">
      <c r="A2023">
        <v>3825</v>
      </c>
      <c r="B2023">
        <v>1269.197492</v>
      </c>
      <c r="C2023">
        <v>0</v>
      </c>
      <c r="D2023">
        <v>8261.7349610000001</v>
      </c>
      <c r="E2023">
        <v>0</v>
      </c>
      <c r="F2023">
        <v>58398.052069999998</v>
      </c>
      <c r="G2023">
        <v>0</v>
      </c>
      <c r="H2023">
        <v>3825</v>
      </c>
      <c r="I2023" t="str">
        <f t="shared" si="125"/>
        <v>YES</v>
      </c>
      <c r="J2023" t="s">
        <v>2029</v>
      </c>
      <c r="K2023">
        <v>1242953.5782900001</v>
      </c>
      <c r="L2023" s="1">
        <f t="shared" si="126"/>
        <v>0</v>
      </c>
      <c r="M2023" s="1">
        <f t="shared" si="127"/>
        <v>0</v>
      </c>
      <c r="N2023" s="1">
        <f t="shared" si="128"/>
        <v>0</v>
      </c>
      <c r="O2023" s="1"/>
    </row>
    <row r="2024" spans="1:15" x14ac:dyDescent="0.25">
      <c r="A2024">
        <v>3826</v>
      </c>
      <c r="B2024">
        <v>460.27553219999999</v>
      </c>
      <c r="C2024">
        <v>0</v>
      </c>
      <c r="D2024">
        <v>5041.3896160000004</v>
      </c>
      <c r="E2024">
        <v>0</v>
      </c>
      <c r="F2024">
        <v>64316.909420000004</v>
      </c>
      <c r="G2024">
        <v>0</v>
      </c>
      <c r="H2024">
        <v>3826</v>
      </c>
      <c r="I2024" t="str">
        <f t="shared" si="125"/>
        <v>YES</v>
      </c>
      <c r="J2024" t="s">
        <v>2030</v>
      </c>
      <c r="K2024">
        <v>1727087.2283399999</v>
      </c>
      <c r="L2024" s="1">
        <f t="shared" si="126"/>
        <v>0</v>
      </c>
      <c r="M2024" s="1">
        <f t="shared" si="127"/>
        <v>0</v>
      </c>
      <c r="N2024" s="1">
        <f t="shared" si="128"/>
        <v>0</v>
      </c>
      <c r="O2024" s="1"/>
    </row>
    <row r="2025" spans="1:15" x14ac:dyDescent="0.25">
      <c r="A2025">
        <v>3827</v>
      </c>
      <c r="B2025">
        <v>1828.342124</v>
      </c>
      <c r="C2025">
        <v>0</v>
      </c>
      <c r="D2025">
        <v>24944.620080000001</v>
      </c>
      <c r="E2025">
        <v>0</v>
      </c>
      <c r="F2025">
        <v>339867.5833</v>
      </c>
      <c r="G2025">
        <v>0</v>
      </c>
      <c r="H2025">
        <v>3827</v>
      </c>
      <c r="I2025" t="str">
        <f t="shared" si="125"/>
        <v>YES</v>
      </c>
      <c r="J2025" t="s">
        <v>2031</v>
      </c>
      <c r="K2025">
        <v>1507911.81284</v>
      </c>
      <c r="L2025" s="1">
        <f t="shared" si="126"/>
        <v>0</v>
      </c>
      <c r="M2025" s="1">
        <f t="shared" si="127"/>
        <v>0</v>
      </c>
      <c r="N2025" s="1">
        <f t="shared" si="128"/>
        <v>0</v>
      </c>
      <c r="O2025" s="1"/>
    </row>
    <row r="2026" spans="1:15" x14ac:dyDescent="0.25">
      <c r="A2026">
        <v>3828</v>
      </c>
      <c r="B2026">
        <v>1269.197492</v>
      </c>
      <c r="C2026">
        <v>0</v>
      </c>
      <c r="D2026">
        <v>7062.9139459999997</v>
      </c>
      <c r="E2026">
        <v>0</v>
      </c>
      <c r="F2026">
        <v>49101.02923</v>
      </c>
      <c r="G2026">
        <v>0</v>
      </c>
      <c r="H2026">
        <v>3828</v>
      </c>
      <c r="I2026" t="str">
        <f t="shared" si="125"/>
        <v>YES</v>
      </c>
      <c r="J2026" t="s">
        <v>2032</v>
      </c>
      <c r="K2026">
        <v>882356.24646699999</v>
      </c>
      <c r="L2026" s="1">
        <f t="shared" si="126"/>
        <v>0</v>
      </c>
      <c r="M2026" s="1">
        <f t="shared" si="127"/>
        <v>0</v>
      </c>
      <c r="N2026" s="1">
        <f t="shared" si="128"/>
        <v>0</v>
      </c>
      <c r="O2026" s="1"/>
    </row>
    <row r="2027" spans="1:15" x14ac:dyDescent="0.25">
      <c r="A2027">
        <v>3829</v>
      </c>
      <c r="B2027">
        <v>127.0325366</v>
      </c>
      <c r="C2027">
        <v>0</v>
      </c>
      <c r="D2027">
        <v>239.58637010000001</v>
      </c>
      <c r="E2027">
        <v>0</v>
      </c>
      <c r="F2027">
        <v>441.05917060000002</v>
      </c>
      <c r="G2027">
        <v>0</v>
      </c>
      <c r="H2027">
        <v>3829</v>
      </c>
      <c r="I2027" t="str">
        <f t="shared" si="125"/>
        <v>YES</v>
      </c>
      <c r="J2027" t="s">
        <v>2033</v>
      </c>
      <c r="K2027">
        <v>1945129.99798</v>
      </c>
      <c r="L2027" s="1">
        <f t="shared" si="126"/>
        <v>0</v>
      </c>
      <c r="M2027" s="1">
        <f t="shared" si="127"/>
        <v>0</v>
      </c>
      <c r="N2027" s="1">
        <f t="shared" si="128"/>
        <v>0</v>
      </c>
      <c r="O2027" s="1"/>
    </row>
    <row r="2028" spans="1:15" x14ac:dyDescent="0.25">
      <c r="A2028">
        <v>3831</v>
      </c>
      <c r="B2028">
        <v>24096.815210000001</v>
      </c>
      <c r="C2028">
        <v>0</v>
      </c>
      <c r="D2028">
        <v>67745.768460000007</v>
      </c>
      <c r="E2028">
        <v>0</v>
      </c>
      <c r="F2028">
        <v>223231.94500000001</v>
      </c>
      <c r="G2028">
        <v>0</v>
      </c>
      <c r="H2028">
        <v>3831</v>
      </c>
      <c r="I2028" t="str">
        <f t="shared" si="125"/>
        <v>YES</v>
      </c>
      <c r="J2028" t="s">
        <v>2034</v>
      </c>
      <c r="K2028">
        <v>121419.07752799999</v>
      </c>
      <c r="L2028" s="1">
        <f t="shared" si="126"/>
        <v>0</v>
      </c>
      <c r="M2028" s="1">
        <f t="shared" si="127"/>
        <v>0</v>
      </c>
      <c r="N2028" s="1">
        <f t="shared" si="128"/>
        <v>0</v>
      </c>
      <c r="O2028" s="1"/>
    </row>
    <row r="2029" spans="1:15" x14ac:dyDescent="0.25">
      <c r="A2029">
        <v>3832</v>
      </c>
      <c r="B2029">
        <v>25195.28066</v>
      </c>
      <c r="C2029">
        <v>0</v>
      </c>
      <c r="D2029">
        <v>64736.990510000003</v>
      </c>
      <c r="E2029">
        <v>0</v>
      </c>
      <c r="F2029">
        <v>208715.54149999999</v>
      </c>
      <c r="G2029">
        <v>0</v>
      </c>
      <c r="H2029">
        <v>3832</v>
      </c>
      <c r="I2029" t="str">
        <f t="shared" si="125"/>
        <v>YES</v>
      </c>
      <c r="J2029" t="s">
        <v>2035</v>
      </c>
      <c r="K2029">
        <v>70694.774650199994</v>
      </c>
      <c r="L2029" s="1">
        <f t="shared" si="126"/>
        <v>0</v>
      </c>
      <c r="M2029" s="1">
        <f t="shared" si="127"/>
        <v>0</v>
      </c>
      <c r="N2029" s="1">
        <f t="shared" si="128"/>
        <v>0</v>
      </c>
      <c r="O2029" s="1"/>
    </row>
    <row r="2030" spans="1:15" x14ac:dyDescent="0.25">
      <c r="A2030">
        <v>3833</v>
      </c>
      <c r="B2030">
        <v>995.22965910000005</v>
      </c>
      <c r="C2030">
        <v>0</v>
      </c>
      <c r="D2030">
        <v>31574.758839999999</v>
      </c>
      <c r="E2030">
        <v>0</v>
      </c>
      <c r="F2030">
        <v>86145.088470000002</v>
      </c>
      <c r="G2030">
        <v>0</v>
      </c>
      <c r="H2030">
        <v>3833</v>
      </c>
      <c r="I2030" t="str">
        <f t="shared" si="125"/>
        <v>YES</v>
      </c>
      <c r="J2030" t="s">
        <v>2036</v>
      </c>
      <c r="K2030">
        <v>1387855.2764699999</v>
      </c>
      <c r="L2030" s="1">
        <f t="shared" si="126"/>
        <v>0</v>
      </c>
      <c r="M2030" s="1">
        <f t="shared" si="127"/>
        <v>0</v>
      </c>
      <c r="N2030" s="1">
        <f t="shared" si="128"/>
        <v>0</v>
      </c>
      <c r="O2030" s="1"/>
    </row>
    <row r="2031" spans="1:15" x14ac:dyDescent="0.25">
      <c r="A2031">
        <v>3834</v>
      </c>
      <c r="B2031">
        <v>11679.33915</v>
      </c>
      <c r="C2031">
        <v>0</v>
      </c>
      <c r="D2031">
        <v>27217.802510000001</v>
      </c>
      <c r="E2031">
        <v>0</v>
      </c>
      <c r="F2031">
        <v>68717.481849999996</v>
      </c>
      <c r="G2031">
        <v>0</v>
      </c>
      <c r="H2031">
        <v>3834</v>
      </c>
      <c r="I2031" t="str">
        <f t="shared" si="125"/>
        <v>YES</v>
      </c>
      <c r="J2031" t="s">
        <v>2037</v>
      </c>
      <c r="K2031">
        <v>488638.96591700002</v>
      </c>
      <c r="L2031" s="1">
        <f t="shared" si="126"/>
        <v>0</v>
      </c>
      <c r="M2031" s="1">
        <f t="shared" si="127"/>
        <v>0</v>
      </c>
      <c r="N2031" s="1">
        <f t="shared" si="128"/>
        <v>0</v>
      </c>
      <c r="O2031" s="1"/>
    </row>
    <row r="2032" spans="1:15" x14ac:dyDescent="0.25">
      <c r="A2032">
        <v>3835</v>
      </c>
      <c r="B2032">
        <v>17363.955529999999</v>
      </c>
      <c r="C2032">
        <v>0</v>
      </c>
      <c r="D2032">
        <v>40940.174460000002</v>
      </c>
      <c r="E2032">
        <v>0</v>
      </c>
      <c r="F2032">
        <v>129539.1505</v>
      </c>
      <c r="G2032">
        <v>0</v>
      </c>
      <c r="H2032">
        <v>3835</v>
      </c>
      <c r="I2032" t="str">
        <f t="shared" si="125"/>
        <v>YES</v>
      </c>
      <c r="J2032" t="s">
        <v>2038</v>
      </c>
      <c r="K2032">
        <v>958448.48453699995</v>
      </c>
      <c r="L2032" s="1">
        <f t="shared" si="126"/>
        <v>0</v>
      </c>
      <c r="M2032" s="1">
        <f t="shared" si="127"/>
        <v>0</v>
      </c>
      <c r="N2032" s="1">
        <f t="shared" si="128"/>
        <v>0</v>
      </c>
      <c r="O2032" s="1"/>
    </row>
    <row r="2033" spans="1:15" x14ac:dyDescent="0.25">
      <c r="A2033">
        <v>3836</v>
      </c>
      <c r="B2033">
        <v>21184.141159999999</v>
      </c>
      <c r="C2033">
        <v>0</v>
      </c>
      <c r="D2033">
        <v>31183.466789999999</v>
      </c>
      <c r="E2033">
        <v>0</v>
      </c>
      <c r="F2033">
        <v>88142.243220000004</v>
      </c>
      <c r="G2033">
        <v>0</v>
      </c>
      <c r="H2033">
        <v>3836</v>
      </c>
      <c r="I2033" t="str">
        <f t="shared" si="125"/>
        <v>YES</v>
      </c>
      <c r="J2033" t="s">
        <v>2039</v>
      </c>
      <c r="K2033">
        <v>984329.36944399995</v>
      </c>
      <c r="L2033" s="1">
        <f t="shared" si="126"/>
        <v>0</v>
      </c>
      <c r="M2033" s="1">
        <f t="shared" si="127"/>
        <v>0</v>
      </c>
      <c r="N2033" s="1">
        <f t="shared" si="128"/>
        <v>0</v>
      </c>
      <c r="O2033" s="1"/>
    </row>
    <row r="2034" spans="1:15" x14ac:dyDescent="0.25">
      <c r="A2034">
        <v>3837</v>
      </c>
      <c r="B2034">
        <v>30888.133290000002</v>
      </c>
      <c r="C2034">
        <v>0</v>
      </c>
      <c r="D2034">
        <v>93012.505170000004</v>
      </c>
      <c r="E2034">
        <v>0</v>
      </c>
      <c r="F2034">
        <v>309867.95860000001</v>
      </c>
      <c r="G2034">
        <v>0</v>
      </c>
      <c r="H2034">
        <v>3837</v>
      </c>
      <c r="I2034" t="str">
        <f t="shared" si="125"/>
        <v>YES</v>
      </c>
      <c r="J2034" t="s">
        <v>2040</v>
      </c>
      <c r="K2034">
        <v>153349.29621</v>
      </c>
      <c r="L2034" s="1">
        <f t="shared" si="126"/>
        <v>0</v>
      </c>
      <c r="M2034" s="1">
        <f t="shared" si="127"/>
        <v>0</v>
      </c>
      <c r="N2034" s="1">
        <f t="shared" si="128"/>
        <v>0</v>
      </c>
      <c r="O2034" s="1"/>
    </row>
    <row r="2035" spans="1:15" x14ac:dyDescent="0.25">
      <c r="A2035">
        <v>3838</v>
      </c>
      <c r="B2035">
        <v>26421.602999999999</v>
      </c>
      <c r="C2035">
        <v>0</v>
      </c>
      <c r="D2035">
        <v>64486.857989999997</v>
      </c>
      <c r="E2035">
        <v>0</v>
      </c>
      <c r="F2035">
        <v>164695.08559999999</v>
      </c>
      <c r="G2035">
        <v>0</v>
      </c>
      <c r="H2035">
        <v>3838</v>
      </c>
      <c r="I2035" t="str">
        <f t="shared" si="125"/>
        <v>YES</v>
      </c>
      <c r="J2035" t="s">
        <v>2041</v>
      </c>
      <c r="K2035">
        <v>310043.23194899998</v>
      </c>
      <c r="L2035" s="1">
        <f t="shared" si="126"/>
        <v>0</v>
      </c>
      <c r="M2035" s="1">
        <f t="shared" si="127"/>
        <v>0</v>
      </c>
      <c r="N2035" s="1">
        <f t="shared" si="128"/>
        <v>0</v>
      </c>
      <c r="O2035" s="1"/>
    </row>
    <row r="2036" spans="1:15" x14ac:dyDescent="0.25">
      <c r="A2036">
        <v>3839</v>
      </c>
      <c r="B2036">
        <v>28623.94886</v>
      </c>
      <c r="C2036">
        <v>0</v>
      </c>
      <c r="D2036">
        <v>102368.4874</v>
      </c>
      <c r="E2036">
        <v>0</v>
      </c>
      <c r="F2036">
        <v>249974.97099999999</v>
      </c>
      <c r="G2036">
        <v>0</v>
      </c>
      <c r="H2036">
        <v>3839</v>
      </c>
      <c r="I2036" t="str">
        <f t="shared" si="125"/>
        <v>YES</v>
      </c>
      <c r="J2036" t="s">
        <v>2042</v>
      </c>
      <c r="K2036">
        <v>277779.20431499998</v>
      </c>
      <c r="L2036" s="1">
        <f t="shared" si="126"/>
        <v>0</v>
      </c>
      <c r="M2036" s="1">
        <f t="shared" si="127"/>
        <v>0</v>
      </c>
      <c r="N2036" s="1">
        <f t="shared" si="128"/>
        <v>0</v>
      </c>
      <c r="O2036" s="1"/>
    </row>
    <row r="2037" spans="1:15" x14ac:dyDescent="0.25">
      <c r="A2037">
        <v>3840</v>
      </c>
      <c r="B2037">
        <v>9251.1451859999997</v>
      </c>
      <c r="C2037">
        <v>0</v>
      </c>
      <c r="D2037">
        <v>43928.313430000002</v>
      </c>
      <c r="E2037">
        <v>0</v>
      </c>
      <c r="F2037">
        <v>159424.6827</v>
      </c>
      <c r="G2037">
        <v>0</v>
      </c>
      <c r="H2037">
        <v>3840</v>
      </c>
      <c r="I2037" t="str">
        <f t="shared" si="125"/>
        <v>YES</v>
      </c>
      <c r="J2037" t="s">
        <v>2043</v>
      </c>
      <c r="K2037">
        <v>1354950.0125</v>
      </c>
      <c r="L2037" s="1">
        <f t="shared" si="126"/>
        <v>0</v>
      </c>
      <c r="M2037" s="1">
        <f t="shared" si="127"/>
        <v>0</v>
      </c>
      <c r="N2037" s="1">
        <f t="shared" si="128"/>
        <v>0</v>
      </c>
      <c r="O2037" s="1"/>
    </row>
    <row r="2038" spans="1:15" x14ac:dyDescent="0.25">
      <c r="A2038">
        <v>3841</v>
      </c>
      <c r="B2038">
        <v>31625.321489999998</v>
      </c>
      <c r="C2038">
        <v>0</v>
      </c>
      <c r="D2038">
        <v>103586.3803</v>
      </c>
      <c r="E2038">
        <v>0</v>
      </c>
      <c r="F2038">
        <v>278036.22619999998</v>
      </c>
      <c r="G2038">
        <v>0</v>
      </c>
      <c r="H2038">
        <v>3841</v>
      </c>
      <c r="I2038" t="str">
        <f t="shared" si="125"/>
        <v>YES</v>
      </c>
      <c r="J2038" t="s">
        <v>2044</v>
      </c>
      <c r="K2038">
        <v>126269.364267</v>
      </c>
      <c r="L2038" s="1">
        <f t="shared" si="126"/>
        <v>0</v>
      </c>
      <c r="M2038" s="1">
        <f t="shared" si="127"/>
        <v>0</v>
      </c>
      <c r="N2038" s="1">
        <f t="shared" si="128"/>
        <v>0</v>
      </c>
      <c r="O2038" s="1"/>
    </row>
    <row r="2039" spans="1:15" x14ac:dyDescent="0.25">
      <c r="A2039">
        <v>3842</v>
      </c>
      <c r="B2039">
        <v>24190.272099999998</v>
      </c>
      <c r="C2039">
        <v>0</v>
      </c>
      <c r="D2039">
        <v>53495.309950000003</v>
      </c>
      <c r="E2039">
        <v>0</v>
      </c>
      <c r="F2039">
        <v>136563.3314</v>
      </c>
      <c r="G2039">
        <v>0</v>
      </c>
      <c r="H2039">
        <v>3842</v>
      </c>
      <c r="I2039" t="str">
        <f t="shared" si="125"/>
        <v>YES</v>
      </c>
      <c r="J2039" t="s">
        <v>2045</v>
      </c>
      <c r="K2039">
        <v>1337247.7912999999</v>
      </c>
      <c r="L2039" s="1">
        <f t="shared" si="126"/>
        <v>0</v>
      </c>
      <c r="M2039" s="1">
        <f t="shared" si="127"/>
        <v>0</v>
      </c>
      <c r="N2039" s="1">
        <f t="shared" si="128"/>
        <v>0</v>
      </c>
      <c r="O2039" s="1"/>
    </row>
    <row r="2040" spans="1:15" x14ac:dyDescent="0.25">
      <c r="A2040">
        <v>3843</v>
      </c>
      <c r="B2040">
        <v>42697.353210000001</v>
      </c>
      <c r="C2040">
        <v>0</v>
      </c>
      <c r="D2040">
        <v>132422.77489999999</v>
      </c>
      <c r="E2040">
        <v>0</v>
      </c>
      <c r="F2040">
        <v>323163.52970000001</v>
      </c>
      <c r="G2040">
        <v>0</v>
      </c>
      <c r="H2040">
        <v>3843</v>
      </c>
      <c r="I2040" t="str">
        <f t="shared" si="125"/>
        <v>YES</v>
      </c>
      <c r="J2040" t="s">
        <v>2046</v>
      </c>
      <c r="K2040">
        <v>264876.68193600001</v>
      </c>
      <c r="L2040" s="1">
        <f t="shared" si="126"/>
        <v>0</v>
      </c>
      <c r="M2040" s="1">
        <f t="shared" si="127"/>
        <v>0</v>
      </c>
      <c r="N2040" s="1">
        <f t="shared" si="128"/>
        <v>0</v>
      </c>
      <c r="O2040" s="1"/>
    </row>
    <row r="2041" spans="1:15" x14ac:dyDescent="0.25">
      <c r="A2041">
        <v>3844</v>
      </c>
      <c r="B2041">
        <v>21278.181120000001</v>
      </c>
      <c r="C2041">
        <v>0</v>
      </c>
      <c r="D2041">
        <v>50658.0049</v>
      </c>
      <c r="E2041">
        <v>0</v>
      </c>
      <c r="F2041">
        <v>125953.5812</v>
      </c>
      <c r="G2041">
        <v>0</v>
      </c>
      <c r="H2041">
        <v>3844</v>
      </c>
      <c r="I2041" t="str">
        <f t="shared" si="125"/>
        <v>YES</v>
      </c>
      <c r="J2041" t="s">
        <v>2047</v>
      </c>
      <c r="K2041">
        <v>355453.05041199998</v>
      </c>
      <c r="L2041" s="1">
        <f t="shared" si="126"/>
        <v>0</v>
      </c>
      <c r="M2041" s="1">
        <f t="shared" si="127"/>
        <v>0</v>
      </c>
      <c r="N2041" s="1">
        <f t="shared" si="128"/>
        <v>0</v>
      </c>
      <c r="O2041" s="1"/>
    </row>
    <row r="2042" spans="1:15" x14ac:dyDescent="0.25">
      <c r="A2042">
        <v>3845</v>
      </c>
      <c r="B2042">
        <v>26239.868310000002</v>
      </c>
      <c r="C2042">
        <v>0</v>
      </c>
      <c r="D2042">
        <v>86587.990940000003</v>
      </c>
      <c r="E2042">
        <v>0</v>
      </c>
      <c r="F2042">
        <v>218913.89139999999</v>
      </c>
      <c r="G2042">
        <v>0</v>
      </c>
      <c r="H2042">
        <v>3845</v>
      </c>
      <c r="I2042" t="str">
        <f t="shared" si="125"/>
        <v>YES</v>
      </c>
      <c r="J2042" t="s">
        <v>2048</v>
      </c>
      <c r="K2042">
        <v>187000.316059</v>
      </c>
      <c r="L2042" s="1">
        <f t="shared" si="126"/>
        <v>0</v>
      </c>
      <c r="M2042" s="1">
        <f t="shared" si="127"/>
        <v>0</v>
      </c>
      <c r="N2042" s="1">
        <f t="shared" si="128"/>
        <v>0</v>
      </c>
      <c r="O2042" s="1"/>
    </row>
    <row r="2043" spans="1:15" x14ac:dyDescent="0.25">
      <c r="A2043">
        <v>3846</v>
      </c>
      <c r="B2043">
        <v>20964.764090000001</v>
      </c>
      <c r="C2043">
        <v>0</v>
      </c>
      <c r="D2043">
        <v>44939.939259999999</v>
      </c>
      <c r="E2043">
        <v>0</v>
      </c>
      <c r="F2043">
        <v>111723.8995</v>
      </c>
      <c r="G2043">
        <v>0</v>
      </c>
      <c r="H2043">
        <v>3846</v>
      </c>
      <c r="I2043" t="str">
        <f t="shared" si="125"/>
        <v>YES</v>
      </c>
      <c r="J2043" t="s">
        <v>2049</v>
      </c>
      <c r="K2043">
        <v>375854.12444400002</v>
      </c>
      <c r="L2043" s="1">
        <f t="shared" si="126"/>
        <v>0</v>
      </c>
      <c r="M2043" s="1">
        <f t="shared" si="127"/>
        <v>0</v>
      </c>
      <c r="N2043" s="1">
        <f t="shared" si="128"/>
        <v>0</v>
      </c>
      <c r="O2043" s="1"/>
    </row>
    <row r="2044" spans="1:15" x14ac:dyDescent="0.25">
      <c r="A2044">
        <v>3847</v>
      </c>
      <c r="B2044">
        <v>23175.794880000001</v>
      </c>
      <c r="C2044">
        <v>0</v>
      </c>
      <c r="D2044">
        <v>50934.717989999997</v>
      </c>
      <c r="E2044">
        <v>0</v>
      </c>
      <c r="F2044">
        <v>123796.58</v>
      </c>
      <c r="G2044">
        <v>0</v>
      </c>
      <c r="H2044">
        <v>3847</v>
      </c>
      <c r="I2044" t="str">
        <f t="shared" si="125"/>
        <v>YES</v>
      </c>
      <c r="J2044" t="s">
        <v>2050</v>
      </c>
      <c r="K2044">
        <v>290820.02726399997</v>
      </c>
      <c r="L2044" s="1">
        <f t="shared" si="126"/>
        <v>0</v>
      </c>
      <c r="M2044" s="1">
        <f t="shared" si="127"/>
        <v>0</v>
      </c>
      <c r="N2044" s="1">
        <f t="shared" si="128"/>
        <v>0</v>
      </c>
      <c r="O2044" s="1"/>
    </row>
    <row r="2045" spans="1:15" x14ac:dyDescent="0.25">
      <c r="A2045">
        <v>3848</v>
      </c>
      <c r="B2045">
        <v>44131.91805</v>
      </c>
      <c r="C2045">
        <v>0</v>
      </c>
      <c r="D2045">
        <v>151426.54990000001</v>
      </c>
      <c r="E2045">
        <v>0</v>
      </c>
      <c r="F2045">
        <v>412950.94880000001</v>
      </c>
      <c r="G2045">
        <v>0</v>
      </c>
      <c r="H2045">
        <v>3848</v>
      </c>
      <c r="I2045" t="str">
        <f t="shared" si="125"/>
        <v>YES</v>
      </c>
      <c r="J2045" t="s">
        <v>2051</v>
      </c>
      <c r="K2045">
        <v>65035.128802300002</v>
      </c>
      <c r="L2045" s="1">
        <f t="shared" si="126"/>
        <v>0</v>
      </c>
      <c r="M2045" s="1">
        <f t="shared" si="127"/>
        <v>0</v>
      </c>
      <c r="N2045" s="1">
        <f t="shared" si="128"/>
        <v>0</v>
      </c>
      <c r="O2045" s="1"/>
    </row>
    <row r="2046" spans="1:15" x14ac:dyDescent="0.25">
      <c r="A2046">
        <v>3849</v>
      </c>
      <c r="B2046">
        <v>1681.759323</v>
      </c>
      <c r="C2046">
        <v>0</v>
      </c>
      <c r="D2046">
        <v>28971.653780000001</v>
      </c>
      <c r="E2046">
        <v>0</v>
      </c>
      <c r="F2046">
        <v>66457.830350000004</v>
      </c>
      <c r="G2046">
        <v>0</v>
      </c>
      <c r="H2046">
        <v>3849</v>
      </c>
      <c r="I2046" t="str">
        <f t="shared" si="125"/>
        <v>YES</v>
      </c>
      <c r="J2046" t="s">
        <v>2052</v>
      </c>
      <c r="K2046">
        <v>163167.44608299999</v>
      </c>
      <c r="L2046" s="1">
        <f t="shared" si="126"/>
        <v>0</v>
      </c>
      <c r="M2046" s="1">
        <f t="shared" si="127"/>
        <v>0</v>
      </c>
      <c r="N2046" s="1">
        <f t="shared" si="128"/>
        <v>0</v>
      </c>
      <c r="O2046" s="1"/>
    </row>
    <row r="2047" spans="1:15" x14ac:dyDescent="0.25">
      <c r="A2047">
        <v>3850</v>
      </c>
      <c r="B2047">
        <v>28308.821240000001</v>
      </c>
      <c r="C2047">
        <v>0</v>
      </c>
      <c r="D2047">
        <v>42608.915000000001</v>
      </c>
      <c r="E2047">
        <v>0</v>
      </c>
      <c r="F2047">
        <v>120002.65029999999</v>
      </c>
      <c r="G2047">
        <v>0</v>
      </c>
      <c r="H2047">
        <v>3850</v>
      </c>
      <c r="I2047" t="str">
        <f t="shared" si="125"/>
        <v>YES</v>
      </c>
      <c r="J2047" t="s">
        <v>2053</v>
      </c>
      <c r="K2047">
        <v>960910.11085900001</v>
      </c>
      <c r="L2047" s="1">
        <f t="shared" si="126"/>
        <v>0</v>
      </c>
      <c r="M2047" s="1">
        <f t="shared" si="127"/>
        <v>0</v>
      </c>
      <c r="N2047" s="1">
        <f t="shared" si="128"/>
        <v>0</v>
      </c>
      <c r="O2047" s="1"/>
    </row>
    <row r="2048" spans="1:15" x14ac:dyDescent="0.25">
      <c r="A2048">
        <v>3851</v>
      </c>
      <c r="B2048">
        <v>20234.06479</v>
      </c>
      <c r="C2048">
        <v>0</v>
      </c>
      <c r="D2048">
        <v>46711.648020000001</v>
      </c>
      <c r="E2048">
        <v>0</v>
      </c>
      <c r="F2048">
        <v>138897.90599999999</v>
      </c>
      <c r="G2048">
        <v>0</v>
      </c>
      <c r="H2048">
        <v>3851</v>
      </c>
      <c r="I2048" t="str">
        <f t="shared" si="125"/>
        <v>YES</v>
      </c>
      <c r="J2048" t="s">
        <v>2054</v>
      </c>
      <c r="K2048">
        <v>724067.67701600003</v>
      </c>
      <c r="L2048" s="1">
        <f t="shared" si="126"/>
        <v>0</v>
      </c>
      <c r="M2048" s="1">
        <f t="shared" si="127"/>
        <v>0</v>
      </c>
      <c r="N2048" s="1">
        <f t="shared" si="128"/>
        <v>0</v>
      </c>
      <c r="O2048" s="1"/>
    </row>
    <row r="2049" spans="1:15" x14ac:dyDescent="0.25">
      <c r="A2049">
        <v>3852</v>
      </c>
      <c r="B2049">
        <v>10634.2865</v>
      </c>
      <c r="C2049">
        <v>0</v>
      </c>
      <c r="D2049">
        <v>38266.667970000002</v>
      </c>
      <c r="E2049">
        <v>0</v>
      </c>
      <c r="F2049">
        <v>87710.605490000002</v>
      </c>
      <c r="G2049">
        <v>0</v>
      </c>
      <c r="H2049">
        <v>3852</v>
      </c>
      <c r="I2049" t="str">
        <f t="shared" si="125"/>
        <v>YES</v>
      </c>
      <c r="J2049" t="s">
        <v>2055</v>
      </c>
      <c r="K2049">
        <v>741183.25731699995</v>
      </c>
      <c r="L2049" s="1">
        <f t="shared" si="126"/>
        <v>0</v>
      </c>
      <c r="M2049" s="1">
        <f t="shared" si="127"/>
        <v>0</v>
      </c>
      <c r="N2049" s="1">
        <f t="shared" si="128"/>
        <v>0</v>
      </c>
      <c r="O2049" s="1"/>
    </row>
    <row r="2050" spans="1:15" x14ac:dyDescent="0.25">
      <c r="A2050">
        <v>3853</v>
      </c>
      <c r="B2050">
        <v>5529.5185149999998</v>
      </c>
      <c r="C2050">
        <v>0</v>
      </c>
      <c r="D2050">
        <v>36628.609400000001</v>
      </c>
      <c r="E2050">
        <v>0</v>
      </c>
      <c r="F2050">
        <v>74260.346980000002</v>
      </c>
      <c r="G2050">
        <v>0</v>
      </c>
      <c r="H2050">
        <v>3853</v>
      </c>
      <c r="I2050" t="str">
        <f t="shared" ref="I2050:I2113" si="129">IF(A2050=H2050,"YES","NO")</f>
        <v>YES</v>
      </c>
      <c r="J2050" t="s">
        <v>2056</v>
      </c>
      <c r="K2050">
        <v>789643.07392500003</v>
      </c>
      <c r="L2050" s="1">
        <f t="shared" si="126"/>
        <v>0</v>
      </c>
      <c r="M2050" s="1">
        <f t="shared" si="127"/>
        <v>0</v>
      </c>
      <c r="N2050" s="1">
        <f t="shared" si="128"/>
        <v>0</v>
      </c>
      <c r="O2050" s="1"/>
    </row>
    <row r="2051" spans="1:15" x14ac:dyDescent="0.25">
      <c r="A2051">
        <v>3854</v>
      </c>
      <c r="B2051">
        <v>2700.9635830000002</v>
      </c>
      <c r="C2051">
        <v>0</v>
      </c>
      <c r="D2051">
        <v>13020.13386</v>
      </c>
      <c r="E2051">
        <v>0</v>
      </c>
      <c r="F2051">
        <v>45130.93808</v>
      </c>
      <c r="G2051">
        <v>0</v>
      </c>
      <c r="H2051">
        <v>3854</v>
      </c>
      <c r="I2051" t="str">
        <f t="shared" si="129"/>
        <v>YES</v>
      </c>
      <c r="J2051" t="s">
        <v>2057</v>
      </c>
      <c r="K2051">
        <v>1994406.5005300001</v>
      </c>
      <c r="L2051" s="1">
        <f t="shared" ref="L2051:L2114" si="130">$U$2*$K2051*C2051</f>
        <v>0</v>
      </c>
      <c r="M2051" s="1">
        <f t="shared" ref="M2051:M2114" si="131">$U$3*$K2051*E2051</f>
        <v>0</v>
      </c>
      <c r="N2051" s="1">
        <f t="shared" ref="N2051:N2114" si="132">$U$4*$K2051*G2051</f>
        <v>0</v>
      </c>
      <c r="O2051" s="1"/>
    </row>
    <row r="2052" spans="1:15" x14ac:dyDescent="0.25">
      <c r="A2052">
        <v>3855</v>
      </c>
      <c r="B2052">
        <v>7856.2137640000001</v>
      </c>
      <c r="C2052">
        <v>0</v>
      </c>
      <c r="D2052">
        <v>37215.799189999998</v>
      </c>
      <c r="E2052">
        <v>0</v>
      </c>
      <c r="F2052">
        <v>63548.783499999998</v>
      </c>
      <c r="G2052">
        <v>0</v>
      </c>
      <c r="H2052">
        <v>3855</v>
      </c>
      <c r="I2052" t="str">
        <f t="shared" si="129"/>
        <v>YES</v>
      </c>
      <c r="J2052" t="s">
        <v>2058</v>
      </c>
      <c r="K2052">
        <v>2116991.01859</v>
      </c>
      <c r="L2052" s="1">
        <f t="shared" si="130"/>
        <v>0</v>
      </c>
      <c r="M2052" s="1">
        <f t="shared" si="131"/>
        <v>0</v>
      </c>
      <c r="N2052" s="1">
        <f t="shared" si="132"/>
        <v>0</v>
      </c>
      <c r="O2052" s="1"/>
    </row>
    <row r="2053" spans="1:15" x14ac:dyDescent="0.25">
      <c r="A2053">
        <v>3856</v>
      </c>
      <c r="B2053">
        <v>10633.795179999999</v>
      </c>
      <c r="C2053">
        <v>0</v>
      </c>
      <c r="D2053">
        <v>36676.284189999998</v>
      </c>
      <c r="E2053">
        <v>0</v>
      </c>
      <c r="F2053">
        <v>70730.93763</v>
      </c>
      <c r="G2053">
        <v>0</v>
      </c>
      <c r="H2053">
        <v>3856</v>
      </c>
      <c r="I2053" t="str">
        <f t="shared" si="129"/>
        <v>YES</v>
      </c>
      <c r="J2053" t="s">
        <v>2059</v>
      </c>
      <c r="K2053">
        <v>985440.23039399995</v>
      </c>
      <c r="L2053" s="1">
        <f t="shared" si="130"/>
        <v>0</v>
      </c>
      <c r="M2053" s="1">
        <f t="shared" si="131"/>
        <v>0</v>
      </c>
      <c r="N2053" s="1">
        <f t="shared" si="132"/>
        <v>0</v>
      </c>
      <c r="O2053" s="1"/>
    </row>
    <row r="2054" spans="1:15" x14ac:dyDescent="0.25">
      <c r="A2054">
        <v>3857</v>
      </c>
      <c r="B2054">
        <v>3821.840447</v>
      </c>
      <c r="C2054">
        <v>0</v>
      </c>
      <c r="D2054">
        <v>32940.610820000002</v>
      </c>
      <c r="E2054">
        <v>0</v>
      </c>
      <c r="F2054">
        <v>68297.78903</v>
      </c>
      <c r="G2054">
        <v>0</v>
      </c>
      <c r="H2054">
        <v>3857</v>
      </c>
      <c r="I2054" t="str">
        <f t="shared" si="129"/>
        <v>YES</v>
      </c>
      <c r="J2054" t="s">
        <v>2060</v>
      </c>
      <c r="K2054">
        <v>626215.99083300005</v>
      </c>
      <c r="L2054" s="1">
        <f t="shared" si="130"/>
        <v>0</v>
      </c>
      <c r="M2054" s="1">
        <f t="shared" si="131"/>
        <v>0</v>
      </c>
      <c r="N2054" s="1">
        <f t="shared" si="132"/>
        <v>0</v>
      </c>
      <c r="O2054" s="1"/>
    </row>
    <row r="2055" spans="1:15" x14ac:dyDescent="0.25">
      <c r="A2055">
        <v>3858</v>
      </c>
      <c r="B2055">
        <v>3741.1863370000001</v>
      </c>
      <c r="C2055">
        <v>0</v>
      </c>
      <c r="D2055">
        <v>36612.005559999998</v>
      </c>
      <c r="E2055">
        <v>0</v>
      </c>
      <c r="F2055">
        <v>59423.366670000003</v>
      </c>
      <c r="G2055">
        <v>0</v>
      </c>
      <c r="H2055">
        <v>3858</v>
      </c>
      <c r="I2055" t="str">
        <f t="shared" si="129"/>
        <v>YES</v>
      </c>
      <c r="J2055" t="s">
        <v>2061</v>
      </c>
      <c r="K2055">
        <v>670176.51635499997</v>
      </c>
      <c r="L2055" s="1">
        <f t="shared" si="130"/>
        <v>0</v>
      </c>
      <c r="M2055" s="1">
        <f t="shared" si="131"/>
        <v>0</v>
      </c>
      <c r="N2055" s="1">
        <f t="shared" si="132"/>
        <v>0</v>
      </c>
      <c r="O2055" s="1"/>
    </row>
    <row r="2056" spans="1:15" x14ac:dyDescent="0.25">
      <c r="A2056">
        <v>3859</v>
      </c>
      <c r="B2056">
        <v>3407.2827579999998</v>
      </c>
      <c r="C2056">
        <v>0</v>
      </c>
      <c r="D2056">
        <v>27680.02276</v>
      </c>
      <c r="E2056">
        <v>0</v>
      </c>
      <c r="F2056">
        <v>70319.059819999995</v>
      </c>
      <c r="G2056">
        <v>0</v>
      </c>
      <c r="H2056">
        <v>3859</v>
      </c>
      <c r="I2056" t="str">
        <f t="shared" si="129"/>
        <v>YES</v>
      </c>
      <c r="J2056" t="s">
        <v>2062</v>
      </c>
      <c r="K2056">
        <v>769670.77364100004</v>
      </c>
      <c r="L2056" s="1">
        <f t="shared" si="130"/>
        <v>0</v>
      </c>
      <c r="M2056" s="1">
        <f t="shared" si="131"/>
        <v>0</v>
      </c>
      <c r="N2056" s="1">
        <f t="shared" si="132"/>
        <v>0</v>
      </c>
      <c r="O2056" s="1"/>
    </row>
    <row r="2057" spans="1:15" x14ac:dyDescent="0.25">
      <c r="A2057">
        <v>3860</v>
      </c>
      <c r="B2057">
        <v>3776.705312</v>
      </c>
      <c r="C2057">
        <v>0</v>
      </c>
      <c r="D2057">
        <v>31149.011490000001</v>
      </c>
      <c r="E2057">
        <v>0</v>
      </c>
      <c r="F2057">
        <v>48368.768790000002</v>
      </c>
      <c r="G2057">
        <v>0</v>
      </c>
      <c r="H2057">
        <v>3860</v>
      </c>
      <c r="I2057" t="str">
        <f t="shared" si="129"/>
        <v>YES</v>
      </c>
      <c r="J2057" t="s">
        <v>2063</v>
      </c>
      <c r="K2057">
        <v>979333.68427500001</v>
      </c>
      <c r="L2057" s="1">
        <f t="shared" si="130"/>
        <v>0</v>
      </c>
      <c r="M2057" s="1">
        <f t="shared" si="131"/>
        <v>0</v>
      </c>
      <c r="N2057" s="1">
        <f t="shared" si="132"/>
        <v>0</v>
      </c>
      <c r="O2057" s="1"/>
    </row>
    <row r="2058" spans="1:15" x14ac:dyDescent="0.25">
      <c r="A2058">
        <v>3861</v>
      </c>
      <c r="B2058">
        <v>1587.370739</v>
      </c>
      <c r="C2058">
        <v>0</v>
      </c>
      <c r="D2058">
        <v>27105.660189999999</v>
      </c>
      <c r="E2058">
        <v>0</v>
      </c>
      <c r="F2058">
        <v>66995.771670000002</v>
      </c>
      <c r="G2058">
        <v>0</v>
      </c>
      <c r="H2058">
        <v>3861</v>
      </c>
      <c r="I2058" t="str">
        <f t="shared" si="129"/>
        <v>YES</v>
      </c>
      <c r="J2058" t="s">
        <v>2064</v>
      </c>
      <c r="K2058">
        <v>578118.27492999996</v>
      </c>
      <c r="L2058" s="1">
        <f t="shared" si="130"/>
        <v>0</v>
      </c>
      <c r="M2058" s="1">
        <f t="shared" si="131"/>
        <v>0</v>
      </c>
      <c r="N2058" s="1">
        <f t="shared" si="132"/>
        <v>0</v>
      </c>
      <c r="O2058" s="1"/>
    </row>
    <row r="2059" spans="1:15" x14ac:dyDescent="0.25">
      <c r="A2059">
        <v>3862</v>
      </c>
      <c r="B2059">
        <v>1351.889893</v>
      </c>
      <c r="C2059">
        <v>0</v>
      </c>
      <c r="D2059">
        <v>22970.129860000001</v>
      </c>
      <c r="E2059">
        <v>0</v>
      </c>
      <c r="F2059">
        <v>48556.532209999998</v>
      </c>
      <c r="G2059">
        <v>0</v>
      </c>
      <c r="H2059">
        <v>3862</v>
      </c>
      <c r="I2059" t="str">
        <f t="shared" si="129"/>
        <v>YES</v>
      </c>
      <c r="J2059" t="s">
        <v>2065</v>
      </c>
      <c r="K2059">
        <v>739360.834806</v>
      </c>
      <c r="L2059" s="1">
        <f t="shared" si="130"/>
        <v>0</v>
      </c>
      <c r="M2059" s="1">
        <f t="shared" si="131"/>
        <v>0</v>
      </c>
      <c r="N2059" s="1">
        <f t="shared" si="132"/>
        <v>0</v>
      </c>
      <c r="O2059" s="1"/>
    </row>
    <row r="2060" spans="1:15" x14ac:dyDescent="0.25">
      <c r="A2060">
        <v>3863</v>
      </c>
      <c r="B2060">
        <v>1563.154129</v>
      </c>
      <c r="C2060">
        <v>0</v>
      </c>
      <c r="D2060">
        <v>17763.56364</v>
      </c>
      <c r="E2060">
        <v>0</v>
      </c>
      <c r="F2060">
        <v>84277.056890000007</v>
      </c>
      <c r="G2060">
        <v>0</v>
      </c>
      <c r="H2060">
        <v>3863</v>
      </c>
      <c r="I2060" t="str">
        <f t="shared" si="129"/>
        <v>YES</v>
      </c>
      <c r="J2060" t="s">
        <v>2066</v>
      </c>
      <c r="K2060">
        <v>1791011.94723</v>
      </c>
      <c r="L2060" s="1">
        <f t="shared" si="130"/>
        <v>0</v>
      </c>
      <c r="M2060" s="1">
        <f t="shared" si="131"/>
        <v>0</v>
      </c>
      <c r="N2060" s="1">
        <f t="shared" si="132"/>
        <v>0</v>
      </c>
      <c r="O2060" s="1"/>
    </row>
    <row r="2061" spans="1:15" x14ac:dyDescent="0.25">
      <c r="A2061">
        <v>3864</v>
      </c>
      <c r="B2061">
        <v>2030.0617520000001</v>
      </c>
      <c r="C2061">
        <v>0</v>
      </c>
      <c r="D2061">
        <v>7457.3935419999998</v>
      </c>
      <c r="E2061">
        <v>0</v>
      </c>
      <c r="F2061">
        <v>41963.985679999998</v>
      </c>
      <c r="G2061">
        <v>0</v>
      </c>
      <c r="H2061">
        <v>3864</v>
      </c>
      <c r="I2061" t="str">
        <f t="shared" si="129"/>
        <v>YES</v>
      </c>
      <c r="J2061" t="s">
        <v>2067</v>
      </c>
      <c r="K2061">
        <v>515266.47331999999</v>
      </c>
      <c r="L2061" s="1">
        <f t="shared" si="130"/>
        <v>0</v>
      </c>
      <c r="M2061" s="1">
        <f t="shared" si="131"/>
        <v>0</v>
      </c>
      <c r="N2061" s="1">
        <f t="shared" si="132"/>
        <v>0</v>
      </c>
      <c r="O2061" s="1"/>
    </row>
    <row r="2062" spans="1:15" x14ac:dyDescent="0.25">
      <c r="A2062">
        <v>3865</v>
      </c>
      <c r="B2062">
        <v>256.10979079999998</v>
      </c>
      <c r="C2062">
        <v>0</v>
      </c>
      <c r="D2062">
        <v>6076.6023059999998</v>
      </c>
      <c r="E2062">
        <v>0</v>
      </c>
      <c r="F2062">
        <v>61280.375220000002</v>
      </c>
      <c r="G2062">
        <v>0</v>
      </c>
      <c r="H2062">
        <v>3865</v>
      </c>
      <c r="I2062" t="str">
        <f t="shared" si="129"/>
        <v>YES</v>
      </c>
      <c r="J2062" t="s">
        <v>2068</v>
      </c>
      <c r="K2062">
        <v>935077.57479500002</v>
      </c>
      <c r="L2062" s="1">
        <f t="shared" si="130"/>
        <v>0</v>
      </c>
      <c r="M2062" s="1">
        <f t="shared" si="131"/>
        <v>0</v>
      </c>
      <c r="N2062" s="1">
        <f t="shared" si="132"/>
        <v>0</v>
      </c>
      <c r="O2062" s="1"/>
    </row>
    <row r="2063" spans="1:15" x14ac:dyDescent="0.25">
      <c r="A2063">
        <v>3866</v>
      </c>
      <c r="B2063">
        <v>30920.274399999998</v>
      </c>
      <c r="C2063">
        <v>0</v>
      </c>
      <c r="D2063">
        <v>106959.98239999999</v>
      </c>
      <c r="E2063">
        <v>0</v>
      </c>
      <c r="F2063">
        <v>269180.72409999999</v>
      </c>
      <c r="G2063">
        <v>0</v>
      </c>
      <c r="H2063">
        <v>3866</v>
      </c>
      <c r="I2063" t="str">
        <f t="shared" si="129"/>
        <v>YES</v>
      </c>
      <c r="J2063" t="s">
        <v>2069</v>
      </c>
      <c r="K2063">
        <v>215269.56425200001</v>
      </c>
      <c r="L2063" s="1">
        <f t="shared" si="130"/>
        <v>0</v>
      </c>
      <c r="M2063" s="1">
        <f t="shared" si="131"/>
        <v>0</v>
      </c>
      <c r="N2063" s="1">
        <f t="shared" si="132"/>
        <v>0</v>
      </c>
      <c r="O2063" s="1"/>
    </row>
    <row r="2064" spans="1:15" x14ac:dyDescent="0.25">
      <c r="A2064">
        <v>3867</v>
      </c>
      <c r="B2064">
        <v>28247.463919999998</v>
      </c>
      <c r="C2064">
        <v>0</v>
      </c>
      <c r="D2064">
        <v>86370.549440000003</v>
      </c>
      <c r="E2064">
        <v>0</v>
      </c>
      <c r="F2064">
        <v>227192.18580000001</v>
      </c>
      <c r="G2064">
        <v>0</v>
      </c>
      <c r="H2064">
        <v>3867</v>
      </c>
      <c r="I2064" t="str">
        <f t="shared" si="129"/>
        <v>YES</v>
      </c>
      <c r="J2064" t="s">
        <v>2070</v>
      </c>
      <c r="K2064">
        <v>342983.58078999998</v>
      </c>
      <c r="L2064" s="1">
        <f t="shared" si="130"/>
        <v>0</v>
      </c>
      <c r="M2064" s="1">
        <f t="shared" si="131"/>
        <v>0</v>
      </c>
      <c r="N2064" s="1">
        <f t="shared" si="132"/>
        <v>0</v>
      </c>
      <c r="O2064" s="1"/>
    </row>
    <row r="2065" spans="1:15" x14ac:dyDescent="0.25">
      <c r="A2065">
        <v>3868</v>
      </c>
      <c r="B2065">
        <v>23895.590270000001</v>
      </c>
      <c r="C2065">
        <v>0</v>
      </c>
      <c r="D2065">
        <v>73799.588640000002</v>
      </c>
      <c r="E2065">
        <v>0</v>
      </c>
      <c r="F2065">
        <v>216172.69200000001</v>
      </c>
      <c r="G2065">
        <v>0</v>
      </c>
      <c r="H2065">
        <v>3868</v>
      </c>
      <c r="I2065" t="str">
        <f t="shared" si="129"/>
        <v>YES</v>
      </c>
      <c r="J2065" t="s">
        <v>2071</v>
      </c>
      <c r="K2065">
        <v>172413.06614700001</v>
      </c>
      <c r="L2065" s="1">
        <f t="shared" si="130"/>
        <v>0</v>
      </c>
      <c r="M2065" s="1">
        <f t="shared" si="131"/>
        <v>0</v>
      </c>
      <c r="N2065" s="1">
        <f t="shared" si="132"/>
        <v>0</v>
      </c>
      <c r="O2065" s="1"/>
    </row>
    <row r="2066" spans="1:15" x14ac:dyDescent="0.25">
      <c r="A2066">
        <v>3869</v>
      </c>
      <c r="B2066">
        <v>23103.88855</v>
      </c>
      <c r="C2066">
        <v>0</v>
      </c>
      <c r="D2066">
        <v>53968.551319999999</v>
      </c>
      <c r="E2066">
        <v>0</v>
      </c>
      <c r="F2066">
        <v>141640.20420000001</v>
      </c>
      <c r="G2066">
        <v>0</v>
      </c>
      <c r="H2066">
        <v>3869</v>
      </c>
      <c r="I2066" t="str">
        <f t="shared" si="129"/>
        <v>YES</v>
      </c>
      <c r="J2066" t="s">
        <v>2072</v>
      </c>
      <c r="K2066">
        <v>685598.26447399997</v>
      </c>
      <c r="L2066" s="1">
        <f t="shared" si="130"/>
        <v>0</v>
      </c>
      <c r="M2066" s="1">
        <f t="shared" si="131"/>
        <v>0</v>
      </c>
      <c r="N2066" s="1">
        <f t="shared" si="132"/>
        <v>0</v>
      </c>
      <c r="O2066" s="1"/>
    </row>
    <row r="2067" spans="1:15" x14ac:dyDescent="0.25">
      <c r="A2067">
        <v>3870</v>
      </c>
      <c r="B2067">
        <v>20255.623909999998</v>
      </c>
      <c r="C2067">
        <v>0</v>
      </c>
      <c r="D2067">
        <v>49067.635979999999</v>
      </c>
      <c r="E2067">
        <v>0</v>
      </c>
      <c r="F2067">
        <v>135336.7617</v>
      </c>
      <c r="G2067">
        <v>0</v>
      </c>
      <c r="H2067">
        <v>3870</v>
      </c>
      <c r="I2067" t="str">
        <f t="shared" si="129"/>
        <v>YES</v>
      </c>
      <c r="J2067" t="s">
        <v>2073</v>
      </c>
      <c r="K2067">
        <v>259358.86245399999</v>
      </c>
      <c r="L2067" s="1">
        <f t="shared" si="130"/>
        <v>0</v>
      </c>
      <c r="M2067" s="1">
        <f t="shared" si="131"/>
        <v>0</v>
      </c>
      <c r="N2067" s="1">
        <f t="shared" si="132"/>
        <v>0</v>
      </c>
      <c r="O2067" s="1"/>
    </row>
    <row r="2068" spans="1:15" x14ac:dyDescent="0.25">
      <c r="A2068">
        <v>3875</v>
      </c>
      <c r="B2068">
        <v>1377.1339290000001</v>
      </c>
      <c r="C2068">
        <v>0</v>
      </c>
      <c r="D2068">
        <v>22307.64573</v>
      </c>
      <c r="E2068">
        <v>0</v>
      </c>
      <c r="F2068">
        <v>82990.510250000007</v>
      </c>
      <c r="G2068">
        <v>0</v>
      </c>
      <c r="H2068">
        <v>3875</v>
      </c>
      <c r="I2068" t="str">
        <f t="shared" si="129"/>
        <v>YES</v>
      </c>
      <c r="J2068" t="s">
        <v>2074</v>
      </c>
      <c r="K2068">
        <v>1651266.96135</v>
      </c>
      <c r="L2068" s="1">
        <f t="shared" si="130"/>
        <v>0</v>
      </c>
      <c r="M2068" s="1">
        <f t="shared" si="131"/>
        <v>0</v>
      </c>
      <c r="N2068" s="1">
        <f t="shared" si="132"/>
        <v>0</v>
      </c>
      <c r="O2068" s="1"/>
    </row>
    <row r="2069" spans="1:15" x14ac:dyDescent="0.25">
      <c r="A2069">
        <v>3900</v>
      </c>
      <c r="B2069">
        <v>14347.05917</v>
      </c>
      <c r="C2069">
        <v>0</v>
      </c>
      <c r="D2069">
        <v>86739.741009999998</v>
      </c>
      <c r="E2069">
        <v>0</v>
      </c>
      <c r="F2069">
        <v>241606.24619999999</v>
      </c>
      <c r="G2069">
        <v>0</v>
      </c>
      <c r="H2069">
        <v>3900</v>
      </c>
      <c r="I2069" t="str">
        <f t="shared" si="129"/>
        <v>YES</v>
      </c>
      <c r="J2069" t="s">
        <v>2075</v>
      </c>
      <c r="K2069">
        <v>1483757.90989</v>
      </c>
      <c r="L2069" s="1">
        <f t="shared" si="130"/>
        <v>0</v>
      </c>
      <c r="M2069" s="1">
        <f t="shared" si="131"/>
        <v>0</v>
      </c>
      <c r="N2069" s="1">
        <f t="shared" si="132"/>
        <v>0</v>
      </c>
      <c r="O2069" s="1"/>
    </row>
    <row r="2070" spans="1:15" x14ac:dyDescent="0.25">
      <c r="A2070">
        <v>3901</v>
      </c>
      <c r="B2070">
        <v>2496.658629</v>
      </c>
      <c r="C2070">
        <v>0</v>
      </c>
      <c r="D2070">
        <v>59376.087359999998</v>
      </c>
      <c r="E2070">
        <v>0</v>
      </c>
      <c r="F2070">
        <v>197720.43220000001</v>
      </c>
      <c r="G2070">
        <v>0</v>
      </c>
      <c r="H2070">
        <v>3901</v>
      </c>
      <c r="I2070" t="str">
        <f t="shared" si="129"/>
        <v>YES</v>
      </c>
      <c r="J2070" t="s">
        <v>2076</v>
      </c>
      <c r="K2070">
        <v>1195177.79737</v>
      </c>
      <c r="L2070" s="1">
        <f t="shared" si="130"/>
        <v>0</v>
      </c>
      <c r="M2070" s="1">
        <f t="shared" si="131"/>
        <v>0</v>
      </c>
      <c r="N2070" s="1">
        <f t="shared" si="132"/>
        <v>0</v>
      </c>
      <c r="O2070" s="1"/>
    </row>
    <row r="2071" spans="1:15" x14ac:dyDescent="0.25">
      <c r="A2071">
        <v>3902</v>
      </c>
      <c r="B2071">
        <v>17962.69702</v>
      </c>
      <c r="C2071">
        <v>0</v>
      </c>
      <c r="D2071">
        <v>104488.5301</v>
      </c>
      <c r="E2071">
        <v>0</v>
      </c>
      <c r="F2071">
        <v>316328.59399999998</v>
      </c>
      <c r="G2071">
        <v>0</v>
      </c>
      <c r="H2071">
        <v>3902</v>
      </c>
      <c r="I2071" t="str">
        <f t="shared" si="129"/>
        <v>YES</v>
      </c>
      <c r="J2071" t="s">
        <v>2077</v>
      </c>
      <c r="K2071">
        <v>1067407.75181</v>
      </c>
      <c r="L2071" s="1">
        <f t="shared" si="130"/>
        <v>0</v>
      </c>
      <c r="M2071" s="1">
        <f t="shared" si="131"/>
        <v>0</v>
      </c>
      <c r="N2071" s="1">
        <f t="shared" si="132"/>
        <v>0</v>
      </c>
      <c r="O2071" s="1"/>
    </row>
    <row r="2072" spans="1:15" x14ac:dyDescent="0.25">
      <c r="A2072">
        <v>3903</v>
      </c>
      <c r="B2072">
        <v>26506.884709999998</v>
      </c>
      <c r="C2072">
        <v>0</v>
      </c>
      <c r="D2072">
        <v>88343.544139999998</v>
      </c>
      <c r="E2072">
        <v>0</v>
      </c>
      <c r="F2072">
        <v>356563.04060000001</v>
      </c>
      <c r="G2072">
        <v>0</v>
      </c>
      <c r="H2072">
        <v>3903</v>
      </c>
      <c r="I2072" t="str">
        <f t="shared" si="129"/>
        <v>YES</v>
      </c>
      <c r="J2072" t="s">
        <v>2078</v>
      </c>
      <c r="K2072">
        <v>1362946.7260799999</v>
      </c>
      <c r="L2072" s="1">
        <f t="shared" si="130"/>
        <v>0</v>
      </c>
      <c r="M2072" s="1">
        <f t="shared" si="131"/>
        <v>0</v>
      </c>
      <c r="N2072" s="1">
        <f t="shared" si="132"/>
        <v>0</v>
      </c>
      <c r="O2072" s="1"/>
    </row>
    <row r="2073" spans="1:15" x14ac:dyDescent="0.25">
      <c r="A2073">
        <v>3905</v>
      </c>
      <c r="B2073">
        <v>6119.7901760000004</v>
      </c>
      <c r="C2073">
        <v>0</v>
      </c>
      <c r="D2073">
        <v>36094.427510000001</v>
      </c>
      <c r="E2073">
        <v>0</v>
      </c>
      <c r="F2073">
        <v>134357.71549999999</v>
      </c>
      <c r="G2073">
        <v>0</v>
      </c>
      <c r="H2073">
        <v>3905</v>
      </c>
      <c r="I2073" t="str">
        <f t="shared" si="129"/>
        <v>YES</v>
      </c>
      <c r="J2073" t="s">
        <v>2079</v>
      </c>
      <c r="K2073">
        <v>348504.45994999999</v>
      </c>
      <c r="L2073" s="1">
        <f t="shared" si="130"/>
        <v>0</v>
      </c>
      <c r="M2073" s="1">
        <f t="shared" si="131"/>
        <v>0</v>
      </c>
      <c r="N2073" s="1">
        <f t="shared" si="132"/>
        <v>0</v>
      </c>
      <c r="O2073" s="1"/>
    </row>
    <row r="2074" spans="1:15" x14ac:dyDescent="0.25">
      <c r="A2074">
        <v>3906</v>
      </c>
      <c r="B2074">
        <v>19262.578249999999</v>
      </c>
      <c r="C2074">
        <v>0</v>
      </c>
      <c r="D2074">
        <v>86265.814180000001</v>
      </c>
      <c r="E2074">
        <v>0</v>
      </c>
      <c r="F2074">
        <v>320740.07150000002</v>
      </c>
      <c r="G2074">
        <v>0</v>
      </c>
      <c r="H2074">
        <v>3906</v>
      </c>
      <c r="I2074" t="str">
        <f t="shared" si="129"/>
        <v>YES</v>
      </c>
      <c r="J2074" t="s">
        <v>2080</v>
      </c>
      <c r="K2074">
        <v>640646.27108800004</v>
      </c>
      <c r="L2074" s="1">
        <f t="shared" si="130"/>
        <v>0</v>
      </c>
      <c r="M2074" s="1">
        <f t="shared" si="131"/>
        <v>0</v>
      </c>
      <c r="N2074" s="1">
        <f t="shared" si="132"/>
        <v>0</v>
      </c>
      <c r="O2074" s="1"/>
    </row>
    <row r="2075" spans="1:15" x14ac:dyDescent="0.25">
      <c r="A2075">
        <v>3907</v>
      </c>
      <c r="B2075">
        <v>1496.362474</v>
      </c>
      <c r="C2075">
        <v>0</v>
      </c>
      <c r="D2075">
        <v>33726.306129999997</v>
      </c>
      <c r="E2075">
        <v>0</v>
      </c>
      <c r="F2075">
        <v>109840.0919</v>
      </c>
      <c r="G2075">
        <v>0</v>
      </c>
      <c r="H2075">
        <v>3907</v>
      </c>
      <c r="I2075" t="str">
        <f t="shared" si="129"/>
        <v>YES</v>
      </c>
      <c r="J2075" t="s">
        <v>2081</v>
      </c>
      <c r="K2075">
        <v>1340275.04</v>
      </c>
      <c r="L2075" s="1">
        <f t="shared" si="130"/>
        <v>0</v>
      </c>
      <c r="M2075" s="1">
        <f t="shared" si="131"/>
        <v>0</v>
      </c>
      <c r="N2075" s="1">
        <f t="shared" si="132"/>
        <v>0</v>
      </c>
      <c r="O2075" s="1"/>
    </row>
    <row r="2076" spans="1:15" x14ac:dyDescent="0.25">
      <c r="A2076">
        <v>3908</v>
      </c>
      <c r="B2076">
        <v>2235.5364209999998</v>
      </c>
      <c r="C2076">
        <v>0</v>
      </c>
      <c r="D2076">
        <v>10103.86391</v>
      </c>
      <c r="E2076">
        <v>0</v>
      </c>
      <c r="F2076">
        <v>80638.705329999997</v>
      </c>
      <c r="G2076">
        <v>0</v>
      </c>
      <c r="H2076">
        <v>3908</v>
      </c>
      <c r="I2076" t="str">
        <f t="shared" si="129"/>
        <v>YES</v>
      </c>
      <c r="J2076" t="s">
        <v>2082</v>
      </c>
      <c r="K2076">
        <v>789203.54911300004</v>
      </c>
      <c r="L2076" s="1">
        <f t="shared" si="130"/>
        <v>0</v>
      </c>
      <c r="M2076" s="1">
        <f t="shared" si="131"/>
        <v>0</v>
      </c>
      <c r="N2076" s="1">
        <f t="shared" si="132"/>
        <v>0</v>
      </c>
      <c r="O2076" s="1"/>
    </row>
    <row r="2077" spans="1:15" x14ac:dyDescent="0.25">
      <c r="A2077">
        <v>3909</v>
      </c>
      <c r="B2077">
        <v>6305.8558810000004</v>
      </c>
      <c r="C2077">
        <v>0</v>
      </c>
      <c r="D2077">
        <v>45849.094720000001</v>
      </c>
      <c r="E2077">
        <v>0</v>
      </c>
      <c r="F2077">
        <v>161747.88860000001</v>
      </c>
      <c r="G2077">
        <v>0</v>
      </c>
      <c r="H2077">
        <v>3909</v>
      </c>
      <c r="I2077" t="str">
        <f t="shared" si="129"/>
        <v>YES</v>
      </c>
      <c r="J2077" t="s">
        <v>2083</v>
      </c>
      <c r="K2077">
        <v>677073.38189299998</v>
      </c>
      <c r="L2077" s="1">
        <f t="shared" si="130"/>
        <v>0</v>
      </c>
      <c r="M2077" s="1">
        <f t="shared" si="131"/>
        <v>0</v>
      </c>
      <c r="N2077" s="1">
        <f t="shared" si="132"/>
        <v>0</v>
      </c>
      <c r="O2077" s="1"/>
    </row>
    <row r="2078" spans="1:15" x14ac:dyDescent="0.25">
      <c r="A2078">
        <v>3910</v>
      </c>
      <c r="B2078">
        <v>3600.873623</v>
      </c>
      <c r="C2078">
        <v>0</v>
      </c>
      <c r="D2078">
        <v>44944.864860000001</v>
      </c>
      <c r="E2078">
        <v>0</v>
      </c>
      <c r="F2078">
        <v>163917.15520000001</v>
      </c>
      <c r="G2078">
        <v>0</v>
      </c>
      <c r="H2078">
        <v>3910</v>
      </c>
      <c r="I2078" t="str">
        <f t="shared" si="129"/>
        <v>YES</v>
      </c>
      <c r="J2078" t="s">
        <v>2084</v>
      </c>
      <c r="K2078">
        <v>607065.17950299999</v>
      </c>
      <c r="L2078" s="1">
        <f t="shared" si="130"/>
        <v>0</v>
      </c>
      <c r="M2078" s="1">
        <f t="shared" si="131"/>
        <v>0</v>
      </c>
      <c r="N2078" s="1">
        <f t="shared" si="132"/>
        <v>0</v>
      </c>
      <c r="O2078" s="1"/>
    </row>
    <row r="2079" spans="1:15" x14ac:dyDescent="0.25">
      <c r="A2079">
        <v>3911</v>
      </c>
      <c r="B2079">
        <v>1370.306225</v>
      </c>
      <c r="C2079">
        <v>0</v>
      </c>
      <c r="D2079">
        <v>10088.55881</v>
      </c>
      <c r="E2079">
        <v>0</v>
      </c>
      <c r="F2079">
        <v>77729.491240000003</v>
      </c>
      <c r="G2079">
        <v>0</v>
      </c>
      <c r="H2079">
        <v>3911</v>
      </c>
      <c r="I2079" t="str">
        <f t="shared" si="129"/>
        <v>YES</v>
      </c>
      <c r="J2079" t="s">
        <v>2085</v>
      </c>
      <c r="K2079">
        <v>398681.00746400002</v>
      </c>
      <c r="L2079" s="1">
        <f t="shared" si="130"/>
        <v>0</v>
      </c>
      <c r="M2079" s="1">
        <f t="shared" si="131"/>
        <v>0</v>
      </c>
      <c r="N2079" s="1">
        <f t="shared" si="132"/>
        <v>0</v>
      </c>
      <c r="O2079" s="1"/>
    </row>
    <row r="2080" spans="1:15" x14ac:dyDescent="0.25">
      <c r="A2080">
        <v>3912</v>
      </c>
      <c r="B2080">
        <v>3930.8213000000001</v>
      </c>
      <c r="C2080">
        <v>0</v>
      </c>
      <c r="D2080">
        <v>20072.954280000002</v>
      </c>
      <c r="E2080">
        <v>0</v>
      </c>
      <c r="F2080">
        <v>105384.58100000001</v>
      </c>
      <c r="G2080">
        <v>0</v>
      </c>
      <c r="H2080">
        <v>3912</v>
      </c>
      <c r="I2080" t="str">
        <f t="shared" si="129"/>
        <v>YES</v>
      </c>
      <c r="J2080" t="s">
        <v>2086</v>
      </c>
      <c r="K2080">
        <v>895988.61638699996</v>
      </c>
      <c r="L2080" s="1">
        <f t="shared" si="130"/>
        <v>0</v>
      </c>
      <c r="M2080" s="1">
        <f t="shared" si="131"/>
        <v>0</v>
      </c>
      <c r="N2080" s="1">
        <f t="shared" si="132"/>
        <v>0</v>
      </c>
      <c r="O2080" s="1"/>
    </row>
    <row r="2081" spans="1:15" x14ac:dyDescent="0.25">
      <c r="A2081">
        <v>3913</v>
      </c>
      <c r="B2081">
        <v>16493.051469999999</v>
      </c>
      <c r="C2081">
        <v>0</v>
      </c>
      <c r="D2081">
        <v>92358.822610000003</v>
      </c>
      <c r="E2081">
        <v>0</v>
      </c>
      <c r="F2081">
        <v>342134.51059999998</v>
      </c>
      <c r="G2081">
        <v>0</v>
      </c>
      <c r="H2081">
        <v>3913</v>
      </c>
      <c r="I2081" t="str">
        <f t="shared" si="129"/>
        <v>YES</v>
      </c>
      <c r="J2081" t="s">
        <v>2087</v>
      </c>
      <c r="K2081">
        <v>802477.86446399998</v>
      </c>
      <c r="L2081" s="1">
        <f t="shared" si="130"/>
        <v>0</v>
      </c>
      <c r="M2081" s="1">
        <f t="shared" si="131"/>
        <v>0</v>
      </c>
      <c r="N2081" s="1">
        <f t="shared" si="132"/>
        <v>0</v>
      </c>
      <c r="O2081" s="1"/>
    </row>
    <row r="2082" spans="1:15" x14ac:dyDescent="0.25">
      <c r="A2082">
        <v>3914</v>
      </c>
      <c r="B2082">
        <v>3290.906058</v>
      </c>
      <c r="C2082">
        <v>0</v>
      </c>
      <c r="D2082">
        <v>54026.729529999997</v>
      </c>
      <c r="E2082">
        <v>0</v>
      </c>
      <c r="F2082">
        <v>164149.1814</v>
      </c>
      <c r="G2082">
        <v>0</v>
      </c>
      <c r="H2082">
        <v>3914</v>
      </c>
      <c r="I2082" t="str">
        <f t="shared" si="129"/>
        <v>YES</v>
      </c>
      <c r="J2082" t="s">
        <v>2088</v>
      </c>
      <c r="K2082">
        <v>449918.85400599998</v>
      </c>
      <c r="L2082" s="1">
        <f t="shared" si="130"/>
        <v>0</v>
      </c>
      <c r="M2082" s="1">
        <f t="shared" si="131"/>
        <v>0</v>
      </c>
      <c r="N2082" s="1">
        <f t="shared" si="132"/>
        <v>0</v>
      </c>
      <c r="O2082" s="1"/>
    </row>
    <row r="2083" spans="1:15" x14ac:dyDescent="0.25">
      <c r="A2083">
        <v>3915</v>
      </c>
      <c r="B2083">
        <v>4856.5973839999997</v>
      </c>
      <c r="C2083">
        <v>0</v>
      </c>
      <c r="D2083">
        <v>39914.999479999999</v>
      </c>
      <c r="E2083">
        <v>0</v>
      </c>
      <c r="F2083">
        <v>136890.73120000001</v>
      </c>
      <c r="G2083">
        <v>0</v>
      </c>
      <c r="H2083">
        <v>3915</v>
      </c>
      <c r="I2083" t="str">
        <f t="shared" si="129"/>
        <v>YES</v>
      </c>
      <c r="J2083" t="s">
        <v>2089</v>
      </c>
      <c r="K2083">
        <v>1037488.81265</v>
      </c>
      <c r="L2083" s="1">
        <f t="shared" si="130"/>
        <v>0</v>
      </c>
      <c r="M2083" s="1">
        <f t="shared" si="131"/>
        <v>0</v>
      </c>
      <c r="N2083" s="1">
        <f t="shared" si="132"/>
        <v>0</v>
      </c>
      <c r="O2083" s="1"/>
    </row>
    <row r="2084" spans="1:15" x14ac:dyDescent="0.25">
      <c r="A2084">
        <v>3916</v>
      </c>
      <c r="B2084">
        <v>6067.872883</v>
      </c>
      <c r="C2084">
        <v>0</v>
      </c>
      <c r="D2084">
        <v>68270.426149999999</v>
      </c>
      <c r="E2084">
        <v>0</v>
      </c>
      <c r="F2084">
        <v>198070.1336</v>
      </c>
      <c r="G2084">
        <v>0</v>
      </c>
      <c r="H2084">
        <v>3916</v>
      </c>
      <c r="I2084" t="str">
        <f t="shared" si="129"/>
        <v>YES</v>
      </c>
      <c r="J2084" t="s">
        <v>2090</v>
      </c>
      <c r="K2084">
        <v>602402.33388000005</v>
      </c>
      <c r="L2084" s="1">
        <f t="shared" si="130"/>
        <v>0</v>
      </c>
      <c r="M2084" s="1">
        <f t="shared" si="131"/>
        <v>0</v>
      </c>
      <c r="N2084" s="1">
        <f t="shared" si="132"/>
        <v>0</v>
      </c>
      <c r="O2084" s="1"/>
    </row>
    <row r="2085" spans="1:15" x14ac:dyDescent="0.25">
      <c r="A2085">
        <v>3917</v>
      </c>
      <c r="B2085">
        <v>5584.3897909999996</v>
      </c>
      <c r="C2085">
        <v>0</v>
      </c>
      <c r="D2085">
        <v>67760.624400000001</v>
      </c>
      <c r="E2085">
        <v>0</v>
      </c>
      <c r="F2085">
        <v>198881.29949999999</v>
      </c>
      <c r="G2085">
        <v>0</v>
      </c>
      <c r="H2085">
        <v>3917</v>
      </c>
      <c r="I2085" t="str">
        <f t="shared" si="129"/>
        <v>YES</v>
      </c>
      <c r="J2085" t="s">
        <v>2091</v>
      </c>
      <c r="K2085">
        <v>347609.41107099998</v>
      </c>
      <c r="L2085" s="1">
        <f t="shared" si="130"/>
        <v>0</v>
      </c>
      <c r="M2085" s="1">
        <f t="shared" si="131"/>
        <v>0</v>
      </c>
      <c r="N2085" s="1">
        <f t="shared" si="132"/>
        <v>0</v>
      </c>
      <c r="O2085" s="1"/>
    </row>
    <row r="2086" spans="1:15" x14ac:dyDescent="0.25">
      <c r="A2086">
        <v>3918</v>
      </c>
      <c r="B2086">
        <v>921.90714060000005</v>
      </c>
      <c r="C2086">
        <v>0</v>
      </c>
      <c r="D2086">
        <v>19490.323400000001</v>
      </c>
      <c r="E2086">
        <v>0</v>
      </c>
      <c r="F2086">
        <v>84760.938030000005</v>
      </c>
      <c r="G2086">
        <v>0</v>
      </c>
      <c r="H2086">
        <v>3918</v>
      </c>
      <c r="I2086" t="str">
        <f t="shared" si="129"/>
        <v>YES</v>
      </c>
      <c r="J2086" t="s">
        <v>2092</v>
      </c>
      <c r="K2086">
        <v>800675.94702099997</v>
      </c>
      <c r="L2086" s="1">
        <f t="shared" si="130"/>
        <v>0</v>
      </c>
      <c r="M2086" s="1">
        <f t="shared" si="131"/>
        <v>0</v>
      </c>
      <c r="N2086" s="1">
        <f t="shared" si="132"/>
        <v>0</v>
      </c>
      <c r="O2086" s="1"/>
    </row>
    <row r="2087" spans="1:15" x14ac:dyDescent="0.25">
      <c r="A2087">
        <v>3919</v>
      </c>
      <c r="B2087">
        <v>2209.1045960000001</v>
      </c>
      <c r="C2087">
        <v>0</v>
      </c>
      <c r="D2087">
        <v>8777.1245159999999</v>
      </c>
      <c r="E2087">
        <v>0</v>
      </c>
      <c r="F2087">
        <v>58229.515460000002</v>
      </c>
      <c r="G2087">
        <v>0</v>
      </c>
      <c r="H2087">
        <v>3919</v>
      </c>
      <c r="I2087" t="str">
        <f t="shared" si="129"/>
        <v>YES</v>
      </c>
      <c r="J2087" t="s">
        <v>2093</v>
      </c>
      <c r="K2087">
        <v>857805.87566799996</v>
      </c>
      <c r="L2087" s="1">
        <f t="shared" si="130"/>
        <v>0</v>
      </c>
      <c r="M2087" s="1">
        <f t="shared" si="131"/>
        <v>0</v>
      </c>
      <c r="N2087" s="1">
        <f t="shared" si="132"/>
        <v>0</v>
      </c>
      <c r="O2087" s="1"/>
    </row>
    <row r="2088" spans="1:15" x14ac:dyDescent="0.25">
      <c r="A2088">
        <v>3920</v>
      </c>
      <c r="B2088">
        <v>1039.6218409999999</v>
      </c>
      <c r="C2088">
        <v>0</v>
      </c>
      <c r="D2088">
        <v>8581.5314199999993</v>
      </c>
      <c r="E2088">
        <v>0</v>
      </c>
      <c r="F2088">
        <v>87163.49265</v>
      </c>
      <c r="G2088">
        <v>0</v>
      </c>
      <c r="H2088">
        <v>3920</v>
      </c>
      <c r="I2088" t="str">
        <f t="shared" si="129"/>
        <v>YES</v>
      </c>
      <c r="J2088" t="s">
        <v>2094</v>
      </c>
      <c r="K2088">
        <v>1160256.8139500001</v>
      </c>
      <c r="L2088" s="1">
        <f t="shared" si="130"/>
        <v>0</v>
      </c>
      <c r="M2088" s="1">
        <f t="shared" si="131"/>
        <v>0</v>
      </c>
      <c r="N2088" s="1">
        <f t="shared" si="132"/>
        <v>0</v>
      </c>
      <c r="O2088" s="1"/>
    </row>
    <row r="2089" spans="1:15" x14ac:dyDescent="0.25">
      <c r="A2089">
        <v>3921</v>
      </c>
      <c r="B2089">
        <v>1697.782201</v>
      </c>
      <c r="C2089">
        <v>0</v>
      </c>
      <c r="D2089">
        <v>10700.276830000001</v>
      </c>
      <c r="E2089">
        <v>0</v>
      </c>
      <c r="F2089">
        <v>70614.707150000002</v>
      </c>
      <c r="G2089">
        <v>0</v>
      </c>
      <c r="H2089">
        <v>3921</v>
      </c>
      <c r="I2089" t="str">
        <f t="shared" si="129"/>
        <v>YES</v>
      </c>
      <c r="J2089" t="s">
        <v>2095</v>
      </c>
      <c r="K2089">
        <v>881270.74079099996</v>
      </c>
      <c r="L2089" s="1">
        <f t="shared" si="130"/>
        <v>0</v>
      </c>
      <c r="M2089" s="1">
        <f t="shared" si="131"/>
        <v>0</v>
      </c>
      <c r="N2089" s="1">
        <f t="shared" si="132"/>
        <v>0</v>
      </c>
      <c r="O2089" s="1"/>
    </row>
    <row r="2090" spans="1:15" x14ac:dyDescent="0.25">
      <c r="A2090">
        <v>3922</v>
      </c>
      <c r="B2090">
        <v>1789.117978</v>
      </c>
      <c r="C2090">
        <v>0</v>
      </c>
      <c r="D2090">
        <v>16936.103869999999</v>
      </c>
      <c r="E2090">
        <v>0</v>
      </c>
      <c r="F2090">
        <v>126391.33010000001</v>
      </c>
      <c r="G2090">
        <v>0</v>
      </c>
      <c r="H2090">
        <v>3922</v>
      </c>
      <c r="I2090" t="str">
        <f t="shared" si="129"/>
        <v>YES</v>
      </c>
      <c r="J2090" t="s">
        <v>2096</v>
      </c>
      <c r="K2090">
        <v>826776.14188999997</v>
      </c>
      <c r="L2090" s="1">
        <f t="shared" si="130"/>
        <v>0</v>
      </c>
      <c r="M2090" s="1">
        <f t="shared" si="131"/>
        <v>0</v>
      </c>
      <c r="N2090" s="1">
        <f t="shared" si="132"/>
        <v>0</v>
      </c>
      <c r="O2090" s="1"/>
    </row>
    <row r="2091" spans="1:15" x14ac:dyDescent="0.25">
      <c r="A2091">
        <v>3923</v>
      </c>
      <c r="B2091">
        <v>1765.104237</v>
      </c>
      <c r="C2091">
        <v>0</v>
      </c>
      <c r="D2091">
        <v>13325.95203</v>
      </c>
      <c r="E2091">
        <v>0</v>
      </c>
      <c r="F2091">
        <v>101759.6559</v>
      </c>
      <c r="G2091">
        <v>0</v>
      </c>
      <c r="H2091">
        <v>3923</v>
      </c>
      <c r="I2091" t="str">
        <f t="shared" si="129"/>
        <v>YES</v>
      </c>
      <c r="J2091" t="s">
        <v>2097</v>
      </c>
      <c r="K2091">
        <v>664211.80303499999</v>
      </c>
      <c r="L2091" s="1">
        <f t="shared" si="130"/>
        <v>0</v>
      </c>
      <c r="M2091" s="1">
        <f t="shared" si="131"/>
        <v>0</v>
      </c>
      <c r="N2091" s="1">
        <f t="shared" si="132"/>
        <v>0</v>
      </c>
      <c r="O2091" s="1"/>
    </row>
    <row r="2092" spans="1:15" x14ac:dyDescent="0.25">
      <c r="A2092">
        <v>3924</v>
      </c>
      <c r="B2092">
        <v>4212.201153</v>
      </c>
      <c r="C2092">
        <v>0</v>
      </c>
      <c r="D2092">
        <v>28934.888770000001</v>
      </c>
      <c r="E2092">
        <v>0</v>
      </c>
      <c r="F2092">
        <v>144570.65410000001</v>
      </c>
      <c r="G2092">
        <v>0</v>
      </c>
      <c r="H2092">
        <v>3924</v>
      </c>
      <c r="I2092" t="str">
        <f t="shared" si="129"/>
        <v>YES</v>
      </c>
      <c r="J2092" t="s">
        <v>2098</v>
      </c>
      <c r="K2092">
        <v>825784.83479200001</v>
      </c>
      <c r="L2092" s="1">
        <f t="shared" si="130"/>
        <v>0</v>
      </c>
      <c r="M2092" s="1">
        <f t="shared" si="131"/>
        <v>0</v>
      </c>
      <c r="N2092" s="1">
        <f t="shared" si="132"/>
        <v>0</v>
      </c>
      <c r="O2092" s="1"/>
    </row>
    <row r="2093" spans="1:15" x14ac:dyDescent="0.25">
      <c r="A2093">
        <v>3925</v>
      </c>
      <c r="B2093">
        <v>965.27299419999997</v>
      </c>
      <c r="C2093">
        <v>0</v>
      </c>
      <c r="D2093">
        <v>9706.2323080000006</v>
      </c>
      <c r="E2093">
        <v>0</v>
      </c>
      <c r="F2093">
        <v>59700.430339999999</v>
      </c>
      <c r="G2093">
        <v>0</v>
      </c>
      <c r="H2093">
        <v>3925</v>
      </c>
      <c r="I2093" t="str">
        <f t="shared" si="129"/>
        <v>YES</v>
      </c>
      <c r="J2093" t="s">
        <v>2099</v>
      </c>
      <c r="K2093">
        <v>947178.47269700002</v>
      </c>
      <c r="L2093" s="1">
        <f t="shared" si="130"/>
        <v>0</v>
      </c>
      <c r="M2093" s="1">
        <f t="shared" si="131"/>
        <v>0</v>
      </c>
      <c r="N2093" s="1">
        <f t="shared" si="132"/>
        <v>0</v>
      </c>
      <c r="O2093" s="1"/>
    </row>
    <row r="2094" spans="1:15" x14ac:dyDescent="0.25">
      <c r="A2094">
        <v>3926</v>
      </c>
      <c r="B2094">
        <v>2054.4017829999998</v>
      </c>
      <c r="C2094">
        <v>0</v>
      </c>
      <c r="D2094">
        <v>29218.16215</v>
      </c>
      <c r="E2094">
        <v>0</v>
      </c>
      <c r="F2094">
        <v>117893.24649999999</v>
      </c>
      <c r="G2094">
        <v>0</v>
      </c>
      <c r="H2094">
        <v>3926</v>
      </c>
      <c r="I2094" t="str">
        <f t="shared" si="129"/>
        <v>YES</v>
      </c>
      <c r="J2094" t="s">
        <v>2100</v>
      </c>
      <c r="K2094">
        <v>988798.58452899999</v>
      </c>
      <c r="L2094" s="1">
        <f t="shared" si="130"/>
        <v>0</v>
      </c>
      <c r="M2094" s="1">
        <f t="shared" si="131"/>
        <v>0</v>
      </c>
      <c r="N2094" s="1">
        <f t="shared" si="132"/>
        <v>0</v>
      </c>
      <c r="O2094" s="1"/>
    </row>
    <row r="2095" spans="1:15" x14ac:dyDescent="0.25">
      <c r="A2095">
        <v>3927</v>
      </c>
      <c r="B2095">
        <v>7822.2155929999999</v>
      </c>
      <c r="C2095">
        <v>0</v>
      </c>
      <c r="D2095">
        <v>53602.895949999998</v>
      </c>
      <c r="E2095">
        <v>0</v>
      </c>
      <c r="F2095">
        <v>256729.59640000001</v>
      </c>
      <c r="G2095">
        <v>0</v>
      </c>
      <c r="H2095">
        <v>3927</v>
      </c>
      <c r="I2095" t="str">
        <f t="shared" si="129"/>
        <v>YES</v>
      </c>
      <c r="J2095" t="s">
        <v>2101</v>
      </c>
      <c r="K2095">
        <v>502333.05152699997</v>
      </c>
      <c r="L2095" s="1">
        <f t="shared" si="130"/>
        <v>0</v>
      </c>
      <c r="M2095" s="1">
        <f t="shared" si="131"/>
        <v>0</v>
      </c>
      <c r="N2095" s="1">
        <f t="shared" si="132"/>
        <v>0</v>
      </c>
      <c r="O2095" s="1"/>
    </row>
    <row r="2096" spans="1:15" x14ac:dyDescent="0.25">
      <c r="A2096">
        <v>3928</v>
      </c>
      <c r="B2096">
        <v>3018.1746029999999</v>
      </c>
      <c r="C2096">
        <v>0</v>
      </c>
      <c r="D2096">
        <v>23996.5252</v>
      </c>
      <c r="E2096">
        <v>0</v>
      </c>
      <c r="F2096">
        <v>129244.8848</v>
      </c>
      <c r="G2096">
        <v>0</v>
      </c>
      <c r="H2096">
        <v>3928</v>
      </c>
      <c r="I2096" t="str">
        <f t="shared" si="129"/>
        <v>YES</v>
      </c>
      <c r="J2096" t="s">
        <v>2102</v>
      </c>
      <c r="K2096">
        <v>444893.87908599997</v>
      </c>
      <c r="L2096" s="1">
        <f t="shared" si="130"/>
        <v>0</v>
      </c>
      <c r="M2096" s="1">
        <f t="shared" si="131"/>
        <v>0</v>
      </c>
      <c r="N2096" s="1">
        <f t="shared" si="132"/>
        <v>0</v>
      </c>
      <c r="O2096" s="1"/>
    </row>
    <row r="2097" spans="1:15" x14ac:dyDescent="0.25">
      <c r="A2097">
        <v>3929</v>
      </c>
      <c r="B2097">
        <v>1915.2010419999999</v>
      </c>
      <c r="C2097">
        <v>0</v>
      </c>
      <c r="D2097">
        <v>30667.92254</v>
      </c>
      <c r="E2097">
        <v>0</v>
      </c>
      <c r="F2097">
        <v>104118.9243</v>
      </c>
      <c r="G2097">
        <v>0</v>
      </c>
      <c r="H2097">
        <v>3929</v>
      </c>
      <c r="I2097" t="str">
        <f t="shared" si="129"/>
        <v>YES</v>
      </c>
      <c r="J2097" t="s">
        <v>2103</v>
      </c>
      <c r="K2097">
        <v>511789.491179</v>
      </c>
      <c r="L2097" s="1">
        <f t="shared" si="130"/>
        <v>0</v>
      </c>
      <c r="M2097" s="1">
        <f t="shared" si="131"/>
        <v>0</v>
      </c>
      <c r="N2097" s="1">
        <f t="shared" si="132"/>
        <v>0</v>
      </c>
      <c r="O2097" s="1"/>
    </row>
    <row r="2098" spans="1:15" x14ac:dyDescent="0.25">
      <c r="A2098">
        <v>3930</v>
      </c>
      <c r="B2098">
        <v>3412.9354899999998</v>
      </c>
      <c r="C2098">
        <v>0</v>
      </c>
      <c r="D2098">
        <v>39676.867729999998</v>
      </c>
      <c r="E2098">
        <v>0</v>
      </c>
      <c r="F2098">
        <v>147578.92050000001</v>
      </c>
      <c r="G2098">
        <v>0</v>
      </c>
      <c r="H2098">
        <v>3930</v>
      </c>
      <c r="I2098" t="str">
        <f t="shared" si="129"/>
        <v>YES</v>
      </c>
      <c r="J2098" t="s">
        <v>2104</v>
      </c>
      <c r="K2098">
        <v>944898.04973500001</v>
      </c>
      <c r="L2098" s="1">
        <f t="shared" si="130"/>
        <v>0</v>
      </c>
      <c r="M2098" s="1">
        <f t="shared" si="131"/>
        <v>0</v>
      </c>
      <c r="N2098" s="1">
        <f t="shared" si="132"/>
        <v>0</v>
      </c>
      <c r="O2098" s="1"/>
    </row>
    <row r="2099" spans="1:15" x14ac:dyDescent="0.25">
      <c r="A2099">
        <v>3931</v>
      </c>
      <c r="B2099">
        <v>17.36583452</v>
      </c>
      <c r="C2099">
        <v>0</v>
      </c>
      <c r="D2099">
        <v>222.88322500000001</v>
      </c>
      <c r="E2099">
        <v>0</v>
      </c>
      <c r="F2099">
        <v>4400.6156529999998</v>
      </c>
      <c r="G2099">
        <v>0</v>
      </c>
      <c r="H2099">
        <v>3931</v>
      </c>
      <c r="I2099" t="str">
        <f t="shared" si="129"/>
        <v>YES</v>
      </c>
      <c r="J2099" t="s">
        <v>2105</v>
      </c>
      <c r="K2099">
        <v>3375275.5148700001</v>
      </c>
      <c r="L2099" s="1">
        <f t="shared" si="130"/>
        <v>0</v>
      </c>
      <c r="M2099" s="1">
        <f t="shared" si="131"/>
        <v>0</v>
      </c>
      <c r="N2099" s="1">
        <f t="shared" si="132"/>
        <v>0</v>
      </c>
      <c r="O2099" s="1"/>
    </row>
    <row r="2100" spans="1:15" x14ac:dyDescent="0.25">
      <c r="A2100">
        <v>3933</v>
      </c>
      <c r="B2100">
        <v>2680.7603600000002</v>
      </c>
      <c r="C2100">
        <v>0</v>
      </c>
      <c r="D2100">
        <v>6286.7381960000002</v>
      </c>
      <c r="E2100">
        <v>0</v>
      </c>
      <c r="F2100">
        <v>22224.691739999998</v>
      </c>
      <c r="G2100">
        <v>0</v>
      </c>
      <c r="H2100">
        <v>3933</v>
      </c>
      <c r="I2100" t="str">
        <f t="shared" si="129"/>
        <v>YES</v>
      </c>
      <c r="J2100" t="s">
        <v>2106</v>
      </c>
      <c r="K2100">
        <v>1157725.62647</v>
      </c>
      <c r="L2100" s="1">
        <f t="shared" si="130"/>
        <v>0</v>
      </c>
      <c r="M2100" s="1">
        <f t="shared" si="131"/>
        <v>0</v>
      </c>
      <c r="N2100" s="1">
        <f t="shared" si="132"/>
        <v>0</v>
      </c>
      <c r="O2100" s="1"/>
    </row>
    <row r="2101" spans="1:15" x14ac:dyDescent="0.25">
      <c r="A2101">
        <v>3934</v>
      </c>
      <c r="B2101">
        <v>2687.5726169999998</v>
      </c>
      <c r="C2101">
        <v>0</v>
      </c>
      <c r="D2101">
        <v>6732.5242699999999</v>
      </c>
      <c r="E2101">
        <v>0</v>
      </c>
      <c r="F2101">
        <v>30338.81882</v>
      </c>
      <c r="G2101">
        <v>0</v>
      </c>
      <c r="H2101">
        <v>3934</v>
      </c>
      <c r="I2101" t="str">
        <f t="shared" si="129"/>
        <v>YES</v>
      </c>
      <c r="J2101" t="s">
        <v>2107</v>
      </c>
      <c r="K2101">
        <v>1473746.31751</v>
      </c>
      <c r="L2101" s="1">
        <f t="shared" si="130"/>
        <v>0</v>
      </c>
      <c r="M2101" s="1">
        <f t="shared" si="131"/>
        <v>0</v>
      </c>
      <c r="N2101" s="1">
        <f t="shared" si="132"/>
        <v>0</v>
      </c>
      <c r="O2101" s="1"/>
    </row>
    <row r="2102" spans="1:15" x14ac:dyDescent="0.25">
      <c r="A2102">
        <v>3935</v>
      </c>
      <c r="B2102">
        <v>2824.6858090000001</v>
      </c>
      <c r="C2102">
        <v>0</v>
      </c>
      <c r="D2102">
        <v>3666.2554500000001</v>
      </c>
      <c r="E2102">
        <v>0</v>
      </c>
      <c r="F2102">
        <v>7993.9324500000002</v>
      </c>
      <c r="G2102">
        <v>0</v>
      </c>
      <c r="H2102">
        <v>3935</v>
      </c>
      <c r="I2102" t="str">
        <f t="shared" si="129"/>
        <v>YES</v>
      </c>
      <c r="J2102" t="s">
        <v>2108</v>
      </c>
      <c r="K2102">
        <v>2548408.8593199998</v>
      </c>
      <c r="L2102" s="1">
        <f t="shared" si="130"/>
        <v>0</v>
      </c>
      <c r="M2102" s="1">
        <f t="shared" si="131"/>
        <v>0</v>
      </c>
      <c r="N2102" s="1">
        <f t="shared" si="132"/>
        <v>0</v>
      </c>
      <c r="O2102" s="1"/>
    </row>
    <row r="2103" spans="1:15" x14ac:dyDescent="0.25">
      <c r="A2103">
        <v>3936</v>
      </c>
      <c r="B2103">
        <v>21.521709189999999</v>
      </c>
      <c r="C2103">
        <v>0</v>
      </c>
      <c r="D2103">
        <v>192.48123530000001</v>
      </c>
      <c r="E2103">
        <v>0</v>
      </c>
      <c r="F2103">
        <v>192.48123530000001</v>
      </c>
      <c r="G2103">
        <v>0</v>
      </c>
      <c r="H2103">
        <v>3936</v>
      </c>
      <c r="I2103" t="str">
        <f t="shared" si="129"/>
        <v>YES</v>
      </c>
      <c r="J2103" t="s">
        <v>2109</v>
      </c>
      <c r="K2103">
        <v>4182937.7876599999</v>
      </c>
      <c r="L2103" s="1">
        <f t="shared" si="130"/>
        <v>0</v>
      </c>
      <c r="M2103" s="1">
        <f t="shared" si="131"/>
        <v>0</v>
      </c>
      <c r="N2103" s="1">
        <f t="shared" si="132"/>
        <v>0</v>
      </c>
      <c r="O2103" s="1"/>
    </row>
    <row r="2104" spans="1:15" x14ac:dyDescent="0.25">
      <c r="A2104">
        <v>3937</v>
      </c>
      <c r="B2104">
        <v>3426.7113330000002</v>
      </c>
      <c r="C2104">
        <v>0</v>
      </c>
      <c r="D2104">
        <v>9118.2124399999993</v>
      </c>
      <c r="E2104">
        <v>0</v>
      </c>
      <c r="F2104">
        <v>58105.710010000003</v>
      </c>
      <c r="G2104">
        <v>0</v>
      </c>
      <c r="H2104">
        <v>3937</v>
      </c>
      <c r="I2104" t="str">
        <f t="shared" si="129"/>
        <v>YES</v>
      </c>
      <c r="J2104" t="s">
        <v>2110</v>
      </c>
      <c r="K2104">
        <v>1324034.80036</v>
      </c>
      <c r="L2104" s="1">
        <f t="shared" si="130"/>
        <v>0</v>
      </c>
      <c r="M2104" s="1">
        <f t="shared" si="131"/>
        <v>0</v>
      </c>
      <c r="N2104" s="1">
        <f t="shared" si="132"/>
        <v>0</v>
      </c>
      <c r="O2104" s="1"/>
    </row>
    <row r="2105" spans="1:15" x14ac:dyDescent="0.25">
      <c r="A2105">
        <v>3938</v>
      </c>
      <c r="B2105">
        <v>544.99500609999996</v>
      </c>
      <c r="C2105">
        <v>0</v>
      </c>
      <c r="D2105">
        <v>3480.051935</v>
      </c>
      <c r="E2105">
        <v>0</v>
      </c>
      <c r="F2105">
        <v>21317.51382</v>
      </c>
      <c r="G2105">
        <v>0</v>
      </c>
      <c r="H2105">
        <v>3938</v>
      </c>
      <c r="I2105" t="str">
        <f t="shared" si="129"/>
        <v>YES</v>
      </c>
      <c r="J2105" t="s">
        <v>2111</v>
      </c>
      <c r="K2105">
        <v>2565221.3378699999</v>
      </c>
      <c r="L2105" s="1">
        <f t="shared" si="130"/>
        <v>0</v>
      </c>
      <c r="M2105" s="1">
        <f t="shared" si="131"/>
        <v>0</v>
      </c>
      <c r="N2105" s="1">
        <f t="shared" si="132"/>
        <v>0</v>
      </c>
      <c r="O2105" s="1"/>
    </row>
    <row r="2106" spans="1:15" x14ac:dyDescent="0.25">
      <c r="A2106">
        <v>3939</v>
      </c>
      <c r="B2106">
        <v>3310.2138709999999</v>
      </c>
      <c r="C2106">
        <v>0</v>
      </c>
      <c r="D2106">
        <v>18636.562190000001</v>
      </c>
      <c r="E2106">
        <v>0</v>
      </c>
      <c r="F2106">
        <v>84560.794250000006</v>
      </c>
      <c r="G2106">
        <v>0</v>
      </c>
      <c r="H2106">
        <v>3939</v>
      </c>
      <c r="I2106" t="str">
        <f t="shared" si="129"/>
        <v>YES</v>
      </c>
      <c r="J2106" t="s">
        <v>2112</v>
      </c>
      <c r="K2106">
        <v>1633721.1422600001</v>
      </c>
      <c r="L2106" s="1">
        <f t="shared" si="130"/>
        <v>0</v>
      </c>
      <c r="M2106" s="1">
        <f t="shared" si="131"/>
        <v>0</v>
      </c>
      <c r="N2106" s="1">
        <f t="shared" si="132"/>
        <v>0</v>
      </c>
      <c r="O2106" s="1"/>
    </row>
    <row r="2107" spans="1:15" x14ac:dyDescent="0.25">
      <c r="A2107">
        <v>3940</v>
      </c>
      <c r="B2107">
        <v>3474.948605</v>
      </c>
      <c r="C2107">
        <v>0</v>
      </c>
      <c r="D2107">
        <v>9218.2043859999994</v>
      </c>
      <c r="E2107">
        <v>0</v>
      </c>
      <c r="F2107">
        <v>52864.705390000003</v>
      </c>
      <c r="G2107">
        <v>0</v>
      </c>
      <c r="H2107">
        <v>3940</v>
      </c>
      <c r="I2107" t="str">
        <f t="shared" si="129"/>
        <v>YES</v>
      </c>
      <c r="J2107" t="s">
        <v>2113</v>
      </c>
      <c r="K2107">
        <v>1090127.5161299999</v>
      </c>
      <c r="L2107" s="1">
        <f t="shared" si="130"/>
        <v>0</v>
      </c>
      <c r="M2107" s="1">
        <f t="shared" si="131"/>
        <v>0</v>
      </c>
      <c r="N2107" s="1">
        <f t="shared" si="132"/>
        <v>0</v>
      </c>
      <c r="O2107" s="1"/>
    </row>
    <row r="2108" spans="1:15" x14ac:dyDescent="0.25">
      <c r="A2108">
        <v>3941</v>
      </c>
      <c r="B2108">
        <v>1544.3817710000001</v>
      </c>
      <c r="C2108">
        <v>0</v>
      </c>
      <c r="D2108">
        <v>4336.8747540000004</v>
      </c>
      <c r="E2108">
        <v>0</v>
      </c>
      <c r="F2108">
        <v>30725.83884</v>
      </c>
      <c r="G2108">
        <v>0</v>
      </c>
      <c r="H2108">
        <v>3941</v>
      </c>
      <c r="I2108" t="str">
        <f t="shared" si="129"/>
        <v>YES</v>
      </c>
      <c r="J2108" t="s">
        <v>2114</v>
      </c>
      <c r="K2108">
        <v>1493389.9757999999</v>
      </c>
      <c r="L2108" s="1">
        <f t="shared" si="130"/>
        <v>0</v>
      </c>
      <c r="M2108" s="1">
        <f t="shared" si="131"/>
        <v>0</v>
      </c>
      <c r="N2108" s="1">
        <f t="shared" si="132"/>
        <v>0</v>
      </c>
      <c r="O2108" s="1"/>
    </row>
    <row r="2109" spans="1:15" x14ac:dyDescent="0.25">
      <c r="A2109">
        <v>3942</v>
      </c>
      <c r="B2109">
        <v>75.040568260000001</v>
      </c>
      <c r="C2109">
        <v>0</v>
      </c>
      <c r="D2109">
        <v>264.23984539999998</v>
      </c>
      <c r="E2109">
        <v>0</v>
      </c>
      <c r="F2109">
        <v>1768.6283450000001</v>
      </c>
      <c r="G2109">
        <v>0</v>
      </c>
      <c r="H2109">
        <v>3942</v>
      </c>
      <c r="I2109" t="str">
        <f t="shared" si="129"/>
        <v>YES</v>
      </c>
      <c r="J2109" t="s">
        <v>2115</v>
      </c>
      <c r="K2109">
        <v>3163275.4859199999</v>
      </c>
      <c r="L2109" s="1">
        <f t="shared" si="130"/>
        <v>0</v>
      </c>
      <c r="M2109" s="1">
        <f t="shared" si="131"/>
        <v>0</v>
      </c>
      <c r="N2109" s="1">
        <f t="shared" si="132"/>
        <v>0</v>
      </c>
      <c r="O2109" s="1"/>
    </row>
    <row r="2110" spans="1:15" x14ac:dyDescent="0.25">
      <c r="A2110">
        <v>3943</v>
      </c>
      <c r="B2110">
        <v>627.5940789</v>
      </c>
      <c r="C2110">
        <v>0</v>
      </c>
      <c r="D2110">
        <v>4758.3386630000005</v>
      </c>
      <c r="E2110">
        <v>0</v>
      </c>
      <c r="F2110">
        <v>49732.106599999999</v>
      </c>
      <c r="G2110">
        <v>0</v>
      </c>
      <c r="H2110">
        <v>3943</v>
      </c>
      <c r="I2110" t="str">
        <f t="shared" si="129"/>
        <v>YES</v>
      </c>
      <c r="J2110" t="s">
        <v>2116</v>
      </c>
      <c r="K2110">
        <v>1570572.8495100001</v>
      </c>
      <c r="L2110" s="1">
        <f t="shared" si="130"/>
        <v>0</v>
      </c>
      <c r="M2110" s="1">
        <f t="shared" si="131"/>
        <v>0</v>
      </c>
      <c r="N2110" s="1">
        <f t="shared" si="132"/>
        <v>0</v>
      </c>
      <c r="O2110" s="1"/>
    </row>
    <row r="2111" spans="1:15" x14ac:dyDescent="0.25">
      <c r="A2111">
        <v>3944</v>
      </c>
      <c r="B2111">
        <v>1732.465582</v>
      </c>
      <c r="C2111">
        <v>0</v>
      </c>
      <c r="D2111">
        <v>9867.3024970000006</v>
      </c>
      <c r="E2111">
        <v>0</v>
      </c>
      <c r="F2111">
        <v>79683.345409999994</v>
      </c>
      <c r="G2111">
        <v>0</v>
      </c>
      <c r="H2111">
        <v>3944</v>
      </c>
      <c r="I2111" t="str">
        <f t="shared" si="129"/>
        <v>YES</v>
      </c>
      <c r="J2111" t="s">
        <v>2117</v>
      </c>
      <c r="K2111">
        <v>931253.89860700001</v>
      </c>
      <c r="L2111" s="1">
        <f t="shared" si="130"/>
        <v>0</v>
      </c>
      <c r="M2111" s="1">
        <f t="shared" si="131"/>
        <v>0</v>
      </c>
      <c r="N2111" s="1">
        <f t="shared" si="132"/>
        <v>0</v>
      </c>
      <c r="O2111" s="1"/>
    </row>
    <row r="2112" spans="1:15" x14ac:dyDescent="0.25">
      <c r="A2112">
        <v>3945</v>
      </c>
      <c r="B2112">
        <v>264.23984539999998</v>
      </c>
      <c r="C2112">
        <v>0</v>
      </c>
      <c r="D2112">
        <v>1546.0530690000001</v>
      </c>
      <c r="E2112">
        <v>0</v>
      </c>
      <c r="F2112">
        <v>4114.8343329999998</v>
      </c>
      <c r="G2112">
        <v>0</v>
      </c>
      <c r="H2112">
        <v>3945</v>
      </c>
      <c r="I2112" t="str">
        <f t="shared" si="129"/>
        <v>YES</v>
      </c>
      <c r="J2112" t="s">
        <v>2118</v>
      </c>
      <c r="K2112">
        <v>1164702.07072</v>
      </c>
      <c r="L2112" s="1">
        <f t="shared" si="130"/>
        <v>0</v>
      </c>
      <c r="M2112" s="1">
        <f t="shared" si="131"/>
        <v>0</v>
      </c>
      <c r="N2112" s="1">
        <f t="shared" si="132"/>
        <v>0</v>
      </c>
      <c r="O2112" s="1"/>
    </row>
    <row r="2113" spans="1:15" x14ac:dyDescent="0.25">
      <c r="A2113">
        <v>3946</v>
      </c>
      <c r="B2113">
        <v>1761.0189969999999</v>
      </c>
      <c r="C2113">
        <v>0</v>
      </c>
      <c r="D2113">
        <v>3091.612059</v>
      </c>
      <c r="E2113">
        <v>0</v>
      </c>
      <c r="F2113">
        <v>39391.74396</v>
      </c>
      <c r="G2113">
        <v>0</v>
      </c>
      <c r="H2113">
        <v>3946</v>
      </c>
      <c r="I2113" t="str">
        <f t="shared" si="129"/>
        <v>YES</v>
      </c>
      <c r="J2113" t="s">
        <v>2119</v>
      </c>
      <c r="K2113">
        <v>1532359.1855500001</v>
      </c>
      <c r="L2113" s="1">
        <f t="shared" si="130"/>
        <v>0</v>
      </c>
      <c r="M2113" s="1">
        <f t="shared" si="131"/>
        <v>0</v>
      </c>
      <c r="N2113" s="1">
        <f t="shared" si="132"/>
        <v>0</v>
      </c>
      <c r="O2113" s="1"/>
    </row>
    <row r="2114" spans="1:15" x14ac:dyDescent="0.25">
      <c r="A2114">
        <v>3947</v>
      </c>
      <c r="B2114">
        <v>26.841836409999999</v>
      </c>
      <c r="C2114">
        <v>0</v>
      </c>
      <c r="D2114">
        <v>26.841836409999999</v>
      </c>
      <c r="E2114">
        <v>0</v>
      </c>
      <c r="F2114">
        <v>956.7023762</v>
      </c>
      <c r="G2114">
        <v>0</v>
      </c>
      <c r="H2114">
        <v>3947</v>
      </c>
      <c r="I2114" t="str">
        <f t="shared" ref="I2114:I2177" si="133">IF(A2114=H2114,"YES","NO")</f>
        <v>YES</v>
      </c>
      <c r="J2114" t="s">
        <v>2120</v>
      </c>
      <c r="K2114">
        <v>2229154.4713499998</v>
      </c>
      <c r="L2114" s="1">
        <f t="shared" si="130"/>
        <v>0</v>
      </c>
      <c r="M2114" s="1">
        <f t="shared" si="131"/>
        <v>0</v>
      </c>
      <c r="N2114" s="1">
        <f t="shared" si="132"/>
        <v>0</v>
      </c>
      <c r="O2114" s="1"/>
    </row>
    <row r="2115" spans="1:15" x14ac:dyDescent="0.25">
      <c r="A2115">
        <v>3948</v>
      </c>
      <c r="B2115">
        <v>5814.0136190000003</v>
      </c>
      <c r="C2115">
        <v>0</v>
      </c>
      <c r="D2115">
        <v>54184.633430000002</v>
      </c>
      <c r="E2115">
        <v>0</v>
      </c>
      <c r="F2115">
        <v>201792.12049999999</v>
      </c>
      <c r="G2115">
        <v>0</v>
      </c>
      <c r="H2115">
        <v>3948</v>
      </c>
      <c r="I2115" t="str">
        <f t="shared" si="133"/>
        <v>YES</v>
      </c>
      <c r="J2115" t="s">
        <v>2121</v>
      </c>
      <c r="K2115">
        <v>779871.35545300005</v>
      </c>
      <c r="L2115" s="1">
        <f t="shared" ref="L2115:L2178" si="134">$U$2*$K2115*C2115</f>
        <v>0</v>
      </c>
      <c r="M2115" s="1">
        <f t="shared" ref="M2115:M2178" si="135">$U$3*$K2115*E2115</f>
        <v>0</v>
      </c>
      <c r="N2115" s="1">
        <f t="shared" ref="N2115:N2178" si="136">$U$4*$K2115*G2115</f>
        <v>0</v>
      </c>
      <c r="O2115" s="1"/>
    </row>
    <row r="2116" spans="1:15" x14ac:dyDescent="0.25">
      <c r="A2116">
        <v>3949</v>
      </c>
      <c r="B2116">
        <v>3561.3600379999998</v>
      </c>
      <c r="C2116">
        <v>0</v>
      </c>
      <c r="D2116">
        <v>18284.833019999998</v>
      </c>
      <c r="E2116">
        <v>0</v>
      </c>
      <c r="F2116">
        <v>82052.020860000004</v>
      </c>
      <c r="G2116">
        <v>0</v>
      </c>
      <c r="H2116">
        <v>3949</v>
      </c>
      <c r="I2116" t="str">
        <f t="shared" si="133"/>
        <v>YES</v>
      </c>
      <c r="J2116" t="s">
        <v>2122</v>
      </c>
      <c r="K2116">
        <v>774216.03199599998</v>
      </c>
      <c r="L2116" s="1">
        <f t="shared" si="134"/>
        <v>0</v>
      </c>
      <c r="M2116" s="1">
        <f t="shared" si="135"/>
        <v>0</v>
      </c>
      <c r="N2116" s="1">
        <f t="shared" si="136"/>
        <v>0</v>
      </c>
      <c r="O2116" s="1"/>
    </row>
    <row r="2117" spans="1:15" x14ac:dyDescent="0.25">
      <c r="A2117">
        <v>3950</v>
      </c>
      <c r="B2117">
        <v>85.549038920000001</v>
      </c>
      <c r="C2117">
        <v>0</v>
      </c>
      <c r="D2117">
        <v>222.88322500000001</v>
      </c>
      <c r="E2117">
        <v>0</v>
      </c>
      <c r="F2117">
        <v>2391.8791620000002</v>
      </c>
      <c r="G2117">
        <v>0</v>
      </c>
      <c r="H2117">
        <v>3950</v>
      </c>
      <c r="I2117" t="str">
        <f t="shared" si="133"/>
        <v>YES</v>
      </c>
      <c r="J2117" t="s">
        <v>2123</v>
      </c>
      <c r="K2117">
        <v>2937935.64347</v>
      </c>
      <c r="L2117" s="1">
        <f t="shared" si="134"/>
        <v>0</v>
      </c>
      <c r="M2117" s="1">
        <f t="shared" si="135"/>
        <v>0</v>
      </c>
      <c r="N2117" s="1">
        <f t="shared" si="136"/>
        <v>0</v>
      </c>
      <c r="O2117" s="1"/>
    </row>
    <row r="2118" spans="1:15" x14ac:dyDescent="0.25">
      <c r="A2118">
        <v>3951</v>
      </c>
      <c r="B2118">
        <v>215.47956450000001</v>
      </c>
      <c r="C2118">
        <v>0</v>
      </c>
      <c r="D2118">
        <v>2017.674109</v>
      </c>
      <c r="E2118">
        <v>0</v>
      </c>
      <c r="F2118">
        <v>4621.0081330000003</v>
      </c>
      <c r="G2118">
        <v>0</v>
      </c>
      <c r="H2118">
        <v>3951</v>
      </c>
      <c r="I2118" t="str">
        <f t="shared" si="133"/>
        <v>YES</v>
      </c>
      <c r="J2118" t="s">
        <v>2124</v>
      </c>
      <c r="K2118">
        <v>1720157.64167</v>
      </c>
      <c r="L2118" s="1">
        <f t="shared" si="134"/>
        <v>0</v>
      </c>
      <c r="M2118" s="1">
        <f t="shared" si="135"/>
        <v>0</v>
      </c>
      <c r="N2118" s="1">
        <f t="shared" si="136"/>
        <v>0</v>
      </c>
      <c r="O2118" s="1"/>
    </row>
    <row r="2119" spans="1:15" x14ac:dyDescent="0.25">
      <c r="A2119">
        <v>3952</v>
      </c>
      <c r="B2119">
        <v>1550.737224</v>
      </c>
      <c r="C2119">
        <v>0</v>
      </c>
      <c r="D2119">
        <v>20491.808000000001</v>
      </c>
      <c r="E2119">
        <v>0</v>
      </c>
      <c r="F2119">
        <v>118583.8839</v>
      </c>
      <c r="G2119">
        <v>0</v>
      </c>
      <c r="H2119">
        <v>3952</v>
      </c>
      <c r="I2119" t="str">
        <f t="shared" si="133"/>
        <v>YES</v>
      </c>
      <c r="J2119" t="s">
        <v>2125</v>
      </c>
      <c r="K2119">
        <v>645806.46126100002</v>
      </c>
      <c r="L2119" s="1">
        <f t="shared" si="134"/>
        <v>0</v>
      </c>
      <c r="M2119" s="1">
        <f t="shared" si="135"/>
        <v>0</v>
      </c>
      <c r="N2119" s="1">
        <f t="shared" si="136"/>
        <v>0</v>
      </c>
      <c r="O2119" s="1"/>
    </row>
    <row r="2120" spans="1:15" x14ac:dyDescent="0.25">
      <c r="A2120">
        <v>3953</v>
      </c>
      <c r="B2120">
        <v>1105.8676579999999</v>
      </c>
      <c r="C2120">
        <v>0</v>
      </c>
      <c r="D2120">
        <v>15204.154759999999</v>
      </c>
      <c r="E2120">
        <v>0</v>
      </c>
      <c r="F2120">
        <v>96245.828030000004</v>
      </c>
      <c r="G2120">
        <v>0</v>
      </c>
      <c r="H2120">
        <v>3953</v>
      </c>
      <c r="I2120" t="str">
        <f t="shared" si="133"/>
        <v>YES</v>
      </c>
      <c r="J2120" t="s">
        <v>2126</v>
      </c>
      <c r="K2120">
        <v>1480340.1706600001</v>
      </c>
      <c r="L2120" s="1">
        <f t="shared" si="134"/>
        <v>0</v>
      </c>
      <c r="M2120" s="1">
        <f t="shared" si="135"/>
        <v>0</v>
      </c>
      <c r="N2120" s="1">
        <f t="shared" si="136"/>
        <v>0</v>
      </c>
      <c r="O2120" s="1"/>
    </row>
    <row r="2121" spans="1:15" x14ac:dyDescent="0.25">
      <c r="A2121">
        <v>3954</v>
      </c>
      <c r="B2121">
        <v>124.7479496</v>
      </c>
      <c r="C2121">
        <v>0</v>
      </c>
      <c r="D2121">
        <v>503.0278007</v>
      </c>
      <c r="E2121">
        <v>0</v>
      </c>
      <c r="F2121">
        <v>3736.3641240000002</v>
      </c>
      <c r="G2121">
        <v>0</v>
      </c>
      <c r="H2121">
        <v>3954</v>
      </c>
      <c r="I2121" t="str">
        <f t="shared" si="133"/>
        <v>YES</v>
      </c>
      <c r="J2121" t="s">
        <v>2127</v>
      </c>
      <c r="K2121">
        <v>898091.37517200003</v>
      </c>
      <c r="L2121" s="1">
        <f t="shared" si="134"/>
        <v>0</v>
      </c>
      <c r="M2121" s="1">
        <f t="shared" si="135"/>
        <v>0</v>
      </c>
      <c r="N2121" s="1">
        <f t="shared" si="136"/>
        <v>0</v>
      </c>
      <c r="O2121" s="1"/>
    </row>
    <row r="2122" spans="1:15" x14ac:dyDescent="0.25">
      <c r="A2122">
        <v>3955</v>
      </c>
      <c r="B2122">
        <v>451.5938754</v>
      </c>
      <c r="C2122">
        <v>0</v>
      </c>
      <c r="D2122">
        <v>2101.1107550000002</v>
      </c>
      <c r="E2122">
        <v>0</v>
      </c>
      <c r="F2122">
        <v>32382.266009999999</v>
      </c>
      <c r="G2122">
        <v>0</v>
      </c>
      <c r="H2122">
        <v>3955</v>
      </c>
      <c r="I2122" t="str">
        <f t="shared" si="133"/>
        <v>YES</v>
      </c>
      <c r="J2122" t="s">
        <v>2128</v>
      </c>
      <c r="K2122">
        <v>1177074.2037500001</v>
      </c>
      <c r="L2122" s="1">
        <f t="shared" si="134"/>
        <v>0</v>
      </c>
      <c r="M2122" s="1">
        <f t="shared" si="135"/>
        <v>0</v>
      </c>
      <c r="N2122" s="1">
        <f t="shared" si="136"/>
        <v>0</v>
      </c>
      <c r="O2122" s="1"/>
    </row>
    <row r="2123" spans="1:15" x14ac:dyDescent="0.25">
      <c r="A2123">
        <v>3956</v>
      </c>
      <c r="B2123">
        <v>1363.0520979999999</v>
      </c>
      <c r="C2123">
        <v>0</v>
      </c>
      <c r="D2123">
        <v>2100.7613670000001</v>
      </c>
      <c r="E2123">
        <v>0</v>
      </c>
      <c r="F2123">
        <v>15822.67222</v>
      </c>
      <c r="G2123">
        <v>0</v>
      </c>
      <c r="H2123">
        <v>3956</v>
      </c>
      <c r="I2123" t="str">
        <f t="shared" si="133"/>
        <v>YES</v>
      </c>
      <c r="J2123" t="s">
        <v>2129</v>
      </c>
      <c r="K2123">
        <v>4166714.3516699998</v>
      </c>
      <c r="L2123" s="1">
        <f t="shared" si="134"/>
        <v>0</v>
      </c>
      <c r="M2123" s="1">
        <f t="shared" si="135"/>
        <v>0</v>
      </c>
      <c r="N2123" s="1">
        <f t="shared" si="136"/>
        <v>0</v>
      </c>
      <c r="O2123" s="1"/>
    </row>
    <row r="2124" spans="1:15" x14ac:dyDescent="0.25">
      <c r="A2124">
        <v>3957</v>
      </c>
      <c r="B2124">
        <v>595.91766689999997</v>
      </c>
      <c r="C2124">
        <v>0</v>
      </c>
      <c r="D2124">
        <v>7816.4754579999999</v>
      </c>
      <c r="E2124">
        <v>0</v>
      </c>
      <c r="F2124">
        <v>75280.784350000002</v>
      </c>
      <c r="G2124">
        <v>0</v>
      </c>
      <c r="H2124">
        <v>3957</v>
      </c>
      <c r="I2124" t="str">
        <f t="shared" si="133"/>
        <v>YES</v>
      </c>
      <c r="J2124" t="s">
        <v>2130</v>
      </c>
      <c r="K2124">
        <v>1232822.15983</v>
      </c>
      <c r="L2124" s="1">
        <f t="shared" si="134"/>
        <v>0</v>
      </c>
      <c r="M2124" s="1">
        <f t="shared" si="135"/>
        <v>0</v>
      </c>
      <c r="N2124" s="1">
        <f t="shared" si="136"/>
        <v>0</v>
      </c>
      <c r="O2124" s="1"/>
    </row>
    <row r="2125" spans="1:15" x14ac:dyDescent="0.25">
      <c r="A2125">
        <v>3958</v>
      </c>
      <c r="B2125">
        <v>1005.928928</v>
      </c>
      <c r="C2125">
        <v>0</v>
      </c>
      <c r="D2125">
        <v>20945.745630000001</v>
      </c>
      <c r="E2125">
        <v>0</v>
      </c>
      <c r="F2125">
        <v>155045.432</v>
      </c>
      <c r="G2125">
        <v>0</v>
      </c>
      <c r="H2125">
        <v>3958</v>
      </c>
      <c r="I2125" t="str">
        <f t="shared" si="133"/>
        <v>YES</v>
      </c>
      <c r="J2125" t="s">
        <v>2131</v>
      </c>
      <c r="K2125">
        <v>1406143.9549199999</v>
      </c>
      <c r="L2125" s="1">
        <f t="shared" si="134"/>
        <v>0</v>
      </c>
      <c r="M2125" s="1">
        <f t="shared" si="135"/>
        <v>0</v>
      </c>
      <c r="N2125" s="1">
        <f t="shared" si="136"/>
        <v>0</v>
      </c>
      <c r="O2125" s="1"/>
    </row>
    <row r="2126" spans="1:15" x14ac:dyDescent="0.25">
      <c r="A2126">
        <v>3959</v>
      </c>
      <c r="B2126">
        <v>651.69277009999996</v>
      </c>
      <c r="C2126">
        <v>0</v>
      </c>
      <c r="D2126">
        <v>5860.2436719999996</v>
      </c>
      <c r="E2126">
        <v>0</v>
      </c>
      <c r="F2126">
        <v>75548.823239999998</v>
      </c>
      <c r="G2126">
        <v>0</v>
      </c>
      <c r="H2126">
        <v>3959</v>
      </c>
      <c r="I2126" t="str">
        <f t="shared" si="133"/>
        <v>YES</v>
      </c>
      <c r="J2126" t="s">
        <v>2132</v>
      </c>
      <c r="K2126">
        <v>1133364.2922400001</v>
      </c>
      <c r="L2126" s="1">
        <f t="shared" si="134"/>
        <v>0</v>
      </c>
      <c r="M2126" s="1">
        <f t="shared" si="135"/>
        <v>0</v>
      </c>
      <c r="N2126" s="1">
        <f t="shared" si="136"/>
        <v>0</v>
      </c>
      <c r="O2126" s="1"/>
    </row>
    <row r="2127" spans="1:15" x14ac:dyDescent="0.25">
      <c r="A2127">
        <v>3960</v>
      </c>
      <c r="B2127">
        <v>1264.6984219999999</v>
      </c>
      <c r="C2127">
        <v>0</v>
      </c>
      <c r="D2127">
        <v>7279.8287600000003</v>
      </c>
      <c r="E2127">
        <v>0</v>
      </c>
      <c r="F2127">
        <v>68665.689859999999</v>
      </c>
      <c r="G2127">
        <v>0</v>
      </c>
      <c r="H2127">
        <v>3960</v>
      </c>
      <c r="I2127" t="str">
        <f t="shared" si="133"/>
        <v>YES</v>
      </c>
      <c r="J2127" t="s">
        <v>2133</v>
      </c>
      <c r="K2127">
        <v>680997.10838500003</v>
      </c>
      <c r="L2127" s="1">
        <f t="shared" si="134"/>
        <v>0</v>
      </c>
      <c r="M2127" s="1">
        <f t="shared" si="135"/>
        <v>0</v>
      </c>
      <c r="N2127" s="1">
        <f t="shared" si="136"/>
        <v>0</v>
      </c>
      <c r="O2127" s="1"/>
    </row>
    <row r="2128" spans="1:15" x14ac:dyDescent="0.25">
      <c r="A2128">
        <v>3961</v>
      </c>
      <c r="B2128">
        <v>24.380832699999999</v>
      </c>
      <c r="C2128">
        <v>0</v>
      </c>
      <c r="D2128">
        <v>1551.5722639999999</v>
      </c>
      <c r="E2128">
        <v>0</v>
      </c>
      <c r="F2128">
        <v>6242.1517670000003</v>
      </c>
      <c r="G2128">
        <v>0</v>
      </c>
      <c r="H2128">
        <v>3961</v>
      </c>
      <c r="I2128" t="str">
        <f t="shared" si="133"/>
        <v>YES</v>
      </c>
      <c r="J2128" t="s">
        <v>2134</v>
      </c>
      <c r="K2128">
        <v>2024807.29682</v>
      </c>
      <c r="L2128" s="1">
        <f t="shared" si="134"/>
        <v>0</v>
      </c>
      <c r="M2128" s="1">
        <f t="shared" si="135"/>
        <v>0</v>
      </c>
      <c r="N2128" s="1">
        <f t="shared" si="136"/>
        <v>0</v>
      </c>
      <c r="O2128" s="1"/>
    </row>
    <row r="2129" spans="1:15" x14ac:dyDescent="0.25">
      <c r="A2129">
        <v>3962</v>
      </c>
      <c r="B2129">
        <v>387.44160040000003</v>
      </c>
      <c r="C2129">
        <v>0</v>
      </c>
      <c r="D2129">
        <v>8261.4728230000001</v>
      </c>
      <c r="E2129">
        <v>0</v>
      </c>
      <c r="F2129">
        <v>74335.334359999993</v>
      </c>
      <c r="G2129">
        <v>0</v>
      </c>
      <c r="H2129">
        <v>3962</v>
      </c>
      <c r="I2129" t="str">
        <f t="shared" si="133"/>
        <v>YES</v>
      </c>
      <c r="J2129" t="s">
        <v>2135</v>
      </c>
      <c r="K2129">
        <v>1852527.6433699999</v>
      </c>
      <c r="L2129" s="1">
        <f t="shared" si="134"/>
        <v>0</v>
      </c>
      <c r="M2129" s="1">
        <f t="shared" si="135"/>
        <v>0</v>
      </c>
      <c r="N2129" s="1">
        <f t="shared" si="136"/>
        <v>0</v>
      </c>
      <c r="O2129" s="1"/>
    </row>
    <row r="2130" spans="1:15" x14ac:dyDescent="0.25">
      <c r="A2130">
        <v>3963</v>
      </c>
      <c r="B2130">
        <v>276.89553569999998</v>
      </c>
      <c r="C2130">
        <v>0</v>
      </c>
      <c r="D2130">
        <v>12904.522709999999</v>
      </c>
      <c r="E2130">
        <v>0</v>
      </c>
      <c r="F2130">
        <v>102131.91280000001</v>
      </c>
      <c r="G2130">
        <v>0</v>
      </c>
      <c r="H2130">
        <v>3963</v>
      </c>
      <c r="I2130" t="str">
        <f t="shared" si="133"/>
        <v>YES</v>
      </c>
      <c r="J2130" t="s">
        <v>2136</v>
      </c>
      <c r="K2130">
        <v>956691.79653299996</v>
      </c>
      <c r="L2130" s="1">
        <f t="shared" si="134"/>
        <v>0</v>
      </c>
      <c r="M2130" s="1">
        <f t="shared" si="135"/>
        <v>0</v>
      </c>
      <c r="N2130" s="1">
        <f t="shared" si="136"/>
        <v>0</v>
      </c>
      <c r="O2130" s="1"/>
    </row>
    <row r="2131" spans="1:15" x14ac:dyDescent="0.25">
      <c r="A2131">
        <v>3964</v>
      </c>
      <c r="B2131">
        <v>337.26902760000002</v>
      </c>
      <c r="C2131">
        <v>0</v>
      </c>
      <c r="D2131">
        <v>1205.910721</v>
      </c>
      <c r="E2131">
        <v>0</v>
      </c>
      <c r="F2131">
        <v>36256.298690000003</v>
      </c>
      <c r="G2131">
        <v>0</v>
      </c>
      <c r="H2131">
        <v>3964</v>
      </c>
      <c r="I2131" t="str">
        <f t="shared" si="133"/>
        <v>YES</v>
      </c>
      <c r="J2131" t="s">
        <v>2137</v>
      </c>
      <c r="K2131">
        <v>2356942.9726300002</v>
      </c>
      <c r="L2131" s="1">
        <f t="shared" si="134"/>
        <v>0</v>
      </c>
      <c r="M2131" s="1">
        <f t="shared" si="135"/>
        <v>0</v>
      </c>
      <c r="N2131" s="1">
        <f t="shared" si="136"/>
        <v>0</v>
      </c>
      <c r="O2131" s="1"/>
    </row>
    <row r="2132" spans="1:15" x14ac:dyDescent="0.25">
      <c r="A2132">
        <v>3965</v>
      </c>
      <c r="B2132">
        <v>213.0340305</v>
      </c>
      <c r="C2132">
        <v>0</v>
      </c>
      <c r="D2132">
        <v>213.0340305</v>
      </c>
      <c r="E2132">
        <v>0</v>
      </c>
      <c r="F2132">
        <v>1495.2486550000001</v>
      </c>
      <c r="G2132">
        <v>0</v>
      </c>
      <c r="H2132">
        <v>3965</v>
      </c>
      <c r="I2132" t="str">
        <f t="shared" si="133"/>
        <v>YES</v>
      </c>
      <c r="J2132" t="s">
        <v>2138</v>
      </c>
      <c r="K2132">
        <v>3158656.40796</v>
      </c>
      <c r="L2132" s="1">
        <f t="shared" si="134"/>
        <v>0</v>
      </c>
      <c r="M2132" s="1">
        <f t="shared" si="135"/>
        <v>0</v>
      </c>
      <c r="N2132" s="1">
        <f t="shared" si="136"/>
        <v>0</v>
      </c>
      <c r="O2132" s="1"/>
    </row>
    <row r="2133" spans="1:15" x14ac:dyDescent="0.25">
      <c r="A2133">
        <v>3966</v>
      </c>
      <c r="B2133">
        <v>18.193758280000001</v>
      </c>
      <c r="C2133">
        <v>0</v>
      </c>
      <c r="D2133">
        <v>36.996460130000003</v>
      </c>
      <c r="E2133">
        <v>0</v>
      </c>
      <c r="F2133">
        <v>744.74037959999998</v>
      </c>
      <c r="G2133">
        <v>0</v>
      </c>
      <c r="H2133">
        <v>3966</v>
      </c>
      <c r="I2133" t="str">
        <f t="shared" si="133"/>
        <v>YES</v>
      </c>
      <c r="J2133" t="s">
        <v>2139</v>
      </c>
      <c r="K2133">
        <v>2742560.5192100001</v>
      </c>
      <c r="L2133" s="1">
        <f t="shared" si="134"/>
        <v>0</v>
      </c>
      <c r="M2133" s="1">
        <f t="shared" si="135"/>
        <v>0</v>
      </c>
      <c r="N2133" s="1">
        <f t="shared" si="136"/>
        <v>0</v>
      </c>
      <c r="O2133" s="1"/>
    </row>
    <row r="2134" spans="1:15" x14ac:dyDescent="0.25">
      <c r="A2134">
        <v>3967</v>
      </c>
      <c r="B2134">
        <v>18.802701849999998</v>
      </c>
      <c r="C2134">
        <v>0</v>
      </c>
      <c r="D2134">
        <v>36.996460130000003</v>
      </c>
      <c r="E2134">
        <v>0</v>
      </c>
      <c r="F2134">
        <v>36.996460130000003</v>
      </c>
      <c r="G2134">
        <v>0</v>
      </c>
      <c r="H2134">
        <v>3967</v>
      </c>
      <c r="I2134" t="str">
        <f t="shared" si="133"/>
        <v>YES</v>
      </c>
      <c r="J2134" t="s">
        <v>2140</v>
      </c>
      <c r="K2134">
        <v>2834355.4473700002</v>
      </c>
      <c r="L2134" s="1">
        <f t="shared" si="134"/>
        <v>0</v>
      </c>
      <c r="M2134" s="1">
        <f t="shared" si="135"/>
        <v>0</v>
      </c>
      <c r="N2134" s="1">
        <f t="shared" si="136"/>
        <v>0</v>
      </c>
      <c r="O2134" s="1"/>
    </row>
    <row r="2135" spans="1:15" x14ac:dyDescent="0.25">
      <c r="A2135">
        <v>3968</v>
      </c>
      <c r="B2135">
        <v>1140.1688730000001</v>
      </c>
      <c r="C2135">
        <v>0</v>
      </c>
      <c r="D2135">
        <v>1731.463129</v>
      </c>
      <c r="E2135">
        <v>0</v>
      </c>
      <c r="F2135">
        <v>18061.566330000001</v>
      </c>
      <c r="G2135">
        <v>0</v>
      </c>
      <c r="H2135">
        <v>3968</v>
      </c>
      <c r="I2135" t="str">
        <f t="shared" si="133"/>
        <v>YES</v>
      </c>
      <c r="J2135" t="s">
        <v>2141</v>
      </c>
      <c r="K2135">
        <v>4900785.9429400004</v>
      </c>
      <c r="L2135" s="1">
        <f t="shared" si="134"/>
        <v>0</v>
      </c>
      <c r="M2135" s="1">
        <f t="shared" si="135"/>
        <v>0</v>
      </c>
      <c r="N2135" s="1">
        <f t="shared" si="136"/>
        <v>0</v>
      </c>
      <c r="O2135" s="1"/>
    </row>
    <row r="2136" spans="1:15" x14ac:dyDescent="0.25">
      <c r="A2136">
        <v>3969</v>
      </c>
      <c r="B2136">
        <v>54.916269470000003</v>
      </c>
      <c r="C2136">
        <v>0</v>
      </c>
      <c r="D2136">
        <v>92.544132860000005</v>
      </c>
      <c r="E2136">
        <v>0</v>
      </c>
      <c r="F2136">
        <v>331.81180510000002</v>
      </c>
      <c r="G2136">
        <v>0</v>
      </c>
      <c r="H2136">
        <v>3969</v>
      </c>
      <c r="I2136" t="str">
        <f t="shared" si="133"/>
        <v>YES</v>
      </c>
      <c r="J2136" t="s">
        <v>2142</v>
      </c>
      <c r="K2136">
        <v>1396254.6250199999</v>
      </c>
      <c r="L2136" s="1">
        <f t="shared" si="134"/>
        <v>0</v>
      </c>
      <c r="M2136" s="1">
        <f t="shared" si="135"/>
        <v>0</v>
      </c>
      <c r="N2136" s="1">
        <f t="shared" si="136"/>
        <v>0</v>
      </c>
      <c r="O2136" s="1"/>
    </row>
    <row r="2137" spans="1:15" x14ac:dyDescent="0.25">
      <c r="A2137">
        <v>3970</v>
      </c>
      <c r="B2137">
        <v>307.50759470000003</v>
      </c>
      <c r="C2137">
        <v>0</v>
      </c>
      <c r="D2137">
        <v>2170.3345880000002</v>
      </c>
      <c r="E2137">
        <v>0</v>
      </c>
      <c r="F2137">
        <v>25663.313030000001</v>
      </c>
      <c r="G2137">
        <v>0</v>
      </c>
      <c r="H2137">
        <v>3970</v>
      </c>
      <c r="I2137" t="str">
        <f t="shared" si="133"/>
        <v>YES</v>
      </c>
      <c r="J2137" t="s">
        <v>2143</v>
      </c>
      <c r="K2137">
        <v>3410977.99584</v>
      </c>
      <c r="L2137" s="1">
        <f t="shared" si="134"/>
        <v>0</v>
      </c>
      <c r="M2137" s="1">
        <f t="shared" si="135"/>
        <v>0</v>
      </c>
      <c r="N2137" s="1">
        <f t="shared" si="136"/>
        <v>0</v>
      </c>
      <c r="O2137" s="1"/>
    </row>
    <row r="2138" spans="1:15" x14ac:dyDescent="0.25">
      <c r="A2138">
        <v>3971</v>
      </c>
      <c r="B2138">
        <v>57.015484440000002</v>
      </c>
      <c r="C2138">
        <v>0</v>
      </c>
      <c r="D2138">
        <v>4511.1040540000004</v>
      </c>
      <c r="E2138">
        <v>0</v>
      </c>
      <c r="F2138">
        <v>52977.594340000003</v>
      </c>
      <c r="G2138">
        <v>0</v>
      </c>
      <c r="H2138">
        <v>3971</v>
      </c>
      <c r="I2138" t="str">
        <f t="shared" si="133"/>
        <v>YES</v>
      </c>
      <c r="J2138" t="s">
        <v>2144</v>
      </c>
      <c r="K2138">
        <v>715030.85834100004</v>
      </c>
      <c r="L2138" s="1">
        <f t="shared" si="134"/>
        <v>0</v>
      </c>
      <c r="M2138" s="1">
        <f t="shared" si="135"/>
        <v>0</v>
      </c>
      <c r="N2138" s="1">
        <f t="shared" si="136"/>
        <v>0</v>
      </c>
      <c r="O2138" s="1"/>
    </row>
    <row r="2139" spans="1:15" x14ac:dyDescent="0.25">
      <c r="A2139">
        <v>3972</v>
      </c>
      <c r="B2139">
        <v>1805.2592910000001</v>
      </c>
      <c r="C2139">
        <v>0</v>
      </c>
      <c r="D2139">
        <v>38759.070879999999</v>
      </c>
      <c r="E2139">
        <v>0</v>
      </c>
      <c r="F2139">
        <v>132692.69630000001</v>
      </c>
      <c r="G2139">
        <v>0</v>
      </c>
      <c r="H2139">
        <v>3972</v>
      </c>
      <c r="I2139" t="str">
        <f t="shared" si="133"/>
        <v>YES</v>
      </c>
      <c r="J2139" t="s">
        <v>2145</v>
      </c>
      <c r="K2139">
        <v>680066.79423999996</v>
      </c>
      <c r="L2139" s="1">
        <f t="shared" si="134"/>
        <v>0</v>
      </c>
      <c r="M2139" s="1">
        <f t="shared" si="135"/>
        <v>0</v>
      </c>
      <c r="N2139" s="1">
        <f t="shared" si="136"/>
        <v>0</v>
      </c>
      <c r="O2139" s="1"/>
    </row>
    <row r="2140" spans="1:15" x14ac:dyDescent="0.25">
      <c r="A2140">
        <v>3973</v>
      </c>
      <c r="B2140">
        <v>2092.3009579999998</v>
      </c>
      <c r="C2140">
        <v>0</v>
      </c>
      <c r="D2140">
        <v>41455.420480000001</v>
      </c>
      <c r="E2140">
        <v>0</v>
      </c>
      <c r="F2140">
        <v>142251.177</v>
      </c>
      <c r="G2140">
        <v>0</v>
      </c>
      <c r="H2140">
        <v>3973</v>
      </c>
      <c r="I2140" t="str">
        <f t="shared" si="133"/>
        <v>YES</v>
      </c>
      <c r="J2140" t="s">
        <v>2146</v>
      </c>
      <c r="K2140">
        <v>309722.56661400001</v>
      </c>
      <c r="L2140" s="1">
        <f t="shared" si="134"/>
        <v>0</v>
      </c>
      <c r="M2140" s="1">
        <f t="shared" si="135"/>
        <v>0</v>
      </c>
      <c r="N2140" s="1">
        <f t="shared" si="136"/>
        <v>0</v>
      </c>
      <c r="O2140" s="1"/>
    </row>
    <row r="2141" spans="1:15" x14ac:dyDescent="0.25">
      <c r="A2141">
        <v>3974</v>
      </c>
      <c r="B2141">
        <v>401.83859080000002</v>
      </c>
      <c r="C2141">
        <v>0</v>
      </c>
      <c r="D2141">
        <v>2715.7139849999999</v>
      </c>
      <c r="E2141">
        <v>0</v>
      </c>
      <c r="F2141">
        <v>42440.181470000003</v>
      </c>
      <c r="G2141">
        <v>0</v>
      </c>
      <c r="H2141">
        <v>3974</v>
      </c>
      <c r="I2141" t="str">
        <f t="shared" si="133"/>
        <v>YES</v>
      </c>
      <c r="J2141" t="s">
        <v>2147</v>
      </c>
      <c r="K2141">
        <v>665678.15865400003</v>
      </c>
      <c r="L2141" s="1">
        <f t="shared" si="134"/>
        <v>0</v>
      </c>
      <c r="M2141" s="1">
        <f t="shared" si="135"/>
        <v>0</v>
      </c>
      <c r="N2141" s="1">
        <f t="shared" si="136"/>
        <v>0</v>
      </c>
      <c r="O2141" s="1"/>
    </row>
    <row r="2142" spans="1:15" x14ac:dyDescent="0.25">
      <c r="A2142">
        <v>4000</v>
      </c>
      <c r="B2142">
        <v>5799.9540150000003</v>
      </c>
      <c r="C2142">
        <v>0</v>
      </c>
      <c r="D2142">
        <v>14475.5077</v>
      </c>
      <c r="E2142">
        <v>0</v>
      </c>
      <c r="F2142">
        <v>55518.126929999999</v>
      </c>
      <c r="G2142">
        <v>0</v>
      </c>
      <c r="H2142">
        <v>4000</v>
      </c>
      <c r="I2142" t="str">
        <f t="shared" si="133"/>
        <v>YES</v>
      </c>
      <c r="J2142" t="s">
        <v>2148</v>
      </c>
      <c r="K2142">
        <v>1510036.32604</v>
      </c>
      <c r="L2142" s="1">
        <f t="shared" si="134"/>
        <v>0</v>
      </c>
      <c r="M2142" s="1">
        <f t="shared" si="135"/>
        <v>0</v>
      </c>
      <c r="N2142" s="1">
        <f t="shared" si="136"/>
        <v>0</v>
      </c>
      <c r="O2142" s="1"/>
    </row>
    <row r="2143" spans="1:15" x14ac:dyDescent="0.25">
      <c r="A2143">
        <v>4001</v>
      </c>
      <c r="B2143">
        <v>1976.461888</v>
      </c>
      <c r="C2143">
        <v>0</v>
      </c>
      <c r="D2143">
        <v>11914.336960000001</v>
      </c>
      <c r="E2143">
        <v>0</v>
      </c>
      <c r="F2143">
        <v>41788.005490000003</v>
      </c>
      <c r="G2143">
        <v>0</v>
      </c>
      <c r="H2143">
        <v>4001</v>
      </c>
      <c r="I2143" t="str">
        <f t="shared" si="133"/>
        <v>YES</v>
      </c>
      <c r="J2143" t="s">
        <v>2149</v>
      </c>
      <c r="K2143">
        <v>1061254.13482</v>
      </c>
      <c r="L2143" s="1">
        <f t="shared" si="134"/>
        <v>0</v>
      </c>
      <c r="M2143" s="1">
        <f t="shared" si="135"/>
        <v>0</v>
      </c>
      <c r="N2143" s="1">
        <f t="shared" si="136"/>
        <v>0</v>
      </c>
      <c r="O2143" s="1"/>
    </row>
    <row r="2144" spans="1:15" x14ac:dyDescent="0.25">
      <c r="A2144">
        <v>4002</v>
      </c>
      <c r="B2144">
        <v>4419.7432209999997</v>
      </c>
      <c r="C2144">
        <v>0</v>
      </c>
      <c r="D2144">
        <v>17134.485929999999</v>
      </c>
      <c r="E2144">
        <v>0</v>
      </c>
      <c r="F2144">
        <v>53416.424249999996</v>
      </c>
      <c r="G2144">
        <v>0</v>
      </c>
      <c r="H2144">
        <v>4002</v>
      </c>
      <c r="I2144" t="str">
        <f t="shared" si="133"/>
        <v>YES</v>
      </c>
      <c r="J2144" t="s">
        <v>2150</v>
      </c>
      <c r="K2144">
        <v>670757.31945800001</v>
      </c>
      <c r="L2144" s="1">
        <f t="shared" si="134"/>
        <v>0</v>
      </c>
      <c r="M2144" s="1">
        <f t="shared" si="135"/>
        <v>0</v>
      </c>
      <c r="N2144" s="1">
        <f t="shared" si="136"/>
        <v>0</v>
      </c>
      <c r="O2144" s="1"/>
    </row>
    <row r="2145" spans="1:15" x14ac:dyDescent="0.25">
      <c r="A2145">
        <v>4003</v>
      </c>
      <c r="B2145">
        <v>1648.487809</v>
      </c>
      <c r="C2145">
        <v>0</v>
      </c>
      <c r="D2145">
        <v>15121.950409999999</v>
      </c>
      <c r="E2145">
        <v>0</v>
      </c>
      <c r="F2145">
        <v>59483.179409999997</v>
      </c>
      <c r="G2145">
        <v>0</v>
      </c>
      <c r="H2145">
        <v>4003</v>
      </c>
      <c r="I2145" t="str">
        <f t="shared" si="133"/>
        <v>YES</v>
      </c>
      <c r="J2145" t="s">
        <v>2151</v>
      </c>
      <c r="K2145">
        <v>894063.39352799999</v>
      </c>
      <c r="L2145" s="1">
        <f t="shared" si="134"/>
        <v>0</v>
      </c>
      <c r="M2145" s="1">
        <f t="shared" si="135"/>
        <v>0</v>
      </c>
      <c r="N2145" s="1">
        <f t="shared" si="136"/>
        <v>0</v>
      </c>
      <c r="O2145" s="1"/>
    </row>
    <row r="2146" spans="1:15" x14ac:dyDescent="0.25">
      <c r="A2146">
        <v>4004</v>
      </c>
      <c r="B2146">
        <v>5301.5988520000001</v>
      </c>
      <c r="C2146">
        <v>0</v>
      </c>
      <c r="D2146">
        <v>13690.91892</v>
      </c>
      <c r="E2146">
        <v>0</v>
      </c>
      <c r="F2146">
        <v>52397.607389999997</v>
      </c>
      <c r="G2146">
        <v>0</v>
      </c>
      <c r="H2146">
        <v>4004</v>
      </c>
      <c r="I2146" t="str">
        <f t="shared" si="133"/>
        <v>YES</v>
      </c>
      <c r="J2146" t="s">
        <v>2152</v>
      </c>
      <c r="K2146">
        <v>939904.22800500004</v>
      </c>
      <c r="L2146" s="1">
        <f t="shared" si="134"/>
        <v>0</v>
      </c>
      <c r="M2146" s="1">
        <f t="shared" si="135"/>
        <v>0</v>
      </c>
      <c r="N2146" s="1">
        <f t="shared" si="136"/>
        <v>0</v>
      </c>
      <c r="O2146" s="1"/>
    </row>
    <row r="2147" spans="1:15" x14ac:dyDescent="0.25">
      <c r="A2147">
        <v>4005</v>
      </c>
      <c r="B2147">
        <v>5888.0947809999998</v>
      </c>
      <c r="C2147">
        <v>0</v>
      </c>
      <c r="D2147">
        <v>14341.67396</v>
      </c>
      <c r="E2147">
        <v>0</v>
      </c>
      <c r="F2147">
        <v>75051.411389999994</v>
      </c>
      <c r="G2147">
        <v>0</v>
      </c>
      <c r="H2147">
        <v>4005</v>
      </c>
      <c r="I2147" t="str">
        <f t="shared" si="133"/>
        <v>YES</v>
      </c>
      <c r="J2147" t="s">
        <v>2153</v>
      </c>
      <c r="K2147">
        <v>1007228.22126</v>
      </c>
      <c r="L2147" s="1">
        <f t="shared" si="134"/>
        <v>0</v>
      </c>
      <c r="M2147" s="1">
        <f t="shared" si="135"/>
        <v>0</v>
      </c>
      <c r="N2147" s="1">
        <f t="shared" si="136"/>
        <v>0</v>
      </c>
      <c r="O2147" s="1"/>
    </row>
    <row r="2148" spans="1:15" x14ac:dyDescent="0.25">
      <c r="A2148">
        <v>4008</v>
      </c>
      <c r="B2148">
        <v>1289.558135</v>
      </c>
      <c r="C2148">
        <v>0</v>
      </c>
      <c r="D2148">
        <v>24155.833269999999</v>
      </c>
      <c r="E2148">
        <v>0</v>
      </c>
      <c r="F2148">
        <v>98862.053109999993</v>
      </c>
      <c r="G2148">
        <v>0</v>
      </c>
      <c r="H2148">
        <v>4008</v>
      </c>
      <c r="I2148" t="str">
        <f t="shared" si="133"/>
        <v>YES</v>
      </c>
      <c r="J2148" t="s">
        <v>2154</v>
      </c>
      <c r="K2148">
        <v>1568088.40499</v>
      </c>
      <c r="L2148" s="1">
        <f t="shared" si="134"/>
        <v>0</v>
      </c>
      <c r="M2148" s="1">
        <f t="shared" si="135"/>
        <v>0</v>
      </c>
      <c r="N2148" s="1">
        <f t="shared" si="136"/>
        <v>0</v>
      </c>
      <c r="O2148" s="1"/>
    </row>
    <row r="2149" spans="1:15" x14ac:dyDescent="0.25">
      <c r="A2149">
        <v>4009</v>
      </c>
      <c r="B2149">
        <v>4018.7303590000001</v>
      </c>
      <c r="C2149">
        <v>0</v>
      </c>
      <c r="D2149">
        <v>15542.432290000001</v>
      </c>
      <c r="E2149">
        <v>0</v>
      </c>
      <c r="F2149">
        <v>48223.16388</v>
      </c>
      <c r="G2149">
        <v>0</v>
      </c>
      <c r="H2149">
        <v>4009</v>
      </c>
      <c r="I2149" t="str">
        <f t="shared" si="133"/>
        <v>YES</v>
      </c>
      <c r="J2149" t="s">
        <v>2155</v>
      </c>
      <c r="K2149">
        <v>712225.19879399997</v>
      </c>
      <c r="L2149" s="1">
        <f t="shared" si="134"/>
        <v>0</v>
      </c>
      <c r="M2149" s="1">
        <f t="shared" si="135"/>
        <v>0</v>
      </c>
      <c r="N2149" s="1">
        <f t="shared" si="136"/>
        <v>0</v>
      </c>
      <c r="O2149" s="1"/>
    </row>
    <row r="2150" spans="1:15" x14ac:dyDescent="0.25">
      <c r="A2150">
        <v>4010</v>
      </c>
      <c r="B2150">
        <v>4018.7303590000001</v>
      </c>
      <c r="C2150">
        <v>0</v>
      </c>
      <c r="D2150">
        <v>18726.931219999999</v>
      </c>
      <c r="E2150">
        <v>0</v>
      </c>
      <c r="F2150">
        <v>58475.428870000003</v>
      </c>
      <c r="G2150">
        <v>0</v>
      </c>
      <c r="H2150">
        <v>4010</v>
      </c>
      <c r="I2150" t="str">
        <f t="shared" si="133"/>
        <v>YES</v>
      </c>
      <c r="J2150" t="s">
        <v>2156</v>
      </c>
      <c r="K2150">
        <v>716622.67692400003</v>
      </c>
      <c r="L2150" s="1">
        <f t="shared" si="134"/>
        <v>0</v>
      </c>
      <c r="M2150" s="1">
        <f t="shared" si="135"/>
        <v>0</v>
      </c>
      <c r="N2150" s="1">
        <f t="shared" si="136"/>
        <v>0</v>
      </c>
      <c r="O2150" s="1"/>
    </row>
    <row r="2151" spans="1:15" x14ac:dyDescent="0.25">
      <c r="A2151">
        <v>4011</v>
      </c>
      <c r="B2151">
        <v>6450.4933199999996</v>
      </c>
      <c r="C2151">
        <v>0</v>
      </c>
      <c r="D2151">
        <v>16553.700949999999</v>
      </c>
      <c r="E2151">
        <v>0</v>
      </c>
      <c r="F2151">
        <v>39646.805220000002</v>
      </c>
      <c r="G2151">
        <v>0</v>
      </c>
      <c r="H2151">
        <v>4011</v>
      </c>
      <c r="I2151" t="str">
        <f t="shared" si="133"/>
        <v>YES</v>
      </c>
      <c r="J2151" t="s">
        <v>2157</v>
      </c>
      <c r="K2151">
        <v>1243926.27214</v>
      </c>
      <c r="L2151" s="1">
        <f t="shared" si="134"/>
        <v>0</v>
      </c>
      <c r="M2151" s="1">
        <f t="shared" si="135"/>
        <v>0</v>
      </c>
      <c r="N2151" s="1">
        <f t="shared" si="136"/>
        <v>0</v>
      </c>
      <c r="O2151" s="1"/>
    </row>
    <row r="2152" spans="1:15" x14ac:dyDescent="0.25">
      <c r="A2152">
        <v>4012</v>
      </c>
      <c r="B2152">
        <v>6623.147586</v>
      </c>
      <c r="C2152">
        <v>0</v>
      </c>
      <c r="D2152">
        <v>12714.53008</v>
      </c>
      <c r="E2152">
        <v>0</v>
      </c>
      <c r="F2152">
        <v>36884.480710000003</v>
      </c>
      <c r="G2152">
        <v>0</v>
      </c>
      <c r="H2152">
        <v>4012</v>
      </c>
      <c r="I2152" t="str">
        <f t="shared" si="133"/>
        <v>YES</v>
      </c>
      <c r="J2152" t="s">
        <v>2158</v>
      </c>
      <c r="K2152">
        <v>892587.73173799994</v>
      </c>
      <c r="L2152" s="1">
        <f t="shared" si="134"/>
        <v>0</v>
      </c>
      <c r="M2152" s="1">
        <f t="shared" si="135"/>
        <v>0</v>
      </c>
      <c r="N2152" s="1">
        <f t="shared" si="136"/>
        <v>0</v>
      </c>
      <c r="O2152" s="1"/>
    </row>
    <row r="2153" spans="1:15" x14ac:dyDescent="0.25">
      <c r="A2153">
        <v>4015</v>
      </c>
      <c r="B2153">
        <v>1432.9631099999999</v>
      </c>
      <c r="C2153">
        <v>0</v>
      </c>
      <c r="D2153">
        <v>10821.65403</v>
      </c>
      <c r="E2153">
        <v>0</v>
      </c>
      <c r="F2153">
        <v>47212.271760000003</v>
      </c>
      <c r="G2153">
        <v>0</v>
      </c>
      <c r="H2153">
        <v>4015</v>
      </c>
      <c r="I2153" t="str">
        <f t="shared" si="133"/>
        <v>YES</v>
      </c>
      <c r="J2153" t="s">
        <v>2159</v>
      </c>
      <c r="K2153">
        <v>1218294.0022100001</v>
      </c>
      <c r="L2153" s="1">
        <f t="shared" si="134"/>
        <v>0</v>
      </c>
      <c r="M2153" s="1">
        <f t="shared" si="135"/>
        <v>0</v>
      </c>
      <c r="N2153" s="1">
        <f t="shared" si="136"/>
        <v>0</v>
      </c>
      <c r="O2153" s="1"/>
    </row>
    <row r="2154" spans="1:15" x14ac:dyDescent="0.25">
      <c r="A2154">
        <v>4016</v>
      </c>
      <c r="B2154">
        <v>1788.7954649999999</v>
      </c>
      <c r="C2154">
        <v>0</v>
      </c>
      <c r="D2154">
        <v>14649.63089</v>
      </c>
      <c r="E2154">
        <v>0</v>
      </c>
      <c r="F2154">
        <v>47912.633150000001</v>
      </c>
      <c r="G2154">
        <v>0</v>
      </c>
      <c r="H2154">
        <v>4016</v>
      </c>
      <c r="I2154" t="str">
        <f t="shared" si="133"/>
        <v>YES</v>
      </c>
      <c r="J2154" t="s">
        <v>2160</v>
      </c>
      <c r="K2154">
        <v>836755.20403699996</v>
      </c>
      <c r="L2154" s="1">
        <f t="shared" si="134"/>
        <v>0</v>
      </c>
      <c r="M2154" s="1">
        <f t="shared" si="135"/>
        <v>0</v>
      </c>
      <c r="N2154" s="1">
        <f t="shared" si="136"/>
        <v>0</v>
      </c>
      <c r="O2154" s="1"/>
    </row>
    <row r="2155" spans="1:15" x14ac:dyDescent="0.25">
      <c r="A2155">
        <v>4017</v>
      </c>
      <c r="B2155">
        <v>1879.709683</v>
      </c>
      <c r="C2155">
        <v>0</v>
      </c>
      <c r="D2155">
        <v>18103.659189999998</v>
      </c>
      <c r="E2155">
        <v>0</v>
      </c>
      <c r="F2155">
        <v>45107.095829999998</v>
      </c>
      <c r="G2155">
        <v>0</v>
      </c>
      <c r="H2155">
        <v>4017</v>
      </c>
      <c r="I2155" t="str">
        <f t="shared" si="133"/>
        <v>YES</v>
      </c>
      <c r="J2155" t="s">
        <v>2161</v>
      </c>
      <c r="K2155">
        <v>805211.14250900003</v>
      </c>
      <c r="L2155" s="1">
        <f t="shared" si="134"/>
        <v>0</v>
      </c>
      <c r="M2155" s="1">
        <f t="shared" si="135"/>
        <v>0</v>
      </c>
      <c r="N2155" s="1">
        <f t="shared" si="136"/>
        <v>0</v>
      </c>
      <c r="O2155" s="1"/>
    </row>
    <row r="2156" spans="1:15" x14ac:dyDescent="0.25">
      <c r="A2156">
        <v>4018</v>
      </c>
      <c r="B2156">
        <v>2798.3089650000002</v>
      </c>
      <c r="C2156">
        <v>0</v>
      </c>
      <c r="D2156">
        <v>17664.115549999999</v>
      </c>
      <c r="E2156">
        <v>0</v>
      </c>
      <c r="F2156">
        <v>48725.807710000001</v>
      </c>
      <c r="G2156">
        <v>0</v>
      </c>
      <c r="H2156">
        <v>4018</v>
      </c>
      <c r="I2156" t="str">
        <f t="shared" si="133"/>
        <v>YES</v>
      </c>
      <c r="J2156" t="s">
        <v>2162</v>
      </c>
      <c r="K2156">
        <v>381112.75424699998</v>
      </c>
      <c r="L2156" s="1">
        <f t="shared" si="134"/>
        <v>0</v>
      </c>
      <c r="M2156" s="1">
        <f t="shared" si="135"/>
        <v>0</v>
      </c>
      <c r="N2156" s="1">
        <f t="shared" si="136"/>
        <v>0</v>
      </c>
      <c r="O2156" s="1"/>
    </row>
    <row r="2157" spans="1:15" x14ac:dyDescent="0.25">
      <c r="A2157">
        <v>4019</v>
      </c>
      <c r="B2157">
        <v>3857.0200089999998</v>
      </c>
      <c r="C2157">
        <v>0</v>
      </c>
      <c r="D2157">
        <v>21388.79261</v>
      </c>
      <c r="E2157">
        <v>0</v>
      </c>
      <c r="F2157">
        <v>73400.040240000002</v>
      </c>
      <c r="G2157">
        <v>0</v>
      </c>
      <c r="H2157">
        <v>4019</v>
      </c>
      <c r="I2157" t="str">
        <f t="shared" si="133"/>
        <v>YES</v>
      </c>
      <c r="J2157" t="s">
        <v>2163</v>
      </c>
      <c r="K2157">
        <v>1300137.10568</v>
      </c>
      <c r="L2157" s="1">
        <f t="shared" si="134"/>
        <v>0</v>
      </c>
      <c r="M2157" s="1">
        <f t="shared" si="135"/>
        <v>0</v>
      </c>
      <c r="N2157" s="1">
        <f t="shared" si="136"/>
        <v>0</v>
      </c>
      <c r="O2157" s="1"/>
    </row>
    <row r="2158" spans="1:15" x14ac:dyDescent="0.25">
      <c r="A2158">
        <v>4020</v>
      </c>
      <c r="B2158">
        <v>7326.1395579999999</v>
      </c>
      <c r="C2158">
        <v>0</v>
      </c>
      <c r="D2158">
        <v>22351.387930000001</v>
      </c>
      <c r="E2158">
        <v>0</v>
      </c>
      <c r="F2158">
        <v>50077.610309999996</v>
      </c>
      <c r="G2158">
        <v>0</v>
      </c>
      <c r="H2158">
        <v>4020</v>
      </c>
      <c r="I2158" t="str">
        <f t="shared" si="133"/>
        <v>YES</v>
      </c>
      <c r="J2158" t="s">
        <v>2164</v>
      </c>
      <c r="K2158">
        <v>881562.55382000003</v>
      </c>
      <c r="L2158" s="1">
        <f t="shared" si="134"/>
        <v>0</v>
      </c>
      <c r="M2158" s="1">
        <f t="shared" si="135"/>
        <v>0</v>
      </c>
      <c r="N2158" s="1">
        <f t="shared" si="136"/>
        <v>0</v>
      </c>
      <c r="O2158" s="1"/>
    </row>
    <row r="2159" spans="1:15" x14ac:dyDescent="0.25">
      <c r="A2159">
        <v>4021</v>
      </c>
      <c r="B2159">
        <v>3524.9282929999999</v>
      </c>
      <c r="C2159">
        <v>0</v>
      </c>
      <c r="D2159">
        <v>16047.30141</v>
      </c>
      <c r="E2159">
        <v>0</v>
      </c>
      <c r="F2159">
        <v>62970.393519999998</v>
      </c>
      <c r="G2159">
        <v>0</v>
      </c>
      <c r="H2159">
        <v>4021</v>
      </c>
      <c r="I2159" t="str">
        <f t="shared" si="133"/>
        <v>YES</v>
      </c>
      <c r="J2159" t="s">
        <v>2165</v>
      </c>
      <c r="K2159">
        <v>770947.41887299996</v>
      </c>
      <c r="L2159" s="1">
        <f t="shared" si="134"/>
        <v>0</v>
      </c>
      <c r="M2159" s="1">
        <f t="shared" si="135"/>
        <v>0</v>
      </c>
      <c r="N2159" s="1">
        <f t="shared" si="136"/>
        <v>0</v>
      </c>
      <c r="O2159" s="1"/>
    </row>
    <row r="2160" spans="1:15" x14ac:dyDescent="0.25">
      <c r="A2160">
        <v>4024</v>
      </c>
      <c r="B2160">
        <v>908.05631679999999</v>
      </c>
      <c r="C2160">
        <v>0</v>
      </c>
      <c r="D2160">
        <v>4149.4583309999998</v>
      </c>
      <c r="E2160">
        <v>0</v>
      </c>
      <c r="F2160">
        <v>23334.744790000001</v>
      </c>
      <c r="G2160">
        <v>0</v>
      </c>
      <c r="H2160">
        <v>4024</v>
      </c>
      <c r="I2160" t="str">
        <f t="shared" si="133"/>
        <v>YES</v>
      </c>
      <c r="J2160" t="s">
        <v>2166</v>
      </c>
      <c r="K2160">
        <v>1267627.76186</v>
      </c>
      <c r="L2160" s="1">
        <f t="shared" si="134"/>
        <v>0</v>
      </c>
      <c r="M2160" s="1">
        <f t="shared" si="135"/>
        <v>0</v>
      </c>
      <c r="N2160" s="1">
        <f t="shared" si="136"/>
        <v>0</v>
      </c>
      <c r="O2160" s="1"/>
    </row>
    <row r="2161" spans="1:15" x14ac:dyDescent="0.25">
      <c r="A2161">
        <v>4025</v>
      </c>
      <c r="B2161">
        <v>35.759068710000001</v>
      </c>
      <c r="C2161">
        <v>0</v>
      </c>
      <c r="D2161">
        <v>530.46895770000003</v>
      </c>
      <c r="E2161">
        <v>0</v>
      </c>
      <c r="F2161">
        <v>6384.8837149999999</v>
      </c>
      <c r="G2161">
        <v>0</v>
      </c>
      <c r="H2161">
        <v>4025</v>
      </c>
      <c r="I2161" t="str">
        <f t="shared" si="133"/>
        <v>YES</v>
      </c>
      <c r="J2161" t="s">
        <v>2167</v>
      </c>
      <c r="K2161">
        <v>3421878.7007300002</v>
      </c>
      <c r="L2161" s="1">
        <f t="shared" si="134"/>
        <v>0</v>
      </c>
      <c r="M2161" s="1">
        <f t="shared" si="135"/>
        <v>0</v>
      </c>
      <c r="N2161" s="1">
        <f t="shared" si="136"/>
        <v>0</v>
      </c>
      <c r="O2161" s="1"/>
    </row>
    <row r="2162" spans="1:15" x14ac:dyDescent="0.25">
      <c r="A2162">
        <v>4026</v>
      </c>
      <c r="B2162">
        <v>1042.0599930000001</v>
      </c>
      <c r="C2162">
        <v>0</v>
      </c>
      <c r="D2162">
        <v>8351.4342369999995</v>
      </c>
      <c r="E2162">
        <v>0</v>
      </c>
      <c r="F2162">
        <v>31285.08483</v>
      </c>
      <c r="G2162">
        <v>0</v>
      </c>
      <c r="H2162">
        <v>4026</v>
      </c>
      <c r="I2162" t="str">
        <f t="shared" si="133"/>
        <v>YES</v>
      </c>
      <c r="J2162" t="s">
        <v>2168</v>
      </c>
      <c r="K2162">
        <v>1226563.6063900001</v>
      </c>
      <c r="L2162" s="1">
        <f t="shared" si="134"/>
        <v>0</v>
      </c>
      <c r="M2162" s="1">
        <f t="shared" si="135"/>
        <v>0</v>
      </c>
      <c r="N2162" s="1">
        <f t="shared" si="136"/>
        <v>0</v>
      </c>
      <c r="O2162" s="1"/>
    </row>
    <row r="2163" spans="1:15" x14ac:dyDescent="0.25">
      <c r="A2163">
        <v>4027</v>
      </c>
      <c r="B2163">
        <v>494.70988899999998</v>
      </c>
      <c r="C2163">
        <v>0</v>
      </c>
      <c r="D2163">
        <v>15624.62283</v>
      </c>
      <c r="E2163">
        <v>0</v>
      </c>
      <c r="F2163">
        <v>48193.943879999999</v>
      </c>
      <c r="G2163">
        <v>0</v>
      </c>
      <c r="H2163">
        <v>4027</v>
      </c>
      <c r="I2163" t="str">
        <f t="shared" si="133"/>
        <v>YES</v>
      </c>
      <c r="J2163" t="s">
        <v>2169</v>
      </c>
      <c r="K2163">
        <v>2071212.8207400001</v>
      </c>
      <c r="L2163" s="1">
        <f t="shared" si="134"/>
        <v>0</v>
      </c>
      <c r="M2163" s="1">
        <f t="shared" si="135"/>
        <v>0</v>
      </c>
      <c r="N2163" s="1">
        <f t="shared" si="136"/>
        <v>0</v>
      </c>
      <c r="O2163" s="1"/>
    </row>
    <row r="2164" spans="1:15" x14ac:dyDescent="0.25">
      <c r="A2164">
        <v>4028</v>
      </c>
      <c r="B2164">
        <v>2016.731669</v>
      </c>
      <c r="C2164">
        <v>0</v>
      </c>
      <c r="D2164">
        <v>13231.72271</v>
      </c>
      <c r="E2164">
        <v>0</v>
      </c>
      <c r="F2164">
        <v>60151.608910000003</v>
      </c>
      <c r="G2164">
        <v>0</v>
      </c>
      <c r="H2164">
        <v>4028</v>
      </c>
      <c r="I2164" t="str">
        <f t="shared" si="133"/>
        <v>YES</v>
      </c>
      <c r="J2164" t="s">
        <v>2170</v>
      </c>
      <c r="K2164">
        <v>1620633.5375399999</v>
      </c>
      <c r="L2164" s="1">
        <f t="shared" si="134"/>
        <v>0</v>
      </c>
      <c r="M2164" s="1">
        <f t="shared" si="135"/>
        <v>0</v>
      </c>
      <c r="N2164" s="1">
        <f t="shared" si="136"/>
        <v>0</v>
      </c>
      <c r="O2164" s="1"/>
    </row>
    <row r="2165" spans="1:15" x14ac:dyDescent="0.25">
      <c r="A2165">
        <v>4029</v>
      </c>
      <c r="B2165">
        <v>1715.932368</v>
      </c>
      <c r="C2165">
        <v>0</v>
      </c>
      <c r="D2165">
        <v>15022.9671</v>
      </c>
      <c r="E2165">
        <v>0</v>
      </c>
      <c r="F2165">
        <v>67775.462249999997</v>
      </c>
      <c r="G2165">
        <v>0</v>
      </c>
      <c r="H2165">
        <v>4029</v>
      </c>
      <c r="I2165" t="str">
        <f t="shared" si="133"/>
        <v>YES</v>
      </c>
      <c r="J2165" t="s">
        <v>2171</v>
      </c>
      <c r="K2165">
        <v>1638581.90496</v>
      </c>
      <c r="L2165" s="1">
        <f t="shared" si="134"/>
        <v>0</v>
      </c>
      <c r="M2165" s="1">
        <f t="shared" si="135"/>
        <v>0</v>
      </c>
      <c r="N2165" s="1">
        <f t="shared" si="136"/>
        <v>0</v>
      </c>
      <c r="O2165" s="1"/>
    </row>
    <row r="2166" spans="1:15" x14ac:dyDescent="0.25">
      <c r="A2166">
        <v>4032</v>
      </c>
      <c r="B2166">
        <v>6263.2314040000001</v>
      </c>
      <c r="C2166">
        <v>0</v>
      </c>
      <c r="D2166">
        <v>24923.46529</v>
      </c>
      <c r="E2166">
        <v>0</v>
      </c>
      <c r="F2166">
        <v>99332.033179999999</v>
      </c>
      <c r="G2166">
        <v>0</v>
      </c>
      <c r="H2166">
        <v>4032</v>
      </c>
      <c r="I2166" t="str">
        <f t="shared" si="133"/>
        <v>YES</v>
      </c>
      <c r="J2166" t="s">
        <v>2172</v>
      </c>
      <c r="K2166">
        <v>1127603.38433</v>
      </c>
      <c r="L2166" s="1">
        <f t="shared" si="134"/>
        <v>0</v>
      </c>
      <c r="M2166" s="1">
        <f t="shared" si="135"/>
        <v>0</v>
      </c>
      <c r="N2166" s="1">
        <f t="shared" si="136"/>
        <v>0</v>
      </c>
      <c r="O2166" s="1"/>
    </row>
    <row r="2167" spans="1:15" x14ac:dyDescent="0.25">
      <c r="A2167">
        <v>4033</v>
      </c>
      <c r="B2167">
        <v>1998.2119319999999</v>
      </c>
      <c r="C2167">
        <v>0</v>
      </c>
      <c r="D2167">
        <v>9553.7123049999991</v>
      </c>
      <c r="E2167">
        <v>0</v>
      </c>
      <c r="F2167">
        <v>48491.004950000002</v>
      </c>
      <c r="G2167">
        <v>0</v>
      </c>
      <c r="H2167">
        <v>4033</v>
      </c>
      <c r="I2167" t="str">
        <f t="shared" si="133"/>
        <v>YES</v>
      </c>
      <c r="J2167" t="s">
        <v>2173</v>
      </c>
      <c r="K2167">
        <v>1701886.1793800001</v>
      </c>
      <c r="L2167" s="1">
        <f t="shared" si="134"/>
        <v>0</v>
      </c>
      <c r="M2167" s="1">
        <f t="shared" si="135"/>
        <v>0</v>
      </c>
      <c r="N2167" s="1">
        <f t="shared" si="136"/>
        <v>0</v>
      </c>
      <c r="O2167" s="1"/>
    </row>
    <row r="2168" spans="1:15" x14ac:dyDescent="0.25">
      <c r="A2168">
        <v>4034</v>
      </c>
      <c r="B2168">
        <v>5835.5217970000003</v>
      </c>
      <c r="C2168">
        <v>0</v>
      </c>
      <c r="D2168">
        <v>21723.211759999998</v>
      </c>
      <c r="E2168">
        <v>0</v>
      </c>
      <c r="F2168">
        <v>91678.685010000001</v>
      </c>
      <c r="G2168">
        <v>0</v>
      </c>
      <c r="H2168">
        <v>4034</v>
      </c>
      <c r="I2168" t="str">
        <f t="shared" si="133"/>
        <v>YES</v>
      </c>
      <c r="J2168" t="s">
        <v>2174</v>
      </c>
      <c r="K2168">
        <v>661900.77051299997</v>
      </c>
      <c r="L2168" s="1">
        <f t="shared" si="134"/>
        <v>0</v>
      </c>
      <c r="M2168" s="1">
        <f t="shared" si="135"/>
        <v>0</v>
      </c>
      <c r="N2168" s="1">
        <f t="shared" si="136"/>
        <v>0</v>
      </c>
      <c r="O2168" s="1"/>
    </row>
    <row r="2169" spans="1:15" x14ac:dyDescent="0.25">
      <c r="A2169">
        <v>4035</v>
      </c>
      <c r="B2169">
        <v>6821.3271379999996</v>
      </c>
      <c r="C2169">
        <v>0</v>
      </c>
      <c r="D2169">
        <v>40643.588349999998</v>
      </c>
      <c r="E2169">
        <v>0</v>
      </c>
      <c r="F2169">
        <v>181367.79749999999</v>
      </c>
      <c r="G2169">
        <v>0</v>
      </c>
      <c r="H2169">
        <v>4035</v>
      </c>
      <c r="I2169" t="str">
        <f t="shared" si="133"/>
        <v>YES</v>
      </c>
      <c r="J2169" t="s">
        <v>2175</v>
      </c>
      <c r="K2169">
        <v>592596.52570600004</v>
      </c>
      <c r="L2169" s="1">
        <f t="shared" si="134"/>
        <v>0</v>
      </c>
      <c r="M2169" s="1">
        <f t="shared" si="135"/>
        <v>0</v>
      </c>
      <c r="N2169" s="1">
        <f t="shared" si="136"/>
        <v>0</v>
      </c>
      <c r="O2169" s="1"/>
    </row>
    <row r="2170" spans="1:15" x14ac:dyDescent="0.25">
      <c r="A2170">
        <v>4036</v>
      </c>
      <c r="B2170">
        <v>5648.5495330000003</v>
      </c>
      <c r="C2170">
        <v>0</v>
      </c>
      <c r="D2170">
        <v>23256.401030000001</v>
      </c>
      <c r="E2170">
        <v>0</v>
      </c>
      <c r="F2170">
        <v>96390.18793</v>
      </c>
      <c r="G2170">
        <v>0</v>
      </c>
      <c r="H2170">
        <v>4036</v>
      </c>
      <c r="I2170" t="str">
        <f t="shared" si="133"/>
        <v>YES</v>
      </c>
      <c r="J2170" t="s">
        <v>2176</v>
      </c>
      <c r="K2170">
        <v>595982.89330300002</v>
      </c>
      <c r="L2170" s="1">
        <f t="shared" si="134"/>
        <v>0</v>
      </c>
      <c r="M2170" s="1">
        <f t="shared" si="135"/>
        <v>0</v>
      </c>
      <c r="N2170" s="1">
        <f t="shared" si="136"/>
        <v>0</v>
      </c>
      <c r="O2170" s="1"/>
    </row>
    <row r="2171" spans="1:15" x14ac:dyDescent="0.25">
      <c r="A2171">
        <v>4037</v>
      </c>
      <c r="B2171">
        <v>18083.2094</v>
      </c>
      <c r="C2171">
        <v>0</v>
      </c>
      <c r="D2171">
        <v>89564.223010000002</v>
      </c>
      <c r="E2171">
        <v>0</v>
      </c>
      <c r="F2171">
        <v>258184.7438</v>
      </c>
      <c r="G2171">
        <v>0</v>
      </c>
      <c r="H2171">
        <v>4037</v>
      </c>
      <c r="I2171" t="str">
        <f t="shared" si="133"/>
        <v>YES</v>
      </c>
      <c r="J2171" t="s">
        <v>2177</v>
      </c>
      <c r="K2171">
        <v>567030.03206799994</v>
      </c>
      <c r="L2171" s="1">
        <f t="shared" si="134"/>
        <v>0</v>
      </c>
      <c r="M2171" s="1">
        <f t="shared" si="135"/>
        <v>0</v>
      </c>
      <c r="N2171" s="1">
        <f t="shared" si="136"/>
        <v>0</v>
      </c>
      <c r="O2171" s="1"/>
    </row>
    <row r="2172" spans="1:15" x14ac:dyDescent="0.25">
      <c r="A2172">
        <v>4038</v>
      </c>
      <c r="B2172">
        <v>6596.9160410000004</v>
      </c>
      <c r="C2172">
        <v>0</v>
      </c>
      <c r="D2172">
        <v>37279.040860000001</v>
      </c>
      <c r="E2172">
        <v>0</v>
      </c>
      <c r="F2172">
        <v>176683.0626</v>
      </c>
      <c r="G2172">
        <v>0</v>
      </c>
      <c r="H2172">
        <v>4038</v>
      </c>
      <c r="I2172" t="str">
        <f t="shared" si="133"/>
        <v>YES</v>
      </c>
      <c r="J2172" t="s">
        <v>2178</v>
      </c>
      <c r="K2172">
        <v>468421.37456199998</v>
      </c>
      <c r="L2172" s="1">
        <f t="shared" si="134"/>
        <v>0</v>
      </c>
      <c r="M2172" s="1">
        <f t="shared" si="135"/>
        <v>0</v>
      </c>
      <c r="N2172" s="1">
        <f t="shared" si="136"/>
        <v>0</v>
      </c>
      <c r="O2172" s="1"/>
    </row>
    <row r="2173" spans="1:15" x14ac:dyDescent="0.25">
      <c r="A2173">
        <v>4039</v>
      </c>
      <c r="B2173">
        <v>11227.750959999999</v>
      </c>
      <c r="C2173">
        <v>0</v>
      </c>
      <c r="D2173">
        <v>25296.418249999999</v>
      </c>
      <c r="E2173">
        <v>0</v>
      </c>
      <c r="F2173">
        <v>97198.273870000005</v>
      </c>
      <c r="G2173">
        <v>0</v>
      </c>
      <c r="H2173">
        <v>4039</v>
      </c>
      <c r="I2173" t="str">
        <f t="shared" si="133"/>
        <v>YES</v>
      </c>
      <c r="J2173" t="s">
        <v>2179</v>
      </c>
      <c r="K2173">
        <v>1500959.08577</v>
      </c>
      <c r="L2173" s="1">
        <f t="shared" si="134"/>
        <v>0</v>
      </c>
      <c r="M2173" s="1">
        <f t="shared" si="135"/>
        <v>0</v>
      </c>
      <c r="N2173" s="1">
        <f t="shared" si="136"/>
        <v>0</v>
      </c>
      <c r="O2173" s="1"/>
    </row>
    <row r="2174" spans="1:15" x14ac:dyDescent="0.25">
      <c r="A2174">
        <v>4040</v>
      </c>
      <c r="B2174">
        <v>10303.342140000001</v>
      </c>
      <c r="C2174">
        <v>0</v>
      </c>
      <c r="D2174">
        <v>44385.356440000003</v>
      </c>
      <c r="E2174">
        <v>0</v>
      </c>
      <c r="F2174">
        <v>198049.45170000001</v>
      </c>
      <c r="G2174">
        <v>0</v>
      </c>
      <c r="H2174">
        <v>4040</v>
      </c>
      <c r="I2174" t="str">
        <f t="shared" si="133"/>
        <v>YES</v>
      </c>
      <c r="J2174" t="s">
        <v>2180</v>
      </c>
      <c r="K2174">
        <v>1452367.0404300001</v>
      </c>
      <c r="L2174" s="1">
        <f t="shared" si="134"/>
        <v>0</v>
      </c>
      <c r="M2174" s="1">
        <f t="shared" si="135"/>
        <v>0</v>
      </c>
      <c r="N2174" s="1">
        <f t="shared" si="136"/>
        <v>0</v>
      </c>
      <c r="O2174" s="1"/>
    </row>
    <row r="2175" spans="1:15" x14ac:dyDescent="0.25">
      <c r="A2175">
        <v>4043</v>
      </c>
      <c r="B2175">
        <v>7117.353075</v>
      </c>
      <c r="C2175">
        <v>0</v>
      </c>
      <c r="D2175">
        <v>20445.93736</v>
      </c>
      <c r="E2175">
        <v>0</v>
      </c>
      <c r="F2175">
        <v>42802.900509999999</v>
      </c>
      <c r="G2175">
        <v>0</v>
      </c>
      <c r="H2175">
        <v>4043</v>
      </c>
      <c r="I2175" t="str">
        <f t="shared" si="133"/>
        <v>YES</v>
      </c>
      <c r="J2175" t="s">
        <v>2181</v>
      </c>
      <c r="K2175">
        <v>1975819.0930999999</v>
      </c>
      <c r="L2175" s="1">
        <f t="shared" si="134"/>
        <v>0</v>
      </c>
      <c r="M2175" s="1">
        <f t="shared" si="135"/>
        <v>0</v>
      </c>
      <c r="N2175" s="1">
        <f t="shared" si="136"/>
        <v>0</v>
      </c>
      <c r="O2175" s="1"/>
    </row>
    <row r="2176" spans="1:15" x14ac:dyDescent="0.25">
      <c r="A2176">
        <v>4044</v>
      </c>
      <c r="B2176">
        <v>12651.726269999999</v>
      </c>
      <c r="C2176">
        <v>0</v>
      </c>
      <c r="D2176">
        <v>38393.891470000002</v>
      </c>
      <c r="E2176">
        <v>0</v>
      </c>
      <c r="F2176">
        <v>94055.779680000007</v>
      </c>
      <c r="G2176">
        <v>0</v>
      </c>
      <c r="H2176">
        <v>4044</v>
      </c>
      <c r="I2176" t="str">
        <f t="shared" si="133"/>
        <v>YES</v>
      </c>
      <c r="J2176" t="s">
        <v>2182</v>
      </c>
      <c r="K2176">
        <v>1720258.45411</v>
      </c>
      <c r="L2176" s="1">
        <f t="shared" si="134"/>
        <v>0</v>
      </c>
      <c r="M2176" s="1">
        <f t="shared" si="135"/>
        <v>0</v>
      </c>
      <c r="N2176" s="1">
        <f t="shared" si="136"/>
        <v>0</v>
      </c>
      <c r="O2176" s="1"/>
    </row>
    <row r="2177" spans="1:15" x14ac:dyDescent="0.25">
      <c r="A2177">
        <v>4045</v>
      </c>
      <c r="B2177">
        <v>8615.1413279999997</v>
      </c>
      <c r="C2177">
        <v>0</v>
      </c>
      <c r="D2177">
        <v>22917.583999999999</v>
      </c>
      <c r="E2177">
        <v>0</v>
      </c>
      <c r="F2177">
        <v>44217.120190000001</v>
      </c>
      <c r="G2177">
        <v>0</v>
      </c>
      <c r="H2177">
        <v>4045</v>
      </c>
      <c r="I2177" t="str">
        <f t="shared" si="133"/>
        <v>YES</v>
      </c>
      <c r="J2177" t="s">
        <v>2183</v>
      </c>
      <c r="K2177">
        <v>11242312.2994</v>
      </c>
      <c r="L2177" s="1">
        <f t="shared" si="134"/>
        <v>0</v>
      </c>
      <c r="M2177" s="1">
        <f t="shared" si="135"/>
        <v>0</v>
      </c>
      <c r="N2177" s="1">
        <f t="shared" si="136"/>
        <v>0</v>
      </c>
      <c r="O2177" s="1"/>
    </row>
    <row r="2178" spans="1:15" x14ac:dyDescent="0.25">
      <c r="A2178">
        <v>4046</v>
      </c>
      <c r="B2178">
        <v>1526.632085</v>
      </c>
      <c r="C2178">
        <v>0</v>
      </c>
      <c r="D2178">
        <v>1526.632085</v>
      </c>
      <c r="E2178">
        <v>0</v>
      </c>
      <c r="F2178">
        <v>13654.407219999999</v>
      </c>
      <c r="G2178">
        <v>0</v>
      </c>
      <c r="H2178">
        <v>4046</v>
      </c>
      <c r="I2178" t="str">
        <f t="shared" ref="I2178:I2241" si="137">IF(A2178=H2178,"YES","NO")</f>
        <v>YES</v>
      </c>
      <c r="J2178" t="s">
        <v>2184</v>
      </c>
      <c r="K2178">
        <v>10660810.6735</v>
      </c>
      <c r="L2178" s="1">
        <f t="shared" si="134"/>
        <v>0</v>
      </c>
      <c r="M2178" s="1">
        <f t="shared" si="135"/>
        <v>0</v>
      </c>
      <c r="N2178" s="1">
        <f t="shared" si="136"/>
        <v>0</v>
      </c>
      <c r="O2178" s="1"/>
    </row>
    <row r="2179" spans="1:15" x14ac:dyDescent="0.25">
      <c r="A2179">
        <v>4047</v>
      </c>
      <c r="B2179" s="1">
        <v>1.39E-6</v>
      </c>
      <c r="C2179">
        <v>0</v>
      </c>
      <c r="D2179">
        <v>10885.928739999999</v>
      </c>
      <c r="E2179">
        <v>0</v>
      </c>
      <c r="F2179">
        <v>10885.928819999999</v>
      </c>
      <c r="G2179">
        <v>0</v>
      </c>
      <c r="H2179">
        <v>4047</v>
      </c>
      <c r="I2179" t="str">
        <f t="shared" si="137"/>
        <v>YES</v>
      </c>
      <c r="J2179" t="s">
        <v>2185</v>
      </c>
      <c r="K2179">
        <v>5037222.4175500004</v>
      </c>
      <c r="L2179" s="1">
        <f t="shared" ref="L2179:L2242" si="138">$U$2*$K2179*C2179</f>
        <v>0</v>
      </c>
      <c r="M2179" s="1">
        <f t="shared" ref="M2179:M2242" si="139">$U$3*$K2179*E2179</f>
        <v>0</v>
      </c>
      <c r="N2179" s="1">
        <f t="shared" ref="N2179:N2242" si="140">$U$4*$K2179*G2179</f>
        <v>0</v>
      </c>
      <c r="O2179" s="1"/>
    </row>
    <row r="2180" spans="1:15" x14ac:dyDescent="0.25">
      <c r="A2180">
        <v>4048</v>
      </c>
      <c r="B2180">
        <v>1497.644644</v>
      </c>
      <c r="C2180">
        <v>0</v>
      </c>
      <c r="D2180">
        <v>22461.737669999999</v>
      </c>
      <c r="E2180">
        <v>0</v>
      </c>
      <c r="F2180">
        <v>134901.70110000001</v>
      </c>
      <c r="G2180">
        <v>0</v>
      </c>
      <c r="H2180">
        <v>4048</v>
      </c>
      <c r="I2180" t="str">
        <f t="shared" si="137"/>
        <v>YES</v>
      </c>
      <c r="J2180" t="s">
        <v>2186</v>
      </c>
      <c r="K2180">
        <v>674630.18894200004</v>
      </c>
      <c r="L2180" s="1">
        <f t="shared" si="138"/>
        <v>0</v>
      </c>
      <c r="M2180" s="1">
        <f t="shared" si="139"/>
        <v>0</v>
      </c>
      <c r="N2180" s="1">
        <f t="shared" si="140"/>
        <v>0</v>
      </c>
      <c r="O2180" s="1"/>
    </row>
    <row r="2181" spans="1:15" x14ac:dyDescent="0.25">
      <c r="A2181">
        <v>4049</v>
      </c>
      <c r="B2181">
        <v>5306.5552209999996</v>
      </c>
      <c r="C2181">
        <v>0</v>
      </c>
      <c r="D2181">
        <v>28197.606769999999</v>
      </c>
      <c r="E2181">
        <v>0</v>
      </c>
      <c r="F2181">
        <v>156891.3419</v>
      </c>
      <c r="G2181">
        <v>0</v>
      </c>
      <c r="H2181">
        <v>4049</v>
      </c>
      <c r="I2181" t="str">
        <f t="shared" si="137"/>
        <v>YES</v>
      </c>
      <c r="J2181" t="s">
        <v>2187</v>
      </c>
      <c r="K2181">
        <v>884146.60501699999</v>
      </c>
      <c r="L2181" s="1">
        <f t="shared" si="138"/>
        <v>0</v>
      </c>
      <c r="M2181" s="1">
        <f t="shared" si="139"/>
        <v>0</v>
      </c>
      <c r="N2181" s="1">
        <f t="shared" si="140"/>
        <v>0</v>
      </c>
      <c r="O2181" s="1"/>
    </row>
    <row r="2182" spans="1:15" x14ac:dyDescent="0.25">
      <c r="A2182">
        <v>4050</v>
      </c>
      <c r="B2182">
        <v>3472.5662390000002</v>
      </c>
      <c r="C2182">
        <v>0</v>
      </c>
      <c r="D2182">
        <v>9110.7428060000002</v>
      </c>
      <c r="E2182">
        <v>0</v>
      </c>
      <c r="F2182">
        <v>21154.542409999998</v>
      </c>
      <c r="G2182">
        <v>0</v>
      </c>
      <c r="H2182">
        <v>4050</v>
      </c>
      <c r="I2182" t="str">
        <f t="shared" si="137"/>
        <v>YES</v>
      </c>
      <c r="J2182" t="s">
        <v>2188</v>
      </c>
      <c r="K2182">
        <v>929978.97786900005</v>
      </c>
      <c r="L2182" s="1">
        <f t="shared" si="138"/>
        <v>0</v>
      </c>
      <c r="M2182" s="1">
        <f t="shared" si="139"/>
        <v>0</v>
      </c>
      <c r="N2182" s="1">
        <f t="shared" si="140"/>
        <v>0</v>
      </c>
      <c r="O2182" s="1"/>
    </row>
    <row r="2183" spans="1:15" x14ac:dyDescent="0.25">
      <c r="A2183">
        <v>4051</v>
      </c>
      <c r="B2183">
        <v>8597.3035679999994</v>
      </c>
      <c r="C2183">
        <v>0</v>
      </c>
      <c r="D2183">
        <v>65432.556060000003</v>
      </c>
      <c r="E2183">
        <v>0</v>
      </c>
      <c r="F2183">
        <v>234270.0987</v>
      </c>
      <c r="G2183">
        <v>0</v>
      </c>
      <c r="H2183">
        <v>4051</v>
      </c>
      <c r="I2183" t="str">
        <f t="shared" si="137"/>
        <v>YES</v>
      </c>
      <c r="J2183" t="s">
        <v>2189</v>
      </c>
      <c r="K2183">
        <v>1133008.7764900001</v>
      </c>
      <c r="L2183" s="1">
        <f t="shared" si="138"/>
        <v>0</v>
      </c>
      <c r="M2183" s="1">
        <f t="shared" si="139"/>
        <v>0</v>
      </c>
      <c r="N2183" s="1">
        <f t="shared" si="140"/>
        <v>0</v>
      </c>
      <c r="O2183" s="1"/>
    </row>
    <row r="2184" spans="1:15" x14ac:dyDescent="0.25">
      <c r="A2184">
        <v>4052</v>
      </c>
      <c r="B2184">
        <v>10661.08023</v>
      </c>
      <c r="C2184">
        <v>0</v>
      </c>
      <c r="D2184">
        <v>107465.83719999999</v>
      </c>
      <c r="E2184">
        <v>0</v>
      </c>
      <c r="F2184">
        <v>282722.91649999999</v>
      </c>
      <c r="G2184">
        <v>0</v>
      </c>
      <c r="H2184">
        <v>4052</v>
      </c>
      <c r="I2184" t="str">
        <f t="shared" si="137"/>
        <v>YES</v>
      </c>
      <c r="J2184" t="s">
        <v>2190</v>
      </c>
      <c r="K2184">
        <v>833008.35252399999</v>
      </c>
      <c r="L2184" s="1">
        <f t="shared" si="138"/>
        <v>0</v>
      </c>
      <c r="M2184" s="1">
        <f t="shared" si="139"/>
        <v>0</v>
      </c>
      <c r="N2184" s="1">
        <f t="shared" si="140"/>
        <v>0</v>
      </c>
      <c r="O2184" s="1"/>
    </row>
    <row r="2185" spans="1:15" x14ac:dyDescent="0.25">
      <c r="A2185">
        <v>4053</v>
      </c>
      <c r="B2185">
        <v>3387.872343</v>
      </c>
      <c r="C2185">
        <v>0</v>
      </c>
      <c r="D2185">
        <v>20945.875810000001</v>
      </c>
      <c r="E2185">
        <v>0</v>
      </c>
      <c r="F2185">
        <v>105501.9526</v>
      </c>
      <c r="G2185">
        <v>0</v>
      </c>
      <c r="H2185">
        <v>4053</v>
      </c>
      <c r="I2185" t="str">
        <f t="shared" si="137"/>
        <v>YES</v>
      </c>
      <c r="J2185" t="s">
        <v>2191</v>
      </c>
      <c r="K2185">
        <v>983962.62003700004</v>
      </c>
      <c r="L2185" s="1">
        <f t="shared" si="138"/>
        <v>0</v>
      </c>
      <c r="M2185" s="1">
        <f t="shared" si="139"/>
        <v>0</v>
      </c>
      <c r="N2185" s="1">
        <f t="shared" si="140"/>
        <v>0</v>
      </c>
      <c r="O2185" s="1"/>
    </row>
    <row r="2186" spans="1:15" x14ac:dyDescent="0.25">
      <c r="A2186">
        <v>4054</v>
      </c>
      <c r="B2186">
        <v>3912.3889549999999</v>
      </c>
      <c r="C2186">
        <v>0</v>
      </c>
      <c r="D2186">
        <v>37238.74123</v>
      </c>
      <c r="E2186">
        <v>0</v>
      </c>
      <c r="F2186">
        <v>170807.302</v>
      </c>
      <c r="G2186">
        <v>0</v>
      </c>
      <c r="H2186">
        <v>4054</v>
      </c>
      <c r="I2186" t="str">
        <f t="shared" si="137"/>
        <v>YES</v>
      </c>
      <c r="J2186" t="s">
        <v>2192</v>
      </c>
      <c r="K2186">
        <v>1151350.9813600001</v>
      </c>
      <c r="L2186" s="1">
        <f t="shared" si="138"/>
        <v>0</v>
      </c>
      <c r="M2186" s="1">
        <f t="shared" si="139"/>
        <v>0</v>
      </c>
      <c r="N2186" s="1">
        <f t="shared" si="140"/>
        <v>0</v>
      </c>
      <c r="O2186" s="1"/>
    </row>
    <row r="2187" spans="1:15" x14ac:dyDescent="0.25">
      <c r="A2187">
        <v>4055</v>
      </c>
      <c r="B2187">
        <v>353.2335362</v>
      </c>
      <c r="C2187">
        <v>0</v>
      </c>
      <c r="D2187">
        <v>2922.567591</v>
      </c>
      <c r="E2187">
        <v>0</v>
      </c>
      <c r="F2187">
        <v>34588.250800000002</v>
      </c>
      <c r="G2187">
        <v>0</v>
      </c>
      <c r="H2187">
        <v>4055</v>
      </c>
      <c r="I2187" t="str">
        <f t="shared" si="137"/>
        <v>YES</v>
      </c>
      <c r="J2187" t="s">
        <v>2193</v>
      </c>
      <c r="K2187">
        <v>2257326.5449299999</v>
      </c>
      <c r="L2187" s="1">
        <f t="shared" si="138"/>
        <v>0</v>
      </c>
      <c r="M2187" s="1">
        <f t="shared" si="139"/>
        <v>0</v>
      </c>
      <c r="N2187" s="1">
        <f t="shared" si="140"/>
        <v>0</v>
      </c>
      <c r="O2187" s="1"/>
    </row>
    <row r="2188" spans="1:15" x14ac:dyDescent="0.25">
      <c r="A2188">
        <v>4056</v>
      </c>
      <c r="B2188">
        <v>6916.7493770000001</v>
      </c>
      <c r="C2188">
        <v>0</v>
      </c>
      <c r="D2188">
        <v>24278.570889999999</v>
      </c>
      <c r="E2188">
        <v>0</v>
      </c>
      <c r="F2188">
        <v>91523.436660000007</v>
      </c>
      <c r="G2188">
        <v>0</v>
      </c>
      <c r="H2188">
        <v>4056</v>
      </c>
      <c r="I2188" t="str">
        <f t="shared" si="137"/>
        <v>YES</v>
      </c>
      <c r="J2188" t="s">
        <v>2194</v>
      </c>
      <c r="K2188">
        <v>1611620.0102299999</v>
      </c>
      <c r="L2188" s="1">
        <f t="shared" si="138"/>
        <v>0</v>
      </c>
      <c r="M2188" s="1">
        <f t="shared" si="139"/>
        <v>0</v>
      </c>
      <c r="N2188" s="1">
        <f t="shared" si="140"/>
        <v>0</v>
      </c>
      <c r="O2188" s="1"/>
    </row>
    <row r="2189" spans="1:15" x14ac:dyDescent="0.25">
      <c r="A2189">
        <v>4057</v>
      </c>
      <c r="B2189">
        <v>1149.3650580000001</v>
      </c>
      <c r="C2189">
        <v>0</v>
      </c>
      <c r="D2189">
        <v>14448.93564</v>
      </c>
      <c r="E2189">
        <v>0</v>
      </c>
      <c r="F2189">
        <v>66446.846019999997</v>
      </c>
      <c r="G2189">
        <v>0</v>
      </c>
      <c r="H2189">
        <v>4057</v>
      </c>
      <c r="I2189" t="str">
        <f t="shared" si="137"/>
        <v>YES</v>
      </c>
      <c r="J2189" t="s">
        <v>2195</v>
      </c>
      <c r="K2189">
        <v>848686.07319000002</v>
      </c>
      <c r="L2189" s="1">
        <f t="shared" si="138"/>
        <v>0</v>
      </c>
      <c r="M2189" s="1">
        <f t="shared" si="139"/>
        <v>0</v>
      </c>
      <c r="N2189" s="1">
        <f t="shared" si="140"/>
        <v>0</v>
      </c>
      <c r="O2189" s="1"/>
    </row>
    <row r="2190" spans="1:15" x14ac:dyDescent="0.25">
      <c r="A2190">
        <v>4058</v>
      </c>
      <c r="B2190">
        <v>387.62863529999998</v>
      </c>
      <c r="C2190">
        <v>0</v>
      </c>
      <c r="D2190">
        <v>1813.1663659999999</v>
      </c>
      <c r="E2190">
        <v>0</v>
      </c>
      <c r="F2190">
        <v>44604.314420000002</v>
      </c>
      <c r="G2190">
        <v>0</v>
      </c>
      <c r="H2190">
        <v>4058</v>
      </c>
      <c r="I2190" t="str">
        <f t="shared" si="137"/>
        <v>YES</v>
      </c>
      <c r="J2190" t="s">
        <v>2196</v>
      </c>
      <c r="K2190">
        <v>807514.73001900001</v>
      </c>
      <c r="L2190" s="1">
        <f t="shared" si="138"/>
        <v>0</v>
      </c>
      <c r="M2190" s="1">
        <f t="shared" si="139"/>
        <v>0</v>
      </c>
      <c r="N2190" s="1">
        <f t="shared" si="140"/>
        <v>0</v>
      </c>
      <c r="O2190" s="1"/>
    </row>
    <row r="2191" spans="1:15" x14ac:dyDescent="0.25">
      <c r="A2191">
        <v>4059</v>
      </c>
      <c r="B2191">
        <v>1649.3244179999999</v>
      </c>
      <c r="C2191">
        <v>0</v>
      </c>
      <c r="D2191">
        <v>28097.62053</v>
      </c>
      <c r="E2191">
        <v>0</v>
      </c>
      <c r="F2191">
        <v>55877.638059999997</v>
      </c>
      <c r="G2191">
        <v>0</v>
      </c>
      <c r="H2191">
        <v>4059</v>
      </c>
      <c r="I2191" t="str">
        <f t="shared" si="137"/>
        <v>YES</v>
      </c>
      <c r="J2191" t="s">
        <v>2197</v>
      </c>
      <c r="K2191">
        <v>910076.89141200006</v>
      </c>
      <c r="L2191" s="1">
        <f t="shared" si="138"/>
        <v>0</v>
      </c>
      <c r="M2191" s="1">
        <f t="shared" si="139"/>
        <v>0</v>
      </c>
      <c r="N2191" s="1">
        <f t="shared" si="140"/>
        <v>0</v>
      </c>
      <c r="O2191" s="1"/>
    </row>
    <row r="2192" spans="1:15" x14ac:dyDescent="0.25">
      <c r="A2192">
        <v>4060</v>
      </c>
      <c r="B2192">
        <v>7313.0569489999998</v>
      </c>
      <c r="C2192">
        <v>0</v>
      </c>
      <c r="D2192">
        <v>23180.956200000001</v>
      </c>
      <c r="E2192">
        <v>0</v>
      </c>
      <c r="F2192">
        <v>51900.787940000002</v>
      </c>
      <c r="G2192">
        <v>0</v>
      </c>
      <c r="H2192">
        <v>4060</v>
      </c>
      <c r="I2192" t="str">
        <f t="shared" si="137"/>
        <v>YES</v>
      </c>
      <c r="J2192" t="s">
        <v>2198</v>
      </c>
      <c r="K2192">
        <v>1572247.5843499999</v>
      </c>
      <c r="L2192" s="1">
        <f t="shared" si="138"/>
        <v>0</v>
      </c>
      <c r="M2192" s="1">
        <f t="shared" si="139"/>
        <v>0</v>
      </c>
      <c r="N2192" s="1">
        <f t="shared" si="140"/>
        <v>0</v>
      </c>
      <c r="O2192" s="1"/>
    </row>
    <row r="2193" spans="1:15" x14ac:dyDescent="0.25">
      <c r="A2193">
        <v>4100</v>
      </c>
      <c r="B2193">
        <v>5783.0748610000001</v>
      </c>
      <c r="C2193">
        <v>0</v>
      </c>
      <c r="D2193">
        <v>26668.238120000002</v>
      </c>
      <c r="E2193">
        <v>0</v>
      </c>
      <c r="F2193">
        <v>107480.76360000001</v>
      </c>
      <c r="G2193">
        <v>0</v>
      </c>
      <c r="H2193">
        <v>4100</v>
      </c>
      <c r="I2193" t="str">
        <f t="shared" si="137"/>
        <v>YES</v>
      </c>
      <c r="J2193" t="s">
        <v>2199</v>
      </c>
      <c r="K2193">
        <v>1415065.18426</v>
      </c>
      <c r="L2193" s="1">
        <f t="shared" si="138"/>
        <v>0</v>
      </c>
      <c r="M2193" s="1">
        <f t="shared" si="139"/>
        <v>0</v>
      </c>
      <c r="N2193" s="1">
        <f t="shared" si="140"/>
        <v>0</v>
      </c>
      <c r="O2193" s="1"/>
    </row>
    <row r="2194" spans="1:15" x14ac:dyDescent="0.25">
      <c r="A2194">
        <v>4101</v>
      </c>
      <c r="B2194">
        <v>9900.6343610000004</v>
      </c>
      <c r="C2194">
        <v>0</v>
      </c>
      <c r="D2194">
        <v>38703.0962</v>
      </c>
      <c r="E2194">
        <v>0</v>
      </c>
      <c r="F2194">
        <v>199345.97899999999</v>
      </c>
      <c r="G2194">
        <v>0</v>
      </c>
      <c r="H2194">
        <v>4101</v>
      </c>
      <c r="I2194" t="str">
        <f t="shared" si="137"/>
        <v>YES</v>
      </c>
      <c r="J2194" t="s">
        <v>2200</v>
      </c>
      <c r="K2194">
        <v>1307729.9917899999</v>
      </c>
      <c r="L2194" s="1">
        <f t="shared" si="138"/>
        <v>0</v>
      </c>
      <c r="M2194" s="1">
        <f t="shared" si="139"/>
        <v>0</v>
      </c>
      <c r="N2194" s="1">
        <f t="shared" si="140"/>
        <v>0</v>
      </c>
      <c r="O2194" s="1"/>
    </row>
    <row r="2195" spans="1:15" x14ac:dyDescent="0.25">
      <c r="A2195">
        <v>4102</v>
      </c>
      <c r="B2195">
        <v>21859.640329999998</v>
      </c>
      <c r="C2195">
        <v>0</v>
      </c>
      <c r="D2195">
        <v>40953.64213</v>
      </c>
      <c r="E2195">
        <v>0</v>
      </c>
      <c r="F2195">
        <v>207156.66029999999</v>
      </c>
      <c r="G2195">
        <v>0</v>
      </c>
      <c r="H2195">
        <v>4102</v>
      </c>
      <c r="I2195" t="str">
        <f t="shared" si="137"/>
        <v>YES</v>
      </c>
      <c r="J2195" t="s">
        <v>2201</v>
      </c>
      <c r="K2195">
        <v>705591.42584100005</v>
      </c>
      <c r="L2195" s="1">
        <f t="shared" si="138"/>
        <v>0</v>
      </c>
      <c r="M2195" s="1">
        <f t="shared" si="139"/>
        <v>0</v>
      </c>
      <c r="N2195" s="1">
        <f t="shared" si="140"/>
        <v>0</v>
      </c>
      <c r="O2195" s="1"/>
    </row>
    <row r="2196" spans="1:15" x14ac:dyDescent="0.25">
      <c r="A2196">
        <v>4103</v>
      </c>
      <c r="B2196">
        <v>15557.94175</v>
      </c>
      <c r="C2196">
        <v>0</v>
      </c>
      <c r="D2196">
        <v>45366.70966</v>
      </c>
      <c r="E2196">
        <v>0</v>
      </c>
      <c r="F2196">
        <v>241806.56210000001</v>
      </c>
      <c r="G2196">
        <v>0</v>
      </c>
      <c r="H2196">
        <v>4103</v>
      </c>
      <c r="I2196" t="str">
        <f t="shared" si="137"/>
        <v>YES</v>
      </c>
      <c r="J2196" t="s">
        <v>2202</v>
      </c>
      <c r="K2196">
        <v>1423864.0812200001</v>
      </c>
      <c r="L2196" s="1">
        <f t="shared" si="138"/>
        <v>0</v>
      </c>
      <c r="M2196" s="1">
        <f t="shared" si="139"/>
        <v>0</v>
      </c>
      <c r="N2196" s="1">
        <f t="shared" si="140"/>
        <v>0</v>
      </c>
      <c r="O2196" s="1"/>
    </row>
    <row r="2197" spans="1:15" x14ac:dyDescent="0.25">
      <c r="A2197">
        <v>4104</v>
      </c>
      <c r="B2197">
        <v>16183.98918</v>
      </c>
      <c r="C2197">
        <v>0</v>
      </c>
      <c r="D2197">
        <v>79959.813389999996</v>
      </c>
      <c r="E2197">
        <v>0</v>
      </c>
      <c r="F2197">
        <v>275340.54009999998</v>
      </c>
      <c r="G2197">
        <v>0</v>
      </c>
      <c r="H2197">
        <v>4104</v>
      </c>
      <c r="I2197" t="str">
        <f t="shared" si="137"/>
        <v>YES</v>
      </c>
      <c r="J2197" t="s">
        <v>2203</v>
      </c>
      <c r="K2197">
        <v>925429.33686000004</v>
      </c>
      <c r="L2197" s="1">
        <f t="shared" si="138"/>
        <v>0</v>
      </c>
      <c r="M2197" s="1">
        <f t="shared" si="139"/>
        <v>0</v>
      </c>
      <c r="N2197" s="1">
        <f t="shared" si="140"/>
        <v>0</v>
      </c>
      <c r="O2197" s="1"/>
    </row>
    <row r="2198" spans="1:15" x14ac:dyDescent="0.25">
      <c r="A2198">
        <v>4105</v>
      </c>
      <c r="B2198">
        <v>79133.727929999994</v>
      </c>
      <c r="C2198">
        <v>0</v>
      </c>
      <c r="D2198">
        <v>275445.91810000001</v>
      </c>
      <c r="E2198">
        <v>0</v>
      </c>
      <c r="F2198">
        <v>1002021.515</v>
      </c>
      <c r="G2198">
        <v>0</v>
      </c>
      <c r="H2198">
        <v>4105</v>
      </c>
      <c r="I2198" t="str">
        <f t="shared" si="137"/>
        <v>YES</v>
      </c>
      <c r="J2198" t="s">
        <v>2204</v>
      </c>
      <c r="K2198">
        <v>123180.111246</v>
      </c>
      <c r="L2198" s="1">
        <f t="shared" si="138"/>
        <v>0</v>
      </c>
      <c r="M2198" s="1">
        <f t="shared" si="139"/>
        <v>0</v>
      </c>
      <c r="N2198" s="1">
        <f t="shared" si="140"/>
        <v>0</v>
      </c>
      <c r="O2198" s="1"/>
    </row>
    <row r="2199" spans="1:15" x14ac:dyDescent="0.25">
      <c r="A2199">
        <v>4106</v>
      </c>
      <c r="B2199">
        <v>19573.121800000001</v>
      </c>
      <c r="C2199">
        <v>0</v>
      </c>
      <c r="D2199">
        <v>93815.516529999994</v>
      </c>
      <c r="E2199">
        <v>0</v>
      </c>
      <c r="F2199">
        <v>321663.07520000002</v>
      </c>
      <c r="G2199">
        <v>0</v>
      </c>
      <c r="H2199">
        <v>4106</v>
      </c>
      <c r="I2199" t="str">
        <f t="shared" si="137"/>
        <v>YES</v>
      </c>
      <c r="J2199" t="s">
        <v>2205</v>
      </c>
      <c r="K2199">
        <v>350734.42338300002</v>
      </c>
      <c r="L2199" s="1">
        <f t="shared" si="138"/>
        <v>0</v>
      </c>
      <c r="M2199" s="1">
        <f t="shared" si="139"/>
        <v>0</v>
      </c>
      <c r="N2199" s="1">
        <f t="shared" si="140"/>
        <v>0</v>
      </c>
      <c r="O2199" s="1"/>
    </row>
    <row r="2200" spans="1:15" x14ac:dyDescent="0.25">
      <c r="A2200">
        <v>4107</v>
      </c>
      <c r="B2200">
        <v>85080.976739999998</v>
      </c>
      <c r="C2200">
        <v>0</v>
      </c>
      <c r="D2200">
        <v>271160.11430000002</v>
      </c>
      <c r="E2200">
        <v>0</v>
      </c>
      <c r="F2200">
        <v>982515.70929999999</v>
      </c>
      <c r="G2200">
        <v>0</v>
      </c>
      <c r="H2200">
        <v>4107</v>
      </c>
      <c r="I2200" t="str">
        <f t="shared" si="137"/>
        <v>YES</v>
      </c>
      <c r="J2200" t="s">
        <v>2206</v>
      </c>
      <c r="K2200">
        <v>208049.73323700001</v>
      </c>
      <c r="L2200" s="1">
        <f t="shared" si="138"/>
        <v>0</v>
      </c>
      <c r="M2200" s="1">
        <f t="shared" si="139"/>
        <v>0</v>
      </c>
      <c r="N2200" s="1">
        <f t="shared" si="140"/>
        <v>0</v>
      </c>
      <c r="O2200" s="1"/>
    </row>
    <row r="2201" spans="1:15" x14ac:dyDescent="0.25">
      <c r="A2201">
        <v>4108</v>
      </c>
      <c r="B2201">
        <v>18123.152470000001</v>
      </c>
      <c r="C2201">
        <v>0</v>
      </c>
      <c r="D2201">
        <v>125356.7368</v>
      </c>
      <c r="E2201">
        <v>0</v>
      </c>
      <c r="F2201">
        <v>378580.24660000001</v>
      </c>
      <c r="G2201">
        <v>0</v>
      </c>
      <c r="H2201">
        <v>4108</v>
      </c>
      <c r="I2201" t="str">
        <f t="shared" si="137"/>
        <v>YES</v>
      </c>
      <c r="J2201" t="s">
        <v>2207</v>
      </c>
      <c r="K2201">
        <v>621601.28818000003</v>
      </c>
      <c r="L2201" s="1">
        <f t="shared" si="138"/>
        <v>0</v>
      </c>
      <c r="M2201" s="1">
        <f t="shared" si="139"/>
        <v>0</v>
      </c>
      <c r="N2201" s="1">
        <f t="shared" si="140"/>
        <v>0</v>
      </c>
      <c r="O2201" s="1"/>
    </row>
    <row r="2202" spans="1:15" x14ac:dyDescent="0.25">
      <c r="A2202">
        <v>4109</v>
      </c>
      <c r="B2202">
        <v>23743.06594</v>
      </c>
      <c r="C2202">
        <v>0</v>
      </c>
      <c r="D2202">
        <v>188215.12400000001</v>
      </c>
      <c r="E2202">
        <v>0</v>
      </c>
      <c r="F2202">
        <v>548600.78489999997</v>
      </c>
      <c r="G2202">
        <v>0</v>
      </c>
      <c r="H2202">
        <v>4109</v>
      </c>
      <c r="I2202" t="str">
        <f t="shared" si="137"/>
        <v>YES</v>
      </c>
      <c r="J2202" t="s">
        <v>2208</v>
      </c>
      <c r="K2202">
        <v>435375.02171300002</v>
      </c>
      <c r="L2202" s="1">
        <f t="shared" si="138"/>
        <v>0</v>
      </c>
      <c r="M2202" s="1">
        <f t="shared" si="139"/>
        <v>0</v>
      </c>
      <c r="N2202" s="1">
        <f t="shared" si="140"/>
        <v>0</v>
      </c>
      <c r="O2202" s="1"/>
    </row>
    <row r="2203" spans="1:15" x14ac:dyDescent="0.25">
      <c r="A2203">
        <v>4110</v>
      </c>
      <c r="B2203">
        <v>16826.6819</v>
      </c>
      <c r="C2203">
        <v>0</v>
      </c>
      <c r="D2203">
        <v>63807.832799999996</v>
      </c>
      <c r="E2203">
        <v>0</v>
      </c>
      <c r="F2203">
        <v>260579.30840000001</v>
      </c>
      <c r="G2203">
        <v>0</v>
      </c>
      <c r="H2203">
        <v>4110</v>
      </c>
      <c r="I2203" t="str">
        <f t="shared" si="137"/>
        <v>YES</v>
      </c>
      <c r="J2203" t="s">
        <v>2209</v>
      </c>
      <c r="K2203">
        <v>89791.164500400002</v>
      </c>
      <c r="L2203" s="1">
        <f t="shared" si="138"/>
        <v>0</v>
      </c>
      <c r="M2203" s="1">
        <f t="shared" si="139"/>
        <v>0</v>
      </c>
      <c r="N2203" s="1">
        <f t="shared" si="140"/>
        <v>0</v>
      </c>
      <c r="O2203" s="1"/>
    </row>
    <row r="2204" spans="1:15" x14ac:dyDescent="0.25">
      <c r="A2204">
        <v>4111</v>
      </c>
      <c r="B2204">
        <v>49333.38869</v>
      </c>
      <c r="C2204">
        <v>0</v>
      </c>
      <c r="D2204">
        <v>223773.59039999999</v>
      </c>
      <c r="E2204">
        <v>0</v>
      </c>
      <c r="F2204">
        <v>677297.27980000002</v>
      </c>
      <c r="G2204">
        <v>0</v>
      </c>
      <c r="H2204">
        <v>4111</v>
      </c>
      <c r="I2204" t="str">
        <f t="shared" si="137"/>
        <v>YES</v>
      </c>
      <c r="J2204" t="s">
        <v>2210</v>
      </c>
      <c r="K2204">
        <v>136261.73905900001</v>
      </c>
      <c r="L2204" s="1">
        <f t="shared" si="138"/>
        <v>0</v>
      </c>
      <c r="M2204" s="1">
        <f t="shared" si="139"/>
        <v>0</v>
      </c>
      <c r="N2204" s="1">
        <f t="shared" si="140"/>
        <v>0</v>
      </c>
      <c r="O2204" s="1"/>
    </row>
    <row r="2205" spans="1:15" x14ac:dyDescent="0.25">
      <c r="A2205">
        <v>4112</v>
      </c>
      <c r="B2205">
        <v>41608.118340000001</v>
      </c>
      <c r="C2205">
        <v>0</v>
      </c>
      <c r="D2205">
        <v>217201.34950000001</v>
      </c>
      <c r="E2205">
        <v>0</v>
      </c>
      <c r="F2205">
        <v>601157.3909</v>
      </c>
      <c r="G2205">
        <v>0</v>
      </c>
      <c r="H2205">
        <v>4112</v>
      </c>
      <c r="I2205" t="str">
        <f t="shared" si="137"/>
        <v>YES</v>
      </c>
      <c r="J2205" t="s">
        <v>2211</v>
      </c>
      <c r="K2205">
        <v>217844.94602</v>
      </c>
      <c r="L2205" s="1">
        <f t="shared" si="138"/>
        <v>0</v>
      </c>
      <c r="M2205" s="1">
        <f t="shared" si="139"/>
        <v>0</v>
      </c>
      <c r="N2205" s="1">
        <f t="shared" si="140"/>
        <v>0</v>
      </c>
      <c r="O2205" s="1"/>
    </row>
    <row r="2206" spans="1:15" x14ac:dyDescent="0.25">
      <c r="A2206">
        <v>4113</v>
      </c>
      <c r="B2206">
        <v>1346.564715</v>
      </c>
      <c r="C2206">
        <v>0</v>
      </c>
      <c r="D2206">
        <v>16070.73675</v>
      </c>
      <c r="E2206">
        <v>0</v>
      </c>
      <c r="F2206">
        <v>61137.419600000001</v>
      </c>
      <c r="G2206">
        <v>0</v>
      </c>
      <c r="H2206">
        <v>4113</v>
      </c>
      <c r="I2206" t="str">
        <f t="shared" si="137"/>
        <v>YES</v>
      </c>
      <c r="J2206" t="s">
        <v>2212</v>
      </c>
      <c r="K2206">
        <v>1662741.15329</v>
      </c>
      <c r="L2206" s="1">
        <f t="shared" si="138"/>
        <v>0</v>
      </c>
      <c r="M2206" s="1">
        <f t="shared" si="139"/>
        <v>0</v>
      </c>
      <c r="N2206" s="1">
        <f t="shared" si="140"/>
        <v>0</v>
      </c>
      <c r="O2206" s="1"/>
    </row>
    <row r="2207" spans="1:15" x14ac:dyDescent="0.25">
      <c r="A2207">
        <v>4114</v>
      </c>
      <c r="B2207">
        <v>2029.652231</v>
      </c>
      <c r="C2207">
        <v>0</v>
      </c>
      <c r="D2207">
        <v>19870.88867</v>
      </c>
      <c r="E2207">
        <v>0</v>
      </c>
      <c r="F2207">
        <v>91919.239960000006</v>
      </c>
      <c r="G2207">
        <v>0</v>
      </c>
      <c r="H2207">
        <v>4114</v>
      </c>
      <c r="I2207" t="str">
        <f t="shared" si="137"/>
        <v>YES</v>
      </c>
      <c r="J2207" t="s">
        <v>2213</v>
      </c>
      <c r="K2207">
        <v>1065405.72</v>
      </c>
      <c r="L2207" s="1">
        <f t="shared" si="138"/>
        <v>0</v>
      </c>
      <c r="M2207" s="1">
        <f t="shared" si="139"/>
        <v>0</v>
      </c>
      <c r="N2207" s="1">
        <f t="shared" si="140"/>
        <v>0</v>
      </c>
      <c r="O2207" s="1"/>
    </row>
    <row r="2208" spans="1:15" x14ac:dyDescent="0.25">
      <c r="A2208">
        <v>4115</v>
      </c>
      <c r="B2208">
        <v>13085.873530000001</v>
      </c>
      <c r="C2208">
        <v>0</v>
      </c>
      <c r="D2208">
        <v>48145.283170000002</v>
      </c>
      <c r="E2208">
        <v>0</v>
      </c>
      <c r="F2208">
        <v>225985.8143</v>
      </c>
      <c r="G2208">
        <v>0</v>
      </c>
      <c r="H2208">
        <v>4115</v>
      </c>
      <c r="I2208" t="str">
        <f t="shared" si="137"/>
        <v>YES</v>
      </c>
      <c r="J2208" t="s">
        <v>2214</v>
      </c>
      <c r="K2208">
        <v>1134045.9676999999</v>
      </c>
      <c r="L2208" s="1">
        <f t="shared" si="138"/>
        <v>0</v>
      </c>
      <c r="M2208" s="1">
        <f t="shared" si="139"/>
        <v>0</v>
      </c>
      <c r="N2208" s="1">
        <f t="shared" si="140"/>
        <v>0</v>
      </c>
      <c r="O2208" s="1"/>
    </row>
    <row r="2209" spans="1:15" x14ac:dyDescent="0.25">
      <c r="A2209">
        <v>4116</v>
      </c>
      <c r="B2209">
        <v>6554.0685119999998</v>
      </c>
      <c r="C2209">
        <v>0</v>
      </c>
      <c r="D2209">
        <v>40659.057309999997</v>
      </c>
      <c r="E2209">
        <v>0</v>
      </c>
      <c r="F2209">
        <v>165477.97200000001</v>
      </c>
      <c r="G2209">
        <v>0</v>
      </c>
      <c r="H2209">
        <v>4116</v>
      </c>
      <c r="I2209" t="str">
        <f t="shared" si="137"/>
        <v>YES</v>
      </c>
      <c r="J2209" t="s">
        <v>2215</v>
      </c>
      <c r="K2209">
        <v>1408669.14671</v>
      </c>
      <c r="L2209" s="1">
        <f t="shared" si="138"/>
        <v>0</v>
      </c>
      <c r="M2209" s="1">
        <f t="shared" si="139"/>
        <v>0</v>
      </c>
      <c r="N2209" s="1">
        <f t="shared" si="140"/>
        <v>0</v>
      </c>
      <c r="O2209" s="1"/>
    </row>
    <row r="2210" spans="1:15" x14ac:dyDescent="0.25">
      <c r="A2210">
        <v>4117</v>
      </c>
      <c r="B2210">
        <v>6464.069708</v>
      </c>
      <c r="C2210">
        <v>0</v>
      </c>
      <c r="D2210">
        <v>33725.763339999998</v>
      </c>
      <c r="E2210">
        <v>0</v>
      </c>
      <c r="F2210">
        <v>153073.74179999999</v>
      </c>
      <c r="G2210">
        <v>0</v>
      </c>
      <c r="H2210">
        <v>4117</v>
      </c>
      <c r="I2210" t="str">
        <f t="shared" si="137"/>
        <v>YES</v>
      </c>
      <c r="J2210" t="s">
        <v>2216</v>
      </c>
      <c r="K2210">
        <v>865019.89246400003</v>
      </c>
      <c r="L2210" s="1">
        <f t="shared" si="138"/>
        <v>0</v>
      </c>
      <c r="M2210" s="1">
        <f t="shared" si="139"/>
        <v>0</v>
      </c>
      <c r="N2210" s="1">
        <f t="shared" si="140"/>
        <v>0</v>
      </c>
      <c r="O2210" s="1"/>
    </row>
    <row r="2211" spans="1:15" x14ac:dyDescent="0.25">
      <c r="A2211">
        <v>4118</v>
      </c>
      <c r="B2211">
        <v>11682.922130000001</v>
      </c>
      <c r="C2211">
        <v>0</v>
      </c>
      <c r="D2211">
        <v>105329.88099999999</v>
      </c>
      <c r="E2211">
        <v>0</v>
      </c>
      <c r="F2211">
        <v>293192.45449999999</v>
      </c>
      <c r="G2211">
        <v>0</v>
      </c>
      <c r="H2211">
        <v>4118</v>
      </c>
      <c r="I2211" t="str">
        <f t="shared" si="137"/>
        <v>YES</v>
      </c>
      <c r="J2211" t="s">
        <v>2217</v>
      </c>
      <c r="K2211">
        <v>1233837.3687499999</v>
      </c>
      <c r="L2211" s="1">
        <f t="shared" si="138"/>
        <v>0</v>
      </c>
      <c r="M2211" s="1">
        <f t="shared" si="139"/>
        <v>0</v>
      </c>
      <c r="N2211" s="1">
        <f t="shared" si="140"/>
        <v>0</v>
      </c>
      <c r="O2211" s="1"/>
    </row>
    <row r="2212" spans="1:15" x14ac:dyDescent="0.25">
      <c r="A2212">
        <v>4119</v>
      </c>
      <c r="B2212">
        <v>11541.986440000001</v>
      </c>
      <c r="C2212">
        <v>0</v>
      </c>
      <c r="D2212">
        <v>57924.393170000003</v>
      </c>
      <c r="E2212">
        <v>0</v>
      </c>
      <c r="F2212">
        <v>222484.09039999999</v>
      </c>
      <c r="G2212">
        <v>0</v>
      </c>
      <c r="H2212">
        <v>4119</v>
      </c>
      <c r="I2212" t="str">
        <f t="shared" si="137"/>
        <v>YES</v>
      </c>
      <c r="J2212" t="s">
        <v>2218</v>
      </c>
      <c r="K2212">
        <v>383842.90671900002</v>
      </c>
      <c r="L2212" s="1">
        <f t="shared" si="138"/>
        <v>0</v>
      </c>
      <c r="M2212" s="1">
        <f t="shared" si="139"/>
        <v>0</v>
      </c>
      <c r="N2212" s="1">
        <f t="shared" si="140"/>
        <v>0</v>
      </c>
      <c r="O2212" s="1"/>
    </row>
    <row r="2213" spans="1:15" x14ac:dyDescent="0.25">
      <c r="A2213">
        <v>4120</v>
      </c>
      <c r="B2213">
        <v>17877.405910000001</v>
      </c>
      <c r="C2213">
        <v>0</v>
      </c>
      <c r="D2213">
        <v>44456.575519999999</v>
      </c>
      <c r="E2213">
        <v>0</v>
      </c>
      <c r="F2213">
        <v>203885.09520000001</v>
      </c>
      <c r="G2213">
        <v>0</v>
      </c>
      <c r="H2213">
        <v>4120</v>
      </c>
      <c r="I2213" t="str">
        <f t="shared" si="137"/>
        <v>YES</v>
      </c>
      <c r="J2213" t="s">
        <v>2219</v>
      </c>
      <c r="K2213">
        <v>226888.46102700001</v>
      </c>
      <c r="L2213" s="1">
        <f t="shared" si="138"/>
        <v>0</v>
      </c>
      <c r="M2213" s="1">
        <f t="shared" si="139"/>
        <v>0</v>
      </c>
      <c r="N2213" s="1">
        <f t="shared" si="140"/>
        <v>0</v>
      </c>
      <c r="O2213" s="1"/>
    </row>
    <row r="2214" spans="1:15" x14ac:dyDescent="0.25">
      <c r="A2214">
        <v>4121</v>
      </c>
      <c r="B2214">
        <v>5882.4095859999998</v>
      </c>
      <c r="C2214">
        <v>0</v>
      </c>
      <c r="D2214">
        <v>34015.436609999997</v>
      </c>
      <c r="E2214">
        <v>0</v>
      </c>
      <c r="F2214">
        <v>187280.3273</v>
      </c>
      <c r="G2214">
        <v>0</v>
      </c>
      <c r="H2214">
        <v>4121</v>
      </c>
      <c r="I2214" t="str">
        <f t="shared" si="137"/>
        <v>YES</v>
      </c>
      <c r="J2214" t="s">
        <v>2220</v>
      </c>
      <c r="K2214">
        <v>792620.06697100005</v>
      </c>
      <c r="L2214" s="1">
        <f t="shared" si="138"/>
        <v>0</v>
      </c>
      <c r="M2214" s="1">
        <f t="shared" si="139"/>
        <v>0</v>
      </c>
      <c r="N2214" s="1">
        <f t="shared" si="140"/>
        <v>0</v>
      </c>
      <c r="O2214" s="1"/>
    </row>
    <row r="2215" spans="1:15" x14ac:dyDescent="0.25">
      <c r="A2215">
        <v>4122</v>
      </c>
      <c r="B2215">
        <v>14652.948410000001</v>
      </c>
      <c r="C2215">
        <v>0</v>
      </c>
      <c r="D2215">
        <v>110783.0537</v>
      </c>
      <c r="E2215">
        <v>0</v>
      </c>
      <c r="F2215">
        <v>317940.49359999999</v>
      </c>
      <c r="G2215">
        <v>0</v>
      </c>
      <c r="H2215">
        <v>4122</v>
      </c>
      <c r="I2215" t="str">
        <f t="shared" si="137"/>
        <v>YES</v>
      </c>
      <c r="J2215" t="s">
        <v>2221</v>
      </c>
      <c r="K2215">
        <v>664586.82978599996</v>
      </c>
      <c r="L2215" s="1">
        <f t="shared" si="138"/>
        <v>0</v>
      </c>
      <c r="M2215" s="1">
        <f t="shared" si="139"/>
        <v>0</v>
      </c>
      <c r="N2215" s="1">
        <f t="shared" si="140"/>
        <v>0</v>
      </c>
      <c r="O2215" s="1"/>
    </row>
    <row r="2216" spans="1:15" x14ac:dyDescent="0.25">
      <c r="A2216">
        <v>4123</v>
      </c>
      <c r="B2216">
        <v>11760.593129999999</v>
      </c>
      <c r="C2216">
        <v>0</v>
      </c>
      <c r="D2216">
        <v>31843.07214</v>
      </c>
      <c r="E2216">
        <v>0</v>
      </c>
      <c r="F2216">
        <v>171345.16279999999</v>
      </c>
      <c r="G2216">
        <v>0</v>
      </c>
      <c r="H2216">
        <v>4123</v>
      </c>
      <c r="I2216" t="str">
        <f t="shared" si="137"/>
        <v>YES</v>
      </c>
      <c r="J2216" t="s">
        <v>2222</v>
      </c>
      <c r="K2216">
        <v>628390.52435199998</v>
      </c>
      <c r="L2216" s="1">
        <f t="shared" si="138"/>
        <v>0</v>
      </c>
      <c r="M2216" s="1">
        <f t="shared" si="139"/>
        <v>0</v>
      </c>
      <c r="N2216" s="1">
        <f t="shared" si="140"/>
        <v>0</v>
      </c>
      <c r="O2216" s="1"/>
    </row>
    <row r="2217" spans="1:15" x14ac:dyDescent="0.25">
      <c r="A2217">
        <v>4124</v>
      </c>
      <c r="B2217">
        <v>7600.7123629999996</v>
      </c>
      <c r="C2217">
        <v>0</v>
      </c>
      <c r="D2217">
        <v>25975.26269</v>
      </c>
      <c r="E2217">
        <v>0</v>
      </c>
      <c r="F2217">
        <v>100542.7953</v>
      </c>
      <c r="G2217">
        <v>0</v>
      </c>
      <c r="H2217">
        <v>4124</v>
      </c>
      <c r="I2217" t="str">
        <f t="shared" si="137"/>
        <v>YES</v>
      </c>
      <c r="J2217" t="s">
        <v>2223</v>
      </c>
      <c r="K2217">
        <v>1322301.30165</v>
      </c>
      <c r="L2217" s="1">
        <f t="shared" si="138"/>
        <v>0</v>
      </c>
      <c r="M2217" s="1">
        <f t="shared" si="139"/>
        <v>0</v>
      </c>
      <c r="N2217" s="1">
        <f t="shared" si="140"/>
        <v>0</v>
      </c>
      <c r="O2217" s="1"/>
    </row>
    <row r="2218" spans="1:15" x14ac:dyDescent="0.25">
      <c r="A2218">
        <v>4125</v>
      </c>
      <c r="B2218">
        <v>13022.2997</v>
      </c>
      <c r="C2218">
        <v>0</v>
      </c>
      <c r="D2218">
        <v>35191.872130000003</v>
      </c>
      <c r="E2218">
        <v>0</v>
      </c>
      <c r="F2218">
        <v>190399.22080000001</v>
      </c>
      <c r="G2218">
        <v>0</v>
      </c>
      <c r="H2218">
        <v>4125</v>
      </c>
      <c r="I2218" t="str">
        <f t="shared" si="137"/>
        <v>YES</v>
      </c>
      <c r="J2218" t="s">
        <v>2224</v>
      </c>
      <c r="K2218">
        <v>867290.89842500002</v>
      </c>
      <c r="L2218" s="1">
        <f t="shared" si="138"/>
        <v>0</v>
      </c>
      <c r="M2218" s="1">
        <f t="shared" si="139"/>
        <v>0</v>
      </c>
      <c r="N2218" s="1">
        <f t="shared" si="140"/>
        <v>0</v>
      </c>
      <c r="O2218" s="1"/>
    </row>
    <row r="2219" spans="1:15" x14ac:dyDescent="0.25">
      <c r="A2219">
        <v>4126</v>
      </c>
      <c r="B2219">
        <v>5520.7206180000003</v>
      </c>
      <c r="C2219">
        <v>0</v>
      </c>
      <c r="D2219">
        <v>29994.623449999999</v>
      </c>
      <c r="E2219">
        <v>0</v>
      </c>
      <c r="F2219">
        <v>121295.6887</v>
      </c>
      <c r="G2219">
        <v>0</v>
      </c>
      <c r="H2219">
        <v>4126</v>
      </c>
      <c r="I2219" t="str">
        <f t="shared" si="137"/>
        <v>YES</v>
      </c>
      <c r="J2219" t="s">
        <v>2225</v>
      </c>
      <c r="K2219">
        <v>852384.02869299997</v>
      </c>
      <c r="L2219" s="1">
        <f t="shared" si="138"/>
        <v>0</v>
      </c>
      <c r="M2219" s="1">
        <f t="shared" si="139"/>
        <v>0</v>
      </c>
      <c r="N2219" s="1">
        <f t="shared" si="140"/>
        <v>0</v>
      </c>
      <c r="O2219" s="1"/>
    </row>
    <row r="2220" spans="1:15" x14ac:dyDescent="0.25">
      <c r="A2220">
        <v>4127</v>
      </c>
      <c r="B2220">
        <v>7614.8886279999997</v>
      </c>
      <c r="C2220">
        <v>0</v>
      </c>
      <c r="D2220">
        <v>27375.685549999998</v>
      </c>
      <c r="E2220">
        <v>0</v>
      </c>
      <c r="F2220">
        <v>69249.322440000004</v>
      </c>
      <c r="G2220">
        <v>0</v>
      </c>
      <c r="H2220">
        <v>4127</v>
      </c>
      <c r="I2220" t="str">
        <f t="shared" si="137"/>
        <v>YES</v>
      </c>
      <c r="J2220" t="s">
        <v>2226</v>
      </c>
      <c r="K2220">
        <v>648417.19140400004</v>
      </c>
      <c r="L2220" s="1">
        <f t="shared" si="138"/>
        <v>0</v>
      </c>
      <c r="M2220" s="1">
        <f t="shared" si="139"/>
        <v>0</v>
      </c>
      <c r="N2220" s="1">
        <f t="shared" si="140"/>
        <v>0</v>
      </c>
      <c r="O2220" s="1"/>
    </row>
    <row r="2221" spans="1:15" x14ac:dyDescent="0.25">
      <c r="A2221">
        <v>4128</v>
      </c>
      <c r="B2221">
        <v>9290.2623779999994</v>
      </c>
      <c r="C2221">
        <v>0</v>
      </c>
      <c r="D2221">
        <v>19403.07992</v>
      </c>
      <c r="E2221">
        <v>0</v>
      </c>
      <c r="F2221">
        <v>128480.4909</v>
      </c>
      <c r="G2221">
        <v>0</v>
      </c>
      <c r="H2221">
        <v>4128</v>
      </c>
      <c r="I2221" t="str">
        <f t="shared" si="137"/>
        <v>YES</v>
      </c>
      <c r="J2221" t="s">
        <v>2227</v>
      </c>
      <c r="K2221">
        <v>949079.95710999996</v>
      </c>
      <c r="L2221" s="1">
        <f t="shared" si="138"/>
        <v>0</v>
      </c>
      <c r="M2221" s="1">
        <f t="shared" si="139"/>
        <v>0</v>
      </c>
      <c r="N2221" s="1">
        <f t="shared" si="140"/>
        <v>0</v>
      </c>
      <c r="O2221" s="1"/>
    </row>
    <row r="2222" spans="1:15" x14ac:dyDescent="0.25">
      <c r="A2222">
        <v>4129</v>
      </c>
      <c r="B2222">
        <v>12271.61757</v>
      </c>
      <c r="C2222">
        <v>0</v>
      </c>
      <c r="D2222">
        <v>32246.33567</v>
      </c>
      <c r="E2222">
        <v>0</v>
      </c>
      <c r="F2222">
        <v>89565.662519999998</v>
      </c>
      <c r="G2222">
        <v>0</v>
      </c>
      <c r="H2222">
        <v>4129</v>
      </c>
      <c r="I2222" t="str">
        <f t="shared" si="137"/>
        <v>YES</v>
      </c>
      <c r="J2222" t="s">
        <v>2228</v>
      </c>
      <c r="K2222">
        <v>684713.98674600001</v>
      </c>
      <c r="L2222" s="1">
        <f t="shared" si="138"/>
        <v>0</v>
      </c>
      <c r="M2222" s="1">
        <f t="shared" si="139"/>
        <v>0</v>
      </c>
      <c r="N2222" s="1">
        <f t="shared" si="140"/>
        <v>0</v>
      </c>
      <c r="O2222" s="1"/>
    </row>
    <row r="2223" spans="1:15" x14ac:dyDescent="0.25">
      <c r="A2223">
        <v>4132</v>
      </c>
      <c r="B2223">
        <v>890.6280534</v>
      </c>
      <c r="C2223">
        <v>0</v>
      </c>
      <c r="D2223">
        <v>16620.5988</v>
      </c>
      <c r="E2223">
        <v>0</v>
      </c>
      <c r="F2223">
        <v>62261.113640000003</v>
      </c>
      <c r="G2223">
        <v>0</v>
      </c>
      <c r="H2223">
        <v>4132</v>
      </c>
      <c r="I2223" t="str">
        <f t="shared" si="137"/>
        <v>YES</v>
      </c>
      <c r="J2223" t="s">
        <v>2229</v>
      </c>
      <c r="K2223">
        <v>1821886.43178</v>
      </c>
      <c r="L2223" s="1">
        <f t="shared" si="138"/>
        <v>0</v>
      </c>
      <c r="M2223" s="1">
        <f t="shared" si="139"/>
        <v>0</v>
      </c>
      <c r="N2223" s="1">
        <f t="shared" si="140"/>
        <v>0</v>
      </c>
      <c r="O2223" s="1"/>
    </row>
    <row r="2224" spans="1:15" x14ac:dyDescent="0.25">
      <c r="A2224">
        <v>4133</v>
      </c>
      <c r="B2224">
        <v>1562.5701280000001</v>
      </c>
      <c r="C2224">
        <v>0</v>
      </c>
      <c r="D2224">
        <v>22118.374179999999</v>
      </c>
      <c r="E2224">
        <v>0</v>
      </c>
      <c r="F2224">
        <v>95475.821379999994</v>
      </c>
      <c r="G2224">
        <v>0</v>
      </c>
      <c r="H2224">
        <v>4133</v>
      </c>
      <c r="I2224" t="str">
        <f t="shared" si="137"/>
        <v>YES</v>
      </c>
      <c r="J2224" t="s">
        <v>2230</v>
      </c>
      <c r="K2224">
        <v>821026.75534899998</v>
      </c>
      <c r="L2224" s="1">
        <f t="shared" si="138"/>
        <v>0</v>
      </c>
      <c r="M2224" s="1">
        <f t="shared" si="139"/>
        <v>0</v>
      </c>
      <c r="N2224" s="1">
        <f t="shared" si="140"/>
        <v>0</v>
      </c>
      <c r="O2224" s="1"/>
    </row>
    <row r="2225" spans="1:15" x14ac:dyDescent="0.25">
      <c r="A2225">
        <v>4134</v>
      </c>
      <c r="B2225">
        <v>5792.8715249999996</v>
      </c>
      <c r="C2225">
        <v>0</v>
      </c>
      <c r="D2225">
        <v>79248.659839999993</v>
      </c>
      <c r="E2225">
        <v>0</v>
      </c>
      <c r="F2225">
        <v>260501.69149999999</v>
      </c>
      <c r="G2225">
        <v>0</v>
      </c>
      <c r="H2225">
        <v>4134</v>
      </c>
      <c r="I2225" t="str">
        <f t="shared" si="137"/>
        <v>YES</v>
      </c>
      <c r="J2225" t="s">
        <v>2231</v>
      </c>
      <c r="K2225">
        <v>1641267.8640600001</v>
      </c>
      <c r="L2225" s="1">
        <f t="shared" si="138"/>
        <v>0</v>
      </c>
      <c r="M2225" s="1">
        <f t="shared" si="139"/>
        <v>0</v>
      </c>
      <c r="N2225" s="1">
        <f t="shared" si="140"/>
        <v>0</v>
      </c>
      <c r="O2225" s="1"/>
    </row>
    <row r="2226" spans="1:15" x14ac:dyDescent="0.25">
      <c r="A2226">
        <v>4135</v>
      </c>
      <c r="B2226">
        <v>545.04717149999999</v>
      </c>
      <c r="C2226">
        <v>0</v>
      </c>
      <c r="D2226">
        <v>12640.145</v>
      </c>
      <c r="E2226">
        <v>0</v>
      </c>
      <c r="F2226">
        <v>43716.102870000002</v>
      </c>
      <c r="G2226">
        <v>0</v>
      </c>
      <c r="H2226">
        <v>4135</v>
      </c>
      <c r="I2226" t="str">
        <f t="shared" si="137"/>
        <v>YES</v>
      </c>
      <c r="J2226" t="s">
        <v>2232</v>
      </c>
      <c r="K2226">
        <v>868627.79554800002</v>
      </c>
      <c r="L2226" s="1">
        <f t="shared" si="138"/>
        <v>0</v>
      </c>
      <c r="M2226" s="1">
        <f t="shared" si="139"/>
        <v>0</v>
      </c>
      <c r="N2226" s="1">
        <f t="shared" si="140"/>
        <v>0</v>
      </c>
      <c r="O2226" s="1"/>
    </row>
    <row r="2227" spans="1:15" x14ac:dyDescent="0.25">
      <c r="A2227">
        <v>4136</v>
      </c>
      <c r="B2227">
        <v>5800.2757339999998</v>
      </c>
      <c r="C2227">
        <v>0</v>
      </c>
      <c r="D2227">
        <v>31823.183430000001</v>
      </c>
      <c r="E2227">
        <v>0</v>
      </c>
      <c r="F2227">
        <v>202678.1997</v>
      </c>
      <c r="G2227">
        <v>0</v>
      </c>
      <c r="H2227">
        <v>4136</v>
      </c>
      <c r="I2227" t="str">
        <f t="shared" si="137"/>
        <v>YES</v>
      </c>
      <c r="J2227" t="s">
        <v>2233</v>
      </c>
      <c r="K2227">
        <v>1666471.98538</v>
      </c>
      <c r="L2227" s="1">
        <f t="shared" si="138"/>
        <v>0</v>
      </c>
      <c r="M2227" s="1">
        <f t="shared" si="139"/>
        <v>0</v>
      </c>
      <c r="N2227" s="1">
        <f t="shared" si="140"/>
        <v>0</v>
      </c>
      <c r="O2227" s="1"/>
    </row>
    <row r="2228" spans="1:15" x14ac:dyDescent="0.25">
      <c r="A2228">
        <v>4137</v>
      </c>
      <c r="B2228">
        <v>1950.387862</v>
      </c>
      <c r="C2228">
        <v>0</v>
      </c>
      <c r="D2228">
        <v>12472.007600000001</v>
      </c>
      <c r="E2228">
        <v>0</v>
      </c>
      <c r="F2228">
        <v>77875.689889999994</v>
      </c>
      <c r="G2228">
        <v>0</v>
      </c>
      <c r="H2228">
        <v>4137</v>
      </c>
      <c r="I2228" t="str">
        <f t="shared" si="137"/>
        <v>YES</v>
      </c>
      <c r="J2228" t="s">
        <v>2234</v>
      </c>
      <c r="K2228">
        <v>818142.43245900003</v>
      </c>
      <c r="L2228" s="1">
        <f t="shared" si="138"/>
        <v>0</v>
      </c>
      <c r="M2228" s="1">
        <f t="shared" si="139"/>
        <v>0</v>
      </c>
      <c r="N2228" s="1">
        <f t="shared" si="140"/>
        <v>0</v>
      </c>
      <c r="O2228" s="1"/>
    </row>
    <row r="2229" spans="1:15" x14ac:dyDescent="0.25">
      <c r="A2229">
        <v>4138</v>
      </c>
      <c r="B2229">
        <v>1017.287811</v>
      </c>
      <c r="C2229">
        <v>0</v>
      </c>
      <c r="D2229">
        <v>13999.39379</v>
      </c>
      <c r="E2229">
        <v>0</v>
      </c>
      <c r="F2229">
        <v>67668.89516</v>
      </c>
      <c r="G2229">
        <v>0</v>
      </c>
      <c r="H2229">
        <v>4138</v>
      </c>
      <c r="I2229" t="str">
        <f t="shared" si="137"/>
        <v>YES</v>
      </c>
      <c r="J2229" t="s">
        <v>2235</v>
      </c>
      <c r="K2229">
        <v>2255479.25392</v>
      </c>
      <c r="L2229" s="1">
        <f t="shared" si="138"/>
        <v>0</v>
      </c>
      <c r="M2229" s="1">
        <f t="shared" si="139"/>
        <v>0</v>
      </c>
      <c r="N2229" s="1">
        <f t="shared" si="140"/>
        <v>0</v>
      </c>
      <c r="O2229" s="1"/>
    </row>
    <row r="2230" spans="1:15" x14ac:dyDescent="0.25">
      <c r="A2230">
        <v>4140</v>
      </c>
      <c r="B2230">
        <v>1148.5653600000001</v>
      </c>
      <c r="C2230">
        <v>0</v>
      </c>
      <c r="D2230">
        <v>42038.822410000001</v>
      </c>
      <c r="E2230">
        <v>0</v>
      </c>
      <c r="F2230">
        <v>189507.88709999999</v>
      </c>
      <c r="G2230">
        <v>0</v>
      </c>
      <c r="H2230">
        <v>4140</v>
      </c>
      <c r="I2230" t="str">
        <f t="shared" si="137"/>
        <v>YES</v>
      </c>
      <c r="J2230" t="s">
        <v>2236</v>
      </c>
      <c r="K2230">
        <v>1572510.83143</v>
      </c>
      <c r="L2230" s="1">
        <f t="shared" si="138"/>
        <v>0</v>
      </c>
      <c r="M2230" s="1">
        <f t="shared" si="139"/>
        <v>0</v>
      </c>
      <c r="N2230" s="1">
        <f t="shared" si="140"/>
        <v>0</v>
      </c>
      <c r="O2230" s="1"/>
    </row>
    <row r="2231" spans="1:15" x14ac:dyDescent="0.25">
      <c r="A2231">
        <v>4141</v>
      </c>
      <c r="B2231">
        <v>1828.078692</v>
      </c>
      <c r="C2231">
        <v>0</v>
      </c>
      <c r="D2231">
        <v>66450.907099999997</v>
      </c>
      <c r="E2231">
        <v>0</v>
      </c>
      <c r="F2231">
        <v>188279.79749999999</v>
      </c>
      <c r="G2231">
        <v>0</v>
      </c>
      <c r="H2231">
        <v>4141</v>
      </c>
      <c r="I2231" t="str">
        <f t="shared" si="137"/>
        <v>YES</v>
      </c>
      <c r="J2231" t="s">
        <v>2237</v>
      </c>
      <c r="K2231">
        <v>1288422.38744</v>
      </c>
      <c r="L2231" s="1">
        <f t="shared" si="138"/>
        <v>0</v>
      </c>
      <c r="M2231" s="1">
        <f t="shared" si="139"/>
        <v>0</v>
      </c>
      <c r="N2231" s="1">
        <f t="shared" si="140"/>
        <v>0</v>
      </c>
      <c r="O2231" s="1"/>
    </row>
    <row r="2232" spans="1:15" x14ac:dyDescent="0.25">
      <c r="A2232">
        <v>4142</v>
      </c>
      <c r="B2232">
        <v>2336.6820109999999</v>
      </c>
      <c r="C2232">
        <v>0</v>
      </c>
      <c r="D2232">
        <v>94617.998659999997</v>
      </c>
      <c r="E2232">
        <v>0</v>
      </c>
      <c r="F2232">
        <v>235350.31299999999</v>
      </c>
      <c r="G2232">
        <v>0</v>
      </c>
      <c r="H2232">
        <v>4142</v>
      </c>
      <c r="I2232" t="str">
        <f t="shared" si="137"/>
        <v>YES</v>
      </c>
      <c r="J2232" t="s">
        <v>2238</v>
      </c>
      <c r="K2232">
        <v>799970.55459399999</v>
      </c>
      <c r="L2232" s="1">
        <f t="shared" si="138"/>
        <v>0</v>
      </c>
      <c r="M2232" s="1">
        <f t="shared" si="139"/>
        <v>0</v>
      </c>
      <c r="N2232" s="1">
        <f t="shared" si="140"/>
        <v>0</v>
      </c>
      <c r="O2232" s="1"/>
    </row>
    <row r="2233" spans="1:15" x14ac:dyDescent="0.25">
      <c r="A2233">
        <v>4143</v>
      </c>
      <c r="B2233">
        <v>14335.74555</v>
      </c>
      <c r="C2233">
        <v>0</v>
      </c>
      <c r="D2233">
        <v>51449.88983</v>
      </c>
      <c r="E2233">
        <v>0</v>
      </c>
      <c r="F2233">
        <v>215924.17329999999</v>
      </c>
      <c r="G2233">
        <v>0</v>
      </c>
      <c r="H2233">
        <v>4143</v>
      </c>
      <c r="I2233" t="str">
        <f t="shared" si="137"/>
        <v>YES</v>
      </c>
      <c r="J2233" t="s">
        <v>2239</v>
      </c>
      <c r="K2233">
        <v>1424731.80889</v>
      </c>
      <c r="L2233" s="1">
        <f t="shared" si="138"/>
        <v>0</v>
      </c>
      <c r="M2233" s="1">
        <f t="shared" si="139"/>
        <v>0</v>
      </c>
      <c r="N2233" s="1">
        <f t="shared" si="140"/>
        <v>0</v>
      </c>
      <c r="O2233" s="1"/>
    </row>
    <row r="2234" spans="1:15" x14ac:dyDescent="0.25">
      <c r="A2234">
        <v>4144</v>
      </c>
      <c r="B2234">
        <v>4702.0123180000001</v>
      </c>
      <c r="C2234">
        <v>0</v>
      </c>
      <c r="D2234">
        <v>34144.54941</v>
      </c>
      <c r="E2234">
        <v>0</v>
      </c>
      <c r="F2234">
        <v>189363.98569999999</v>
      </c>
      <c r="G2234">
        <v>0</v>
      </c>
      <c r="H2234">
        <v>4144</v>
      </c>
      <c r="I2234" t="str">
        <f t="shared" si="137"/>
        <v>YES</v>
      </c>
      <c r="J2234" t="s">
        <v>2240</v>
      </c>
      <c r="K2234">
        <v>1011398.13273</v>
      </c>
      <c r="L2234" s="1">
        <f t="shared" si="138"/>
        <v>0</v>
      </c>
      <c r="M2234" s="1">
        <f t="shared" si="139"/>
        <v>0</v>
      </c>
      <c r="N2234" s="1">
        <f t="shared" si="140"/>
        <v>0</v>
      </c>
      <c r="O2234" s="1"/>
    </row>
    <row r="2235" spans="1:15" x14ac:dyDescent="0.25">
      <c r="A2235">
        <v>4145</v>
      </c>
      <c r="B2235">
        <v>21964.42513</v>
      </c>
      <c r="C2235">
        <v>0</v>
      </c>
      <c r="D2235">
        <v>143203.87359999999</v>
      </c>
      <c r="E2235">
        <v>0</v>
      </c>
      <c r="F2235">
        <v>394365.09779999999</v>
      </c>
      <c r="G2235">
        <v>0</v>
      </c>
      <c r="H2235">
        <v>4145</v>
      </c>
      <c r="I2235" t="str">
        <f t="shared" si="137"/>
        <v>YES</v>
      </c>
      <c r="J2235" t="s">
        <v>2241</v>
      </c>
      <c r="K2235">
        <v>1007495.10494</v>
      </c>
      <c r="L2235" s="1">
        <f t="shared" si="138"/>
        <v>0</v>
      </c>
      <c r="M2235" s="1">
        <f t="shared" si="139"/>
        <v>0</v>
      </c>
      <c r="N2235" s="1">
        <f t="shared" si="140"/>
        <v>0</v>
      </c>
      <c r="O2235" s="1"/>
    </row>
    <row r="2236" spans="1:15" x14ac:dyDescent="0.25">
      <c r="A2236">
        <v>4146</v>
      </c>
      <c r="B2236">
        <v>12095.773639999999</v>
      </c>
      <c r="C2236">
        <v>0</v>
      </c>
      <c r="D2236">
        <v>106762.0043</v>
      </c>
      <c r="E2236">
        <v>0</v>
      </c>
      <c r="F2236">
        <v>444618.1642</v>
      </c>
      <c r="G2236">
        <v>0</v>
      </c>
      <c r="H2236">
        <v>4146</v>
      </c>
      <c r="I2236" t="str">
        <f t="shared" si="137"/>
        <v>YES</v>
      </c>
      <c r="J2236" t="s">
        <v>2242</v>
      </c>
      <c r="K2236">
        <v>824375.00149299996</v>
      </c>
      <c r="L2236" s="1">
        <f t="shared" si="138"/>
        <v>0</v>
      </c>
      <c r="M2236" s="1">
        <f t="shared" si="139"/>
        <v>0</v>
      </c>
      <c r="N2236" s="1">
        <f t="shared" si="140"/>
        <v>0</v>
      </c>
      <c r="O2236" s="1"/>
    </row>
    <row r="2237" spans="1:15" x14ac:dyDescent="0.25">
      <c r="A2237">
        <v>4147</v>
      </c>
      <c r="B2237">
        <v>10568.341549999999</v>
      </c>
      <c r="C2237">
        <v>0</v>
      </c>
      <c r="D2237">
        <v>43620.656340000001</v>
      </c>
      <c r="E2237">
        <v>0</v>
      </c>
      <c r="F2237">
        <v>199498.25409999999</v>
      </c>
      <c r="G2237">
        <v>0</v>
      </c>
      <c r="H2237">
        <v>4147</v>
      </c>
      <c r="I2237" t="str">
        <f t="shared" si="137"/>
        <v>YES</v>
      </c>
      <c r="J2237" t="s">
        <v>2243</v>
      </c>
      <c r="K2237">
        <v>673916.31885200005</v>
      </c>
      <c r="L2237" s="1">
        <f t="shared" si="138"/>
        <v>0</v>
      </c>
      <c r="M2237" s="1">
        <f t="shared" si="139"/>
        <v>0</v>
      </c>
      <c r="N2237" s="1">
        <f t="shared" si="140"/>
        <v>0</v>
      </c>
      <c r="O2237" s="1"/>
    </row>
    <row r="2238" spans="1:15" x14ac:dyDescent="0.25">
      <c r="A2238">
        <v>4148</v>
      </c>
      <c r="B2238">
        <v>28615.093069999999</v>
      </c>
      <c r="C2238">
        <v>0</v>
      </c>
      <c r="D2238">
        <v>175277.54980000001</v>
      </c>
      <c r="E2238">
        <v>0</v>
      </c>
      <c r="F2238">
        <v>621074.14430000004</v>
      </c>
      <c r="G2238">
        <v>0</v>
      </c>
      <c r="H2238">
        <v>4148</v>
      </c>
      <c r="I2238" t="str">
        <f t="shared" si="137"/>
        <v>YES</v>
      </c>
      <c r="J2238" t="s">
        <v>2244</v>
      </c>
      <c r="K2238">
        <v>569051.57911199995</v>
      </c>
      <c r="L2238" s="1">
        <f t="shared" si="138"/>
        <v>0</v>
      </c>
      <c r="M2238" s="1">
        <f t="shared" si="139"/>
        <v>0</v>
      </c>
      <c r="N2238" s="1">
        <f t="shared" si="140"/>
        <v>0</v>
      </c>
      <c r="O2238" s="1"/>
    </row>
    <row r="2239" spans="1:15" x14ac:dyDescent="0.25">
      <c r="A2239">
        <v>4149</v>
      </c>
      <c r="B2239">
        <v>14352.81688</v>
      </c>
      <c r="C2239">
        <v>0</v>
      </c>
      <c r="D2239">
        <v>62186.29608</v>
      </c>
      <c r="E2239">
        <v>0</v>
      </c>
      <c r="F2239">
        <v>258218.56169999999</v>
      </c>
      <c r="G2239">
        <v>0</v>
      </c>
      <c r="H2239">
        <v>4149</v>
      </c>
      <c r="I2239" t="str">
        <f t="shared" si="137"/>
        <v>YES</v>
      </c>
      <c r="J2239" t="s">
        <v>2245</v>
      </c>
      <c r="K2239">
        <v>926352.91676099994</v>
      </c>
      <c r="L2239" s="1">
        <f t="shared" si="138"/>
        <v>0</v>
      </c>
      <c r="M2239" s="1">
        <f t="shared" si="139"/>
        <v>0</v>
      </c>
      <c r="N2239" s="1">
        <f t="shared" si="140"/>
        <v>0</v>
      </c>
      <c r="O2239" s="1"/>
    </row>
    <row r="2240" spans="1:15" x14ac:dyDescent="0.25">
      <c r="A2240">
        <v>4150</v>
      </c>
      <c r="B2240">
        <v>29053.215929999998</v>
      </c>
      <c r="C2240">
        <v>0</v>
      </c>
      <c r="D2240">
        <v>194804.3345</v>
      </c>
      <c r="E2240">
        <v>0</v>
      </c>
      <c r="F2240">
        <v>685919.27910000004</v>
      </c>
      <c r="G2240">
        <v>0</v>
      </c>
      <c r="H2240">
        <v>4150</v>
      </c>
      <c r="I2240" t="str">
        <f t="shared" si="137"/>
        <v>YES</v>
      </c>
      <c r="J2240" t="s">
        <v>2246</v>
      </c>
      <c r="K2240">
        <v>443546.77626399999</v>
      </c>
      <c r="L2240" s="1">
        <f t="shared" si="138"/>
        <v>0</v>
      </c>
      <c r="M2240" s="1">
        <f t="shared" si="139"/>
        <v>0</v>
      </c>
      <c r="N2240" s="1">
        <f t="shared" si="140"/>
        <v>0</v>
      </c>
      <c r="O2240" s="1"/>
    </row>
    <row r="2241" spans="1:15" x14ac:dyDescent="0.25">
      <c r="A2241">
        <v>4151</v>
      </c>
      <c r="B2241">
        <v>22645.828420000002</v>
      </c>
      <c r="C2241">
        <v>0</v>
      </c>
      <c r="D2241">
        <v>142823.0865</v>
      </c>
      <c r="E2241">
        <v>0</v>
      </c>
      <c r="F2241">
        <v>321929.03649999999</v>
      </c>
      <c r="G2241">
        <v>0</v>
      </c>
      <c r="H2241">
        <v>4151</v>
      </c>
      <c r="I2241" t="str">
        <f t="shared" si="137"/>
        <v>YES</v>
      </c>
      <c r="J2241" t="s">
        <v>2247</v>
      </c>
      <c r="K2241">
        <v>1236799.2827699999</v>
      </c>
      <c r="L2241" s="1">
        <f t="shared" si="138"/>
        <v>0</v>
      </c>
      <c r="M2241" s="1">
        <f t="shared" si="139"/>
        <v>0</v>
      </c>
      <c r="N2241" s="1">
        <f t="shared" si="140"/>
        <v>0</v>
      </c>
      <c r="O2241" s="1"/>
    </row>
    <row r="2242" spans="1:15" x14ac:dyDescent="0.25">
      <c r="A2242">
        <v>4154</v>
      </c>
      <c r="B2242">
        <v>17125.66646</v>
      </c>
      <c r="C2242">
        <v>0</v>
      </c>
      <c r="D2242">
        <v>84332.624219999998</v>
      </c>
      <c r="E2242">
        <v>0</v>
      </c>
      <c r="F2242">
        <v>344049.98440000002</v>
      </c>
      <c r="G2242">
        <v>0</v>
      </c>
      <c r="H2242">
        <v>4154</v>
      </c>
      <c r="I2242" t="str">
        <f t="shared" ref="I2242:I2305" si="141">IF(A2242=H2242,"YES","NO")</f>
        <v>YES</v>
      </c>
      <c r="J2242" t="s">
        <v>2248</v>
      </c>
      <c r="K2242">
        <v>800359.91951100004</v>
      </c>
      <c r="L2242" s="1">
        <f t="shared" si="138"/>
        <v>0</v>
      </c>
      <c r="M2242" s="1">
        <f t="shared" si="139"/>
        <v>0</v>
      </c>
      <c r="N2242" s="1">
        <f t="shared" si="140"/>
        <v>0</v>
      </c>
      <c r="O2242" s="1"/>
    </row>
    <row r="2243" spans="1:15" x14ac:dyDescent="0.25">
      <c r="A2243">
        <v>4155</v>
      </c>
      <c r="B2243">
        <v>25539.437959999999</v>
      </c>
      <c r="C2243">
        <v>0</v>
      </c>
      <c r="D2243">
        <v>152141.33180000001</v>
      </c>
      <c r="E2243">
        <v>0</v>
      </c>
      <c r="F2243">
        <v>519848.6741</v>
      </c>
      <c r="G2243">
        <v>0</v>
      </c>
      <c r="H2243">
        <v>4155</v>
      </c>
      <c r="I2243" t="str">
        <f t="shared" si="141"/>
        <v>YES</v>
      </c>
      <c r="J2243" t="s">
        <v>2249</v>
      </c>
      <c r="K2243">
        <v>1052519.3288</v>
      </c>
      <c r="L2243" s="1">
        <f t="shared" ref="L2243:L2306" si="142">$U$2*$K2243*C2243</f>
        <v>0</v>
      </c>
      <c r="M2243" s="1">
        <f t="shared" ref="M2243:M2306" si="143">$U$3*$K2243*E2243</f>
        <v>0</v>
      </c>
      <c r="N2243" s="1">
        <f t="shared" ref="N2243:N2306" si="144">$U$4*$K2243*G2243</f>
        <v>0</v>
      </c>
      <c r="O2243" s="1"/>
    </row>
    <row r="2244" spans="1:15" x14ac:dyDescent="0.25">
      <c r="A2244">
        <v>4156</v>
      </c>
      <c r="B2244">
        <v>3140.6219289999999</v>
      </c>
      <c r="C2244">
        <v>0</v>
      </c>
      <c r="D2244">
        <v>27369.947029999999</v>
      </c>
      <c r="E2244">
        <v>0</v>
      </c>
      <c r="F2244">
        <v>157289.2273</v>
      </c>
      <c r="G2244">
        <v>0</v>
      </c>
      <c r="H2244">
        <v>4156</v>
      </c>
      <c r="I2244" t="str">
        <f t="shared" si="141"/>
        <v>YES</v>
      </c>
      <c r="J2244" t="s">
        <v>2250</v>
      </c>
      <c r="K2244">
        <v>818935.30284200003</v>
      </c>
      <c r="L2244" s="1">
        <f t="shared" si="142"/>
        <v>0</v>
      </c>
      <c r="M2244" s="1">
        <f t="shared" si="143"/>
        <v>0</v>
      </c>
      <c r="N2244" s="1">
        <f t="shared" si="144"/>
        <v>0</v>
      </c>
      <c r="O2244" s="1"/>
    </row>
    <row r="2245" spans="1:15" x14ac:dyDescent="0.25">
      <c r="A2245">
        <v>4157</v>
      </c>
      <c r="B2245">
        <v>12725.497009999999</v>
      </c>
      <c r="C2245">
        <v>0</v>
      </c>
      <c r="D2245">
        <v>128030.52009999999</v>
      </c>
      <c r="E2245">
        <v>0</v>
      </c>
      <c r="F2245">
        <v>383846.09769999998</v>
      </c>
      <c r="G2245">
        <v>0</v>
      </c>
      <c r="H2245">
        <v>4157</v>
      </c>
      <c r="I2245" t="str">
        <f t="shared" si="141"/>
        <v>YES</v>
      </c>
      <c r="J2245" t="s">
        <v>2251</v>
      </c>
      <c r="K2245">
        <v>885399.17799999996</v>
      </c>
      <c r="L2245" s="1">
        <f t="shared" si="142"/>
        <v>0</v>
      </c>
      <c r="M2245" s="1">
        <f t="shared" si="143"/>
        <v>0</v>
      </c>
      <c r="N2245" s="1">
        <f t="shared" si="144"/>
        <v>0</v>
      </c>
      <c r="O2245" s="1"/>
    </row>
    <row r="2246" spans="1:15" x14ac:dyDescent="0.25">
      <c r="A2246">
        <v>4158</v>
      </c>
      <c r="B2246">
        <v>16186.37883</v>
      </c>
      <c r="C2246">
        <v>0</v>
      </c>
      <c r="D2246">
        <v>50652.798690000003</v>
      </c>
      <c r="E2246">
        <v>0</v>
      </c>
      <c r="F2246">
        <v>213963.4841</v>
      </c>
      <c r="G2246">
        <v>0</v>
      </c>
      <c r="H2246">
        <v>4158</v>
      </c>
      <c r="I2246" t="str">
        <f t="shared" si="141"/>
        <v>YES</v>
      </c>
      <c r="J2246" t="s">
        <v>2252</v>
      </c>
      <c r="K2246">
        <v>821459.18270300003</v>
      </c>
      <c r="L2246" s="1">
        <f t="shared" si="142"/>
        <v>0</v>
      </c>
      <c r="M2246" s="1">
        <f t="shared" si="143"/>
        <v>0</v>
      </c>
      <c r="N2246" s="1">
        <f t="shared" si="144"/>
        <v>0</v>
      </c>
      <c r="O2246" s="1"/>
    </row>
    <row r="2247" spans="1:15" x14ac:dyDescent="0.25">
      <c r="A2247">
        <v>4159</v>
      </c>
      <c r="B2247">
        <v>2719.0611960000001</v>
      </c>
      <c r="C2247">
        <v>0</v>
      </c>
      <c r="D2247">
        <v>30181.518100000001</v>
      </c>
      <c r="E2247">
        <v>0</v>
      </c>
      <c r="F2247">
        <v>158926.40479999999</v>
      </c>
      <c r="G2247">
        <v>0</v>
      </c>
      <c r="H2247">
        <v>4159</v>
      </c>
      <c r="I2247" t="str">
        <f t="shared" si="141"/>
        <v>YES</v>
      </c>
      <c r="J2247" t="s">
        <v>2253</v>
      </c>
      <c r="K2247">
        <v>750469.76798100001</v>
      </c>
      <c r="L2247" s="1">
        <f t="shared" si="142"/>
        <v>0</v>
      </c>
      <c r="M2247" s="1">
        <f t="shared" si="143"/>
        <v>0</v>
      </c>
      <c r="N2247" s="1">
        <f t="shared" si="144"/>
        <v>0</v>
      </c>
      <c r="O2247" s="1"/>
    </row>
    <row r="2248" spans="1:15" x14ac:dyDescent="0.25">
      <c r="A2248">
        <v>4160</v>
      </c>
      <c r="B2248">
        <v>1261.2957879999999</v>
      </c>
      <c r="C2248">
        <v>0</v>
      </c>
      <c r="D2248">
        <v>15547.927519999999</v>
      </c>
      <c r="E2248">
        <v>0</v>
      </c>
      <c r="F2248">
        <v>42394.340600000003</v>
      </c>
      <c r="G2248">
        <v>0</v>
      </c>
      <c r="H2248">
        <v>4160</v>
      </c>
      <c r="I2248" t="str">
        <f t="shared" si="141"/>
        <v>YES</v>
      </c>
      <c r="J2248" t="s">
        <v>2254</v>
      </c>
      <c r="K2248">
        <v>1349112.7707400001</v>
      </c>
      <c r="L2248" s="1">
        <f t="shared" si="142"/>
        <v>0</v>
      </c>
      <c r="M2248" s="1">
        <f t="shared" si="143"/>
        <v>0</v>
      </c>
      <c r="N2248" s="1">
        <f t="shared" si="144"/>
        <v>0</v>
      </c>
      <c r="O2248" s="1"/>
    </row>
    <row r="2249" spans="1:15" x14ac:dyDescent="0.25">
      <c r="A2249">
        <v>4161</v>
      </c>
      <c r="B2249">
        <v>11307.342000000001</v>
      </c>
      <c r="C2249">
        <v>0</v>
      </c>
      <c r="D2249">
        <v>34289.379860000001</v>
      </c>
      <c r="E2249">
        <v>0</v>
      </c>
      <c r="F2249">
        <v>177438.0301</v>
      </c>
      <c r="G2249">
        <v>0</v>
      </c>
      <c r="H2249">
        <v>4161</v>
      </c>
      <c r="I2249" t="str">
        <f t="shared" si="141"/>
        <v>YES</v>
      </c>
      <c r="J2249" t="s">
        <v>2255</v>
      </c>
      <c r="K2249">
        <v>1598564.29804</v>
      </c>
      <c r="L2249" s="1">
        <f t="shared" si="142"/>
        <v>0</v>
      </c>
      <c r="M2249" s="1">
        <f t="shared" si="143"/>
        <v>0</v>
      </c>
      <c r="N2249" s="1">
        <f t="shared" si="144"/>
        <v>0</v>
      </c>
      <c r="O2249" s="1"/>
    </row>
    <row r="2250" spans="1:15" x14ac:dyDescent="0.25">
      <c r="A2250">
        <v>4162</v>
      </c>
      <c r="B2250">
        <v>5991.5448710000001</v>
      </c>
      <c r="C2250">
        <v>0</v>
      </c>
      <c r="D2250">
        <v>45459.993410000003</v>
      </c>
      <c r="E2250">
        <v>0</v>
      </c>
      <c r="F2250">
        <v>175134.34160000001</v>
      </c>
      <c r="G2250">
        <v>0</v>
      </c>
      <c r="H2250">
        <v>4162</v>
      </c>
      <c r="I2250" t="str">
        <f t="shared" si="141"/>
        <v>YES</v>
      </c>
      <c r="J2250" t="s">
        <v>2256</v>
      </c>
      <c r="K2250">
        <v>923038.80724600004</v>
      </c>
      <c r="L2250" s="1">
        <f t="shared" si="142"/>
        <v>0</v>
      </c>
      <c r="M2250" s="1">
        <f t="shared" si="143"/>
        <v>0</v>
      </c>
      <c r="N2250" s="1">
        <f t="shared" si="144"/>
        <v>0</v>
      </c>
      <c r="O2250" s="1"/>
    </row>
    <row r="2251" spans="1:15" x14ac:dyDescent="0.25">
      <c r="A2251">
        <v>4163</v>
      </c>
      <c r="B2251">
        <v>1780.394053</v>
      </c>
      <c r="C2251">
        <v>0</v>
      </c>
      <c r="D2251">
        <v>1780.394053</v>
      </c>
      <c r="E2251">
        <v>0</v>
      </c>
      <c r="F2251">
        <v>6050.7075999999997</v>
      </c>
      <c r="G2251">
        <v>0</v>
      </c>
      <c r="H2251">
        <v>4163</v>
      </c>
      <c r="I2251" t="str">
        <f t="shared" si="141"/>
        <v>YES</v>
      </c>
      <c r="J2251" t="s">
        <v>2257</v>
      </c>
      <c r="K2251">
        <v>2182728.5443000002</v>
      </c>
      <c r="L2251" s="1">
        <f t="shared" si="142"/>
        <v>0</v>
      </c>
      <c r="M2251" s="1">
        <f t="shared" si="143"/>
        <v>0</v>
      </c>
      <c r="N2251" s="1">
        <f t="shared" si="144"/>
        <v>0</v>
      </c>
      <c r="O2251" s="1"/>
    </row>
    <row r="2252" spans="1:15" x14ac:dyDescent="0.25">
      <c r="A2252">
        <v>4200</v>
      </c>
      <c r="B2252">
        <v>330.704294</v>
      </c>
      <c r="C2252">
        <v>0</v>
      </c>
      <c r="D2252">
        <v>330.704294</v>
      </c>
      <c r="E2252">
        <v>0</v>
      </c>
      <c r="F2252">
        <v>330.704294</v>
      </c>
      <c r="G2252">
        <v>0</v>
      </c>
      <c r="H2252">
        <v>4200</v>
      </c>
      <c r="I2252" t="str">
        <f t="shared" si="141"/>
        <v>YES</v>
      </c>
      <c r="J2252" t="s">
        <v>2258</v>
      </c>
      <c r="K2252">
        <v>1845262668.1400001</v>
      </c>
      <c r="L2252" s="1">
        <f t="shared" si="142"/>
        <v>0</v>
      </c>
      <c r="M2252" s="1">
        <f t="shared" si="143"/>
        <v>0</v>
      </c>
      <c r="N2252" s="1">
        <f t="shared" si="144"/>
        <v>0</v>
      </c>
      <c r="O2252" s="1"/>
    </row>
    <row r="2253" spans="1:15" x14ac:dyDescent="0.25">
      <c r="A2253">
        <v>4201</v>
      </c>
      <c r="B2253">
        <v>93.72798057</v>
      </c>
      <c r="C2253">
        <v>0</v>
      </c>
      <c r="D2253">
        <v>93.72798057</v>
      </c>
      <c r="E2253">
        <v>0</v>
      </c>
      <c r="F2253">
        <v>93.72798057</v>
      </c>
      <c r="G2253">
        <v>0</v>
      </c>
      <c r="H2253">
        <v>4201</v>
      </c>
      <c r="I2253" t="str">
        <f t="shared" si="141"/>
        <v>YES</v>
      </c>
      <c r="J2253" t="s">
        <v>2259</v>
      </c>
      <c r="K2253">
        <v>45307710.905900002</v>
      </c>
      <c r="L2253" s="1">
        <f t="shared" si="142"/>
        <v>0</v>
      </c>
      <c r="M2253" s="1">
        <f t="shared" si="143"/>
        <v>0</v>
      </c>
      <c r="N2253" s="1">
        <f t="shared" si="144"/>
        <v>0</v>
      </c>
      <c r="O2253" s="1"/>
    </row>
    <row r="2254" spans="1:15" x14ac:dyDescent="0.25">
      <c r="A2254">
        <v>4205</v>
      </c>
      <c r="B2254">
        <v>410.23567430000003</v>
      </c>
      <c r="C2254">
        <v>0</v>
      </c>
      <c r="D2254">
        <v>410.23567430000003</v>
      </c>
      <c r="E2254">
        <v>0</v>
      </c>
      <c r="F2254">
        <v>410.23567430000003</v>
      </c>
      <c r="G2254">
        <v>0</v>
      </c>
      <c r="H2254">
        <v>4205</v>
      </c>
      <c r="I2254" t="str">
        <f t="shared" si="141"/>
        <v>YES</v>
      </c>
      <c r="J2254" t="s">
        <v>2260</v>
      </c>
      <c r="K2254">
        <v>62806853.247699998</v>
      </c>
      <c r="L2254" s="1">
        <f t="shared" si="142"/>
        <v>0</v>
      </c>
      <c r="M2254" s="1">
        <f t="shared" si="143"/>
        <v>0</v>
      </c>
      <c r="N2254" s="1">
        <f t="shared" si="144"/>
        <v>0</v>
      </c>
      <c r="O2254" s="1"/>
    </row>
    <row r="2255" spans="1:15" x14ac:dyDescent="0.25">
      <c r="A2255">
        <v>4206</v>
      </c>
      <c r="B2255">
        <v>362.56898639999997</v>
      </c>
      <c r="C2255">
        <v>0</v>
      </c>
      <c r="D2255">
        <v>362.56898639999997</v>
      </c>
      <c r="E2255">
        <v>0</v>
      </c>
      <c r="F2255">
        <v>362.56898639999997</v>
      </c>
      <c r="G2255">
        <v>0</v>
      </c>
      <c r="H2255">
        <v>4206</v>
      </c>
      <c r="I2255" t="str">
        <f t="shared" si="141"/>
        <v>YES</v>
      </c>
      <c r="J2255" t="s">
        <v>2261</v>
      </c>
      <c r="K2255">
        <v>63633230.053900003</v>
      </c>
      <c r="L2255" s="1">
        <f t="shared" si="142"/>
        <v>0</v>
      </c>
      <c r="M2255" s="1">
        <f t="shared" si="143"/>
        <v>0</v>
      </c>
      <c r="N2255" s="1">
        <f t="shared" si="144"/>
        <v>0</v>
      </c>
      <c r="O2255" s="1"/>
    </row>
    <row r="2256" spans="1:15" x14ac:dyDescent="0.25">
      <c r="A2256">
        <v>4207</v>
      </c>
      <c r="B2256">
        <v>431.03553049999999</v>
      </c>
      <c r="C2256">
        <v>0</v>
      </c>
      <c r="D2256">
        <v>431.03553049999999</v>
      </c>
      <c r="E2256">
        <v>0</v>
      </c>
      <c r="F2256">
        <v>431.03553049999999</v>
      </c>
      <c r="G2256">
        <v>0</v>
      </c>
      <c r="H2256">
        <v>4207</v>
      </c>
      <c r="I2256" t="str">
        <f t="shared" si="141"/>
        <v>YES</v>
      </c>
      <c r="J2256" t="s">
        <v>2262</v>
      </c>
      <c r="K2256">
        <v>32746917.394200001</v>
      </c>
      <c r="L2256" s="1">
        <f t="shared" si="142"/>
        <v>0</v>
      </c>
      <c r="M2256" s="1">
        <f t="shared" si="143"/>
        <v>0</v>
      </c>
      <c r="N2256" s="1">
        <f t="shared" si="144"/>
        <v>0</v>
      </c>
      <c r="O2256" s="1"/>
    </row>
    <row r="2257" spans="1:15" x14ac:dyDescent="0.25">
      <c r="A2257">
        <v>4208</v>
      </c>
      <c r="B2257">
        <v>357.95833909999999</v>
      </c>
      <c r="C2257">
        <v>0</v>
      </c>
      <c r="D2257">
        <v>357.95833909999999</v>
      </c>
      <c r="E2257">
        <v>0</v>
      </c>
      <c r="F2257">
        <v>357.95833909999999</v>
      </c>
      <c r="G2257">
        <v>0</v>
      </c>
      <c r="H2257">
        <v>4208</v>
      </c>
      <c r="I2257" t="str">
        <f t="shared" si="141"/>
        <v>YES</v>
      </c>
      <c r="J2257" t="s">
        <v>2263</v>
      </c>
      <c r="K2257">
        <v>43344743.012500003</v>
      </c>
      <c r="L2257" s="1">
        <f t="shared" si="142"/>
        <v>0</v>
      </c>
      <c r="M2257" s="1">
        <f t="shared" si="143"/>
        <v>0</v>
      </c>
      <c r="N2257" s="1">
        <f t="shared" si="144"/>
        <v>0</v>
      </c>
      <c r="O2257" s="1"/>
    </row>
    <row r="2258" spans="1:15" x14ac:dyDescent="0.25">
      <c r="A2258">
        <v>4209</v>
      </c>
      <c r="B2258">
        <v>592.51946559999999</v>
      </c>
      <c r="C2258">
        <v>0</v>
      </c>
      <c r="D2258">
        <v>592.51946559999999</v>
      </c>
      <c r="E2258">
        <v>0</v>
      </c>
      <c r="F2258">
        <v>4816.3560029999999</v>
      </c>
      <c r="G2258">
        <v>0</v>
      </c>
      <c r="H2258">
        <v>4209</v>
      </c>
      <c r="I2258" t="str">
        <f t="shared" si="141"/>
        <v>YES</v>
      </c>
      <c r="J2258" t="s">
        <v>2264</v>
      </c>
      <c r="K2258">
        <v>20316972.438700002</v>
      </c>
      <c r="L2258" s="1">
        <f t="shared" si="142"/>
        <v>0</v>
      </c>
      <c r="M2258" s="1">
        <f t="shared" si="143"/>
        <v>0</v>
      </c>
      <c r="N2258" s="1">
        <f t="shared" si="144"/>
        <v>0</v>
      </c>
      <c r="O2258" s="1"/>
    </row>
    <row r="2259" spans="1:15" x14ac:dyDescent="0.25">
      <c r="A2259">
        <v>4210</v>
      </c>
      <c r="B2259">
        <v>371.74348409999999</v>
      </c>
      <c r="C2259">
        <v>0</v>
      </c>
      <c r="D2259">
        <v>371.74348409999999</v>
      </c>
      <c r="E2259">
        <v>0</v>
      </c>
      <c r="F2259">
        <v>371.74348409999999</v>
      </c>
      <c r="G2259">
        <v>0</v>
      </c>
      <c r="H2259">
        <v>4210</v>
      </c>
      <c r="I2259" t="str">
        <f t="shared" si="141"/>
        <v>YES</v>
      </c>
      <c r="J2259" t="s">
        <v>2265</v>
      </c>
      <c r="K2259">
        <v>17736625.754299998</v>
      </c>
      <c r="L2259" s="1">
        <f t="shared" si="142"/>
        <v>0</v>
      </c>
      <c r="M2259" s="1">
        <f t="shared" si="143"/>
        <v>0</v>
      </c>
      <c r="N2259" s="1">
        <f t="shared" si="144"/>
        <v>0</v>
      </c>
      <c r="O2259" s="1"/>
    </row>
    <row r="2260" spans="1:15" x14ac:dyDescent="0.25">
      <c r="A2260">
        <v>4211</v>
      </c>
      <c r="B2260">
        <v>529.96534259999999</v>
      </c>
      <c r="C2260">
        <v>0</v>
      </c>
      <c r="D2260">
        <v>3690.5435710000002</v>
      </c>
      <c r="E2260">
        <v>0</v>
      </c>
      <c r="F2260">
        <v>5224.2981959999997</v>
      </c>
      <c r="G2260">
        <v>0</v>
      </c>
      <c r="H2260">
        <v>4211</v>
      </c>
      <c r="I2260" t="str">
        <f t="shared" si="141"/>
        <v>YES</v>
      </c>
      <c r="J2260" t="s">
        <v>2266</v>
      </c>
      <c r="K2260">
        <v>16071674.012399999</v>
      </c>
      <c r="L2260" s="1">
        <f t="shared" si="142"/>
        <v>0</v>
      </c>
      <c r="M2260" s="1">
        <f t="shared" si="143"/>
        <v>0</v>
      </c>
      <c r="N2260" s="1">
        <f t="shared" si="144"/>
        <v>0</v>
      </c>
      <c r="O2260" s="1"/>
    </row>
    <row r="2261" spans="1:15" x14ac:dyDescent="0.25">
      <c r="A2261">
        <v>4212</v>
      </c>
      <c r="B2261">
        <v>533.29296680000004</v>
      </c>
      <c r="C2261">
        <v>0</v>
      </c>
      <c r="D2261">
        <v>533.29296680000004</v>
      </c>
      <c r="E2261">
        <v>0</v>
      </c>
      <c r="F2261">
        <v>4816.3560029999999</v>
      </c>
      <c r="G2261">
        <v>0</v>
      </c>
      <c r="H2261">
        <v>4212</v>
      </c>
      <c r="I2261" t="str">
        <f t="shared" si="141"/>
        <v>YES</v>
      </c>
      <c r="J2261" t="s">
        <v>2267</v>
      </c>
      <c r="K2261">
        <v>19744232.848999999</v>
      </c>
      <c r="L2261" s="1">
        <f t="shared" si="142"/>
        <v>0</v>
      </c>
      <c r="M2261" s="1">
        <f t="shared" si="143"/>
        <v>0</v>
      </c>
      <c r="N2261" s="1">
        <f t="shared" si="144"/>
        <v>0</v>
      </c>
      <c r="O2261" s="1"/>
    </row>
    <row r="2262" spans="1:15" x14ac:dyDescent="0.25">
      <c r="A2262">
        <v>4213</v>
      </c>
      <c r="B2262">
        <v>389.75587530000001</v>
      </c>
      <c r="C2262">
        <v>0</v>
      </c>
      <c r="D2262">
        <v>389.75587530000001</v>
      </c>
      <c r="E2262">
        <v>0</v>
      </c>
      <c r="F2262">
        <v>735.21046479999995</v>
      </c>
      <c r="G2262">
        <v>0</v>
      </c>
      <c r="H2262">
        <v>4213</v>
      </c>
      <c r="I2262" t="str">
        <f t="shared" si="141"/>
        <v>YES</v>
      </c>
      <c r="J2262" t="s">
        <v>2268</v>
      </c>
      <c r="K2262">
        <v>29603724.285399999</v>
      </c>
      <c r="L2262" s="1">
        <f t="shared" si="142"/>
        <v>0</v>
      </c>
      <c r="M2262" s="1">
        <f t="shared" si="143"/>
        <v>0</v>
      </c>
      <c r="N2262" s="1">
        <f t="shared" si="144"/>
        <v>0</v>
      </c>
      <c r="O2262" s="1"/>
    </row>
    <row r="2263" spans="1:15" x14ac:dyDescent="0.25">
      <c r="A2263">
        <v>4214</v>
      </c>
      <c r="B2263">
        <v>345.4545895</v>
      </c>
      <c r="C2263">
        <v>0</v>
      </c>
      <c r="D2263">
        <v>2330.7055559999999</v>
      </c>
      <c r="E2263">
        <v>0</v>
      </c>
      <c r="F2263">
        <v>4991.3918830000002</v>
      </c>
      <c r="G2263">
        <v>0</v>
      </c>
      <c r="H2263">
        <v>4214</v>
      </c>
      <c r="I2263" t="str">
        <f t="shared" si="141"/>
        <v>YES</v>
      </c>
      <c r="J2263" t="s">
        <v>2269</v>
      </c>
      <c r="K2263">
        <v>25224456.8794</v>
      </c>
      <c r="L2263" s="1">
        <f t="shared" si="142"/>
        <v>0</v>
      </c>
      <c r="M2263" s="1">
        <f t="shared" si="143"/>
        <v>0</v>
      </c>
      <c r="N2263" s="1">
        <f t="shared" si="144"/>
        <v>0</v>
      </c>
      <c r="O2263" s="1"/>
    </row>
    <row r="2264" spans="1:15" x14ac:dyDescent="0.25">
      <c r="A2264">
        <v>4300</v>
      </c>
      <c r="B2264">
        <v>529.78172170000005</v>
      </c>
      <c r="C2264">
        <v>0</v>
      </c>
      <c r="D2264">
        <v>529.78172170000005</v>
      </c>
      <c r="E2264">
        <v>0</v>
      </c>
      <c r="F2264">
        <v>529.78172170000005</v>
      </c>
      <c r="G2264">
        <v>0</v>
      </c>
      <c r="H2264">
        <v>4300</v>
      </c>
      <c r="I2264" t="str">
        <f t="shared" si="141"/>
        <v>YES</v>
      </c>
      <c r="J2264" t="s">
        <v>2270</v>
      </c>
      <c r="K2264">
        <v>115786726.3</v>
      </c>
      <c r="L2264" s="1">
        <f t="shared" si="142"/>
        <v>0</v>
      </c>
      <c r="M2264" s="1">
        <f t="shared" si="143"/>
        <v>0</v>
      </c>
      <c r="N2264" s="1">
        <f t="shared" si="144"/>
        <v>0</v>
      </c>
      <c r="O2264" s="1"/>
    </row>
    <row r="2265" spans="1:15" x14ac:dyDescent="0.25">
      <c r="A2265">
        <v>4301</v>
      </c>
      <c r="B2265">
        <v>297.02530669999999</v>
      </c>
      <c r="C2265">
        <v>0</v>
      </c>
      <c r="D2265">
        <v>297.02530669999999</v>
      </c>
      <c r="E2265">
        <v>0</v>
      </c>
      <c r="F2265">
        <v>297.02530669999999</v>
      </c>
      <c r="G2265">
        <v>0</v>
      </c>
      <c r="H2265">
        <v>4301</v>
      </c>
      <c r="I2265" t="str">
        <f t="shared" si="141"/>
        <v>YES</v>
      </c>
      <c r="J2265" t="s">
        <v>2271</v>
      </c>
      <c r="K2265">
        <v>65812258.751500003</v>
      </c>
      <c r="L2265" s="1">
        <f t="shared" si="142"/>
        <v>0</v>
      </c>
      <c r="M2265" s="1">
        <f t="shared" si="143"/>
        <v>0</v>
      </c>
      <c r="N2265" s="1">
        <f t="shared" si="144"/>
        <v>0</v>
      </c>
      <c r="O2265" s="1"/>
    </row>
    <row r="2266" spans="1:15" x14ac:dyDescent="0.25">
      <c r="A2266">
        <v>4302</v>
      </c>
      <c r="B2266">
        <v>1076.121259</v>
      </c>
      <c r="C2266">
        <v>0</v>
      </c>
      <c r="D2266">
        <v>1076.121259</v>
      </c>
      <c r="E2266">
        <v>0</v>
      </c>
      <c r="F2266">
        <v>1076.121259</v>
      </c>
      <c r="G2266">
        <v>0</v>
      </c>
      <c r="H2266">
        <v>4302</v>
      </c>
      <c r="I2266" t="str">
        <f t="shared" si="141"/>
        <v>YES</v>
      </c>
      <c r="J2266" t="s">
        <v>2272</v>
      </c>
      <c r="K2266">
        <v>88808821.683400005</v>
      </c>
      <c r="L2266" s="1">
        <f t="shared" si="142"/>
        <v>0</v>
      </c>
      <c r="M2266" s="1">
        <f t="shared" si="143"/>
        <v>0</v>
      </c>
      <c r="N2266" s="1">
        <f t="shared" si="144"/>
        <v>0</v>
      </c>
      <c r="O2266" s="1"/>
    </row>
    <row r="2267" spans="1:15" x14ac:dyDescent="0.25">
      <c r="A2267">
        <v>4303</v>
      </c>
      <c r="B2267">
        <v>214.70848269999999</v>
      </c>
      <c r="C2267">
        <v>0</v>
      </c>
      <c r="D2267">
        <v>214.70848269999999</v>
      </c>
      <c r="E2267">
        <v>0</v>
      </c>
      <c r="F2267">
        <v>214.70848269999999</v>
      </c>
      <c r="G2267">
        <v>0</v>
      </c>
      <c r="H2267">
        <v>4303</v>
      </c>
      <c r="I2267" t="str">
        <f t="shared" si="141"/>
        <v>YES</v>
      </c>
      <c r="J2267" t="s">
        <v>2273</v>
      </c>
      <c r="K2267">
        <v>16364344.7534</v>
      </c>
      <c r="L2267" s="1">
        <f t="shared" si="142"/>
        <v>0</v>
      </c>
      <c r="M2267" s="1">
        <f t="shared" si="143"/>
        <v>0</v>
      </c>
      <c r="N2267" s="1">
        <f t="shared" si="144"/>
        <v>0</v>
      </c>
      <c r="O2267" s="1"/>
    </row>
    <row r="2268" spans="1:15" x14ac:dyDescent="0.25">
      <c r="A2268">
        <v>4304</v>
      </c>
      <c r="B2268">
        <v>730.07200750000004</v>
      </c>
      <c r="C2268">
        <v>0</v>
      </c>
      <c r="D2268">
        <v>730.07200750000004</v>
      </c>
      <c r="E2268">
        <v>0</v>
      </c>
      <c r="F2268">
        <v>730.07200750000004</v>
      </c>
      <c r="G2268">
        <v>0</v>
      </c>
      <c r="H2268">
        <v>4304</v>
      </c>
      <c r="I2268" t="str">
        <f t="shared" si="141"/>
        <v>YES</v>
      </c>
      <c r="J2268" t="s">
        <v>2274</v>
      </c>
      <c r="K2268">
        <v>24026225.611900002</v>
      </c>
      <c r="L2268" s="1">
        <f t="shared" si="142"/>
        <v>0</v>
      </c>
      <c r="M2268" s="1">
        <f t="shared" si="143"/>
        <v>0</v>
      </c>
      <c r="N2268" s="1">
        <f t="shared" si="144"/>
        <v>0</v>
      </c>
      <c r="O2268" s="1"/>
    </row>
    <row r="2269" spans="1:15" x14ac:dyDescent="0.25">
      <c r="A2269">
        <v>4305</v>
      </c>
      <c r="B2269">
        <v>445.55025999999998</v>
      </c>
      <c r="C2269">
        <v>0</v>
      </c>
      <c r="D2269">
        <v>445.55025999999998</v>
      </c>
      <c r="E2269">
        <v>0</v>
      </c>
      <c r="F2269">
        <v>445.55025999999998</v>
      </c>
      <c r="G2269">
        <v>0</v>
      </c>
      <c r="H2269">
        <v>4305</v>
      </c>
      <c r="I2269" t="str">
        <f t="shared" si="141"/>
        <v>YES</v>
      </c>
      <c r="J2269" t="s">
        <v>2275</v>
      </c>
      <c r="K2269">
        <v>12697598.2763</v>
      </c>
      <c r="L2269" s="1">
        <f t="shared" si="142"/>
        <v>0</v>
      </c>
      <c r="M2269" s="1">
        <f t="shared" si="143"/>
        <v>0</v>
      </c>
      <c r="N2269" s="1">
        <f t="shared" si="144"/>
        <v>0</v>
      </c>
      <c r="O2269" s="1"/>
    </row>
    <row r="2270" spans="1:15" x14ac:dyDescent="0.25">
      <c r="A2270">
        <v>4306</v>
      </c>
      <c r="B2270">
        <v>381.43562759999998</v>
      </c>
      <c r="C2270">
        <v>0</v>
      </c>
      <c r="D2270">
        <v>381.43562759999998</v>
      </c>
      <c r="E2270">
        <v>0</v>
      </c>
      <c r="F2270">
        <v>381.43562759999998</v>
      </c>
      <c r="G2270">
        <v>0</v>
      </c>
      <c r="H2270">
        <v>4306</v>
      </c>
      <c r="I2270" t="str">
        <f t="shared" si="141"/>
        <v>YES</v>
      </c>
      <c r="J2270" t="s">
        <v>2276</v>
      </c>
      <c r="K2270">
        <v>6290937.0444400003</v>
      </c>
      <c r="L2270" s="1">
        <f t="shared" si="142"/>
        <v>0</v>
      </c>
      <c r="M2270" s="1">
        <f t="shared" si="143"/>
        <v>0</v>
      </c>
      <c r="N2270" s="1">
        <f t="shared" si="144"/>
        <v>0</v>
      </c>
      <c r="O2270" s="1"/>
    </row>
    <row r="2271" spans="1:15" x14ac:dyDescent="0.25">
      <c r="A2271">
        <v>4307</v>
      </c>
      <c r="B2271">
        <v>437.90964860000003</v>
      </c>
      <c r="C2271">
        <v>0</v>
      </c>
      <c r="D2271">
        <v>437.90964860000003</v>
      </c>
      <c r="E2271">
        <v>0</v>
      </c>
      <c r="F2271">
        <v>437.90964860000003</v>
      </c>
      <c r="G2271">
        <v>0</v>
      </c>
      <c r="H2271">
        <v>4307</v>
      </c>
      <c r="I2271" t="str">
        <f t="shared" si="141"/>
        <v>YES</v>
      </c>
      <c r="J2271" t="s">
        <v>2277</v>
      </c>
      <c r="K2271">
        <v>10711775.934</v>
      </c>
      <c r="L2271" s="1">
        <f t="shared" si="142"/>
        <v>0</v>
      </c>
      <c r="M2271" s="1">
        <f t="shared" si="143"/>
        <v>0</v>
      </c>
      <c r="N2271" s="1">
        <f t="shared" si="144"/>
        <v>0</v>
      </c>
      <c r="O2271" s="1"/>
    </row>
    <row r="2272" spans="1:15" x14ac:dyDescent="0.25">
      <c r="A2272">
        <v>4308</v>
      </c>
      <c r="B2272">
        <v>835.88674270000001</v>
      </c>
      <c r="C2272">
        <v>0</v>
      </c>
      <c r="D2272">
        <v>2404.9985980000001</v>
      </c>
      <c r="E2272">
        <v>0</v>
      </c>
      <c r="F2272">
        <v>3059.7798739999998</v>
      </c>
      <c r="G2272">
        <v>0</v>
      </c>
      <c r="H2272">
        <v>4308</v>
      </c>
      <c r="I2272" t="str">
        <f t="shared" si="141"/>
        <v>YES</v>
      </c>
      <c r="J2272" t="s">
        <v>2278</v>
      </c>
      <c r="K2272">
        <v>8078470.4871399999</v>
      </c>
      <c r="L2272" s="1">
        <f t="shared" si="142"/>
        <v>0</v>
      </c>
      <c r="M2272" s="1">
        <f t="shared" si="143"/>
        <v>0</v>
      </c>
      <c r="N2272" s="1">
        <f t="shared" si="144"/>
        <v>0</v>
      </c>
      <c r="O2272" s="1"/>
    </row>
    <row r="2273" spans="1:15" x14ac:dyDescent="0.25">
      <c r="A2273">
        <v>4309</v>
      </c>
      <c r="B2273">
        <v>712.6451055</v>
      </c>
      <c r="C2273">
        <v>0</v>
      </c>
      <c r="D2273">
        <v>712.6451055</v>
      </c>
      <c r="E2273">
        <v>0</v>
      </c>
      <c r="F2273">
        <v>712.6451055</v>
      </c>
      <c r="G2273">
        <v>0</v>
      </c>
      <c r="H2273">
        <v>4309</v>
      </c>
      <c r="I2273" t="str">
        <f t="shared" si="141"/>
        <v>YES</v>
      </c>
      <c r="J2273" t="s">
        <v>2279</v>
      </c>
      <c r="K2273">
        <v>16758372.6609</v>
      </c>
      <c r="L2273" s="1">
        <f t="shared" si="142"/>
        <v>0</v>
      </c>
      <c r="M2273" s="1">
        <f t="shared" si="143"/>
        <v>0</v>
      </c>
      <c r="N2273" s="1">
        <f t="shared" si="144"/>
        <v>0</v>
      </c>
      <c r="O2273" s="1"/>
    </row>
    <row r="2274" spans="1:15" x14ac:dyDescent="0.25">
      <c r="A2274">
        <v>4310</v>
      </c>
      <c r="B2274">
        <v>3122.3732920000002</v>
      </c>
      <c r="C2274">
        <v>0</v>
      </c>
      <c r="D2274">
        <v>23510.47264</v>
      </c>
      <c r="E2274">
        <v>0</v>
      </c>
      <c r="F2274">
        <v>175614.83410000001</v>
      </c>
      <c r="G2274">
        <v>0</v>
      </c>
      <c r="H2274">
        <v>4310</v>
      </c>
      <c r="I2274" t="str">
        <f t="shared" si="141"/>
        <v>YES</v>
      </c>
      <c r="J2274" t="s">
        <v>2280</v>
      </c>
      <c r="K2274">
        <v>4149393.2073900001</v>
      </c>
      <c r="L2274" s="1">
        <f t="shared" si="142"/>
        <v>0</v>
      </c>
      <c r="M2274" s="1">
        <f t="shared" si="143"/>
        <v>0</v>
      </c>
      <c r="N2274" s="1">
        <f t="shared" si="144"/>
        <v>0</v>
      </c>
      <c r="O2274" s="1"/>
    </row>
    <row r="2275" spans="1:15" x14ac:dyDescent="0.25">
      <c r="A2275">
        <v>4311</v>
      </c>
      <c r="B2275">
        <v>2617.4308930000002</v>
      </c>
      <c r="C2275">
        <v>0</v>
      </c>
      <c r="D2275">
        <v>4439.4020609999998</v>
      </c>
      <c r="E2275">
        <v>0</v>
      </c>
      <c r="F2275">
        <v>10682.9264</v>
      </c>
      <c r="G2275">
        <v>0</v>
      </c>
      <c r="H2275">
        <v>4311</v>
      </c>
      <c r="I2275" t="str">
        <f t="shared" si="141"/>
        <v>YES</v>
      </c>
      <c r="J2275" t="s">
        <v>2281</v>
      </c>
      <c r="K2275">
        <v>6525493.6519400002</v>
      </c>
      <c r="L2275" s="1">
        <f t="shared" si="142"/>
        <v>0</v>
      </c>
      <c r="M2275" s="1">
        <f t="shared" si="143"/>
        <v>0</v>
      </c>
      <c r="N2275" s="1">
        <f t="shared" si="144"/>
        <v>0</v>
      </c>
      <c r="O2275" s="1"/>
    </row>
    <row r="2276" spans="1:15" x14ac:dyDescent="0.25">
      <c r="A2276">
        <v>4312</v>
      </c>
      <c r="B2276">
        <v>2552.8662829999998</v>
      </c>
      <c r="C2276">
        <v>0</v>
      </c>
      <c r="D2276">
        <v>16200.206910000001</v>
      </c>
      <c r="E2276">
        <v>0</v>
      </c>
      <c r="F2276">
        <v>156221.2659</v>
      </c>
      <c r="G2276">
        <v>0</v>
      </c>
      <c r="H2276">
        <v>4312</v>
      </c>
      <c r="I2276" t="str">
        <f t="shared" si="141"/>
        <v>YES</v>
      </c>
      <c r="J2276" t="s">
        <v>2282</v>
      </c>
      <c r="K2276">
        <v>824345.36019299994</v>
      </c>
      <c r="L2276" s="1">
        <f t="shared" si="142"/>
        <v>0</v>
      </c>
      <c r="M2276" s="1">
        <f t="shared" si="143"/>
        <v>0</v>
      </c>
      <c r="N2276" s="1">
        <f t="shared" si="144"/>
        <v>0</v>
      </c>
      <c r="O2276" s="1"/>
    </row>
    <row r="2277" spans="1:15" x14ac:dyDescent="0.25">
      <c r="A2277">
        <v>4315</v>
      </c>
      <c r="B2277">
        <v>136.9400243</v>
      </c>
      <c r="C2277">
        <v>0</v>
      </c>
      <c r="D2277">
        <v>136.9400243</v>
      </c>
      <c r="E2277">
        <v>0</v>
      </c>
      <c r="F2277">
        <v>136.9400243</v>
      </c>
      <c r="G2277">
        <v>0</v>
      </c>
      <c r="H2277">
        <v>4315</v>
      </c>
      <c r="I2277" t="str">
        <f t="shared" si="141"/>
        <v>YES</v>
      </c>
      <c r="J2277" t="s">
        <v>2283</v>
      </c>
      <c r="K2277">
        <v>102432521.436</v>
      </c>
      <c r="L2277" s="1">
        <f t="shared" si="142"/>
        <v>0</v>
      </c>
      <c r="M2277" s="1">
        <f t="shared" si="143"/>
        <v>0</v>
      </c>
      <c r="N2277" s="1">
        <f t="shared" si="144"/>
        <v>0</v>
      </c>
      <c r="O2277" s="1"/>
    </row>
    <row r="2278" spans="1:15" x14ac:dyDescent="0.25">
      <c r="A2278">
        <v>4316</v>
      </c>
      <c r="B2278">
        <v>604.52124140000001</v>
      </c>
      <c r="C2278">
        <v>0</v>
      </c>
      <c r="D2278">
        <v>604.52124140000001</v>
      </c>
      <c r="E2278">
        <v>0</v>
      </c>
      <c r="F2278">
        <v>604.52124140000001</v>
      </c>
      <c r="G2278">
        <v>0</v>
      </c>
      <c r="H2278">
        <v>4316</v>
      </c>
      <c r="I2278" t="str">
        <f t="shared" si="141"/>
        <v>YES</v>
      </c>
      <c r="J2278" t="s">
        <v>2284</v>
      </c>
      <c r="K2278">
        <v>65393080.111000001</v>
      </c>
      <c r="L2278" s="1">
        <f t="shared" si="142"/>
        <v>0</v>
      </c>
      <c r="M2278" s="1">
        <f t="shared" si="143"/>
        <v>0</v>
      </c>
      <c r="N2278" s="1">
        <f t="shared" si="144"/>
        <v>0</v>
      </c>
      <c r="O2278" s="1"/>
    </row>
    <row r="2279" spans="1:15" x14ac:dyDescent="0.25">
      <c r="A2279">
        <v>4317</v>
      </c>
      <c r="B2279">
        <v>1231.822668</v>
      </c>
      <c r="C2279">
        <v>0</v>
      </c>
      <c r="D2279">
        <v>1231.822668</v>
      </c>
      <c r="E2279">
        <v>0</v>
      </c>
      <c r="F2279">
        <v>1231.822668</v>
      </c>
      <c r="G2279">
        <v>0</v>
      </c>
      <c r="H2279">
        <v>4317</v>
      </c>
      <c r="I2279" t="str">
        <f t="shared" si="141"/>
        <v>YES</v>
      </c>
      <c r="J2279" t="s">
        <v>2285</v>
      </c>
      <c r="K2279">
        <v>23515589.284499999</v>
      </c>
      <c r="L2279" s="1">
        <f t="shared" si="142"/>
        <v>0</v>
      </c>
      <c r="M2279" s="1">
        <f t="shared" si="143"/>
        <v>0</v>
      </c>
      <c r="N2279" s="1">
        <f t="shared" si="144"/>
        <v>0</v>
      </c>
      <c r="O2279" s="1"/>
    </row>
    <row r="2280" spans="1:15" x14ac:dyDescent="0.25">
      <c r="A2280">
        <v>4400</v>
      </c>
      <c r="B2280">
        <v>513.96433019999995</v>
      </c>
      <c r="C2280">
        <v>0</v>
      </c>
      <c r="D2280">
        <v>513.96433019999995</v>
      </c>
      <c r="E2280">
        <v>0</v>
      </c>
      <c r="F2280">
        <v>4884.0831740000003</v>
      </c>
      <c r="G2280">
        <v>0</v>
      </c>
      <c r="H2280">
        <v>4400</v>
      </c>
      <c r="I2280" t="str">
        <f t="shared" si="141"/>
        <v>YES</v>
      </c>
      <c r="J2280" t="s">
        <v>2286</v>
      </c>
      <c r="K2280">
        <v>12206242.723099999</v>
      </c>
      <c r="L2280" s="1">
        <f t="shared" si="142"/>
        <v>0</v>
      </c>
      <c r="M2280" s="1">
        <f t="shared" si="143"/>
        <v>0</v>
      </c>
      <c r="N2280" s="1">
        <f t="shared" si="144"/>
        <v>0</v>
      </c>
      <c r="O2280" s="1"/>
    </row>
    <row r="2281" spans="1:15" x14ac:dyDescent="0.25">
      <c r="A2281">
        <v>4401</v>
      </c>
      <c r="B2281">
        <v>321.72072960000003</v>
      </c>
      <c r="C2281">
        <v>0</v>
      </c>
      <c r="D2281">
        <v>321.72072960000003</v>
      </c>
      <c r="E2281">
        <v>0</v>
      </c>
      <c r="F2281">
        <v>321.72072960000003</v>
      </c>
      <c r="G2281">
        <v>0</v>
      </c>
      <c r="H2281">
        <v>4401</v>
      </c>
      <c r="I2281" t="str">
        <f t="shared" si="141"/>
        <v>YES</v>
      </c>
      <c r="J2281" t="s">
        <v>2287</v>
      </c>
      <c r="K2281">
        <v>21332762.0055</v>
      </c>
      <c r="L2281" s="1">
        <f t="shared" si="142"/>
        <v>0</v>
      </c>
      <c r="M2281" s="1">
        <f t="shared" si="143"/>
        <v>0</v>
      </c>
      <c r="N2281" s="1">
        <f t="shared" si="144"/>
        <v>0</v>
      </c>
      <c r="O2281" s="1"/>
    </row>
    <row r="2282" spans="1:15" x14ac:dyDescent="0.25">
      <c r="A2282">
        <v>4402</v>
      </c>
      <c r="B2282">
        <v>189.4707995</v>
      </c>
      <c r="C2282">
        <v>0</v>
      </c>
      <c r="D2282">
        <v>189.4707995</v>
      </c>
      <c r="E2282">
        <v>0</v>
      </c>
      <c r="F2282">
        <v>189.4707995</v>
      </c>
      <c r="G2282">
        <v>0</v>
      </c>
      <c r="H2282">
        <v>4402</v>
      </c>
      <c r="I2282" t="str">
        <f t="shared" si="141"/>
        <v>YES</v>
      </c>
      <c r="J2282" t="s">
        <v>2288</v>
      </c>
      <c r="K2282">
        <v>7093647.22903</v>
      </c>
      <c r="L2282" s="1">
        <f t="shared" si="142"/>
        <v>0</v>
      </c>
      <c r="M2282" s="1">
        <f t="shared" si="143"/>
        <v>0</v>
      </c>
      <c r="N2282" s="1">
        <f t="shared" si="144"/>
        <v>0</v>
      </c>
      <c r="O2282" s="1"/>
    </row>
    <row r="2283" spans="1:15" x14ac:dyDescent="0.25">
      <c r="A2283">
        <v>4403</v>
      </c>
      <c r="B2283">
        <v>271.42102039999997</v>
      </c>
      <c r="C2283">
        <v>0</v>
      </c>
      <c r="D2283">
        <v>486.12950310000002</v>
      </c>
      <c r="E2283">
        <v>0</v>
      </c>
      <c r="F2283">
        <v>486.12950310000002</v>
      </c>
      <c r="G2283">
        <v>0</v>
      </c>
      <c r="H2283">
        <v>4403</v>
      </c>
      <c r="I2283" t="str">
        <f t="shared" si="141"/>
        <v>YES</v>
      </c>
      <c r="J2283" t="s">
        <v>2289</v>
      </c>
      <c r="K2283">
        <v>11978154.2676</v>
      </c>
      <c r="L2283" s="1">
        <f t="shared" si="142"/>
        <v>0</v>
      </c>
      <c r="M2283" s="1">
        <f t="shared" si="143"/>
        <v>0</v>
      </c>
      <c r="N2283" s="1">
        <f t="shared" si="144"/>
        <v>0</v>
      </c>
      <c r="O2283" s="1"/>
    </row>
    <row r="2284" spans="1:15" x14ac:dyDescent="0.25">
      <c r="A2284">
        <v>4404</v>
      </c>
      <c r="B2284">
        <v>551.87002299999995</v>
      </c>
      <c r="C2284">
        <v>0</v>
      </c>
      <c r="D2284">
        <v>6679.4402250000003</v>
      </c>
      <c r="E2284">
        <v>0</v>
      </c>
      <c r="F2284">
        <v>12003.66423</v>
      </c>
      <c r="G2284">
        <v>0</v>
      </c>
      <c r="H2284">
        <v>4404</v>
      </c>
      <c r="I2284" t="str">
        <f t="shared" si="141"/>
        <v>YES</v>
      </c>
      <c r="J2284" t="s">
        <v>2290</v>
      </c>
      <c r="K2284">
        <v>4144588.0727599999</v>
      </c>
      <c r="L2284" s="1">
        <f t="shared" si="142"/>
        <v>0</v>
      </c>
      <c r="M2284" s="1">
        <f t="shared" si="143"/>
        <v>0</v>
      </c>
      <c r="N2284" s="1">
        <f t="shared" si="144"/>
        <v>0</v>
      </c>
      <c r="O2284" s="1"/>
    </row>
    <row r="2285" spans="1:15" x14ac:dyDescent="0.25">
      <c r="A2285">
        <v>4405</v>
      </c>
      <c r="B2285">
        <v>657.67059300000005</v>
      </c>
      <c r="C2285">
        <v>0</v>
      </c>
      <c r="D2285">
        <v>657.67059300000005</v>
      </c>
      <c r="E2285">
        <v>0</v>
      </c>
      <c r="F2285">
        <v>4646.2272480000001</v>
      </c>
      <c r="G2285">
        <v>0</v>
      </c>
      <c r="H2285">
        <v>4405</v>
      </c>
      <c r="I2285" t="str">
        <f t="shared" si="141"/>
        <v>YES</v>
      </c>
      <c r="J2285" t="s">
        <v>2291</v>
      </c>
      <c r="K2285">
        <v>12617868.6471</v>
      </c>
      <c r="L2285" s="1">
        <f t="shared" si="142"/>
        <v>0</v>
      </c>
      <c r="M2285" s="1">
        <f t="shared" si="143"/>
        <v>0</v>
      </c>
      <c r="N2285" s="1">
        <f t="shared" si="144"/>
        <v>0</v>
      </c>
      <c r="O2285" s="1"/>
    </row>
    <row r="2286" spans="1:15" x14ac:dyDescent="0.25">
      <c r="A2286">
        <v>4406</v>
      </c>
      <c r="B2286">
        <v>2966.991974</v>
      </c>
      <c r="C2286">
        <v>0</v>
      </c>
      <c r="D2286">
        <v>13633.96299</v>
      </c>
      <c r="E2286">
        <v>0</v>
      </c>
      <c r="F2286">
        <v>57324.630010000001</v>
      </c>
      <c r="G2286">
        <v>0</v>
      </c>
      <c r="H2286">
        <v>4406</v>
      </c>
      <c r="I2286" t="str">
        <f t="shared" si="141"/>
        <v>YES</v>
      </c>
      <c r="J2286" t="s">
        <v>2292</v>
      </c>
      <c r="K2286">
        <v>4365116.4461000003</v>
      </c>
      <c r="L2286" s="1">
        <f t="shared" si="142"/>
        <v>0</v>
      </c>
      <c r="M2286" s="1">
        <f t="shared" si="143"/>
        <v>0</v>
      </c>
      <c r="N2286" s="1">
        <f t="shared" si="144"/>
        <v>0</v>
      </c>
      <c r="O2286" s="1"/>
    </row>
    <row r="2287" spans="1:15" x14ac:dyDescent="0.25">
      <c r="A2287">
        <v>4407</v>
      </c>
      <c r="B2287">
        <v>717.25656130000004</v>
      </c>
      <c r="C2287">
        <v>0</v>
      </c>
      <c r="D2287">
        <v>3684.2485350000002</v>
      </c>
      <c r="E2287">
        <v>0</v>
      </c>
      <c r="F2287">
        <v>19392.341789999999</v>
      </c>
      <c r="G2287">
        <v>0</v>
      </c>
      <c r="H2287">
        <v>4407</v>
      </c>
      <c r="I2287" t="str">
        <f t="shared" si="141"/>
        <v>YES</v>
      </c>
      <c r="J2287" t="s">
        <v>2293</v>
      </c>
      <c r="K2287">
        <v>5259806.5700500002</v>
      </c>
      <c r="L2287" s="1">
        <f t="shared" si="142"/>
        <v>0</v>
      </c>
      <c r="M2287" s="1">
        <f t="shared" si="143"/>
        <v>0</v>
      </c>
      <c r="N2287" s="1">
        <f t="shared" si="144"/>
        <v>0</v>
      </c>
      <c r="O2287" s="1"/>
    </row>
    <row r="2288" spans="1:15" x14ac:dyDescent="0.25">
      <c r="A2288">
        <v>4408</v>
      </c>
      <c r="B2288">
        <v>135.84663509999999</v>
      </c>
      <c r="C2288">
        <v>0</v>
      </c>
      <c r="D2288">
        <v>1106.1578219999999</v>
      </c>
      <c r="E2288">
        <v>0</v>
      </c>
      <c r="F2288">
        <v>9927.7451400000009</v>
      </c>
      <c r="G2288">
        <v>0</v>
      </c>
      <c r="H2288">
        <v>4408</v>
      </c>
      <c r="I2288" t="str">
        <f t="shared" si="141"/>
        <v>YES</v>
      </c>
      <c r="J2288" t="s">
        <v>2294</v>
      </c>
      <c r="K2288">
        <v>2401761.98031</v>
      </c>
      <c r="L2288" s="1">
        <f t="shared" si="142"/>
        <v>0</v>
      </c>
      <c r="M2288" s="1">
        <f t="shared" si="143"/>
        <v>0</v>
      </c>
      <c r="N2288" s="1">
        <f t="shared" si="144"/>
        <v>0</v>
      </c>
      <c r="O2288" s="1"/>
    </row>
    <row r="2289" spans="1:15" x14ac:dyDescent="0.25">
      <c r="A2289">
        <v>4423</v>
      </c>
      <c r="B2289">
        <v>31.100348069999999</v>
      </c>
      <c r="C2289">
        <v>0</v>
      </c>
      <c r="D2289">
        <v>579.59216230000004</v>
      </c>
      <c r="E2289">
        <v>0</v>
      </c>
      <c r="F2289">
        <v>4438.7964309999998</v>
      </c>
      <c r="G2289">
        <v>0</v>
      </c>
      <c r="H2289">
        <v>4423</v>
      </c>
      <c r="I2289" t="str">
        <f t="shared" si="141"/>
        <v>YES</v>
      </c>
      <c r="J2289" t="s">
        <v>2295</v>
      </c>
      <c r="K2289">
        <v>849980.95947799995</v>
      </c>
      <c r="L2289" s="1">
        <f t="shared" si="142"/>
        <v>0</v>
      </c>
      <c r="M2289" s="1">
        <f t="shared" si="143"/>
        <v>0</v>
      </c>
      <c r="N2289" s="1">
        <f t="shared" si="144"/>
        <v>0</v>
      </c>
      <c r="O2289" s="1"/>
    </row>
    <row r="2290" spans="1:15" x14ac:dyDescent="0.25">
      <c r="A2290">
        <v>4424</v>
      </c>
      <c r="B2290">
        <v>122.4085931</v>
      </c>
      <c r="C2290">
        <v>0</v>
      </c>
      <c r="D2290">
        <v>2183.8313699999999</v>
      </c>
      <c r="E2290">
        <v>0</v>
      </c>
      <c r="F2290">
        <v>20635.39834</v>
      </c>
      <c r="G2290">
        <v>0</v>
      </c>
      <c r="H2290">
        <v>4424</v>
      </c>
      <c r="I2290" t="str">
        <f t="shared" si="141"/>
        <v>YES</v>
      </c>
      <c r="J2290" t="s">
        <v>2296</v>
      </c>
      <c r="K2290">
        <v>5047702.5577199999</v>
      </c>
      <c r="L2290" s="1">
        <f t="shared" si="142"/>
        <v>0</v>
      </c>
      <c r="M2290" s="1">
        <f t="shared" si="143"/>
        <v>0</v>
      </c>
      <c r="N2290" s="1">
        <f t="shared" si="144"/>
        <v>0</v>
      </c>
      <c r="O2290" s="1"/>
    </row>
    <row r="2291" spans="1:15" x14ac:dyDescent="0.25">
      <c r="A2291">
        <v>4425</v>
      </c>
      <c r="B2291">
        <v>35.096802869999998</v>
      </c>
      <c r="C2291">
        <v>0</v>
      </c>
      <c r="D2291">
        <v>241.44085129999999</v>
      </c>
      <c r="E2291">
        <v>0</v>
      </c>
      <c r="F2291">
        <v>2183.0153220000002</v>
      </c>
      <c r="G2291">
        <v>0</v>
      </c>
      <c r="H2291">
        <v>4425</v>
      </c>
      <c r="I2291" t="str">
        <f t="shared" si="141"/>
        <v>YES</v>
      </c>
      <c r="J2291" t="s">
        <v>2297</v>
      </c>
      <c r="K2291">
        <v>1196015.3649500001</v>
      </c>
      <c r="L2291" s="1">
        <f t="shared" si="142"/>
        <v>0</v>
      </c>
      <c r="M2291" s="1">
        <f t="shared" si="143"/>
        <v>0</v>
      </c>
      <c r="N2291" s="1">
        <f t="shared" si="144"/>
        <v>0</v>
      </c>
      <c r="O2291" s="1"/>
    </row>
    <row r="2292" spans="1:15" x14ac:dyDescent="0.25">
      <c r="A2292">
        <v>4426</v>
      </c>
      <c r="B2292">
        <v>536.76447629999996</v>
      </c>
      <c r="C2292">
        <v>0</v>
      </c>
      <c r="D2292">
        <v>2183.0153220000002</v>
      </c>
      <c r="E2292">
        <v>0</v>
      </c>
      <c r="F2292">
        <v>7387.5027380000001</v>
      </c>
      <c r="G2292">
        <v>0</v>
      </c>
      <c r="H2292">
        <v>4426</v>
      </c>
      <c r="I2292" t="str">
        <f t="shared" si="141"/>
        <v>YES</v>
      </c>
      <c r="J2292" t="s">
        <v>2298</v>
      </c>
      <c r="K2292">
        <v>1842861.4970199999</v>
      </c>
      <c r="L2292" s="1">
        <f t="shared" si="142"/>
        <v>0</v>
      </c>
      <c r="M2292" s="1">
        <f t="shared" si="143"/>
        <v>0</v>
      </c>
      <c r="N2292" s="1">
        <f t="shared" si="144"/>
        <v>0</v>
      </c>
      <c r="O2292" s="1"/>
    </row>
    <row r="2293" spans="1:15" x14ac:dyDescent="0.25">
      <c r="A2293">
        <v>4427</v>
      </c>
      <c r="B2293">
        <v>169.2361903</v>
      </c>
      <c r="C2293">
        <v>0</v>
      </c>
      <c r="D2293">
        <v>169.2361903</v>
      </c>
      <c r="E2293">
        <v>0</v>
      </c>
      <c r="F2293">
        <v>1885.3329839999999</v>
      </c>
      <c r="G2293">
        <v>0</v>
      </c>
      <c r="H2293">
        <v>4427</v>
      </c>
      <c r="I2293" t="str">
        <f t="shared" si="141"/>
        <v>YES</v>
      </c>
      <c r="J2293" t="s">
        <v>2299</v>
      </c>
      <c r="K2293">
        <v>4909195.8064200003</v>
      </c>
      <c r="L2293" s="1">
        <f t="shared" si="142"/>
        <v>0</v>
      </c>
      <c r="M2293" s="1">
        <f t="shared" si="143"/>
        <v>0</v>
      </c>
      <c r="N2293" s="1">
        <f t="shared" si="144"/>
        <v>0</v>
      </c>
      <c r="O2293" s="1"/>
    </row>
    <row r="2294" spans="1:15" x14ac:dyDescent="0.25">
      <c r="A2294">
        <v>4428</v>
      </c>
      <c r="B2294">
        <v>14.62905441</v>
      </c>
      <c r="C2294">
        <v>0</v>
      </c>
      <c r="D2294">
        <v>2059.4519789999999</v>
      </c>
      <c r="E2294">
        <v>0</v>
      </c>
      <c r="F2294">
        <v>12154.911620000001</v>
      </c>
      <c r="G2294">
        <v>0</v>
      </c>
      <c r="H2294">
        <v>4428</v>
      </c>
      <c r="I2294" t="str">
        <f t="shared" si="141"/>
        <v>YES</v>
      </c>
      <c r="J2294" t="s">
        <v>2300</v>
      </c>
      <c r="K2294">
        <v>1266616.1285300001</v>
      </c>
      <c r="L2294" s="1">
        <f t="shared" si="142"/>
        <v>0</v>
      </c>
      <c r="M2294" s="1">
        <f t="shared" si="143"/>
        <v>0</v>
      </c>
      <c r="N2294" s="1">
        <f t="shared" si="144"/>
        <v>0</v>
      </c>
      <c r="O2294" s="1"/>
    </row>
    <row r="2295" spans="1:15" x14ac:dyDescent="0.25">
      <c r="A2295">
        <v>4429</v>
      </c>
      <c r="B2295">
        <v>429.06563979999999</v>
      </c>
      <c r="C2295">
        <v>0</v>
      </c>
      <c r="D2295">
        <v>4989.3195930000002</v>
      </c>
      <c r="E2295">
        <v>0</v>
      </c>
      <c r="F2295">
        <v>35394.36479</v>
      </c>
      <c r="G2295">
        <v>0</v>
      </c>
      <c r="H2295">
        <v>4429</v>
      </c>
      <c r="I2295" t="str">
        <f t="shared" si="141"/>
        <v>YES</v>
      </c>
      <c r="J2295" t="s">
        <v>2301</v>
      </c>
      <c r="K2295">
        <v>1203442.1318699999</v>
      </c>
      <c r="L2295" s="1">
        <f t="shared" si="142"/>
        <v>0</v>
      </c>
      <c r="M2295" s="1">
        <f t="shared" si="143"/>
        <v>0</v>
      </c>
      <c r="N2295" s="1">
        <f t="shared" si="144"/>
        <v>0</v>
      </c>
      <c r="O2295" s="1"/>
    </row>
    <row r="2296" spans="1:15" x14ac:dyDescent="0.25">
      <c r="A2296">
        <v>4430</v>
      </c>
      <c r="B2296">
        <v>164.36965420000001</v>
      </c>
      <c r="C2296">
        <v>0</v>
      </c>
      <c r="D2296">
        <v>3508.764091</v>
      </c>
      <c r="E2296">
        <v>0</v>
      </c>
      <c r="F2296">
        <v>35490.099540000003</v>
      </c>
      <c r="G2296">
        <v>0</v>
      </c>
      <c r="H2296">
        <v>4430</v>
      </c>
      <c r="I2296" t="str">
        <f t="shared" si="141"/>
        <v>YES</v>
      </c>
      <c r="J2296" t="s">
        <v>2302</v>
      </c>
      <c r="K2296">
        <v>1768906.9045500001</v>
      </c>
      <c r="L2296" s="1">
        <f t="shared" si="142"/>
        <v>0</v>
      </c>
      <c r="M2296" s="1">
        <f t="shared" si="143"/>
        <v>0</v>
      </c>
      <c r="N2296" s="1">
        <f t="shared" si="144"/>
        <v>0</v>
      </c>
      <c r="O2296" s="1"/>
    </row>
    <row r="2297" spans="1:15" x14ac:dyDescent="0.25">
      <c r="A2297">
        <v>4431</v>
      </c>
      <c r="B2297">
        <v>164.36965420000001</v>
      </c>
      <c r="C2297">
        <v>0</v>
      </c>
      <c r="D2297">
        <v>3358.7745920000002</v>
      </c>
      <c r="E2297">
        <v>0</v>
      </c>
      <c r="F2297">
        <v>19192.478419999999</v>
      </c>
      <c r="G2297">
        <v>0</v>
      </c>
      <c r="H2297">
        <v>4431</v>
      </c>
      <c r="I2297" t="str">
        <f t="shared" si="141"/>
        <v>YES</v>
      </c>
      <c r="J2297" t="s">
        <v>2303</v>
      </c>
      <c r="K2297">
        <v>1900371.85873</v>
      </c>
      <c r="L2297" s="1">
        <f t="shared" si="142"/>
        <v>0</v>
      </c>
      <c r="M2297" s="1">
        <f t="shared" si="143"/>
        <v>0</v>
      </c>
      <c r="N2297" s="1">
        <f t="shared" si="144"/>
        <v>0</v>
      </c>
      <c r="O2297" s="1"/>
    </row>
    <row r="2298" spans="1:15" x14ac:dyDescent="0.25">
      <c r="A2298">
        <v>4432</v>
      </c>
      <c r="B2298">
        <v>2333.6609239999998</v>
      </c>
      <c r="C2298">
        <v>0</v>
      </c>
      <c r="D2298">
        <v>6995.5944049999998</v>
      </c>
      <c r="E2298">
        <v>0</v>
      </c>
      <c r="F2298">
        <v>61266.534110000001</v>
      </c>
      <c r="G2298">
        <v>0</v>
      </c>
      <c r="H2298">
        <v>4432</v>
      </c>
      <c r="I2298" t="str">
        <f t="shared" si="141"/>
        <v>YES</v>
      </c>
      <c r="J2298" t="s">
        <v>2304</v>
      </c>
      <c r="K2298">
        <v>2568838.3190299999</v>
      </c>
      <c r="L2298" s="1">
        <f t="shared" si="142"/>
        <v>0</v>
      </c>
      <c r="M2298" s="1">
        <f t="shared" si="143"/>
        <v>0</v>
      </c>
      <c r="N2298" s="1">
        <f t="shared" si="144"/>
        <v>0</v>
      </c>
      <c r="O2298" s="1"/>
    </row>
    <row r="2299" spans="1:15" x14ac:dyDescent="0.25">
      <c r="A2299">
        <v>4433</v>
      </c>
      <c r="B2299">
        <v>5146.3908330000004</v>
      </c>
      <c r="C2299">
        <v>0</v>
      </c>
      <c r="D2299">
        <v>41934.026850000002</v>
      </c>
      <c r="E2299">
        <v>0</v>
      </c>
      <c r="F2299">
        <v>115094.80039999999</v>
      </c>
      <c r="G2299">
        <v>0</v>
      </c>
      <c r="H2299">
        <v>4433</v>
      </c>
      <c r="I2299" t="str">
        <f t="shared" si="141"/>
        <v>YES</v>
      </c>
      <c r="J2299" t="s">
        <v>2305</v>
      </c>
      <c r="K2299">
        <v>1701011.64118</v>
      </c>
      <c r="L2299" s="1">
        <f t="shared" si="142"/>
        <v>0</v>
      </c>
      <c r="M2299" s="1">
        <f t="shared" si="143"/>
        <v>0</v>
      </c>
      <c r="N2299" s="1">
        <f t="shared" si="144"/>
        <v>0</v>
      </c>
      <c r="O2299" s="1"/>
    </row>
    <row r="2300" spans="1:15" x14ac:dyDescent="0.25">
      <c r="A2300">
        <v>4434</v>
      </c>
      <c r="B2300">
        <v>217.98703950000001</v>
      </c>
      <c r="C2300">
        <v>0</v>
      </c>
      <c r="D2300">
        <v>8097.6492420000004</v>
      </c>
      <c r="E2300">
        <v>0</v>
      </c>
      <c r="F2300">
        <v>56936.499620000002</v>
      </c>
      <c r="G2300">
        <v>0</v>
      </c>
      <c r="H2300">
        <v>4434</v>
      </c>
      <c r="I2300" t="str">
        <f t="shared" si="141"/>
        <v>YES</v>
      </c>
      <c r="J2300" t="s">
        <v>2306</v>
      </c>
      <c r="K2300">
        <v>2276621.6642999998</v>
      </c>
      <c r="L2300" s="1">
        <f t="shared" si="142"/>
        <v>0</v>
      </c>
      <c r="M2300" s="1">
        <f t="shared" si="143"/>
        <v>0</v>
      </c>
      <c r="N2300" s="1">
        <f t="shared" si="144"/>
        <v>0</v>
      </c>
      <c r="O2300" s="1"/>
    </row>
    <row r="2301" spans="1:15" x14ac:dyDescent="0.25">
      <c r="A2301">
        <v>4435</v>
      </c>
      <c r="B2301">
        <v>5468.0686100000003</v>
      </c>
      <c r="C2301">
        <v>0</v>
      </c>
      <c r="D2301">
        <v>40452.158309999999</v>
      </c>
      <c r="E2301">
        <v>0</v>
      </c>
      <c r="F2301">
        <v>104499.6581</v>
      </c>
      <c r="G2301">
        <v>0</v>
      </c>
      <c r="H2301">
        <v>4435</v>
      </c>
      <c r="I2301" t="str">
        <f t="shared" si="141"/>
        <v>YES</v>
      </c>
      <c r="J2301" t="s">
        <v>2307</v>
      </c>
      <c r="K2301">
        <v>887310.43776300002</v>
      </c>
      <c r="L2301" s="1">
        <f t="shared" si="142"/>
        <v>0</v>
      </c>
      <c r="M2301" s="1">
        <f t="shared" si="143"/>
        <v>0</v>
      </c>
      <c r="N2301" s="1">
        <f t="shared" si="144"/>
        <v>0</v>
      </c>
      <c r="O2301" s="1"/>
    </row>
    <row r="2302" spans="1:15" x14ac:dyDescent="0.25">
      <c r="A2302">
        <v>4436</v>
      </c>
      <c r="B2302">
        <v>5608.8564329999999</v>
      </c>
      <c r="C2302">
        <v>0</v>
      </c>
      <c r="D2302">
        <v>50524.428399999997</v>
      </c>
      <c r="E2302">
        <v>0</v>
      </c>
      <c r="F2302">
        <v>163853.30369999999</v>
      </c>
      <c r="G2302">
        <v>0</v>
      </c>
      <c r="H2302">
        <v>4436</v>
      </c>
      <c r="I2302" t="str">
        <f t="shared" si="141"/>
        <v>YES</v>
      </c>
      <c r="J2302" t="s">
        <v>2308</v>
      </c>
      <c r="K2302">
        <v>292365.29661800002</v>
      </c>
      <c r="L2302" s="1">
        <f t="shared" si="142"/>
        <v>0</v>
      </c>
      <c r="M2302" s="1">
        <f t="shared" si="143"/>
        <v>0</v>
      </c>
      <c r="N2302" s="1">
        <f t="shared" si="144"/>
        <v>0</v>
      </c>
      <c r="O2302" s="1"/>
    </row>
    <row r="2303" spans="1:15" x14ac:dyDescent="0.25">
      <c r="A2303">
        <v>4437</v>
      </c>
      <c r="B2303">
        <v>5859.6182129999997</v>
      </c>
      <c r="C2303">
        <v>0</v>
      </c>
      <c r="D2303">
        <v>38543.3537</v>
      </c>
      <c r="E2303">
        <v>0</v>
      </c>
      <c r="F2303">
        <v>98454.796470000001</v>
      </c>
      <c r="G2303">
        <v>0</v>
      </c>
      <c r="H2303">
        <v>4437</v>
      </c>
      <c r="I2303" t="str">
        <f t="shared" si="141"/>
        <v>YES</v>
      </c>
      <c r="J2303" t="s">
        <v>2309</v>
      </c>
      <c r="K2303">
        <v>689843.04952799994</v>
      </c>
      <c r="L2303" s="1">
        <f t="shared" si="142"/>
        <v>0</v>
      </c>
      <c r="M2303" s="1">
        <f t="shared" si="143"/>
        <v>0</v>
      </c>
      <c r="N2303" s="1">
        <f t="shared" si="144"/>
        <v>0</v>
      </c>
      <c r="O2303" s="1"/>
    </row>
    <row r="2304" spans="1:15" x14ac:dyDescent="0.25">
      <c r="A2304">
        <v>4438</v>
      </c>
      <c r="B2304">
        <v>9770.3756659999999</v>
      </c>
      <c r="C2304">
        <v>0</v>
      </c>
      <c r="D2304">
        <v>83145.577520000006</v>
      </c>
      <c r="E2304">
        <v>0</v>
      </c>
      <c r="F2304">
        <v>259821.0097</v>
      </c>
      <c r="G2304">
        <v>0</v>
      </c>
      <c r="H2304">
        <v>4438</v>
      </c>
      <c r="I2304" t="str">
        <f t="shared" si="141"/>
        <v>YES</v>
      </c>
      <c r="J2304" t="s">
        <v>2310</v>
      </c>
      <c r="K2304">
        <v>725800.48362299998</v>
      </c>
      <c r="L2304" s="1">
        <f t="shared" si="142"/>
        <v>0</v>
      </c>
      <c r="M2304" s="1">
        <f t="shared" si="143"/>
        <v>0</v>
      </c>
      <c r="N2304" s="1">
        <f t="shared" si="144"/>
        <v>0</v>
      </c>
      <c r="O2304" s="1"/>
    </row>
    <row r="2305" spans="1:15" x14ac:dyDescent="0.25">
      <c r="A2305">
        <v>4439</v>
      </c>
      <c r="B2305">
        <v>1388.0489070000001</v>
      </c>
      <c r="C2305">
        <v>0</v>
      </c>
      <c r="D2305">
        <v>27011.096529999999</v>
      </c>
      <c r="E2305">
        <v>0</v>
      </c>
      <c r="F2305">
        <v>74026.081219999993</v>
      </c>
      <c r="G2305">
        <v>0</v>
      </c>
      <c r="H2305">
        <v>4439</v>
      </c>
      <c r="I2305" t="str">
        <f t="shared" si="141"/>
        <v>YES</v>
      </c>
      <c r="J2305" t="s">
        <v>2311</v>
      </c>
      <c r="K2305">
        <v>1527257.6367299999</v>
      </c>
      <c r="L2305" s="1">
        <f t="shared" si="142"/>
        <v>0</v>
      </c>
      <c r="M2305" s="1">
        <f t="shared" si="143"/>
        <v>0</v>
      </c>
      <c r="N2305" s="1">
        <f t="shared" si="144"/>
        <v>0</v>
      </c>
      <c r="O2305" s="1"/>
    </row>
    <row r="2306" spans="1:15" x14ac:dyDescent="0.25">
      <c r="A2306">
        <v>4440</v>
      </c>
      <c r="B2306">
        <v>4398.6289740000002</v>
      </c>
      <c r="C2306">
        <v>0</v>
      </c>
      <c r="D2306">
        <v>34182.871639999998</v>
      </c>
      <c r="E2306">
        <v>0</v>
      </c>
      <c r="F2306">
        <v>93641.406560000003</v>
      </c>
      <c r="G2306">
        <v>0</v>
      </c>
      <c r="H2306">
        <v>4440</v>
      </c>
      <c r="I2306" t="str">
        <f t="shared" ref="I2306:I2369" si="145">IF(A2306=H2306,"YES","NO")</f>
        <v>YES</v>
      </c>
      <c r="J2306" t="s">
        <v>2312</v>
      </c>
      <c r="K2306">
        <v>772353.71261299995</v>
      </c>
      <c r="L2306" s="1">
        <f t="shared" si="142"/>
        <v>0</v>
      </c>
      <c r="M2306" s="1">
        <f t="shared" si="143"/>
        <v>0</v>
      </c>
      <c r="N2306" s="1">
        <f t="shared" si="144"/>
        <v>0</v>
      </c>
      <c r="O2306" s="1"/>
    </row>
    <row r="2307" spans="1:15" x14ac:dyDescent="0.25">
      <c r="A2307">
        <v>4441</v>
      </c>
      <c r="B2307">
        <v>6494.6414009999999</v>
      </c>
      <c r="C2307">
        <v>0</v>
      </c>
      <c r="D2307">
        <v>50913.429530000001</v>
      </c>
      <c r="E2307">
        <v>0</v>
      </c>
      <c r="F2307">
        <v>147049.80910000001</v>
      </c>
      <c r="G2307">
        <v>0</v>
      </c>
      <c r="H2307">
        <v>4441</v>
      </c>
      <c r="I2307" t="str">
        <f t="shared" si="145"/>
        <v>YES</v>
      </c>
      <c r="J2307" t="s">
        <v>2313</v>
      </c>
      <c r="K2307">
        <v>640360.30068600003</v>
      </c>
      <c r="L2307" s="1">
        <f t="shared" ref="L2307:L2370" si="146">$U$2*$K2307*C2307</f>
        <v>0</v>
      </c>
      <c r="M2307" s="1">
        <f t="shared" ref="M2307:M2370" si="147">$U$3*$K2307*E2307</f>
        <v>0</v>
      </c>
      <c r="N2307" s="1">
        <f t="shared" ref="N2307:N2370" si="148">$U$4*$K2307*G2307</f>
        <v>0</v>
      </c>
      <c r="O2307" s="1"/>
    </row>
    <row r="2308" spans="1:15" x14ac:dyDescent="0.25">
      <c r="A2308">
        <v>4442</v>
      </c>
      <c r="B2308">
        <v>3835.3324590000002</v>
      </c>
      <c r="C2308">
        <v>0</v>
      </c>
      <c r="D2308">
        <v>39503.1371</v>
      </c>
      <c r="E2308">
        <v>0</v>
      </c>
      <c r="F2308">
        <v>111951.5977</v>
      </c>
      <c r="G2308">
        <v>0</v>
      </c>
      <c r="H2308">
        <v>4442</v>
      </c>
      <c r="I2308" t="str">
        <f t="shared" si="145"/>
        <v>YES</v>
      </c>
      <c r="J2308" t="s">
        <v>2314</v>
      </c>
      <c r="K2308">
        <v>844196.23357200006</v>
      </c>
      <c r="L2308" s="1">
        <f t="shared" si="146"/>
        <v>0</v>
      </c>
      <c r="M2308" s="1">
        <f t="shared" si="147"/>
        <v>0</v>
      </c>
      <c r="N2308" s="1">
        <f t="shared" si="148"/>
        <v>0</v>
      </c>
      <c r="O2308" s="1"/>
    </row>
    <row r="2309" spans="1:15" x14ac:dyDescent="0.25">
      <c r="A2309">
        <v>4443</v>
      </c>
      <c r="B2309">
        <v>217.98703950000001</v>
      </c>
      <c r="C2309">
        <v>0</v>
      </c>
      <c r="D2309">
        <v>5949.7839130000002</v>
      </c>
      <c r="E2309">
        <v>0</v>
      </c>
      <c r="F2309">
        <v>52314.406389999996</v>
      </c>
      <c r="G2309">
        <v>0</v>
      </c>
      <c r="H2309">
        <v>4443</v>
      </c>
      <c r="I2309" t="str">
        <f t="shared" si="145"/>
        <v>YES</v>
      </c>
      <c r="J2309" t="s">
        <v>2315</v>
      </c>
      <c r="K2309">
        <v>2105592.51566</v>
      </c>
      <c r="L2309" s="1">
        <f t="shared" si="146"/>
        <v>0</v>
      </c>
      <c r="M2309" s="1">
        <f t="shared" si="147"/>
        <v>0</v>
      </c>
      <c r="N2309" s="1">
        <f t="shared" si="148"/>
        <v>0</v>
      </c>
      <c r="O2309" s="1"/>
    </row>
    <row r="2310" spans="1:15" x14ac:dyDescent="0.25">
      <c r="A2310">
        <v>4444</v>
      </c>
      <c r="B2310">
        <v>29441.7333</v>
      </c>
      <c r="C2310">
        <v>0</v>
      </c>
      <c r="D2310">
        <v>97767.102790000004</v>
      </c>
      <c r="E2310">
        <v>0</v>
      </c>
      <c r="F2310">
        <v>377418.45110000001</v>
      </c>
      <c r="G2310">
        <v>0</v>
      </c>
      <c r="H2310">
        <v>4444</v>
      </c>
      <c r="I2310" t="str">
        <f t="shared" si="145"/>
        <v>YES</v>
      </c>
      <c r="J2310" t="s">
        <v>2316</v>
      </c>
      <c r="K2310">
        <v>328447.88663399999</v>
      </c>
      <c r="L2310" s="1">
        <f t="shared" si="146"/>
        <v>0</v>
      </c>
      <c r="M2310" s="1">
        <f t="shared" si="147"/>
        <v>0</v>
      </c>
      <c r="N2310" s="1">
        <f t="shared" si="148"/>
        <v>0</v>
      </c>
      <c r="O2310" s="1"/>
    </row>
    <row r="2311" spans="1:15" x14ac:dyDescent="0.25">
      <c r="A2311">
        <v>4445</v>
      </c>
      <c r="B2311">
        <v>21153.774529999999</v>
      </c>
      <c r="C2311">
        <v>0</v>
      </c>
      <c r="D2311">
        <v>67721.336639999994</v>
      </c>
      <c r="E2311">
        <v>0</v>
      </c>
      <c r="F2311">
        <v>237167.7</v>
      </c>
      <c r="G2311">
        <v>0</v>
      </c>
      <c r="H2311">
        <v>4445</v>
      </c>
      <c r="I2311" t="str">
        <f t="shared" si="145"/>
        <v>YES</v>
      </c>
      <c r="J2311" t="s">
        <v>2317</v>
      </c>
      <c r="K2311">
        <v>244677.407461</v>
      </c>
      <c r="L2311" s="1">
        <f t="shared" si="146"/>
        <v>0</v>
      </c>
      <c r="M2311" s="1">
        <f t="shared" si="147"/>
        <v>0</v>
      </c>
      <c r="N2311" s="1">
        <f t="shared" si="148"/>
        <v>0</v>
      </c>
      <c r="O2311" s="1"/>
    </row>
    <row r="2312" spans="1:15" x14ac:dyDescent="0.25">
      <c r="A2312">
        <v>4446</v>
      </c>
      <c r="B2312">
        <v>36473.144289999997</v>
      </c>
      <c r="C2312">
        <v>0</v>
      </c>
      <c r="D2312">
        <v>100133.6112</v>
      </c>
      <c r="E2312">
        <v>0</v>
      </c>
      <c r="F2312">
        <v>377377.19890000002</v>
      </c>
      <c r="G2312">
        <v>0</v>
      </c>
      <c r="H2312">
        <v>4446</v>
      </c>
      <c r="I2312" t="str">
        <f t="shared" si="145"/>
        <v>YES</v>
      </c>
      <c r="J2312" t="s">
        <v>2318</v>
      </c>
      <c r="K2312">
        <v>174809.50204600001</v>
      </c>
      <c r="L2312" s="1">
        <f t="shared" si="146"/>
        <v>0</v>
      </c>
      <c r="M2312" s="1">
        <f t="shared" si="147"/>
        <v>0</v>
      </c>
      <c r="N2312" s="1">
        <f t="shared" si="148"/>
        <v>0</v>
      </c>
      <c r="O2312" s="1"/>
    </row>
    <row r="2313" spans="1:15" x14ac:dyDescent="0.25">
      <c r="A2313">
        <v>4447</v>
      </c>
      <c r="B2313">
        <v>27789.54567</v>
      </c>
      <c r="C2313">
        <v>0</v>
      </c>
      <c r="D2313">
        <v>98709.577560000005</v>
      </c>
      <c r="E2313">
        <v>0</v>
      </c>
      <c r="F2313">
        <v>339372.55349999998</v>
      </c>
      <c r="G2313">
        <v>0</v>
      </c>
      <c r="H2313">
        <v>4447</v>
      </c>
      <c r="I2313" t="str">
        <f t="shared" si="145"/>
        <v>YES</v>
      </c>
      <c r="J2313" t="s">
        <v>2319</v>
      </c>
      <c r="K2313">
        <v>178242.50448900001</v>
      </c>
      <c r="L2313" s="1">
        <f t="shared" si="146"/>
        <v>0</v>
      </c>
      <c r="M2313" s="1">
        <f t="shared" si="147"/>
        <v>0</v>
      </c>
      <c r="N2313" s="1">
        <f t="shared" si="148"/>
        <v>0</v>
      </c>
      <c r="O2313" s="1"/>
    </row>
    <row r="2314" spans="1:15" x14ac:dyDescent="0.25">
      <c r="A2314">
        <v>4448</v>
      </c>
      <c r="B2314">
        <v>46756.038330000003</v>
      </c>
      <c r="C2314">
        <v>0</v>
      </c>
      <c r="D2314">
        <v>139141.05910000001</v>
      </c>
      <c r="E2314">
        <v>0</v>
      </c>
      <c r="F2314">
        <v>495290.50079999998</v>
      </c>
      <c r="G2314">
        <v>0</v>
      </c>
      <c r="H2314">
        <v>4448</v>
      </c>
      <c r="I2314" t="str">
        <f t="shared" si="145"/>
        <v>YES</v>
      </c>
      <c r="J2314" t="s">
        <v>2320</v>
      </c>
      <c r="K2314">
        <v>556043.84022899996</v>
      </c>
      <c r="L2314" s="1">
        <f t="shared" si="146"/>
        <v>0</v>
      </c>
      <c r="M2314" s="1">
        <f t="shared" si="147"/>
        <v>0</v>
      </c>
      <c r="N2314" s="1">
        <f t="shared" si="148"/>
        <v>0</v>
      </c>
      <c r="O2314" s="1"/>
    </row>
    <row r="2315" spans="1:15" x14ac:dyDescent="0.25">
      <c r="A2315">
        <v>4449</v>
      </c>
      <c r="B2315">
        <v>1078.7415149999999</v>
      </c>
      <c r="C2315">
        <v>0</v>
      </c>
      <c r="D2315">
        <v>14416.09218</v>
      </c>
      <c r="E2315">
        <v>0</v>
      </c>
      <c r="F2315">
        <v>62110.293850000002</v>
      </c>
      <c r="G2315">
        <v>0</v>
      </c>
      <c r="H2315">
        <v>4449</v>
      </c>
      <c r="I2315" t="str">
        <f t="shared" si="145"/>
        <v>YES</v>
      </c>
      <c r="J2315" t="s">
        <v>2321</v>
      </c>
      <c r="K2315">
        <v>1259756.8357899999</v>
      </c>
      <c r="L2315" s="1">
        <f t="shared" si="146"/>
        <v>0</v>
      </c>
      <c r="M2315" s="1">
        <f t="shared" si="147"/>
        <v>0</v>
      </c>
      <c r="N2315" s="1">
        <f t="shared" si="148"/>
        <v>0</v>
      </c>
      <c r="O2315" s="1"/>
    </row>
    <row r="2316" spans="1:15" x14ac:dyDescent="0.25">
      <c r="A2316">
        <v>4499</v>
      </c>
      <c r="B2316">
        <v>46914.095130000002</v>
      </c>
      <c r="C2316">
        <v>0</v>
      </c>
      <c r="D2316">
        <v>246951.84289999999</v>
      </c>
      <c r="E2316">
        <v>0</v>
      </c>
      <c r="F2316">
        <v>871014.41899999999</v>
      </c>
      <c r="G2316">
        <v>0</v>
      </c>
      <c r="H2316">
        <v>4499</v>
      </c>
      <c r="I2316" t="str">
        <f t="shared" si="145"/>
        <v>YES</v>
      </c>
      <c r="J2316" t="s">
        <v>2322</v>
      </c>
      <c r="K2316">
        <v>122032.393942</v>
      </c>
      <c r="L2316" s="1">
        <f t="shared" si="146"/>
        <v>0</v>
      </c>
      <c r="M2316" s="1">
        <f t="shared" si="147"/>
        <v>0</v>
      </c>
      <c r="N2316" s="1">
        <f t="shared" si="148"/>
        <v>0</v>
      </c>
      <c r="O2316" s="1"/>
    </row>
    <row r="2317" spans="1:15" x14ac:dyDescent="0.25">
      <c r="A2317">
        <v>4500</v>
      </c>
      <c r="B2317">
        <v>14185.6149</v>
      </c>
      <c r="C2317">
        <v>0</v>
      </c>
      <c r="D2317">
        <v>98973.674400000004</v>
      </c>
      <c r="E2317">
        <v>0</v>
      </c>
      <c r="F2317">
        <v>548496.55090000003</v>
      </c>
      <c r="G2317">
        <v>0</v>
      </c>
      <c r="H2317">
        <v>4500</v>
      </c>
      <c r="I2317" t="str">
        <f t="shared" si="145"/>
        <v>YES</v>
      </c>
      <c r="J2317" t="s">
        <v>2323</v>
      </c>
      <c r="K2317">
        <v>997990.09794799995</v>
      </c>
      <c r="L2317" s="1">
        <f t="shared" si="146"/>
        <v>0</v>
      </c>
      <c r="M2317" s="1">
        <f t="shared" si="147"/>
        <v>0</v>
      </c>
      <c r="N2317" s="1">
        <f t="shared" si="148"/>
        <v>0</v>
      </c>
      <c r="O2317" s="1"/>
    </row>
    <row r="2318" spans="1:15" x14ac:dyDescent="0.25">
      <c r="A2318">
        <v>4501</v>
      </c>
      <c r="B2318">
        <v>3232.23362</v>
      </c>
      <c r="C2318">
        <v>0</v>
      </c>
      <c r="D2318">
        <v>43814.99654</v>
      </c>
      <c r="E2318">
        <v>0</v>
      </c>
      <c r="F2318">
        <v>340323.99290000001</v>
      </c>
      <c r="G2318">
        <v>0</v>
      </c>
      <c r="H2318">
        <v>4501</v>
      </c>
      <c r="I2318" t="str">
        <f t="shared" si="145"/>
        <v>YES</v>
      </c>
      <c r="J2318" t="s">
        <v>2324</v>
      </c>
      <c r="K2318">
        <v>767249.08061900001</v>
      </c>
      <c r="L2318" s="1">
        <f t="shared" si="146"/>
        <v>0</v>
      </c>
      <c r="M2318" s="1">
        <f t="shared" si="147"/>
        <v>0</v>
      </c>
      <c r="N2318" s="1">
        <f t="shared" si="148"/>
        <v>0</v>
      </c>
      <c r="O2318" s="1"/>
    </row>
    <row r="2319" spans="1:15" x14ac:dyDescent="0.25">
      <c r="A2319">
        <v>4502</v>
      </c>
      <c r="B2319">
        <v>11644.998680000001</v>
      </c>
      <c r="C2319">
        <v>0</v>
      </c>
      <c r="D2319">
        <v>140986.43210000001</v>
      </c>
      <c r="E2319">
        <v>0</v>
      </c>
      <c r="F2319">
        <v>761416.55550000002</v>
      </c>
      <c r="G2319">
        <v>0</v>
      </c>
      <c r="H2319">
        <v>4502</v>
      </c>
      <c r="I2319" t="str">
        <f t="shared" si="145"/>
        <v>YES</v>
      </c>
      <c r="J2319" t="s">
        <v>2325</v>
      </c>
      <c r="K2319">
        <v>451325.94851399999</v>
      </c>
      <c r="L2319" s="1">
        <f t="shared" si="146"/>
        <v>0</v>
      </c>
      <c r="M2319" s="1">
        <f t="shared" si="147"/>
        <v>0</v>
      </c>
      <c r="N2319" s="1">
        <f t="shared" si="148"/>
        <v>0</v>
      </c>
      <c r="O2319" s="1"/>
    </row>
    <row r="2320" spans="1:15" x14ac:dyDescent="0.25">
      <c r="A2320">
        <v>4503</v>
      </c>
      <c r="B2320">
        <v>4295.8318149999996</v>
      </c>
      <c r="C2320">
        <v>0</v>
      </c>
      <c r="D2320">
        <v>64153.604050000002</v>
      </c>
      <c r="E2320">
        <v>0</v>
      </c>
      <c r="F2320">
        <v>389830.13959999999</v>
      </c>
      <c r="G2320">
        <v>0</v>
      </c>
      <c r="H2320">
        <v>4503</v>
      </c>
      <c r="I2320" t="str">
        <f t="shared" si="145"/>
        <v>YES</v>
      </c>
      <c r="J2320" t="s">
        <v>2326</v>
      </c>
      <c r="K2320">
        <v>1009762.88431</v>
      </c>
      <c r="L2320" s="1">
        <f t="shared" si="146"/>
        <v>0</v>
      </c>
      <c r="M2320" s="1">
        <f t="shared" si="147"/>
        <v>0</v>
      </c>
      <c r="N2320" s="1">
        <f t="shared" si="148"/>
        <v>0</v>
      </c>
      <c r="O2320" s="1"/>
    </row>
    <row r="2321" spans="1:15" x14ac:dyDescent="0.25">
      <c r="A2321">
        <v>4504</v>
      </c>
      <c r="B2321">
        <v>11850.466920000001</v>
      </c>
      <c r="C2321">
        <v>0</v>
      </c>
      <c r="D2321">
        <v>57559.39428</v>
      </c>
      <c r="E2321">
        <v>0</v>
      </c>
      <c r="F2321">
        <v>252421.3314</v>
      </c>
      <c r="G2321">
        <v>0</v>
      </c>
      <c r="H2321">
        <v>4504</v>
      </c>
      <c r="I2321" t="str">
        <f t="shared" si="145"/>
        <v>YES</v>
      </c>
      <c r="J2321" t="s">
        <v>2327</v>
      </c>
      <c r="K2321">
        <v>522676.23150200001</v>
      </c>
      <c r="L2321" s="1">
        <f t="shared" si="146"/>
        <v>0</v>
      </c>
      <c r="M2321" s="1">
        <f t="shared" si="147"/>
        <v>0</v>
      </c>
      <c r="N2321" s="1">
        <f t="shared" si="148"/>
        <v>0</v>
      </c>
      <c r="O2321" s="1"/>
    </row>
    <row r="2322" spans="1:15" x14ac:dyDescent="0.25">
      <c r="A2322">
        <v>4505</v>
      </c>
      <c r="B2322">
        <v>21757.494170000002</v>
      </c>
      <c r="C2322">
        <v>0</v>
      </c>
      <c r="D2322">
        <v>211492.3107</v>
      </c>
      <c r="E2322">
        <v>0</v>
      </c>
      <c r="F2322">
        <v>841541.48869999999</v>
      </c>
      <c r="G2322">
        <v>0</v>
      </c>
      <c r="H2322">
        <v>4505</v>
      </c>
      <c r="I2322" t="str">
        <f t="shared" si="145"/>
        <v>YES</v>
      </c>
      <c r="J2322" t="s">
        <v>2328</v>
      </c>
      <c r="K2322">
        <v>168494.38297599999</v>
      </c>
      <c r="L2322" s="1">
        <f t="shared" si="146"/>
        <v>0</v>
      </c>
      <c r="M2322" s="1">
        <f t="shared" si="147"/>
        <v>0</v>
      </c>
      <c r="N2322" s="1">
        <f t="shared" si="148"/>
        <v>0</v>
      </c>
      <c r="O2322" s="1"/>
    </row>
    <row r="2323" spans="1:15" x14ac:dyDescent="0.25">
      <c r="A2323">
        <v>4506</v>
      </c>
      <c r="B2323">
        <v>3380.8547509999999</v>
      </c>
      <c r="C2323">
        <v>0</v>
      </c>
      <c r="D2323">
        <v>52997.234349999999</v>
      </c>
      <c r="E2323">
        <v>0</v>
      </c>
      <c r="F2323">
        <v>477022.07630000002</v>
      </c>
      <c r="G2323">
        <v>0</v>
      </c>
      <c r="H2323">
        <v>4506</v>
      </c>
      <c r="I2323" t="str">
        <f t="shared" si="145"/>
        <v>YES</v>
      </c>
      <c r="J2323" t="s">
        <v>2329</v>
      </c>
      <c r="K2323">
        <v>1399029.90644</v>
      </c>
      <c r="L2323" s="1">
        <f t="shared" si="146"/>
        <v>0</v>
      </c>
      <c r="M2323" s="1">
        <f t="shared" si="147"/>
        <v>0</v>
      </c>
      <c r="N2323" s="1">
        <f t="shared" si="148"/>
        <v>0</v>
      </c>
      <c r="O2323" s="1"/>
    </row>
    <row r="2324" spans="1:15" x14ac:dyDescent="0.25">
      <c r="A2324">
        <v>4507</v>
      </c>
      <c r="B2324">
        <v>10661.122300000001</v>
      </c>
      <c r="C2324">
        <v>0</v>
      </c>
      <c r="D2324">
        <v>48172.554029999999</v>
      </c>
      <c r="E2324">
        <v>0</v>
      </c>
      <c r="F2324">
        <v>281137.31780000002</v>
      </c>
      <c r="G2324">
        <v>0</v>
      </c>
      <c r="H2324">
        <v>4507</v>
      </c>
      <c r="I2324" t="str">
        <f t="shared" si="145"/>
        <v>YES</v>
      </c>
      <c r="J2324" t="s">
        <v>2330</v>
      </c>
      <c r="K2324">
        <v>909870.51543000003</v>
      </c>
      <c r="L2324" s="1">
        <f t="shared" si="146"/>
        <v>0</v>
      </c>
      <c r="M2324" s="1">
        <f t="shared" si="147"/>
        <v>0</v>
      </c>
      <c r="N2324" s="1">
        <f t="shared" si="148"/>
        <v>0</v>
      </c>
      <c r="O2324" s="1"/>
    </row>
    <row r="2325" spans="1:15" x14ac:dyDescent="0.25">
      <c r="A2325">
        <v>4508</v>
      </c>
      <c r="B2325">
        <v>4666.0012880000004</v>
      </c>
      <c r="C2325">
        <v>0</v>
      </c>
      <c r="D2325">
        <v>81900.5144</v>
      </c>
      <c r="E2325">
        <v>0</v>
      </c>
      <c r="F2325">
        <v>409454.11339999997</v>
      </c>
      <c r="G2325">
        <v>0</v>
      </c>
      <c r="H2325">
        <v>4508</v>
      </c>
      <c r="I2325" t="str">
        <f t="shared" si="145"/>
        <v>YES</v>
      </c>
      <c r="J2325" t="s">
        <v>2331</v>
      </c>
      <c r="K2325">
        <v>1065975.8023300001</v>
      </c>
      <c r="L2325" s="1">
        <f t="shared" si="146"/>
        <v>0</v>
      </c>
      <c r="M2325" s="1">
        <f t="shared" si="147"/>
        <v>0</v>
      </c>
      <c r="N2325" s="1">
        <f t="shared" si="148"/>
        <v>0</v>
      </c>
      <c r="O2325" s="1"/>
    </row>
    <row r="2326" spans="1:15" x14ac:dyDescent="0.25">
      <c r="A2326">
        <v>4509</v>
      </c>
      <c r="B2326">
        <v>11274.447389999999</v>
      </c>
      <c r="C2326">
        <v>0</v>
      </c>
      <c r="D2326">
        <v>70579.824009999997</v>
      </c>
      <c r="E2326">
        <v>0</v>
      </c>
      <c r="F2326">
        <v>361102.18</v>
      </c>
      <c r="G2326">
        <v>0</v>
      </c>
      <c r="H2326">
        <v>4509</v>
      </c>
      <c r="I2326" t="str">
        <f t="shared" si="145"/>
        <v>YES</v>
      </c>
      <c r="J2326" t="s">
        <v>2332</v>
      </c>
      <c r="K2326">
        <v>1001165.09795</v>
      </c>
      <c r="L2326" s="1">
        <f t="shared" si="146"/>
        <v>0</v>
      </c>
      <c r="M2326" s="1">
        <f t="shared" si="147"/>
        <v>0</v>
      </c>
      <c r="N2326" s="1">
        <f t="shared" si="148"/>
        <v>0</v>
      </c>
      <c r="O2326" s="1"/>
    </row>
    <row r="2327" spans="1:15" x14ac:dyDescent="0.25">
      <c r="A2327">
        <v>4511</v>
      </c>
      <c r="B2327">
        <v>22760.313300000002</v>
      </c>
      <c r="C2327">
        <v>0</v>
      </c>
      <c r="D2327">
        <v>99689.742499999993</v>
      </c>
      <c r="E2327">
        <v>0</v>
      </c>
      <c r="F2327">
        <v>343236.61330000003</v>
      </c>
      <c r="G2327">
        <v>0</v>
      </c>
      <c r="H2327">
        <v>4511</v>
      </c>
      <c r="I2327" t="str">
        <f t="shared" si="145"/>
        <v>YES</v>
      </c>
      <c r="J2327" t="s">
        <v>2333</v>
      </c>
      <c r="K2327">
        <v>502531.71098899998</v>
      </c>
      <c r="L2327" s="1">
        <f t="shared" si="146"/>
        <v>0</v>
      </c>
      <c r="M2327" s="1">
        <f t="shared" si="147"/>
        <v>0</v>
      </c>
      <c r="N2327" s="1">
        <f t="shared" si="148"/>
        <v>0</v>
      </c>
      <c r="O2327" s="1"/>
    </row>
    <row r="2328" spans="1:15" x14ac:dyDescent="0.25">
      <c r="A2328">
        <v>4512</v>
      </c>
      <c r="B2328">
        <v>10702.75361</v>
      </c>
      <c r="C2328">
        <v>0</v>
      </c>
      <c r="D2328">
        <v>45071.892500000002</v>
      </c>
      <c r="E2328">
        <v>0</v>
      </c>
      <c r="F2328">
        <v>93475.642909999995</v>
      </c>
      <c r="G2328">
        <v>0</v>
      </c>
      <c r="H2328">
        <v>4512</v>
      </c>
      <c r="I2328" t="str">
        <f t="shared" si="145"/>
        <v>YES</v>
      </c>
      <c r="J2328" t="s">
        <v>2334</v>
      </c>
      <c r="K2328">
        <v>966133.36038299999</v>
      </c>
      <c r="L2328" s="1">
        <f t="shared" si="146"/>
        <v>0</v>
      </c>
      <c r="M2328" s="1">
        <f t="shared" si="147"/>
        <v>0</v>
      </c>
      <c r="N2328" s="1">
        <f t="shared" si="148"/>
        <v>0</v>
      </c>
      <c r="O2328" s="1"/>
    </row>
    <row r="2329" spans="1:15" x14ac:dyDescent="0.25">
      <c r="A2329">
        <v>4513</v>
      </c>
      <c r="B2329">
        <v>25892.663980000001</v>
      </c>
      <c r="C2329">
        <v>0</v>
      </c>
      <c r="D2329">
        <v>60292.860529999998</v>
      </c>
      <c r="E2329">
        <v>0</v>
      </c>
      <c r="F2329">
        <v>201644.10079999999</v>
      </c>
      <c r="G2329">
        <v>0</v>
      </c>
      <c r="H2329">
        <v>4513</v>
      </c>
      <c r="I2329" t="str">
        <f t="shared" si="145"/>
        <v>YES</v>
      </c>
      <c r="J2329" t="s">
        <v>2335</v>
      </c>
      <c r="K2329">
        <v>481898.17536699999</v>
      </c>
      <c r="L2329" s="1">
        <f t="shared" si="146"/>
        <v>0</v>
      </c>
      <c r="M2329" s="1">
        <f t="shared" si="147"/>
        <v>0</v>
      </c>
      <c r="N2329" s="1">
        <f t="shared" si="148"/>
        <v>0</v>
      </c>
      <c r="O2329" s="1"/>
    </row>
    <row r="2330" spans="1:15" x14ac:dyDescent="0.25">
      <c r="A2330">
        <v>4514</v>
      </c>
      <c r="B2330">
        <v>56990.196550000001</v>
      </c>
      <c r="C2330">
        <v>0</v>
      </c>
      <c r="D2330">
        <v>205755.09400000001</v>
      </c>
      <c r="E2330">
        <v>0</v>
      </c>
      <c r="F2330">
        <v>678562.89229999995</v>
      </c>
      <c r="G2330">
        <v>0</v>
      </c>
      <c r="H2330">
        <v>4514</v>
      </c>
      <c r="I2330" t="str">
        <f t="shared" si="145"/>
        <v>YES</v>
      </c>
      <c r="J2330" t="s">
        <v>2336</v>
      </c>
      <c r="K2330">
        <v>260251.16615199999</v>
      </c>
      <c r="L2330" s="1">
        <f t="shared" si="146"/>
        <v>0</v>
      </c>
      <c r="M2330" s="1">
        <f t="shared" si="147"/>
        <v>0</v>
      </c>
      <c r="N2330" s="1">
        <f t="shared" si="148"/>
        <v>0</v>
      </c>
      <c r="O2330" s="1"/>
    </row>
    <row r="2331" spans="1:15" x14ac:dyDescent="0.25">
      <c r="A2331">
        <v>4515</v>
      </c>
      <c r="B2331">
        <v>54665.912179999999</v>
      </c>
      <c r="C2331">
        <v>0</v>
      </c>
      <c r="D2331">
        <v>164289.61290000001</v>
      </c>
      <c r="E2331">
        <v>0</v>
      </c>
      <c r="F2331">
        <v>574889.54700000002</v>
      </c>
      <c r="G2331">
        <v>0</v>
      </c>
      <c r="H2331">
        <v>4515</v>
      </c>
      <c r="I2331" t="str">
        <f t="shared" si="145"/>
        <v>YES</v>
      </c>
      <c r="J2331" t="s">
        <v>2337</v>
      </c>
      <c r="K2331">
        <v>387182.35529400001</v>
      </c>
      <c r="L2331" s="1">
        <f t="shared" si="146"/>
        <v>0</v>
      </c>
      <c r="M2331" s="1">
        <f t="shared" si="147"/>
        <v>0</v>
      </c>
      <c r="N2331" s="1">
        <f t="shared" si="148"/>
        <v>0</v>
      </c>
      <c r="O2331" s="1"/>
    </row>
    <row r="2332" spans="1:15" x14ac:dyDescent="0.25">
      <c r="A2332">
        <v>4516</v>
      </c>
      <c r="B2332">
        <v>39225.024299999997</v>
      </c>
      <c r="C2332">
        <v>0</v>
      </c>
      <c r="D2332">
        <v>149977.30110000001</v>
      </c>
      <c r="E2332">
        <v>0</v>
      </c>
      <c r="F2332">
        <v>495843.9865</v>
      </c>
      <c r="G2332">
        <v>0</v>
      </c>
      <c r="H2332">
        <v>4516</v>
      </c>
      <c r="I2332" t="str">
        <f t="shared" si="145"/>
        <v>YES</v>
      </c>
      <c r="J2332" t="s">
        <v>2338</v>
      </c>
      <c r="K2332">
        <v>349588.155187</v>
      </c>
      <c r="L2332" s="1">
        <f t="shared" si="146"/>
        <v>0</v>
      </c>
      <c r="M2332" s="1">
        <f t="shared" si="147"/>
        <v>0</v>
      </c>
      <c r="N2332" s="1">
        <f t="shared" si="148"/>
        <v>0</v>
      </c>
      <c r="O2332" s="1"/>
    </row>
    <row r="2333" spans="1:15" x14ac:dyDescent="0.25">
      <c r="A2333">
        <v>4517</v>
      </c>
      <c r="B2333">
        <v>41646.515630000002</v>
      </c>
      <c r="C2333">
        <v>0</v>
      </c>
      <c r="D2333">
        <v>126326.5105</v>
      </c>
      <c r="E2333">
        <v>0</v>
      </c>
      <c r="F2333">
        <v>459713.48090000002</v>
      </c>
      <c r="G2333">
        <v>0</v>
      </c>
      <c r="H2333">
        <v>4517</v>
      </c>
      <c r="I2333" t="str">
        <f t="shared" si="145"/>
        <v>YES</v>
      </c>
      <c r="J2333" t="s">
        <v>2339</v>
      </c>
      <c r="K2333">
        <v>160555.879793</v>
      </c>
      <c r="L2333" s="1">
        <f t="shared" si="146"/>
        <v>0</v>
      </c>
      <c r="M2333" s="1">
        <f t="shared" si="147"/>
        <v>0</v>
      </c>
      <c r="N2333" s="1">
        <f t="shared" si="148"/>
        <v>0</v>
      </c>
      <c r="O2333" s="1"/>
    </row>
    <row r="2334" spans="1:15" x14ac:dyDescent="0.25">
      <c r="A2334">
        <v>4518</v>
      </c>
      <c r="B2334">
        <v>12234.49417</v>
      </c>
      <c r="C2334">
        <v>0</v>
      </c>
      <c r="D2334">
        <v>76910.80601</v>
      </c>
      <c r="E2334">
        <v>0</v>
      </c>
      <c r="F2334">
        <v>262480.10700000002</v>
      </c>
      <c r="G2334">
        <v>0</v>
      </c>
      <c r="H2334">
        <v>4518</v>
      </c>
      <c r="I2334" t="str">
        <f t="shared" si="145"/>
        <v>YES</v>
      </c>
      <c r="J2334" t="s">
        <v>2340</v>
      </c>
      <c r="K2334">
        <v>882828.39937700005</v>
      </c>
      <c r="L2334" s="1">
        <f t="shared" si="146"/>
        <v>0</v>
      </c>
      <c r="M2334" s="1">
        <f t="shared" si="147"/>
        <v>0</v>
      </c>
      <c r="N2334" s="1">
        <f t="shared" si="148"/>
        <v>0</v>
      </c>
      <c r="O2334" s="1"/>
    </row>
    <row r="2335" spans="1:15" x14ac:dyDescent="0.25">
      <c r="A2335">
        <v>4519</v>
      </c>
      <c r="B2335">
        <v>13038.735979999999</v>
      </c>
      <c r="C2335">
        <v>0</v>
      </c>
      <c r="D2335">
        <v>62158.423170000002</v>
      </c>
      <c r="E2335">
        <v>0</v>
      </c>
      <c r="F2335">
        <v>226169.87700000001</v>
      </c>
      <c r="G2335">
        <v>0</v>
      </c>
      <c r="H2335">
        <v>4519</v>
      </c>
      <c r="I2335" t="str">
        <f t="shared" si="145"/>
        <v>YES</v>
      </c>
      <c r="J2335" t="s">
        <v>2341</v>
      </c>
      <c r="K2335">
        <v>969520.04281799996</v>
      </c>
      <c r="L2335" s="1">
        <f t="shared" si="146"/>
        <v>0</v>
      </c>
      <c r="M2335" s="1">
        <f t="shared" si="147"/>
        <v>0</v>
      </c>
      <c r="N2335" s="1">
        <f t="shared" si="148"/>
        <v>0</v>
      </c>
      <c r="O2335" s="1"/>
    </row>
    <row r="2336" spans="1:15" x14ac:dyDescent="0.25">
      <c r="A2336">
        <v>4520</v>
      </c>
      <c r="B2336">
        <v>17230.685150000001</v>
      </c>
      <c r="C2336">
        <v>0</v>
      </c>
      <c r="D2336">
        <v>89334.885869999998</v>
      </c>
      <c r="E2336">
        <v>0</v>
      </c>
      <c r="F2336">
        <v>341987.46659999999</v>
      </c>
      <c r="G2336">
        <v>0</v>
      </c>
      <c r="H2336">
        <v>4520</v>
      </c>
      <c r="I2336" t="str">
        <f t="shared" si="145"/>
        <v>YES</v>
      </c>
      <c r="J2336" t="s">
        <v>2342</v>
      </c>
      <c r="K2336">
        <v>399886.54827600002</v>
      </c>
      <c r="L2336" s="1">
        <f t="shared" si="146"/>
        <v>0</v>
      </c>
      <c r="M2336" s="1">
        <f t="shared" si="147"/>
        <v>0</v>
      </c>
      <c r="N2336" s="1">
        <f t="shared" si="148"/>
        <v>0</v>
      </c>
      <c r="O2336" s="1"/>
    </row>
    <row r="2337" spans="1:15" x14ac:dyDescent="0.25">
      <c r="A2337">
        <v>4521</v>
      </c>
      <c r="B2337">
        <v>26324.55257</v>
      </c>
      <c r="C2337">
        <v>0</v>
      </c>
      <c r="D2337">
        <v>66255.726139999999</v>
      </c>
      <c r="E2337">
        <v>0</v>
      </c>
      <c r="F2337">
        <v>217921.77420000001</v>
      </c>
      <c r="G2337">
        <v>0</v>
      </c>
      <c r="H2337">
        <v>4521</v>
      </c>
      <c r="I2337" t="str">
        <f t="shared" si="145"/>
        <v>YES</v>
      </c>
      <c r="J2337" t="s">
        <v>2343</v>
      </c>
      <c r="K2337">
        <v>773309.539277</v>
      </c>
      <c r="L2337" s="1">
        <f t="shared" si="146"/>
        <v>0</v>
      </c>
      <c r="M2337" s="1">
        <f t="shared" si="147"/>
        <v>0</v>
      </c>
      <c r="N2337" s="1">
        <f t="shared" si="148"/>
        <v>0</v>
      </c>
      <c r="O2337" s="1"/>
    </row>
    <row r="2338" spans="1:15" x14ac:dyDescent="0.25">
      <c r="A2338">
        <v>4522</v>
      </c>
      <c r="B2338">
        <v>9795.8042089999999</v>
      </c>
      <c r="C2338">
        <v>0</v>
      </c>
      <c r="D2338">
        <v>69137.930970000001</v>
      </c>
      <c r="E2338">
        <v>0</v>
      </c>
      <c r="F2338">
        <v>261862.42300000001</v>
      </c>
      <c r="G2338">
        <v>0</v>
      </c>
      <c r="H2338">
        <v>4522</v>
      </c>
      <c r="I2338" t="str">
        <f t="shared" si="145"/>
        <v>YES</v>
      </c>
      <c r="J2338" t="s">
        <v>2344</v>
      </c>
      <c r="K2338">
        <v>1046048.99994</v>
      </c>
      <c r="L2338" s="1">
        <f t="shared" si="146"/>
        <v>0</v>
      </c>
      <c r="M2338" s="1">
        <f t="shared" si="147"/>
        <v>0</v>
      </c>
      <c r="N2338" s="1">
        <f t="shared" si="148"/>
        <v>0</v>
      </c>
      <c r="O2338" s="1"/>
    </row>
    <row r="2339" spans="1:15" x14ac:dyDescent="0.25">
      <c r="A2339">
        <v>4523</v>
      </c>
      <c r="B2339">
        <v>7138.6205799999998</v>
      </c>
      <c r="C2339">
        <v>0</v>
      </c>
      <c r="D2339">
        <v>71855.620330000005</v>
      </c>
      <c r="E2339">
        <v>0</v>
      </c>
      <c r="F2339">
        <v>255528.22990000001</v>
      </c>
      <c r="G2339">
        <v>0</v>
      </c>
      <c r="H2339">
        <v>4523</v>
      </c>
      <c r="I2339" t="str">
        <f t="shared" si="145"/>
        <v>YES</v>
      </c>
      <c r="J2339" t="s">
        <v>2345</v>
      </c>
      <c r="K2339">
        <v>1431780.46095</v>
      </c>
      <c r="L2339" s="1">
        <f t="shared" si="146"/>
        <v>0</v>
      </c>
      <c r="M2339" s="1">
        <f t="shared" si="147"/>
        <v>0</v>
      </c>
      <c r="N2339" s="1">
        <f t="shared" si="148"/>
        <v>0</v>
      </c>
      <c r="O2339" s="1"/>
    </row>
    <row r="2340" spans="1:15" x14ac:dyDescent="0.25">
      <c r="A2340">
        <v>4524</v>
      </c>
      <c r="B2340">
        <v>1410.3430639999999</v>
      </c>
      <c r="C2340">
        <v>0</v>
      </c>
      <c r="D2340">
        <v>45053.881350000003</v>
      </c>
      <c r="E2340">
        <v>0</v>
      </c>
      <c r="F2340">
        <v>202581.71429999999</v>
      </c>
      <c r="G2340">
        <v>0</v>
      </c>
      <c r="H2340">
        <v>4524</v>
      </c>
      <c r="I2340" t="str">
        <f t="shared" si="145"/>
        <v>YES</v>
      </c>
      <c r="J2340" t="s">
        <v>2346</v>
      </c>
      <c r="K2340">
        <v>726278.69739400002</v>
      </c>
      <c r="L2340" s="1">
        <f t="shared" si="146"/>
        <v>0</v>
      </c>
      <c r="M2340" s="1">
        <f t="shared" si="147"/>
        <v>0</v>
      </c>
      <c r="N2340" s="1">
        <f t="shared" si="148"/>
        <v>0</v>
      </c>
      <c r="O2340" s="1"/>
    </row>
    <row r="2341" spans="1:15" x14ac:dyDescent="0.25">
      <c r="A2341">
        <v>4525</v>
      </c>
      <c r="B2341">
        <v>7624.4114650000001</v>
      </c>
      <c r="C2341">
        <v>0</v>
      </c>
      <c r="D2341">
        <v>87918.257150000005</v>
      </c>
      <c r="E2341">
        <v>0</v>
      </c>
      <c r="F2341">
        <v>278938.54019999999</v>
      </c>
      <c r="G2341">
        <v>0</v>
      </c>
      <c r="H2341">
        <v>4525</v>
      </c>
      <c r="I2341" t="str">
        <f t="shared" si="145"/>
        <v>YES</v>
      </c>
      <c r="J2341" t="s">
        <v>2347</v>
      </c>
      <c r="K2341">
        <v>953450.29184199998</v>
      </c>
      <c r="L2341" s="1">
        <f t="shared" si="146"/>
        <v>0</v>
      </c>
      <c r="M2341" s="1">
        <f t="shared" si="147"/>
        <v>0</v>
      </c>
      <c r="N2341" s="1">
        <f t="shared" si="148"/>
        <v>0</v>
      </c>
      <c r="O2341" s="1"/>
    </row>
    <row r="2342" spans="1:15" x14ac:dyDescent="0.25">
      <c r="A2342">
        <v>4526</v>
      </c>
      <c r="B2342">
        <v>27228.245080000001</v>
      </c>
      <c r="C2342">
        <v>0</v>
      </c>
      <c r="D2342">
        <v>180857.4731</v>
      </c>
      <c r="E2342">
        <v>0</v>
      </c>
      <c r="F2342">
        <v>611537.76009999996</v>
      </c>
      <c r="G2342">
        <v>0</v>
      </c>
      <c r="H2342">
        <v>4526</v>
      </c>
      <c r="I2342" t="str">
        <f t="shared" si="145"/>
        <v>YES</v>
      </c>
      <c r="J2342" t="s">
        <v>2348</v>
      </c>
      <c r="K2342">
        <v>147653.776568</v>
      </c>
      <c r="L2342" s="1">
        <f t="shared" si="146"/>
        <v>0</v>
      </c>
      <c r="M2342" s="1">
        <f t="shared" si="147"/>
        <v>0</v>
      </c>
      <c r="N2342" s="1">
        <f t="shared" si="148"/>
        <v>0</v>
      </c>
      <c r="O2342" s="1"/>
    </row>
    <row r="2343" spans="1:15" x14ac:dyDescent="0.25">
      <c r="A2343">
        <v>4527</v>
      </c>
      <c r="B2343">
        <v>25865.234479999999</v>
      </c>
      <c r="C2343">
        <v>0</v>
      </c>
      <c r="D2343">
        <v>123889.6863</v>
      </c>
      <c r="E2343">
        <v>0</v>
      </c>
      <c r="F2343">
        <v>561801.61699999997</v>
      </c>
      <c r="G2343">
        <v>0</v>
      </c>
      <c r="H2343">
        <v>4527</v>
      </c>
      <c r="I2343" t="str">
        <f t="shared" si="145"/>
        <v>YES</v>
      </c>
      <c r="J2343" t="s">
        <v>2349</v>
      </c>
      <c r="K2343">
        <v>127283.63452599999</v>
      </c>
      <c r="L2343" s="1">
        <f t="shared" si="146"/>
        <v>0</v>
      </c>
      <c r="M2343" s="1">
        <f t="shared" si="147"/>
        <v>0</v>
      </c>
      <c r="N2343" s="1">
        <f t="shared" si="148"/>
        <v>0</v>
      </c>
      <c r="O2343" s="1"/>
    </row>
    <row r="2344" spans="1:15" x14ac:dyDescent="0.25">
      <c r="A2344">
        <v>4528</v>
      </c>
      <c r="B2344">
        <v>1553.0884000000001</v>
      </c>
      <c r="C2344">
        <v>0</v>
      </c>
      <c r="D2344">
        <v>28049.006410000002</v>
      </c>
      <c r="E2344">
        <v>0</v>
      </c>
      <c r="F2344">
        <v>84806.469379999995</v>
      </c>
      <c r="G2344">
        <v>0</v>
      </c>
      <c r="H2344">
        <v>4528</v>
      </c>
      <c r="I2344" t="str">
        <f t="shared" si="145"/>
        <v>YES</v>
      </c>
      <c r="J2344" t="s">
        <v>2350</v>
      </c>
      <c r="K2344">
        <v>1215167.2705999999</v>
      </c>
      <c r="L2344" s="1">
        <f t="shared" si="146"/>
        <v>0</v>
      </c>
      <c r="M2344" s="1">
        <f t="shared" si="147"/>
        <v>0</v>
      </c>
      <c r="N2344" s="1">
        <f t="shared" si="148"/>
        <v>0</v>
      </c>
      <c r="O2344" s="1"/>
    </row>
    <row r="2345" spans="1:15" x14ac:dyDescent="0.25">
      <c r="A2345">
        <v>4529</v>
      </c>
      <c r="B2345">
        <v>1988.7249119999999</v>
      </c>
      <c r="C2345">
        <v>0</v>
      </c>
      <c r="D2345">
        <v>34856.206380000003</v>
      </c>
      <c r="E2345">
        <v>0</v>
      </c>
      <c r="F2345">
        <v>109919.6004</v>
      </c>
      <c r="G2345">
        <v>0</v>
      </c>
      <c r="H2345">
        <v>4529</v>
      </c>
      <c r="I2345" t="str">
        <f t="shared" si="145"/>
        <v>YES</v>
      </c>
      <c r="J2345" t="s">
        <v>2351</v>
      </c>
      <c r="K2345">
        <v>1657529.1381600001</v>
      </c>
      <c r="L2345" s="1">
        <f t="shared" si="146"/>
        <v>0</v>
      </c>
      <c r="M2345" s="1">
        <f t="shared" si="147"/>
        <v>0</v>
      </c>
      <c r="N2345" s="1">
        <f t="shared" si="148"/>
        <v>0</v>
      </c>
      <c r="O2345" s="1"/>
    </row>
    <row r="2346" spans="1:15" x14ac:dyDescent="0.25">
      <c r="A2346">
        <v>4530</v>
      </c>
      <c r="B2346">
        <v>31328.79565</v>
      </c>
      <c r="C2346">
        <v>0</v>
      </c>
      <c r="D2346">
        <v>108755.86079999999</v>
      </c>
      <c r="E2346">
        <v>0</v>
      </c>
      <c r="F2346">
        <v>398156.39659999998</v>
      </c>
      <c r="G2346">
        <v>0</v>
      </c>
      <c r="H2346">
        <v>4530</v>
      </c>
      <c r="I2346" t="str">
        <f t="shared" si="145"/>
        <v>YES</v>
      </c>
      <c r="J2346" t="s">
        <v>2352</v>
      </c>
      <c r="K2346">
        <v>2114989.3823000002</v>
      </c>
      <c r="L2346" s="1">
        <f t="shared" si="146"/>
        <v>0</v>
      </c>
      <c r="M2346" s="1">
        <f t="shared" si="147"/>
        <v>0</v>
      </c>
      <c r="N2346" s="1">
        <f t="shared" si="148"/>
        <v>0</v>
      </c>
      <c r="O2346" s="1"/>
    </row>
    <row r="2347" spans="1:15" x14ac:dyDescent="0.25">
      <c r="A2347">
        <v>4531</v>
      </c>
      <c r="B2347">
        <v>11714.363240000001</v>
      </c>
      <c r="C2347">
        <v>0</v>
      </c>
      <c r="D2347">
        <v>75291.321060000002</v>
      </c>
      <c r="E2347">
        <v>0</v>
      </c>
      <c r="F2347">
        <v>322649.3296</v>
      </c>
      <c r="G2347">
        <v>0</v>
      </c>
      <c r="H2347">
        <v>4531</v>
      </c>
      <c r="I2347" t="str">
        <f t="shared" si="145"/>
        <v>YES</v>
      </c>
      <c r="J2347" t="s">
        <v>2353</v>
      </c>
      <c r="K2347">
        <v>724001.15602600004</v>
      </c>
      <c r="L2347" s="1">
        <f t="shared" si="146"/>
        <v>0</v>
      </c>
      <c r="M2347" s="1">
        <f t="shared" si="147"/>
        <v>0</v>
      </c>
      <c r="N2347" s="1">
        <f t="shared" si="148"/>
        <v>0</v>
      </c>
      <c r="O2347" s="1"/>
    </row>
    <row r="2348" spans="1:15" x14ac:dyDescent="0.25">
      <c r="A2348">
        <v>4532</v>
      </c>
      <c r="B2348">
        <v>44420.512300000002</v>
      </c>
      <c r="C2348">
        <v>0</v>
      </c>
      <c r="D2348">
        <v>163397.57449999999</v>
      </c>
      <c r="E2348">
        <v>0</v>
      </c>
      <c r="F2348">
        <v>567653.8824</v>
      </c>
      <c r="G2348">
        <v>0</v>
      </c>
      <c r="H2348">
        <v>4532</v>
      </c>
      <c r="I2348" t="str">
        <f t="shared" si="145"/>
        <v>YES</v>
      </c>
      <c r="J2348" t="s">
        <v>2354</v>
      </c>
      <c r="K2348">
        <v>697097.06179099996</v>
      </c>
      <c r="L2348" s="1">
        <f t="shared" si="146"/>
        <v>0</v>
      </c>
      <c r="M2348" s="1">
        <f t="shared" si="147"/>
        <v>0</v>
      </c>
      <c r="N2348" s="1">
        <f t="shared" si="148"/>
        <v>0</v>
      </c>
      <c r="O2348" s="1"/>
    </row>
    <row r="2349" spans="1:15" x14ac:dyDescent="0.25">
      <c r="A2349">
        <v>4533</v>
      </c>
      <c r="B2349">
        <v>51025.22178</v>
      </c>
      <c r="C2349">
        <v>0</v>
      </c>
      <c r="D2349">
        <v>278756.02899999998</v>
      </c>
      <c r="E2349">
        <v>0</v>
      </c>
      <c r="F2349">
        <v>963045.36600000004</v>
      </c>
      <c r="G2349">
        <v>0</v>
      </c>
      <c r="H2349">
        <v>4533</v>
      </c>
      <c r="I2349" t="str">
        <f t="shared" si="145"/>
        <v>YES</v>
      </c>
      <c r="J2349" t="s">
        <v>2355</v>
      </c>
      <c r="K2349">
        <v>125067.793577</v>
      </c>
      <c r="L2349" s="1">
        <f t="shared" si="146"/>
        <v>0</v>
      </c>
      <c r="M2349" s="1">
        <f t="shared" si="147"/>
        <v>0</v>
      </c>
      <c r="N2349" s="1">
        <f t="shared" si="148"/>
        <v>0</v>
      </c>
      <c r="O2349" s="1"/>
    </row>
    <row r="2350" spans="1:15" x14ac:dyDescent="0.25">
      <c r="A2350">
        <v>4534</v>
      </c>
      <c r="B2350">
        <v>20771.74381</v>
      </c>
      <c r="C2350">
        <v>0</v>
      </c>
      <c r="D2350">
        <v>65155.920489999997</v>
      </c>
      <c r="E2350">
        <v>0</v>
      </c>
      <c r="F2350">
        <v>256362.42170000001</v>
      </c>
      <c r="G2350">
        <v>0</v>
      </c>
      <c r="H2350">
        <v>4534</v>
      </c>
      <c r="I2350" t="str">
        <f t="shared" si="145"/>
        <v>YES</v>
      </c>
      <c r="J2350" t="s">
        <v>2356</v>
      </c>
      <c r="K2350">
        <v>698413.17183300003</v>
      </c>
      <c r="L2350" s="1">
        <f t="shared" si="146"/>
        <v>0</v>
      </c>
      <c r="M2350" s="1">
        <f t="shared" si="147"/>
        <v>0</v>
      </c>
      <c r="N2350" s="1">
        <f t="shared" si="148"/>
        <v>0</v>
      </c>
      <c r="O2350" s="1"/>
    </row>
    <row r="2351" spans="1:15" x14ac:dyDescent="0.25">
      <c r="A2351">
        <v>4535</v>
      </c>
      <c r="B2351">
        <v>41829.46632</v>
      </c>
      <c r="C2351">
        <v>0</v>
      </c>
      <c r="D2351">
        <v>148714.28409999999</v>
      </c>
      <c r="E2351">
        <v>0</v>
      </c>
      <c r="F2351">
        <v>541188.30720000004</v>
      </c>
      <c r="G2351">
        <v>0</v>
      </c>
      <c r="H2351">
        <v>4535</v>
      </c>
      <c r="I2351" t="str">
        <f t="shared" si="145"/>
        <v>YES</v>
      </c>
      <c r="J2351" t="s">
        <v>2357</v>
      </c>
      <c r="K2351">
        <v>531231.49843599997</v>
      </c>
      <c r="L2351" s="1">
        <f t="shared" si="146"/>
        <v>0</v>
      </c>
      <c r="M2351" s="1">
        <f t="shared" si="147"/>
        <v>0</v>
      </c>
      <c r="N2351" s="1">
        <f t="shared" si="148"/>
        <v>0</v>
      </c>
      <c r="O2351" s="1"/>
    </row>
    <row r="2352" spans="1:15" x14ac:dyDescent="0.25">
      <c r="A2352">
        <v>4536</v>
      </c>
      <c r="B2352">
        <v>29726.974460000001</v>
      </c>
      <c r="C2352">
        <v>0</v>
      </c>
      <c r="D2352">
        <v>205269.38159999999</v>
      </c>
      <c r="E2352">
        <v>0</v>
      </c>
      <c r="F2352">
        <v>754472.41859999998</v>
      </c>
      <c r="G2352">
        <v>0</v>
      </c>
      <c r="H2352">
        <v>4536</v>
      </c>
      <c r="I2352" t="str">
        <f t="shared" si="145"/>
        <v>YES</v>
      </c>
      <c r="J2352" t="s">
        <v>2358</v>
      </c>
      <c r="K2352">
        <v>220941.72362199999</v>
      </c>
      <c r="L2352" s="1">
        <f t="shared" si="146"/>
        <v>0</v>
      </c>
      <c r="M2352" s="1">
        <f t="shared" si="147"/>
        <v>0</v>
      </c>
      <c r="N2352" s="1">
        <f t="shared" si="148"/>
        <v>0</v>
      </c>
      <c r="O2352" s="1"/>
    </row>
    <row r="2353" spans="1:15" x14ac:dyDescent="0.25">
      <c r="A2353">
        <v>4537</v>
      </c>
      <c r="B2353">
        <v>12498.28837</v>
      </c>
      <c r="C2353">
        <v>0</v>
      </c>
      <c r="D2353">
        <v>102055.10340000001</v>
      </c>
      <c r="E2353">
        <v>0</v>
      </c>
      <c r="F2353">
        <v>404433.05810000002</v>
      </c>
      <c r="G2353">
        <v>0</v>
      </c>
      <c r="H2353">
        <v>4537</v>
      </c>
      <c r="I2353" t="str">
        <f t="shared" si="145"/>
        <v>YES</v>
      </c>
      <c r="J2353" t="s">
        <v>2359</v>
      </c>
      <c r="K2353">
        <v>846679.02360800002</v>
      </c>
      <c r="L2353" s="1">
        <f t="shared" si="146"/>
        <v>0</v>
      </c>
      <c r="M2353" s="1">
        <f t="shared" si="147"/>
        <v>0</v>
      </c>
      <c r="N2353" s="1">
        <f t="shared" si="148"/>
        <v>0</v>
      </c>
      <c r="O2353" s="1"/>
    </row>
    <row r="2354" spans="1:15" x14ac:dyDescent="0.25">
      <c r="A2354">
        <v>4538</v>
      </c>
      <c r="B2354">
        <v>12303.95666</v>
      </c>
      <c r="C2354">
        <v>0</v>
      </c>
      <c r="D2354">
        <v>103080.5626</v>
      </c>
      <c r="E2354">
        <v>0</v>
      </c>
      <c r="F2354">
        <v>456701.31099999999</v>
      </c>
      <c r="G2354">
        <v>0</v>
      </c>
      <c r="H2354">
        <v>4538</v>
      </c>
      <c r="I2354" t="str">
        <f t="shared" si="145"/>
        <v>YES</v>
      </c>
      <c r="J2354" t="s">
        <v>2360</v>
      </c>
      <c r="K2354">
        <v>398749.65479399997</v>
      </c>
      <c r="L2354" s="1">
        <f t="shared" si="146"/>
        <v>0</v>
      </c>
      <c r="M2354" s="1">
        <f t="shared" si="147"/>
        <v>0</v>
      </c>
      <c r="N2354" s="1">
        <f t="shared" si="148"/>
        <v>0</v>
      </c>
      <c r="O2354" s="1"/>
    </row>
    <row r="2355" spans="1:15" x14ac:dyDescent="0.25">
      <c r="A2355">
        <v>4539</v>
      </c>
      <c r="B2355">
        <v>12623.65105</v>
      </c>
      <c r="C2355">
        <v>0</v>
      </c>
      <c r="D2355">
        <v>60790.40681</v>
      </c>
      <c r="E2355">
        <v>0</v>
      </c>
      <c r="F2355">
        <v>292520.56949999998</v>
      </c>
      <c r="G2355">
        <v>0</v>
      </c>
      <c r="H2355">
        <v>4539</v>
      </c>
      <c r="I2355" t="str">
        <f t="shared" si="145"/>
        <v>YES</v>
      </c>
      <c r="J2355" t="s">
        <v>2361</v>
      </c>
      <c r="K2355">
        <v>1495791.51462</v>
      </c>
      <c r="L2355" s="1">
        <f t="shared" si="146"/>
        <v>0</v>
      </c>
      <c r="M2355" s="1">
        <f t="shared" si="147"/>
        <v>0</v>
      </c>
      <c r="N2355" s="1">
        <f t="shared" si="148"/>
        <v>0</v>
      </c>
      <c r="O2355" s="1"/>
    </row>
    <row r="2356" spans="1:15" x14ac:dyDescent="0.25">
      <c r="A2356">
        <v>4540</v>
      </c>
      <c r="B2356">
        <v>9063.8867699999992</v>
      </c>
      <c r="C2356">
        <v>0</v>
      </c>
      <c r="D2356">
        <v>63520.000269999997</v>
      </c>
      <c r="E2356">
        <v>0</v>
      </c>
      <c r="F2356">
        <v>453534.56559999997</v>
      </c>
      <c r="G2356">
        <v>0</v>
      </c>
      <c r="H2356">
        <v>4540</v>
      </c>
      <c r="I2356" t="str">
        <f t="shared" si="145"/>
        <v>YES</v>
      </c>
      <c r="J2356" t="s">
        <v>2362</v>
      </c>
      <c r="K2356">
        <v>723601.00910699996</v>
      </c>
      <c r="L2356" s="1">
        <f t="shared" si="146"/>
        <v>0</v>
      </c>
      <c r="M2356" s="1">
        <f t="shared" si="147"/>
        <v>0</v>
      </c>
      <c r="N2356" s="1">
        <f t="shared" si="148"/>
        <v>0</v>
      </c>
      <c r="O2356" s="1"/>
    </row>
    <row r="2357" spans="1:15" x14ac:dyDescent="0.25">
      <c r="A2357">
        <v>4541</v>
      </c>
      <c r="B2357">
        <v>5419.3356329999997</v>
      </c>
      <c r="C2357">
        <v>0</v>
      </c>
      <c r="D2357">
        <v>30114.018919999999</v>
      </c>
      <c r="E2357">
        <v>0</v>
      </c>
      <c r="F2357">
        <v>155689.25889999999</v>
      </c>
      <c r="G2357">
        <v>0</v>
      </c>
      <c r="H2357">
        <v>4541</v>
      </c>
      <c r="I2357" t="str">
        <f t="shared" si="145"/>
        <v>YES</v>
      </c>
      <c r="J2357" t="s">
        <v>2363</v>
      </c>
      <c r="K2357">
        <v>980181.41260899999</v>
      </c>
      <c r="L2357" s="1">
        <f t="shared" si="146"/>
        <v>0</v>
      </c>
      <c r="M2357" s="1">
        <f t="shared" si="147"/>
        <v>0</v>
      </c>
      <c r="N2357" s="1">
        <f t="shared" si="148"/>
        <v>0</v>
      </c>
      <c r="O2357" s="1"/>
    </row>
    <row r="2358" spans="1:15" x14ac:dyDescent="0.25">
      <c r="A2358">
        <v>4542</v>
      </c>
      <c r="B2358">
        <v>8735.7975449999994</v>
      </c>
      <c r="C2358">
        <v>0</v>
      </c>
      <c r="D2358">
        <v>37635.500079999998</v>
      </c>
      <c r="E2358">
        <v>0</v>
      </c>
      <c r="F2358">
        <v>293300.69520000002</v>
      </c>
      <c r="G2358">
        <v>0</v>
      </c>
      <c r="H2358">
        <v>4542</v>
      </c>
      <c r="I2358" t="str">
        <f t="shared" si="145"/>
        <v>YES</v>
      </c>
      <c r="J2358" t="s">
        <v>2364</v>
      </c>
      <c r="K2358">
        <v>950670.08287799999</v>
      </c>
      <c r="L2358" s="1">
        <f t="shared" si="146"/>
        <v>0</v>
      </c>
      <c r="M2358" s="1">
        <f t="shared" si="147"/>
        <v>0</v>
      </c>
      <c r="N2358" s="1">
        <f t="shared" si="148"/>
        <v>0</v>
      </c>
      <c r="O2358" s="1"/>
    </row>
    <row r="2359" spans="1:15" x14ac:dyDescent="0.25">
      <c r="A2359">
        <v>4543</v>
      </c>
      <c r="B2359">
        <v>61450.955540000003</v>
      </c>
      <c r="C2359">
        <v>0</v>
      </c>
      <c r="D2359">
        <v>257829.67850000001</v>
      </c>
      <c r="E2359">
        <v>0</v>
      </c>
      <c r="F2359">
        <v>881600.13970000006</v>
      </c>
      <c r="G2359">
        <v>0</v>
      </c>
      <c r="H2359">
        <v>4543</v>
      </c>
      <c r="I2359" t="str">
        <f t="shared" si="145"/>
        <v>YES</v>
      </c>
      <c r="J2359" t="s">
        <v>2365</v>
      </c>
      <c r="K2359">
        <v>278547.35534399998</v>
      </c>
      <c r="L2359" s="1">
        <f t="shared" si="146"/>
        <v>0</v>
      </c>
      <c r="M2359" s="1">
        <f t="shared" si="147"/>
        <v>0</v>
      </c>
      <c r="N2359" s="1">
        <f t="shared" si="148"/>
        <v>0</v>
      </c>
      <c r="O2359" s="1"/>
    </row>
    <row r="2360" spans="1:15" x14ac:dyDescent="0.25">
      <c r="A2360">
        <v>4544</v>
      </c>
      <c r="B2360">
        <v>27078.796979999999</v>
      </c>
      <c r="C2360">
        <v>0</v>
      </c>
      <c r="D2360">
        <v>162081.1795</v>
      </c>
      <c r="E2360">
        <v>0</v>
      </c>
      <c r="F2360">
        <v>555593.36380000005</v>
      </c>
      <c r="G2360">
        <v>0</v>
      </c>
      <c r="H2360">
        <v>4544</v>
      </c>
      <c r="I2360" t="str">
        <f t="shared" si="145"/>
        <v>YES</v>
      </c>
      <c r="J2360" t="s">
        <v>2366</v>
      </c>
      <c r="K2360">
        <v>193468.647295</v>
      </c>
      <c r="L2360" s="1">
        <f t="shared" si="146"/>
        <v>0</v>
      </c>
      <c r="M2360" s="1">
        <f t="shared" si="147"/>
        <v>0</v>
      </c>
      <c r="N2360" s="1">
        <f t="shared" si="148"/>
        <v>0</v>
      </c>
      <c r="O2360" s="1"/>
    </row>
    <row r="2361" spans="1:15" x14ac:dyDescent="0.25">
      <c r="A2361">
        <v>4545</v>
      </c>
      <c r="B2361">
        <v>3405.052052</v>
      </c>
      <c r="C2361">
        <v>0</v>
      </c>
      <c r="D2361">
        <v>42388.127269999997</v>
      </c>
      <c r="E2361">
        <v>0</v>
      </c>
      <c r="F2361">
        <v>259903.8707</v>
      </c>
      <c r="G2361">
        <v>0</v>
      </c>
      <c r="H2361">
        <v>4545</v>
      </c>
      <c r="I2361" t="str">
        <f t="shared" si="145"/>
        <v>YES</v>
      </c>
      <c r="J2361" t="s">
        <v>2367</v>
      </c>
      <c r="K2361">
        <v>2724073.9452599999</v>
      </c>
      <c r="L2361" s="1">
        <f t="shared" si="146"/>
        <v>0</v>
      </c>
      <c r="M2361" s="1">
        <f t="shared" si="147"/>
        <v>0</v>
      </c>
      <c r="N2361" s="1">
        <f t="shared" si="148"/>
        <v>0</v>
      </c>
      <c r="O2361" s="1"/>
    </row>
    <row r="2362" spans="1:15" x14ac:dyDescent="0.25">
      <c r="A2362">
        <v>4546</v>
      </c>
      <c r="B2362">
        <v>4188.8048570000001</v>
      </c>
      <c r="C2362">
        <v>0</v>
      </c>
      <c r="D2362">
        <v>90334.283309999999</v>
      </c>
      <c r="E2362">
        <v>0</v>
      </c>
      <c r="F2362">
        <v>339965.32410000003</v>
      </c>
      <c r="G2362">
        <v>0</v>
      </c>
      <c r="H2362">
        <v>4546</v>
      </c>
      <c r="I2362" t="str">
        <f t="shared" si="145"/>
        <v>YES</v>
      </c>
      <c r="J2362" t="s">
        <v>2368</v>
      </c>
      <c r="K2362">
        <v>796294.92796300002</v>
      </c>
      <c r="L2362" s="1">
        <f t="shared" si="146"/>
        <v>0</v>
      </c>
      <c r="M2362" s="1">
        <f t="shared" si="147"/>
        <v>0</v>
      </c>
      <c r="N2362" s="1">
        <f t="shared" si="148"/>
        <v>0</v>
      </c>
      <c r="O2362" s="1"/>
    </row>
    <row r="2363" spans="1:15" x14ac:dyDescent="0.25">
      <c r="A2363">
        <v>4547</v>
      </c>
      <c r="B2363">
        <v>5178.9698500000004</v>
      </c>
      <c r="C2363">
        <v>0</v>
      </c>
      <c r="D2363">
        <v>92782.31263</v>
      </c>
      <c r="E2363">
        <v>0</v>
      </c>
      <c r="F2363">
        <v>369113.77340000001</v>
      </c>
      <c r="G2363">
        <v>0</v>
      </c>
      <c r="H2363">
        <v>4547</v>
      </c>
      <c r="I2363" t="str">
        <f t="shared" si="145"/>
        <v>YES</v>
      </c>
      <c r="J2363" t="s">
        <v>2369</v>
      </c>
      <c r="K2363">
        <v>1044123.13453</v>
      </c>
      <c r="L2363" s="1">
        <f t="shared" si="146"/>
        <v>0</v>
      </c>
      <c r="M2363" s="1">
        <f t="shared" si="147"/>
        <v>0</v>
      </c>
      <c r="N2363" s="1">
        <f t="shared" si="148"/>
        <v>0</v>
      </c>
      <c r="O2363" s="1"/>
    </row>
    <row r="2364" spans="1:15" x14ac:dyDescent="0.25">
      <c r="A2364">
        <v>4548</v>
      </c>
      <c r="B2364">
        <v>9782.8340219999991</v>
      </c>
      <c r="C2364">
        <v>0</v>
      </c>
      <c r="D2364">
        <v>108681.34480000001</v>
      </c>
      <c r="E2364">
        <v>0</v>
      </c>
      <c r="F2364">
        <v>419703.06310000003</v>
      </c>
      <c r="G2364">
        <v>0</v>
      </c>
      <c r="H2364">
        <v>4548</v>
      </c>
      <c r="I2364" t="str">
        <f t="shared" si="145"/>
        <v>YES</v>
      </c>
      <c r="J2364" t="s">
        <v>2370</v>
      </c>
      <c r="K2364">
        <v>794979.99577499996</v>
      </c>
      <c r="L2364" s="1">
        <f t="shared" si="146"/>
        <v>0</v>
      </c>
      <c r="M2364" s="1">
        <f t="shared" si="147"/>
        <v>0</v>
      </c>
      <c r="N2364" s="1">
        <f t="shared" si="148"/>
        <v>0</v>
      </c>
      <c r="O2364" s="1"/>
    </row>
    <row r="2365" spans="1:15" x14ac:dyDescent="0.25">
      <c r="A2365">
        <v>4549</v>
      </c>
      <c r="B2365">
        <v>9981.3161849999997</v>
      </c>
      <c r="C2365">
        <v>0</v>
      </c>
      <c r="D2365">
        <v>52462.183190000003</v>
      </c>
      <c r="E2365">
        <v>0</v>
      </c>
      <c r="F2365">
        <v>278568.65299999999</v>
      </c>
      <c r="G2365">
        <v>0</v>
      </c>
      <c r="H2365">
        <v>4549</v>
      </c>
      <c r="I2365" t="str">
        <f t="shared" si="145"/>
        <v>YES</v>
      </c>
      <c r="J2365" t="s">
        <v>2371</v>
      </c>
      <c r="K2365">
        <v>1554428.4231799999</v>
      </c>
      <c r="L2365" s="1">
        <f t="shared" si="146"/>
        <v>0</v>
      </c>
      <c r="M2365" s="1">
        <f t="shared" si="147"/>
        <v>0</v>
      </c>
      <c r="N2365" s="1">
        <f t="shared" si="148"/>
        <v>0</v>
      </c>
      <c r="O2365" s="1"/>
    </row>
    <row r="2366" spans="1:15" x14ac:dyDescent="0.25">
      <c r="A2366">
        <v>4550</v>
      </c>
      <c r="B2366">
        <v>15078.507540000001</v>
      </c>
      <c r="C2366">
        <v>0</v>
      </c>
      <c r="D2366">
        <v>143911.60389999999</v>
      </c>
      <c r="E2366">
        <v>0</v>
      </c>
      <c r="F2366">
        <v>547994.06310000003</v>
      </c>
      <c r="G2366">
        <v>0</v>
      </c>
      <c r="H2366">
        <v>4550</v>
      </c>
      <c r="I2366" t="str">
        <f t="shared" si="145"/>
        <v>YES</v>
      </c>
      <c r="J2366" t="s">
        <v>2372</v>
      </c>
      <c r="K2366">
        <v>835671.99421200005</v>
      </c>
      <c r="L2366" s="1">
        <f t="shared" si="146"/>
        <v>0</v>
      </c>
      <c r="M2366" s="1">
        <f t="shared" si="147"/>
        <v>0</v>
      </c>
      <c r="N2366" s="1">
        <f t="shared" si="148"/>
        <v>0</v>
      </c>
      <c r="O2366" s="1"/>
    </row>
    <row r="2367" spans="1:15" x14ac:dyDescent="0.25">
      <c r="A2367">
        <v>4551</v>
      </c>
      <c r="B2367">
        <v>17443.756819999999</v>
      </c>
      <c r="C2367">
        <v>0</v>
      </c>
      <c r="D2367">
        <v>118883.31230000001</v>
      </c>
      <c r="E2367">
        <v>0</v>
      </c>
      <c r="F2367">
        <v>487674.6936</v>
      </c>
      <c r="G2367">
        <v>0</v>
      </c>
      <c r="H2367">
        <v>4551</v>
      </c>
      <c r="I2367" t="str">
        <f t="shared" si="145"/>
        <v>YES</v>
      </c>
      <c r="J2367" t="s">
        <v>2373</v>
      </c>
      <c r="K2367">
        <v>476782.43271600001</v>
      </c>
      <c r="L2367" s="1">
        <f t="shared" si="146"/>
        <v>0</v>
      </c>
      <c r="M2367" s="1">
        <f t="shared" si="147"/>
        <v>0</v>
      </c>
      <c r="N2367" s="1">
        <f t="shared" si="148"/>
        <v>0</v>
      </c>
      <c r="O2367" s="1"/>
    </row>
    <row r="2368" spans="1:15" x14ac:dyDescent="0.25">
      <c r="A2368">
        <v>4552</v>
      </c>
      <c r="B2368">
        <v>7612.8579120000004</v>
      </c>
      <c r="C2368">
        <v>0</v>
      </c>
      <c r="D2368">
        <v>43876.173710000003</v>
      </c>
      <c r="E2368">
        <v>0</v>
      </c>
      <c r="F2368">
        <v>242553.94560000001</v>
      </c>
      <c r="G2368">
        <v>0</v>
      </c>
      <c r="H2368">
        <v>4552</v>
      </c>
      <c r="I2368" t="str">
        <f t="shared" si="145"/>
        <v>YES</v>
      </c>
      <c r="J2368" t="s">
        <v>2374</v>
      </c>
      <c r="K2368">
        <v>747700.59702600003</v>
      </c>
      <c r="L2368" s="1">
        <f t="shared" si="146"/>
        <v>0</v>
      </c>
      <c r="M2368" s="1">
        <f t="shared" si="147"/>
        <v>0</v>
      </c>
      <c r="N2368" s="1">
        <f t="shared" si="148"/>
        <v>0</v>
      </c>
      <c r="O2368" s="1"/>
    </row>
    <row r="2369" spans="1:15" x14ac:dyDescent="0.25">
      <c r="A2369">
        <v>4553</v>
      </c>
      <c r="B2369">
        <v>16672.708320000002</v>
      </c>
      <c r="C2369">
        <v>0</v>
      </c>
      <c r="D2369">
        <v>179244.41089999999</v>
      </c>
      <c r="E2369">
        <v>0</v>
      </c>
      <c r="F2369">
        <v>739862.11380000005</v>
      </c>
      <c r="G2369">
        <v>0</v>
      </c>
      <c r="H2369">
        <v>4553</v>
      </c>
      <c r="I2369" t="str">
        <f t="shared" si="145"/>
        <v>YES</v>
      </c>
      <c r="J2369" t="s">
        <v>2375</v>
      </c>
      <c r="K2369">
        <v>565146.38476100005</v>
      </c>
      <c r="L2369" s="1">
        <f t="shared" si="146"/>
        <v>0</v>
      </c>
      <c r="M2369" s="1">
        <f t="shared" si="147"/>
        <v>0</v>
      </c>
      <c r="N2369" s="1">
        <f t="shared" si="148"/>
        <v>0</v>
      </c>
      <c r="O2369" s="1"/>
    </row>
    <row r="2370" spans="1:15" x14ac:dyDescent="0.25">
      <c r="A2370">
        <v>4554</v>
      </c>
      <c r="B2370">
        <v>23222.765200000002</v>
      </c>
      <c r="C2370">
        <v>0</v>
      </c>
      <c r="D2370">
        <v>75087.130900000004</v>
      </c>
      <c r="E2370">
        <v>0</v>
      </c>
      <c r="F2370">
        <v>364183.55810000002</v>
      </c>
      <c r="G2370">
        <v>0</v>
      </c>
      <c r="H2370">
        <v>4554</v>
      </c>
      <c r="I2370" t="str">
        <f t="shared" ref="I2370:I2433" si="149">IF(A2370=H2370,"YES","NO")</f>
        <v>YES</v>
      </c>
      <c r="J2370" t="s">
        <v>2376</v>
      </c>
      <c r="K2370">
        <v>315337.024546</v>
      </c>
      <c r="L2370" s="1">
        <f t="shared" si="146"/>
        <v>0</v>
      </c>
      <c r="M2370" s="1">
        <f t="shared" si="147"/>
        <v>0</v>
      </c>
      <c r="N2370" s="1">
        <f t="shared" si="148"/>
        <v>0</v>
      </c>
      <c r="O2370" s="1"/>
    </row>
    <row r="2371" spans="1:15" x14ac:dyDescent="0.25">
      <c r="A2371">
        <v>4555</v>
      </c>
      <c r="B2371">
        <v>17327.19169</v>
      </c>
      <c r="C2371">
        <v>0</v>
      </c>
      <c r="D2371">
        <v>143715.2237</v>
      </c>
      <c r="E2371">
        <v>0</v>
      </c>
      <c r="F2371">
        <v>534184.29350000003</v>
      </c>
      <c r="G2371">
        <v>0</v>
      </c>
      <c r="H2371">
        <v>4555</v>
      </c>
      <c r="I2371" t="str">
        <f t="shared" si="149"/>
        <v>YES</v>
      </c>
      <c r="J2371" t="s">
        <v>2377</v>
      </c>
      <c r="K2371">
        <v>481213.55104799999</v>
      </c>
      <c r="L2371" s="1">
        <f t="shared" ref="L2371:L2434" si="150">$U$2*$K2371*C2371</f>
        <v>0</v>
      </c>
      <c r="M2371" s="1">
        <f t="shared" ref="M2371:M2434" si="151">$U$3*$K2371*E2371</f>
        <v>0</v>
      </c>
      <c r="N2371" s="1">
        <f t="shared" ref="N2371:N2434" si="152">$U$4*$K2371*G2371</f>
        <v>0</v>
      </c>
      <c r="O2371" s="1"/>
    </row>
    <row r="2372" spans="1:15" x14ac:dyDescent="0.25">
      <c r="A2372">
        <v>4556</v>
      </c>
      <c r="B2372">
        <v>229.11947520000001</v>
      </c>
      <c r="C2372">
        <v>0</v>
      </c>
      <c r="D2372">
        <v>4955.3117689999999</v>
      </c>
      <c r="E2372">
        <v>0</v>
      </c>
      <c r="F2372">
        <v>55156.599139999998</v>
      </c>
      <c r="G2372">
        <v>0</v>
      </c>
      <c r="H2372">
        <v>4556</v>
      </c>
      <c r="I2372" t="str">
        <f t="shared" si="149"/>
        <v>YES</v>
      </c>
      <c r="J2372" t="s">
        <v>2378</v>
      </c>
      <c r="K2372">
        <v>2775597.81464</v>
      </c>
      <c r="L2372" s="1">
        <f t="shared" si="150"/>
        <v>0</v>
      </c>
      <c r="M2372" s="1">
        <f t="shared" si="151"/>
        <v>0</v>
      </c>
      <c r="N2372" s="1">
        <f t="shared" si="152"/>
        <v>0</v>
      </c>
      <c r="O2372" s="1"/>
    </row>
    <row r="2373" spans="1:15" x14ac:dyDescent="0.25">
      <c r="A2373">
        <v>4557</v>
      </c>
      <c r="B2373">
        <v>783.48475499999995</v>
      </c>
      <c r="C2373">
        <v>0</v>
      </c>
      <c r="D2373">
        <v>3178.6768320000001</v>
      </c>
      <c r="E2373">
        <v>0</v>
      </c>
      <c r="F2373">
        <v>36903.260289999998</v>
      </c>
      <c r="G2373">
        <v>0</v>
      </c>
      <c r="H2373">
        <v>4557</v>
      </c>
      <c r="I2373" t="str">
        <f t="shared" si="149"/>
        <v>YES</v>
      </c>
      <c r="J2373" t="s">
        <v>2379</v>
      </c>
      <c r="K2373">
        <v>3031859.02825</v>
      </c>
      <c r="L2373" s="1">
        <f t="shared" si="150"/>
        <v>0</v>
      </c>
      <c r="M2373" s="1">
        <f t="shared" si="151"/>
        <v>0</v>
      </c>
      <c r="N2373" s="1">
        <f t="shared" si="152"/>
        <v>0</v>
      </c>
      <c r="O2373" s="1"/>
    </row>
    <row r="2374" spans="1:15" x14ac:dyDescent="0.25">
      <c r="A2374">
        <v>4558</v>
      </c>
      <c r="B2374">
        <v>1380.445502</v>
      </c>
      <c r="C2374">
        <v>0</v>
      </c>
      <c r="D2374">
        <v>15811.338599999999</v>
      </c>
      <c r="E2374">
        <v>0</v>
      </c>
      <c r="F2374">
        <v>65433.838830000001</v>
      </c>
      <c r="G2374">
        <v>0</v>
      </c>
      <c r="H2374">
        <v>4558</v>
      </c>
      <c r="I2374" t="str">
        <f t="shared" si="149"/>
        <v>YES</v>
      </c>
      <c r="J2374" t="s">
        <v>2380</v>
      </c>
      <c r="K2374">
        <v>1410551.9680999999</v>
      </c>
      <c r="L2374" s="1">
        <f t="shared" si="150"/>
        <v>0</v>
      </c>
      <c r="M2374" s="1">
        <f t="shared" si="151"/>
        <v>0</v>
      </c>
      <c r="N2374" s="1">
        <f t="shared" si="152"/>
        <v>0</v>
      </c>
      <c r="O2374" s="1"/>
    </row>
    <row r="2375" spans="1:15" x14ac:dyDescent="0.25">
      <c r="A2375">
        <v>4559</v>
      </c>
      <c r="B2375">
        <v>47350.430809999998</v>
      </c>
      <c r="C2375">
        <v>0</v>
      </c>
      <c r="D2375">
        <v>165417.7084</v>
      </c>
      <c r="E2375">
        <v>0</v>
      </c>
      <c r="F2375">
        <v>503142.50319999998</v>
      </c>
      <c r="G2375">
        <v>0</v>
      </c>
      <c r="H2375">
        <v>4559</v>
      </c>
      <c r="I2375" t="str">
        <f t="shared" si="149"/>
        <v>YES</v>
      </c>
      <c r="J2375" t="s">
        <v>2381</v>
      </c>
      <c r="K2375">
        <v>195221.141431</v>
      </c>
      <c r="L2375" s="1">
        <f t="shared" si="150"/>
        <v>0</v>
      </c>
      <c r="M2375" s="1">
        <f t="shared" si="151"/>
        <v>0</v>
      </c>
      <c r="N2375" s="1">
        <f t="shared" si="152"/>
        <v>0</v>
      </c>
      <c r="O2375" s="1"/>
    </row>
    <row r="2376" spans="1:15" x14ac:dyDescent="0.25">
      <c r="A2376">
        <v>4560</v>
      </c>
      <c r="B2376">
        <v>30549.53946</v>
      </c>
      <c r="C2376">
        <v>0</v>
      </c>
      <c r="D2376">
        <v>113794.5248</v>
      </c>
      <c r="E2376">
        <v>0</v>
      </c>
      <c r="F2376">
        <v>407121.33140000002</v>
      </c>
      <c r="G2376">
        <v>0</v>
      </c>
      <c r="H2376">
        <v>4560</v>
      </c>
      <c r="I2376" t="str">
        <f t="shared" si="149"/>
        <v>YES</v>
      </c>
      <c r="J2376" t="s">
        <v>2382</v>
      </c>
      <c r="K2376">
        <v>273129.32504600001</v>
      </c>
      <c r="L2376" s="1">
        <f t="shared" si="150"/>
        <v>0</v>
      </c>
      <c r="M2376" s="1">
        <f t="shared" si="151"/>
        <v>0</v>
      </c>
      <c r="N2376" s="1">
        <f t="shared" si="152"/>
        <v>0</v>
      </c>
      <c r="O2376" s="1"/>
    </row>
    <row r="2377" spans="1:15" x14ac:dyDescent="0.25">
      <c r="A2377">
        <v>4561</v>
      </c>
      <c r="B2377">
        <v>7042.4637720000001</v>
      </c>
      <c r="C2377">
        <v>0</v>
      </c>
      <c r="D2377">
        <v>34259.740460000001</v>
      </c>
      <c r="E2377">
        <v>0</v>
      </c>
      <c r="F2377">
        <v>94762.289480000007</v>
      </c>
      <c r="G2377">
        <v>0</v>
      </c>
      <c r="H2377">
        <v>4561</v>
      </c>
      <c r="I2377" t="str">
        <f t="shared" si="149"/>
        <v>YES</v>
      </c>
      <c r="J2377" t="s">
        <v>2383</v>
      </c>
      <c r="K2377">
        <v>910244.62588299997</v>
      </c>
      <c r="L2377" s="1">
        <f t="shared" si="150"/>
        <v>0</v>
      </c>
      <c r="M2377" s="1">
        <f t="shared" si="151"/>
        <v>0</v>
      </c>
      <c r="N2377" s="1">
        <f t="shared" si="152"/>
        <v>0</v>
      </c>
      <c r="O2377" s="1"/>
    </row>
    <row r="2378" spans="1:15" x14ac:dyDescent="0.25">
      <c r="A2378">
        <v>4562</v>
      </c>
      <c r="B2378">
        <v>2567.1667360000001</v>
      </c>
      <c r="C2378">
        <v>0</v>
      </c>
      <c r="D2378">
        <v>34975.446120000001</v>
      </c>
      <c r="E2378">
        <v>0</v>
      </c>
      <c r="F2378">
        <v>94191.477310000002</v>
      </c>
      <c r="G2378">
        <v>0</v>
      </c>
      <c r="H2378">
        <v>4562</v>
      </c>
      <c r="I2378" t="str">
        <f t="shared" si="149"/>
        <v>YES</v>
      </c>
      <c r="J2378" t="s">
        <v>2384</v>
      </c>
      <c r="K2378">
        <v>1745451.52963</v>
      </c>
      <c r="L2378" s="1">
        <f t="shared" si="150"/>
        <v>0</v>
      </c>
      <c r="M2378" s="1">
        <f t="shared" si="151"/>
        <v>0</v>
      </c>
      <c r="N2378" s="1">
        <f t="shared" si="152"/>
        <v>0</v>
      </c>
      <c r="O2378" s="1"/>
    </row>
    <row r="2379" spans="1:15" x14ac:dyDescent="0.25">
      <c r="A2379">
        <v>4563</v>
      </c>
      <c r="B2379">
        <v>3482.2269670000001</v>
      </c>
      <c r="C2379">
        <v>0</v>
      </c>
      <c r="D2379">
        <v>46524.228230000001</v>
      </c>
      <c r="E2379">
        <v>0</v>
      </c>
      <c r="F2379">
        <v>98728.466350000002</v>
      </c>
      <c r="G2379">
        <v>0</v>
      </c>
      <c r="H2379">
        <v>4563</v>
      </c>
      <c r="I2379" t="str">
        <f t="shared" si="149"/>
        <v>YES</v>
      </c>
      <c r="J2379" t="s">
        <v>2385</v>
      </c>
      <c r="K2379">
        <v>1164604.5067499999</v>
      </c>
      <c r="L2379" s="1">
        <f t="shared" si="150"/>
        <v>0</v>
      </c>
      <c r="M2379" s="1">
        <f t="shared" si="151"/>
        <v>0</v>
      </c>
      <c r="N2379" s="1">
        <f t="shared" si="152"/>
        <v>0</v>
      </c>
      <c r="O2379" s="1"/>
    </row>
    <row r="2380" spans="1:15" x14ac:dyDescent="0.25">
      <c r="A2380">
        <v>4564</v>
      </c>
      <c r="B2380">
        <v>13471.2659</v>
      </c>
      <c r="C2380">
        <v>0</v>
      </c>
      <c r="D2380">
        <v>57017.29406</v>
      </c>
      <c r="E2380">
        <v>0</v>
      </c>
      <c r="F2380">
        <v>145183.49789999999</v>
      </c>
      <c r="G2380">
        <v>0</v>
      </c>
      <c r="H2380">
        <v>4564</v>
      </c>
      <c r="I2380" t="str">
        <f t="shared" si="149"/>
        <v>YES</v>
      </c>
      <c r="J2380" t="s">
        <v>2386</v>
      </c>
      <c r="K2380">
        <v>851808.03003599995</v>
      </c>
      <c r="L2380" s="1">
        <f t="shared" si="150"/>
        <v>0</v>
      </c>
      <c r="M2380" s="1">
        <f t="shared" si="151"/>
        <v>0</v>
      </c>
      <c r="N2380" s="1">
        <f t="shared" si="152"/>
        <v>0</v>
      </c>
      <c r="O2380" s="1"/>
    </row>
    <row r="2381" spans="1:15" x14ac:dyDescent="0.25">
      <c r="A2381">
        <v>4565</v>
      </c>
      <c r="B2381">
        <v>16072.769490000001</v>
      </c>
      <c r="C2381">
        <v>0</v>
      </c>
      <c r="D2381">
        <v>90188.178270000004</v>
      </c>
      <c r="E2381">
        <v>0</v>
      </c>
      <c r="F2381">
        <v>324252.28249999997</v>
      </c>
      <c r="G2381">
        <v>0</v>
      </c>
      <c r="H2381">
        <v>4565</v>
      </c>
      <c r="I2381" t="str">
        <f t="shared" si="149"/>
        <v>YES</v>
      </c>
      <c r="J2381" t="s">
        <v>2387</v>
      </c>
      <c r="K2381">
        <v>522006.40327900002</v>
      </c>
      <c r="L2381" s="1">
        <f t="shared" si="150"/>
        <v>0</v>
      </c>
      <c r="M2381" s="1">
        <f t="shared" si="151"/>
        <v>0</v>
      </c>
      <c r="N2381" s="1">
        <f t="shared" si="152"/>
        <v>0</v>
      </c>
      <c r="O2381" s="1"/>
    </row>
    <row r="2382" spans="1:15" x14ac:dyDescent="0.25">
      <c r="A2382">
        <v>4566</v>
      </c>
      <c r="B2382">
        <v>2754.6487940000002</v>
      </c>
      <c r="C2382">
        <v>0</v>
      </c>
      <c r="D2382">
        <v>34683.297809999996</v>
      </c>
      <c r="E2382">
        <v>0</v>
      </c>
      <c r="F2382">
        <v>99336.725590000002</v>
      </c>
      <c r="G2382">
        <v>0</v>
      </c>
      <c r="H2382">
        <v>4566</v>
      </c>
      <c r="I2382" t="str">
        <f t="shared" si="149"/>
        <v>YES</v>
      </c>
      <c r="J2382" t="s">
        <v>2388</v>
      </c>
      <c r="K2382">
        <v>1054874.20022</v>
      </c>
      <c r="L2382" s="1">
        <f t="shared" si="150"/>
        <v>0</v>
      </c>
      <c r="M2382" s="1">
        <f t="shared" si="151"/>
        <v>0</v>
      </c>
      <c r="N2382" s="1">
        <f t="shared" si="152"/>
        <v>0</v>
      </c>
      <c r="O2382" s="1"/>
    </row>
    <row r="2383" spans="1:15" x14ac:dyDescent="0.25">
      <c r="A2383">
        <v>4567</v>
      </c>
      <c r="B2383">
        <v>8626.4835750000002</v>
      </c>
      <c r="C2383">
        <v>0</v>
      </c>
      <c r="D2383">
        <v>54396.907209999998</v>
      </c>
      <c r="E2383">
        <v>0</v>
      </c>
      <c r="F2383">
        <v>169778.4166</v>
      </c>
      <c r="G2383">
        <v>0</v>
      </c>
      <c r="H2383">
        <v>4567</v>
      </c>
      <c r="I2383" t="str">
        <f t="shared" si="149"/>
        <v>YES</v>
      </c>
      <c r="J2383" t="s">
        <v>2389</v>
      </c>
      <c r="K2383">
        <v>919198.46842499997</v>
      </c>
      <c r="L2383" s="1">
        <f t="shared" si="150"/>
        <v>0</v>
      </c>
      <c r="M2383" s="1">
        <f t="shared" si="151"/>
        <v>0</v>
      </c>
      <c r="N2383" s="1">
        <f t="shared" si="152"/>
        <v>0</v>
      </c>
      <c r="O2383" s="1"/>
    </row>
    <row r="2384" spans="1:15" x14ac:dyDescent="0.25">
      <c r="A2384">
        <v>4568</v>
      </c>
      <c r="B2384">
        <v>1738.544682</v>
      </c>
      <c r="C2384">
        <v>0</v>
      </c>
      <c r="D2384">
        <v>45046.766589999999</v>
      </c>
      <c r="E2384">
        <v>0</v>
      </c>
      <c r="F2384">
        <v>152899.0938</v>
      </c>
      <c r="G2384">
        <v>0</v>
      </c>
      <c r="H2384">
        <v>4568</v>
      </c>
      <c r="I2384" t="str">
        <f t="shared" si="149"/>
        <v>YES</v>
      </c>
      <c r="J2384" t="s">
        <v>2390</v>
      </c>
      <c r="K2384">
        <v>684623.96254099999</v>
      </c>
      <c r="L2384" s="1">
        <f t="shared" si="150"/>
        <v>0</v>
      </c>
      <c r="M2384" s="1">
        <f t="shared" si="151"/>
        <v>0</v>
      </c>
      <c r="N2384" s="1">
        <f t="shared" si="152"/>
        <v>0</v>
      </c>
      <c r="O2384" s="1"/>
    </row>
    <row r="2385" spans="1:15" x14ac:dyDescent="0.25">
      <c r="A2385">
        <v>4569</v>
      </c>
      <c r="B2385">
        <v>10792.03564</v>
      </c>
      <c r="C2385">
        <v>0</v>
      </c>
      <c r="D2385">
        <v>47204.260950000004</v>
      </c>
      <c r="E2385">
        <v>0</v>
      </c>
      <c r="F2385">
        <v>142646.2922</v>
      </c>
      <c r="G2385">
        <v>0</v>
      </c>
      <c r="H2385">
        <v>4569</v>
      </c>
      <c r="I2385" t="str">
        <f t="shared" si="149"/>
        <v>YES</v>
      </c>
      <c r="J2385" t="s">
        <v>2391</v>
      </c>
      <c r="K2385">
        <v>790708.86609100003</v>
      </c>
      <c r="L2385" s="1">
        <f t="shared" si="150"/>
        <v>0</v>
      </c>
      <c r="M2385" s="1">
        <f t="shared" si="151"/>
        <v>0</v>
      </c>
      <c r="N2385" s="1">
        <f t="shared" si="152"/>
        <v>0</v>
      </c>
      <c r="O2385" s="1"/>
    </row>
    <row r="2386" spans="1:15" x14ac:dyDescent="0.25">
      <c r="A2386">
        <v>4570</v>
      </c>
      <c r="B2386">
        <v>13067.955889999999</v>
      </c>
      <c r="C2386">
        <v>0</v>
      </c>
      <c r="D2386">
        <v>59914.245130000003</v>
      </c>
      <c r="E2386">
        <v>0</v>
      </c>
      <c r="F2386">
        <v>171639.00959999999</v>
      </c>
      <c r="G2386">
        <v>0</v>
      </c>
      <c r="H2386">
        <v>4570</v>
      </c>
      <c r="I2386" t="str">
        <f t="shared" si="149"/>
        <v>YES</v>
      </c>
      <c r="J2386" t="s">
        <v>2392</v>
      </c>
      <c r="K2386">
        <v>842500.49207100004</v>
      </c>
      <c r="L2386" s="1">
        <f t="shared" si="150"/>
        <v>0</v>
      </c>
      <c r="M2386" s="1">
        <f t="shared" si="151"/>
        <v>0</v>
      </c>
      <c r="N2386" s="1">
        <f t="shared" si="152"/>
        <v>0</v>
      </c>
      <c r="O2386" s="1"/>
    </row>
    <row r="2387" spans="1:15" x14ac:dyDescent="0.25">
      <c r="A2387">
        <v>4571</v>
      </c>
      <c r="B2387">
        <v>46219.118060000001</v>
      </c>
      <c r="C2387">
        <v>0</v>
      </c>
      <c r="D2387">
        <v>160282.027</v>
      </c>
      <c r="E2387">
        <v>0</v>
      </c>
      <c r="F2387">
        <v>534296.42350000003</v>
      </c>
      <c r="G2387">
        <v>0</v>
      </c>
      <c r="H2387">
        <v>4571</v>
      </c>
      <c r="I2387" t="str">
        <f t="shared" si="149"/>
        <v>YES</v>
      </c>
      <c r="J2387" t="s">
        <v>2393</v>
      </c>
      <c r="K2387">
        <v>176958.82941100001</v>
      </c>
      <c r="L2387" s="1">
        <f t="shared" si="150"/>
        <v>0</v>
      </c>
      <c r="M2387" s="1">
        <f t="shared" si="151"/>
        <v>0</v>
      </c>
      <c r="N2387" s="1">
        <f t="shared" si="152"/>
        <v>0</v>
      </c>
      <c r="O2387" s="1"/>
    </row>
    <row r="2388" spans="1:15" x14ac:dyDescent="0.25">
      <c r="A2388">
        <v>4572</v>
      </c>
      <c r="B2388">
        <v>1075.908025</v>
      </c>
      <c r="C2388">
        <v>0</v>
      </c>
      <c r="D2388">
        <v>30889.304800000002</v>
      </c>
      <c r="E2388">
        <v>0</v>
      </c>
      <c r="F2388">
        <v>78483.06379</v>
      </c>
      <c r="G2388">
        <v>0</v>
      </c>
      <c r="H2388">
        <v>4572</v>
      </c>
      <c r="I2388" t="str">
        <f t="shared" si="149"/>
        <v>YES</v>
      </c>
      <c r="J2388" t="s">
        <v>2394</v>
      </c>
      <c r="K2388">
        <v>384030.60157399997</v>
      </c>
      <c r="L2388" s="1">
        <f t="shared" si="150"/>
        <v>0</v>
      </c>
      <c r="M2388" s="1">
        <f t="shared" si="151"/>
        <v>0</v>
      </c>
      <c r="N2388" s="1">
        <f t="shared" si="152"/>
        <v>0</v>
      </c>
      <c r="O2388" s="1"/>
    </row>
    <row r="2389" spans="1:15" x14ac:dyDescent="0.25">
      <c r="A2389">
        <v>4573</v>
      </c>
      <c r="B2389">
        <v>33248.81854</v>
      </c>
      <c r="C2389">
        <v>0</v>
      </c>
      <c r="D2389">
        <v>218289.3603</v>
      </c>
      <c r="E2389">
        <v>0</v>
      </c>
      <c r="F2389">
        <v>796632.86580000003</v>
      </c>
      <c r="G2389">
        <v>0</v>
      </c>
      <c r="H2389">
        <v>4573</v>
      </c>
      <c r="I2389" t="str">
        <f t="shared" si="149"/>
        <v>YES</v>
      </c>
      <c r="J2389" t="s">
        <v>2395</v>
      </c>
      <c r="K2389">
        <v>224369.40310699999</v>
      </c>
      <c r="L2389" s="1">
        <f t="shared" si="150"/>
        <v>0</v>
      </c>
      <c r="M2389" s="1">
        <f t="shared" si="151"/>
        <v>0</v>
      </c>
      <c r="N2389" s="1">
        <f t="shared" si="152"/>
        <v>0</v>
      </c>
      <c r="O2389" s="1"/>
    </row>
    <row r="2390" spans="1:15" x14ac:dyDescent="0.25">
      <c r="A2390">
        <v>4574</v>
      </c>
      <c r="B2390">
        <v>36542.601340000001</v>
      </c>
      <c r="C2390">
        <v>0</v>
      </c>
      <c r="D2390">
        <v>241282.90040000001</v>
      </c>
      <c r="E2390">
        <v>0</v>
      </c>
      <c r="F2390">
        <v>889799.70299999998</v>
      </c>
      <c r="G2390">
        <v>0</v>
      </c>
      <c r="H2390">
        <v>4574</v>
      </c>
      <c r="I2390" t="str">
        <f t="shared" si="149"/>
        <v>YES</v>
      </c>
      <c r="J2390" t="s">
        <v>2396</v>
      </c>
      <c r="K2390">
        <v>281169.33024400001</v>
      </c>
      <c r="L2390" s="1">
        <f t="shared" si="150"/>
        <v>0</v>
      </c>
      <c r="M2390" s="1">
        <f t="shared" si="151"/>
        <v>0</v>
      </c>
      <c r="N2390" s="1">
        <f t="shared" si="152"/>
        <v>0</v>
      </c>
      <c r="O2390" s="1"/>
    </row>
    <row r="2391" spans="1:15" x14ac:dyDescent="0.25">
      <c r="A2391">
        <v>4575</v>
      </c>
      <c r="B2391">
        <v>27890.06177</v>
      </c>
      <c r="C2391">
        <v>0</v>
      </c>
      <c r="D2391">
        <v>210855.55110000001</v>
      </c>
      <c r="E2391">
        <v>0</v>
      </c>
      <c r="F2391">
        <v>709779.7254</v>
      </c>
      <c r="G2391">
        <v>0</v>
      </c>
      <c r="H2391">
        <v>4575</v>
      </c>
      <c r="I2391" t="str">
        <f t="shared" si="149"/>
        <v>YES</v>
      </c>
      <c r="J2391" t="s">
        <v>2397</v>
      </c>
      <c r="K2391">
        <v>752717.62114599999</v>
      </c>
      <c r="L2391" s="1">
        <f t="shared" si="150"/>
        <v>0</v>
      </c>
      <c r="M2391" s="1">
        <f t="shared" si="151"/>
        <v>0</v>
      </c>
      <c r="N2391" s="1">
        <f t="shared" si="152"/>
        <v>0</v>
      </c>
      <c r="O2391" s="1"/>
    </row>
    <row r="2392" spans="1:15" x14ac:dyDescent="0.25">
      <c r="A2392">
        <v>4576</v>
      </c>
      <c r="B2392">
        <v>3300.5372969999999</v>
      </c>
      <c r="C2392">
        <v>0</v>
      </c>
      <c r="D2392">
        <v>18489.30198</v>
      </c>
      <c r="E2392">
        <v>0</v>
      </c>
      <c r="F2392">
        <v>176349.01879999999</v>
      </c>
      <c r="G2392">
        <v>0</v>
      </c>
      <c r="H2392">
        <v>4576</v>
      </c>
      <c r="I2392" t="str">
        <f t="shared" si="149"/>
        <v>YES</v>
      </c>
      <c r="J2392" t="s">
        <v>2398</v>
      </c>
      <c r="K2392">
        <v>1675044.8417799999</v>
      </c>
      <c r="L2392" s="1">
        <f t="shared" si="150"/>
        <v>0</v>
      </c>
      <c r="M2392" s="1">
        <f t="shared" si="151"/>
        <v>0</v>
      </c>
      <c r="N2392" s="1">
        <f t="shared" si="152"/>
        <v>0</v>
      </c>
      <c r="O2392" s="1"/>
    </row>
    <row r="2393" spans="1:15" x14ac:dyDescent="0.25">
      <c r="A2393">
        <v>4577</v>
      </c>
      <c r="B2393">
        <v>3496.0328749999999</v>
      </c>
      <c r="C2393">
        <v>0</v>
      </c>
      <c r="D2393">
        <v>28428.672490000001</v>
      </c>
      <c r="E2393">
        <v>0</v>
      </c>
      <c r="F2393">
        <v>304858.83649999998</v>
      </c>
      <c r="G2393">
        <v>0</v>
      </c>
      <c r="H2393">
        <v>4577</v>
      </c>
      <c r="I2393" t="str">
        <f t="shared" si="149"/>
        <v>YES</v>
      </c>
      <c r="J2393" t="s">
        <v>2399</v>
      </c>
      <c r="K2393">
        <v>1826756.7946299999</v>
      </c>
      <c r="L2393" s="1">
        <f t="shared" si="150"/>
        <v>0</v>
      </c>
      <c r="M2393" s="1">
        <f t="shared" si="151"/>
        <v>0</v>
      </c>
      <c r="N2393" s="1">
        <f t="shared" si="152"/>
        <v>0</v>
      </c>
      <c r="O2393" s="1"/>
    </row>
    <row r="2394" spans="1:15" x14ac:dyDescent="0.25">
      <c r="A2394">
        <v>4578</v>
      </c>
      <c r="B2394">
        <v>3708.6332470000002</v>
      </c>
      <c r="C2394">
        <v>0</v>
      </c>
      <c r="D2394">
        <v>44570.359949999998</v>
      </c>
      <c r="E2394">
        <v>0</v>
      </c>
      <c r="F2394">
        <v>302729.82799999998</v>
      </c>
      <c r="G2394">
        <v>0</v>
      </c>
      <c r="H2394">
        <v>4578</v>
      </c>
      <c r="I2394" t="str">
        <f t="shared" si="149"/>
        <v>YES</v>
      </c>
      <c r="J2394" t="s">
        <v>2400</v>
      </c>
      <c r="K2394">
        <v>1614476.9160199999</v>
      </c>
      <c r="L2394" s="1">
        <f t="shared" si="150"/>
        <v>0</v>
      </c>
      <c r="M2394" s="1">
        <f t="shared" si="151"/>
        <v>0</v>
      </c>
      <c r="N2394" s="1">
        <f t="shared" si="152"/>
        <v>0</v>
      </c>
      <c r="O2394" s="1"/>
    </row>
    <row r="2395" spans="1:15" x14ac:dyDescent="0.25">
      <c r="A2395">
        <v>4579</v>
      </c>
      <c r="B2395">
        <v>3726.2697210000001</v>
      </c>
      <c r="C2395">
        <v>0</v>
      </c>
      <c r="D2395">
        <v>43250.689960000003</v>
      </c>
      <c r="E2395">
        <v>0</v>
      </c>
      <c r="F2395">
        <v>724669.44010000001</v>
      </c>
      <c r="G2395">
        <v>0</v>
      </c>
      <c r="H2395">
        <v>4579</v>
      </c>
      <c r="I2395" t="str">
        <f t="shared" si="149"/>
        <v>YES</v>
      </c>
      <c r="J2395" t="s">
        <v>2401</v>
      </c>
      <c r="K2395">
        <v>1464444.7862499999</v>
      </c>
      <c r="L2395" s="1">
        <f t="shared" si="150"/>
        <v>0</v>
      </c>
      <c r="M2395" s="1">
        <f t="shared" si="151"/>
        <v>0</v>
      </c>
      <c r="N2395" s="1">
        <f t="shared" si="152"/>
        <v>0</v>
      </c>
      <c r="O2395" s="1"/>
    </row>
    <row r="2396" spans="1:15" x14ac:dyDescent="0.25">
      <c r="A2396">
        <v>4580</v>
      </c>
      <c r="B2396">
        <v>1826.8390629999999</v>
      </c>
      <c r="C2396">
        <v>0</v>
      </c>
      <c r="D2396">
        <v>60142.514909999998</v>
      </c>
      <c r="E2396">
        <v>0</v>
      </c>
      <c r="F2396">
        <v>207484.3731</v>
      </c>
      <c r="G2396">
        <v>0</v>
      </c>
      <c r="H2396">
        <v>4580</v>
      </c>
      <c r="I2396" t="str">
        <f t="shared" si="149"/>
        <v>YES</v>
      </c>
      <c r="J2396" t="s">
        <v>2402</v>
      </c>
      <c r="K2396">
        <v>382587.272941</v>
      </c>
      <c r="L2396" s="1">
        <f t="shared" si="150"/>
        <v>0</v>
      </c>
      <c r="M2396" s="1">
        <f t="shared" si="151"/>
        <v>0</v>
      </c>
      <c r="N2396" s="1">
        <f t="shared" si="152"/>
        <v>0</v>
      </c>
      <c r="O2396" s="1"/>
    </row>
    <row r="2397" spans="1:15" x14ac:dyDescent="0.25">
      <c r="A2397">
        <v>4581</v>
      </c>
      <c r="B2397">
        <v>37948.127959999998</v>
      </c>
      <c r="C2397">
        <v>0</v>
      </c>
      <c r="D2397">
        <v>160333.7972</v>
      </c>
      <c r="E2397">
        <v>0</v>
      </c>
      <c r="F2397">
        <v>383858.59409999999</v>
      </c>
      <c r="G2397">
        <v>0</v>
      </c>
      <c r="H2397">
        <v>4581</v>
      </c>
      <c r="I2397" t="str">
        <f t="shared" si="149"/>
        <v>YES</v>
      </c>
      <c r="J2397" t="s">
        <v>2403</v>
      </c>
      <c r="K2397">
        <v>202749.716097</v>
      </c>
      <c r="L2397" s="1">
        <f t="shared" si="150"/>
        <v>0</v>
      </c>
      <c r="M2397" s="1">
        <f t="shared" si="151"/>
        <v>0</v>
      </c>
      <c r="N2397" s="1">
        <f t="shared" si="152"/>
        <v>0</v>
      </c>
      <c r="O2397" s="1"/>
    </row>
    <row r="2398" spans="1:15" x14ac:dyDescent="0.25">
      <c r="A2398">
        <v>4582</v>
      </c>
      <c r="B2398">
        <v>18139.249769999999</v>
      </c>
      <c r="C2398">
        <v>0</v>
      </c>
      <c r="D2398">
        <v>169753.32459999999</v>
      </c>
      <c r="E2398">
        <v>0</v>
      </c>
      <c r="F2398">
        <v>582138.83440000005</v>
      </c>
      <c r="G2398">
        <v>0</v>
      </c>
      <c r="H2398">
        <v>4582</v>
      </c>
      <c r="I2398" t="str">
        <f t="shared" si="149"/>
        <v>YES</v>
      </c>
      <c r="J2398" t="s">
        <v>2404</v>
      </c>
      <c r="K2398">
        <v>147554.540977</v>
      </c>
      <c r="L2398" s="1">
        <f t="shared" si="150"/>
        <v>0</v>
      </c>
      <c r="M2398" s="1">
        <f t="shared" si="151"/>
        <v>0</v>
      </c>
      <c r="N2398" s="1">
        <f t="shared" si="152"/>
        <v>0</v>
      </c>
      <c r="O2398" s="1"/>
    </row>
    <row r="2399" spans="1:15" x14ac:dyDescent="0.25">
      <c r="A2399">
        <v>4583</v>
      </c>
      <c r="B2399">
        <v>9496.2286960000001</v>
      </c>
      <c r="C2399">
        <v>0</v>
      </c>
      <c r="D2399">
        <v>63730.087879999999</v>
      </c>
      <c r="E2399">
        <v>0</v>
      </c>
      <c r="F2399">
        <v>241067.6361</v>
      </c>
      <c r="G2399">
        <v>0</v>
      </c>
      <c r="H2399">
        <v>4583</v>
      </c>
      <c r="I2399" t="str">
        <f t="shared" si="149"/>
        <v>YES</v>
      </c>
      <c r="J2399" t="s">
        <v>2405</v>
      </c>
      <c r="K2399">
        <v>410801.208338</v>
      </c>
      <c r="L2399" s="1">
        <f t="shared" si="150"/>
        <v>0</v>
      </c>
      <c r="M2399" s="1">
        <f t="shared" si="151"/>
        <v>0</v>
      </c>
      <c r="N2399" s="1">
        <f t="shared" si="152"/>
        <v>0</v>
      </c>
      <c r="O2399" s="1"/>
    </row>
    <row r="2400" spans="1:15" x14ac:dyDescent="0.25">
      <c r="A2400">
        <v>4584</v>
      </c>
      <c r="B2400">
        <v>16993.141810000001</v>
      </c>
      <c r="C2400">
        <v>0</v>
      </c>
      <c r="D2400">
        <v>170535.81580000001</v>
      </c>
      <c r="E2400">
        <v>0</v>
      </c>
      <c r="F2400">
        <v>596192.08700000006</v>
      </c>
      <c r="G2400">
        <v>0</v>
      </c>
      <c r="H2400">
        <v>4584</v>
      </c>
      <c r="I2400" t="str">
        <f t="shared" si="149"/>
        <v>YES</v>
      </c>
      <c r="J2400" t="s">
        <v>2406</v>
      </c>
      <c r="K2400">
        <v>111530.222075</v>
      </c>
      <c r="L2400" s="1">
        <f t="shared" si="150"/>
        <v>0</v>
      </c>
      <c r="M2400" s="1">
        <f t="shared" si="151"/>
        <v>0</v>
      </c>
      <c r="N2400" s="1">
        <f t="shared" si="152"/>
        <v>0</v>
      </c>
      <c r="O2400" s="1"/>
    </row>
    <row r="2401" spans="1:15" x14ac:dyDescent="0.25">
      <c r="A2401">
        <v>4585</v>
      </c>
      <c r="B2401">
        <v>10855.02061</v>
      </c>
      <c r="C2401">
        <v>0</v>
      </c>
      <c r="D2401">
        <v>52188.20678</v>
      </c>
      <c r="E2401">
        <v>0</v>
      </c>
      <c r="F2401">
        <v>167894.88529999999</v>
      </c>
      <c r="G2401">
        <v>0</v>
      </c>
      <c r="H2401">
        <v>4585</v>
      </c>
      <c r="I2401" t="str">
        <f t="shared" si="149"/>
        <v>YES</v>
      </c>
      <c r="J2401" t="s">
        <v>2407</v>
      </c>
      <c r="K2401">
        <v>743624.43213500001</v>
      </c>
      <c r="L2401" s="1">
        <f t="shared" si="150"/>
        <v>0</v>
      </c>
      <c r="M2401" s="1">
        <f t="shared" si="151"/>
        <v>0</v>
      </c>
      <c r="N2401" s="1">
        <f t="shared" si="152"/>
        <v>0</v>
      </c>
      <c r="O2401" s="1"/>
    </row>
    <row r="2402" spans="1:15" x14ac:dyDescent="0.25">
      <c r="A2402">
        <v>4600</v>
      </c>
      <c r="B2402">
        <v>11.63821448</v>
      </c>
      <c r="C2402">
        <v>0</v>
      </c>
      <c r="D2402">
        <v>11.63821448</v>
      </c>
      <c r="E2402">
        <v>0</v>
      </c>
      <c r="F2402">
        <v>11.63821448</v>
      </c>
      <c r="G2402">
        <v>0</v>
      </c>
      <c r="H2402">
        <v>4600</v>
      </c>
      <c r="I2402" t="str">
        <f t="shared" si="149"/>
        <v>YES</v>
      </c>
      <c r="J2402" t="s">
        <v>2408</v>
      </c>
      <c r="K2402">
        <v>10884518.470799999</v>
      </c>
      <c r="L2402" s="1">
        <f t="shared" si="150"/>
        <v>0</v>
      </c>
      <c r="M2402" s="1">
        <f t="shared" si="151"/>
        <v>0</v>
      </c>
      <c r="N2402" s="1">
        <f t="shared" si="152"/>
        <v>0</v>
      </c>
      <c r="O2402" s="1"/>
    </row>
    <row r="2403" spans="1:15" x14ac:dyDescent="0.25">
      <c r="A2403">
        <v>4601</v>
      </c>
      <c r="B2403">
        <v>293.38189629999999</v>
      </c>
      <c r="C2403">
        <v>0</v>
      </c>
      <c r="D2403">
        <v>293.38189629999999</v>
      </c>
      <c r="E2403">
        <v>0</v>
      </c>
      <c r="F2403">
        <v>293.38189629999999</v>
      </c>
      <c r="G2403">
        <v>0</v>
      </c>
      <c r="H2403">
        <v>4601</v>
      </c>
      <c r="I2403" t="str">
        <f t="shared" si="149"/>
        <v>YES</v>
      </c>
      <c r="J2403" t="s">
        <v>2409</v>
      </c>
      <c r="K2403">
        <v>16493478.1371</v>
      </c>
      <c r="L2403" s="1">
        <f t="shared" si="150"/>
        <v>0</v>
      </c>
      <c r="M2403" s="1">
        <f t="shared" si="151"/>
        <v>0</v>
      </c>
      <c r="N2403" s="1">
        <f t="shared" si="152"/>
        <v>0</v>
      </c>
      <c r="O2403" s="1"/>
    </row>
    <row r="2404" spans="1:15" x14ac:dyDescent="0.25">
      <c r="A2404">
        <v>4602</v>
      </c>
      <c r="B2404">
        <v>231.41958120000001</v>
      </c>
      <c r="C2404">
        <v>0</v>
      </c>
      <c r="D2404">
        <v>231.41958120000001</v>
      </c>
      <c r="E2404">
        <v>0</v>
      </c>
      <c r="F2404">
        <v>231.41958120000001</v>
      </c>
      <c r="G2404">
        <v>0</v>
      </c>
      <c r="H2404">
        <v>4602</v>
      </c>
      <c r="I2404" t="str">
        <f t="shared" si="149"/>
        <v>YES</v>
      </c>
      <c r="J2404" t="s">
        <v>2410</v>
      </c>
      <c r="K2404">
        <v>11134347.3389</v>
      </c>
      <c r="L2404" s="1">
        <f t="shared" si="150"/>
        <v>0</v>
      </c>
      <c r="M2404" s="1">
        <f t="shared" si="151"/>
        <v>0</v>
      </c>
      <c r="N2404" s="1">
        <f t="shared" si="152"/>
        <v>0</v>
      </c>
      <c r="O2404" s="1"/>
    </row>
    <row r="2405" spans="1:15" x14ac:dyDescent="0.25">
      <c r="A2405">
        <v>4603</v>
      </c>
      <c r="B2405">
        <v>892.32195539999998</v>
      </c>
      <c r="C2405">
        <v>0</v>
      </c>
      <c r="D2405">
        <v>892.32195539999998</v>
      </c>
      <c r="E2405">
        <v>0</v>
      </c>
      <c r="F2405">
        <v>892.32195539999998</v>
      </c>
      <c r="G2405">
        <v>0</v>
      </c>
      <c r="H2405">
        <v>4603</v>
      </c>
      <c r="I2405" t="str">
        <f t="shared" si="149"/>
        <v>YES</v>
      </c>
      <c r="J2405" t="s">
        <v>2411</v>
      </c>
      <c r="K2405">
        <v>100447682.281</v>
      </c>
      <c r="L2405" s="1">
        <f t="shared" si="150"/>
        <v>0</v>
      </c>
      <c r="M2405" s="1">
        <f t="shared" si="151"/>
        <v>0</v>
      </c>
      <c r="N2405" s="1">
        <f t="shared" si="152"/>
        <v>0</v>
      </c>
      <c r="O2405" s="1"/>
    </row>
    <row r="2406" spans="1:15" x14ac:dyDescent="0.25">
      <c r="A2406">
        <v>4606</v>
      </c>
      <c r="B2406">
        <v>314.51787280000002</v>
      </c>
      <c r="C2406">
        <v>0</v>
      </c>
      <c r="D2406">
        <v>314.51787280000002</v>
      </c>
      <c r="E2406">
        <v>0</v>
      </c>
      <c r="F2406">
        <v>2687.172118</v>
      </c>
      <c r="G2406">
        <v>0</v>
      </c>
      <c r="H2406">
        <v>4606</v>
      </c>
      <c r="I2406" t="str">
        <f t="shared" si="149"/>
        <v>YES</v>
      </c>
      <c r="J2406" t="s">
        <v>2412</v>
      </c>
      <c r="K2406">
        <v>8781490.7189600002</v>
      </c>
      <c r="L2406" s="1">
        <f t="shared" si="150"/>
        <v>0</v>
      </c>
      <c r="M2406" s="1">
        <f t="shared" si="151"/>
        <v>0</v>
      </c>
      <c r="N2406" s="1">
        <f t="shared" si="152"/>
        <v>0</v>
      </c>
      <c r="O2406" s="1"/>
    </row>
    <row r="2407" spans="1:15" x14ac:dyDescent="0.25">
      <c r="A2407">
        <v>4607</v>
      </c>
      <c r="B2407">
        <v>198.09117620000001</v>
      </c>
      <c r="C2407">
        <v>0</v>
      </c>
      <c r="D2407">
        <v>859.91818360000002</v>
      </c>
      <c r="E2407">
        <v>0</v>
      </c>
      <c r="F2407">
        <v>3113.0376040000001</v>
      </c>
      <c r="G2407">
        <v>0</v>
      </c>
      <c r="H2407">
        <v>4607</v>
      </c>
      <c r="I2407" t="str">
        <f t="shared" si="149"/>
        <v>YES</v>
      </c>
      <c r="J2407" t="s">
        <v>2413</v>
      </c>
      <c r="K2407">
        <v>3004057.5137999998</v>
      </c>
      <c r="L2407" s="1">
        <f t="shared" si="150"/>
        <v>0</v>
      </c>
      <c r="M2407" s="1">
        <f t="shared" si="151"/>
        <v>0</v>
      </c>
      <c r="N2407" s="1">
        <f t="shared" si="152"/>
        <v>0</v>
      </c>
      <c r="O2407" s="1"/>
    </row>
    <row r="2408" spans="1:15" x14ac:dyDescent="0.25">
      <c r="A2408">
        <v>4608</v>
      </c>
      <c r="B2408">
        <v>354.27639290000002</v>
      </c>
      <c r="C2408">
        <v>0</v>
      </c>
      <c r="D2408">
        <v>2540.654536</v>
      </c>
      <c r="E2408">
        <v>0</v>
      </c>
      <c r="F2408">
        <v>3663.8514850000001</v>
      </c>
      <c r="G2408">
        <v>0</v>
      </c>
      <c r="H2408">
        <v>4608</v>
      </c>
      <c r="I2408" t="str">
        <f t="shared" si="149"/>
        <v>YES</v>
      </c>
      <c r="J2408" t="s">
        <v>2414</v>
      </c>
      <c r="K2408">
        <v>2688620.2951500001</v>
      </c>
      <c r="L2408" s="1">
        <f t="shared" si="150"/>
        <v>0</v>
      </c>
      <c r="M2408" s="1">
        <f t="shared" si="151"/>
        <v>0</v>
      </c>
      <c r="N2408" s="1">
        <f t="shared" si="152"/>
        <v>0</v>
      </c>
      <c r="O2408" s="1"/>
    </row>
    <row r="2409" spans="1:15" x14ac:dyDescent="0.25">
      <c r="A2409">
        <v>4609</v>
      </c>
      <c r="B2409">
        <v>260.35967590000001</v>
      </c>
      <c r="C2409">
        <v>0</v>
      </c>
      <c r="D2409">
        <v>1682.6640379999999</v>
      </c>
      <c r="E2409">
        <v>0</v>
      </c>
      <c r="F2409">
        <v>5236.7830169999997</v>
      </c>
      <c r="G2409">
        <v>0</v>
      </c>
      <c r="H2409">
        <v>4609</v>
      </c>
      <c r="I2409" t="str">
        <f t="shared" si="149"/>
        <v>YES</v>
      </c>
      <c r="J2409" t="s">
        <v>2415</v>
      </c>
      <c r="K2409">
        <v>2964231.1444600001</v>
      </c>
      <c r="L2409" s="1">
        <f t="shared" si="150"/>
        <v>0</v>
      </c>
      <c r="M2409" s="1">
        <f t="shared" si="151"/>
        <v>0</v>
      </c>
      <c r="N2409" s="1">
        <f t="shared" si="152"/>
        <v>0</v>
      </c>
      <c r="O2409" s="1"/>
    </row>
    <row r="2410" spans="1:15" x14ac:dyDescent="0.25">
      <c r="A2410">
        <v>4610</v>
      </c>
      <c r="B2410">
        <v>1264.19146</v>
      </c>
      <c r="C2410">
        <v>0</v>
      </c>
      <c r="D2410">
        <v>2280.29486</v>
      </c>
      <c r="E2410">
        <v>0</v>
      </c>
      <c r="F2410">
        <v>4570.5395060000001</v>
      </c>
      <c r="G2410">
        <v>0</v>
      </c>
      <c r="H2410">
        <v>4610</v>
      </c>
      <c r="I2410" t="str">
        <f t="shared" si="149"/>
        <v>YES</v>
      </c>
      <c r="J2410" t="s">
        <v>2416</v>
      </c>
      <c r="K2410">
        <v>3852874.5106700002</v>
      </c>
      <c r="L2410" s="1">
        <f t="shared" si="150"/>
        <v>0</v>
      </c>
      <c r="M2410" s="1">
        <f t="shared" si="151"/>
        <v>0</v>
      </c>
      <c r="N2410" s="1">
        <f t="shared" si="152"/>
        <v>0</v>
      </c>
      <c r="O2410" s="1"/>
    </row>
    <row r="2411" spans="1:15" x14ac:dyDescent="0.25">
      <c r="A2411">
        <v>4611</v>
      </c>
      <c r="B2411">
        <v>1180.055523</v>
      </c>
      <c r="C2411">
        <v>0</v>
      </c>
      <c r="D2411">
        <v>1480.5246930000001</v>
      </c>
      <c r="E2411">
        <v>0</v>
      </c>
      <c r="F2411">
        <v>4675.8849959999998</v>
      </c>
      <c r="G2411">
        <v>0</v>
      </c>
      <c r="H2411">
        <v>4611</v>
      </c>
      <c r="I2411" t="str">
        <f t="shared" si="149"/>
        <v>YES</v>
      </c>
      <c r="J2411" t="s">
        <v>2417</v>
      </c>
      <c r="K2411">
        <v>3870233.7149299998</v>
      </c>
      <c r="L2411" s="1">
        <f t="shared" si="150"/>
        <v>0</v>
      </c>
      <c r="M2411" s="1">
        <f t="shared" si="151"/>
        <v>0</v>
      </c>
      <c r="N2411" s="1">
        <f t="shared" si="152"/>
        <v>0</v>
      </c>
      <c r="O2411" s="1"/>
    </row>
    <row r="2412" spans="1:15" x14ac:dyDescent="0.25">
      <c r="A2412">
        <v>4612</v>
      </c>
      <c r="B2412">
        <v>1272.4149070000001</v>
      </c>
      <c r="C2412">
        <v>0</v>
      </c>
      <c r="D2412">
        <v>21789.919600000001</v>
      </c>
      <c r="E2412">
        <v>0</v>
      </c>
      <c r="F2412">
        <v>69558.725829999996</v>
      </c>
      <c r="G2412">
        <v>0</v>
      </c>
      <c r="H2412">
        <v>4612</v>
      </c>
      <c r="I2412" t="str">
        <f t="shared" si="149"/>
        <v>YES</v>
      </c>
      <c r="J2412" t="s">
        <v>2418</v>
      </c>
      <c r="K2412">
        <v>3081864.8123400002</v>
      </c>
      <c r="L2412" s="1">
        <f t="shared" si="150"/>
        <v>0</v>
      </c>
      <c r="M2412" s="1">
        <f t="shared" si="151"/>
        <v>0</v>
      </c>
      <c r="N2412" s="1">
        <f t="shared" si="152"/>
        <v>0</v>
      </c>
      <c r="O2412" s="1"/>
    </row>
    <row r="2413" spans="1:15" x14ac:dyDescent="0.25">
      <c r="A2413">
        <v>4613</v>
      </c>
      <c r="B2413">
        <v>754.18639189999999</v>
      </c>
      <c r="C2413">
        <v>0</v>
      </c>
      <c r="D2413">
        <v>2160.9936069999999</v>
      </c>
      <c r="E2413">
        <v>0</v>
      </c>
      <c r="F2413">
        <v>29340.424060000001</v>
      </c>
      <c r="G2413">
        <v>0</v>
      </c>
      <c r="H2413">
        <v>4613</v>
      </c>
      <c r="I2413" t="str">
        <f t="shared" si="149"/>
        <v>YES</v>
      </c>
      <c r="J2413" t="s">
        <v>2419</v>
      </c>
      <c r="K2413">
        <v>1396650.4676099999</v>
      </c>
      <c r="L2413" s="1">
        <f t="shared" si="150"/>
        <v>0</v>
      </c>
      <c r="M2413" s="1">
        <f t="shared" si="151"/>
        <v>0</v>
      </c>
      <c r="N2413" s="1">
        <f t="shared" si="152"/>
        <v>0</v>
      </c>
      <c r="O2413" s="1"/>
    </row>
    <row r="2414" spans="1:15" x14ac:dyDescent="0.25">
      <c r="A2414">
        <v>4616</v>
      </c>
      <c r="B2414">
        <v>5.6067102980000003</v>
      </c>
      <c r="C2414">
        <v>0</v>
      </c>
      <c r="D2414">
        <v>5.6067102980000003</v>
      </c>
      <c r="E2414">
        <v>0</v>
      </c>
      <c r="F2414">
        <v>5.6067102980000003</v>
      </c>
      <c r="G2414">
        <v>0</v>
      </c>
      <c r="H2414">
        <v>4616</v>
      </c>
      <c r="I2414" t="str">
        <f t="shared" si="149"/>
        <v>YES</v>
      </c>
      <c r="J2414" t="s">
        <v>2420</v>
      </c>
      <c r="K2414">
        <v>135885244.54499999</v>
      </c>
      <c r="L2414" s="1">
        <f t="shared" si="150"/>
        <v>0</v>
      </c>
      <c r="M2414" s="1">
        <f t="shared" si="151"/>
        <v>0</v>
      </c>
      <c r="N2414" s="1">
        <f t="shared" si="152"/>
        <v>0</v>
      </c>
      <c r="O2414" s="1"/>
    </row>
    <row r="2415" spans="1:15" x14ac:dyDescent="0.25">
      <c r="A2415">
        <v>4618</v>
      </c>
      <c r="B2415" s="1">
        <v>4.95E-6</v>
      </c>
      <c r="C2415">
        <v>0</v>
      </c>
      <c r="D2415" s="1">
        <v>4.95E-6</v>
      </c>
      <c r="E2415">
        <v>0</v>
      </c>
      <c r="F2415" s="1">
        <v>4.95E-6</v>
      </c>
      <c r="G2415">
        <v>0</v>
      </c>
      <c r="H2415">
        <v>4618</v>
      </c>
      <c r="I2415" t="str">
        <f t="shared" si="149"/>
        <v>YES</v>
      </c>
      <c r="J2415" t="s">
        <v>2421</v>
      </c>
      <c r="K2415">
        <v>6724464.5598799996</v>
      </c>
      <c r="L2415" s="1">
        <f t="shared" si="150"/>
        <v>0</v>
      </c>
      <c r="M2415" s="1">
        <f t="shared" si="151"/>
        <v>0</v>
      </c>
      <c r="N2415" s="1">
        <f t="shared" si="152"/>
        <v>0</v>
      </c>
      <c r="O2415" s="1"/>
    </row>
    <row r="2416" spans="1:15" x14ac:dyDescent="0.25">
      <c r="A2416">
        <v>4621</v>
      </c>
      <c r="B2416">
        <v>923.30925520000005</v>
      </c>
      <c r="C2416">
        <v>0</v>
      </c>
      <c r="D2416">
        <v>1767.0200299999999</v>
      </c>
      <c r="E2416">
        <v>0</v>
      </c>
      <c r="F2416">
        <v>1767.0200299999999</v>
      </c>
      <c r="G2416">
        <v>0</v>
      </c>
      <c r="H2416">
        <v>4621</v>
      </c>
      <c r="I2416" t="str">
        <f t="shared" si="149"/>
        <v>YES</v>
      </c>
      <c r="J2416" t="s">
        <v>2422</v>
      </c>
      <c r="K2416">
        <v>10235810.2019</v>
      </c>
      <c r="L2416" s="1">
        <f t="shared" si="150"/>
        <v>0</v>
      </c>
      <c r="M2416" s="1">
        <f t="shared" si="151"/>
        <v>0</v>
      </c>
      <c r="N2416" s="1">
        <f t="shared" si="152"/>
        <v>0</v>
      </c>
      <c r="O2416" s="1"/>
    </row>
    <row r="2417" spans="1:15" x14ac:dyDescent="0.25">
      <c r="A2417">
        <v>4622</v>
      </c>
      <c r="B2417">
        <v>291.84165489999998</v>
      </c>
      <c r="C2417">
        <v>0</v>
      </c>
      <c r="D2417">
        <v>291.84165489999998</v>
      </c>
      <c r="E2417">
        <v>0</v>
      </c>
      <c r="F2417">
        <v>4500.7494809999998</v>
      </c>
      <c r="G2417">
        <v>0</v>
      </c>
      <c r="H2417">
        <v>4622</v>
      </c>
      <c r="I2417" t="str">
        <f t="shared" si="149"/>
        <v>YES</v>
      </c>
      <c r="J2417" t="s">
        <v>2423</v>
      </c>
      <c r="K2417">
        <v>6650077.00899</v>
      </c>
      <c r="L2417" s="1">
        <f t="shared" si="150"/>
        <v>0</v>
      </c>
      <c r="M2417" s="1">
        <f t="shared" si="151"/>
        <v>0</v>
      </c>
      <c r="N2417" s="1">
        <f t="shared" si="152"/>
        <v>0</v>
      </c>
      <c r="O2417" s="1"/>
    </row>
    <row r="2418" spans="1:15" x14ac:dyDescent="0.25">
      <c r="A2418">
        <v>4623</v>
      </c>
      <c r="B2418">
        <v>1252.273312</v>
      </c>
      <c r="C2418">
        <v>0</v>
      </c>
      <c r="D2418">
        <v>2095.9840859999999</v>
      </c>
      <c r="E2418">
        <v>0</v>
      </c>
      <c r="F2418">
        <v>2095.9840859999999</v>
      </c>
      <c r="G2418">
        <v>0</v>
      </c>
      <c r="H2418">
        <v>4623</v>
      </c>
      <c r="I2418" t="str">
        <f t="shared" si="149"/>
        <v>YES</v>
      </c>
      <c r="J2418" t="s">
        <v>2424</v>
      </c>
      <c r="K2418">
        <v>15581714.275900001</v>
      </c>
      <c r="L2418" s="1">
        <f t="shared" si="150"/>
        <v>0</v>
      </c>
      <c r="M2418" s="1">
        <f t="shared" si="151"/>
        <v>0</v>
      </c>
      <c r="N2418" s="1">
        <f t="shared" si="152"/>
        <v>0</v>
      </c>
      <c r="O2418" s="1"/>
    </row>
    <row r="2419" spans="1:15" x14ac:dyDescent="0.25">
      <c r="A2419">
        <v>4624</v>
      </c>
      <c r="B2419">
        <v>3392.7574140000002</v>
      </c>
      <c r="C2419">
        <v>0</v>
      </c>
      <c r="D2419">
        <v>7228.2011679999996</v>
      </c>
      <c r="E2419">
        <v>0</v>
      </c>
      <c r="F2419">
        <v>7520.0428220000003</v>
      </c>
      <c r="G2419">
        <v>0</v>
      </c>
      <c r="H2419">
        <v>4624</v>
      </c>
      <c r="I2419" t="str">
        <f t="shared" si="149"/>
        <v>YES</v>
      </c>
      <c r="J2419" t="s">
        <v>2425</v>
      </c>
      <c r="K2419">
        <v>1570383.7224699999</v>
      </c>
      <c r="L2419" s="1">
        <f t="shared" si="150"/>
        <v>0</v>
      </c>
      <c r="M2419" s="1">
        <f t="shared" si="151"/>
        <v>0</v>
      </c>
      <c r="N2419" s="1">
        <f t="shared" si="152"/>
        <v>0</v>
      </c>
      <c r="O2419" s="1"/>
    </row>
    <row r="2420" spans="1:15" x14ac:dyDescent="0.25">
      <c r="A2420">
        <v>4625</v>
      </c>
      <c r="B2420">
        <v>3392.7574140000002</v>
      </c>
      <c r="C2420">
        <v>0</v>
      </c>
      <c r="D2420">
        <v>5052.6185999999998</v>
      </c>
      <c r="E2420">
        <v>0</v>
      </c>
      <c r="F2420">
        <v>5344.460255</v>
      </c>
      <c r="G2420">
        <v>0</v>
      </c>
      <c r="H2420">
        <v>4625</v>
      </c>
      <c r="I2420" t="str">
        <f t="shared" si="149"/>
        <v>YES</v>
      </c>
      <c r="J2420" t="s">
        <v>2426</v>
      </c>
      <c r="K2420">
        <v>1765949.37249</v>
      </c>
      <c r="L2420" s="1">
        <f t="shared" si="150"/>
        <v>0</v>
      </c>
      <c r="M2420" s="1">
        <f t="shared" si="151"/>
        <v>0</v>
      </c>
      <c r="N2420" s="1">
        <f t="shared" si="152"/>
        <v>0</v>
      </c>
      <c r="O2420" s="1"/>
    </row>
    <row r="2421" spans="1:15" x14ac:dyDescent="0.25">
      <c r="A2421">
        <v>4626</v>
      </c>
      <c r="B2421">
        <v>1659.8611860000001</v>
      </c>
      <c r="C2421">
        <v>0</v>
      </c>
      <c r="D2421">
        <v>5052.6185999999998</v>
      </c>
      <c r="E2421">
        <v>0</v>
      </c>
      <c r="F2421">
        <v>5344.460255</v>
      </c>
      <c r="G2421">
        <v>0</v>
      </c>
      <c r="H2421">
        <v>4626</v>
      </c>
      <c r="I2421" t="str">
        <f t="shared" si="149"/>
        <v>YES</v>
      </c>
      <c r="J2421" t="s">
        <v>2427</v>
      </c>
      <c r="K2421">
        <v>4993684.33715</v>
      </c>
      <c r="L2421" s="1">
        <f t="shared" si="150"/>
        <v>0</v>
      </c>
      <c r="M2421" s="1">
        <f t="shared" si="151"/>
        <v>0</v>
      </c>
      <c r="N2421" s="1">
        <f t="shared" si="152"/>
        <v>0</v>
      </c>
      <c r="O2421" s="1"/>
    </row>
    <row r="2422" spans="1:15" x14ac:dyDescent="0.25">
      <c r="A2422">
        <v>4629</v>
      </c>
      <c r="B2422">
        <v>667.54228030000002</v>
      </c>
      <c r="C2422">
        <v>0</v>
      </c>
      <c r="D2422">
        <v>667.54228030000002</v>
      </c>
      <c r="E2422">
        <v>0</v>
      </c>
      <c r="F2422">
        <v>1680.512757</v>
      </c>
      <c r="G2422">
        <v>0</v>
      </c>
      <c r="H2422">
        <v>4629</v>
      </c>
      <c r="I2422" t="str">
        <f t="shared" si="149"/>
        <v>YES</v>
      </c>
      <c r="J2422" t="s">
        <v>2428</v>
      </c>
      <c r="K2422">
        <v>20080904.744100001</v>
      </c>
      <c r="L2422" s="1">
        <f t="shared" si="150"/>
        <v>0</v>
      </c>
      <c r="M2422" s="1">
        <f t="shared" si="151"/>
        <v>0</v>
      </c>
      <c r="N2422" s="1">
        <f t="shared" si="152"/>
        <v>0</v>
      </c>
      <c r="O2422" s="1"/>
    </row>
    <row r="2423" spans="1:15" x14ac:dyDescent="0.25">
      <c r="A2423">
        <v>4630</v>
      </c>
      <c r="B2423">
        <v>65.899089000000004</v>
      </c>
      <c r="C2423">
        <v>0</v>
      </c>
      <c r="D2423">
        <v>608.10076040000001</v>
      </c>
      <c r="E2423">
        <v>0</v>
      </c>
      <c r="F2423">
        <v>3895.2845769999999</v>
      </c>
      <c r="G2423">
        <v>0</v>
      </c>
      <c r="H2423">
        <v>4630</v>
      </c>
      <c r="I2423" t="str">
        <f t="shared" si="149"/>
        <v>YES</v>
      </c>
      <c r="J2423" t="s">
        <v>2429</v>
      </c>
      <c r="K2423">
        <v>6181472.1971300002</v>
      </c>
      <c r="L2423" s="1">
        <f t="shared" si="150"/>
        <v>0</v>
      </c>
      <c r="M2423" s="1">
        <f t="shared" si="151"/>
        <v>0</v>
      </c>
      <c r="N2423" s="1">
        <f t="shared" si="152"/>
        <v>0</v>
      </c>
      <c r="O2423" s="1"/>
    </row>
    <row r="2424" spans="1:15" x14ac:dyDescent="0.25">
      <c r="A2424">
        <v>4631</v>
      </c>
      <c r="B2424">
        <v>881.37489100000005</v>
      </c>
      <c r="C2424">
        <v>0</v>
      </c>
      <c r="D2424">
        <v>1633.8835160000001</v>
      </c>
      <c r="E2424">
        <v>0</v>
      </c>
      <c r="F2424">
        <v>7707.4362440000004</v>
      </c>
      <c r="G2424">
        <v>0</v>
      </c>
      <c r="H2424">
        <v>4631</v>
      </c>
      <c r="I2424" t="str">
        <f t="shared" si="149"/>
        <v>YES</v>
      </c>
      <c r="J2424" t="s">
        <v>2430</v>
      </c>
      <c r="K2424">
        <v>7502855.9572799997</v>
      </c>
      <c r="L2424" s="1">
        <f t="shared" si="150"/>
        <v>0</v>
      </c>
      <c r="M2424" s="1">
        <f t="shared" si="151"/>
        <v>0</v>
      </c>
      <c r="N2424" s="1">
        <f t="shared" si="152"/>
        <v>0</v>
      </c>
      <c r="O2424" s="1"/>
    </row>
    <row r="2425" spans="1:15" x14ac:dyDescent="0.25">
      <c r="A2425">
        <v>4632</v>
      </c>
      <c r="B2425">
        <v>84.966344950000007</v>
      </c>
      <c r="C2425">
        <v>0</v>
      </c>
      <c r="D2425">
        <v>84.966344950000007</v>
      </c>
      <c r="E2425">
        <v>0</v>
      </c>
      <c r="F2425">
        <v>966.34123599999998</v>
      </c>
      <c r="G2425">
        <v>0</v>
      </c>
      <c r="H2425">
        <v>4632</v>
      </c>
      <c r="I2425" t="str">
        <f t="shared" si="149"/>
        <v>YES</v>
      </c>
      <c r="J2425" t="s">
        <v>2431</v>
      </c>
      <c r="K2425">
        <v>6127703.7968199998</v>
      </c>
      <c r="L2425" s="1">
        <f t="shared" si="150"/>
        <v>0</v>
      </c>
      <c r="M2425" s="1">
        <f t="shared" si="151"/>
        <v>0</v>
      </c>
      <c r="N2425" s="1">
        <f t="shared" si="152"/>
        <v>0</v>
      </c>
      <c r="O2425" s="1"/>
    </row>
    <row r="2426" spans="1:15" x14ac:dyDescent="0.25">
      <c r="A2426">
        <v>4633</v>
      </c>
      <c r="B2426">
        <v>131.59558609999999</v>
      </c>
      <c r="C2426">
        <v>0</v>
      </c>
      <c r="D2426">
        <v>865.03695540000001</v>
      </c>
      <c r="E2426">
        <v>0</v>
      </c>
      <c r="F2426">
        <v>2157.0179320000002</v>
      </c>
      <c r="G2426">
        <v>0</v>
      </c>
      <c r="H2426">
        <v>4633</v>
      </c>
      <c r="I2426" t="str">
        <f t="shared" si="149"/>
        <v>YES</v>
      </c>
      <c r="J2426" t="s">
        <v>2432</v>
      </c>
      <c r="K2426">
        <v>6908510.12371</v>
      </c>
      <c r="L2426" s="1">
        <f t="shared" si="150"/>
        <v>0</v>
      </c>
      <c r="M2426" s="1">
        <f t="shared" si="151"/>
        <v>0</v>
      </c>
      <c r="N2426" s="1">
        <f t="shared" si="152"/>
        <v>0</v>
      </c>
      <c r="O2426" s="1"/>
    </row>
    <row r="2427" spans="1:15" x14ac:dyDescent="0.25">
      <c r="A2427">
        <v>4636</v>
      </c>
      <c r="B2427">
        <v>966.33070350000003</v>
      </c>
      <c r="C2427">
        <v>0</v>
      </c>
      <c r="D2427">
        <v>966.33070350000003</v>
      </c>
      <c r="E2427">
        <v>0</v>
      </c>
      <c r="F2427">
        <v>1684.8115479999999</v>
      </c>
      <c r="G2427">
        <v>0</v>
      </c>
      <c r="H2427">
        <v>4636</v>
      </c>
      <c r="I2427" t="str">
        <f t="shared" si="149"/>
        <v>YES</v>
      </c>
      <c r="J2427" t="s">
        <v>2433</v>
      </c>
      <c r="K2427">
        <v>8856215.90845</v>
      </c>
      <c r="L2427" s="1">
        <f t="shared" si="150"/>
        <v>0</v>
      </c>
      <c r="M2427" s="1">
        <f t="shared" si="151"/>
        <v>0</v>
      </c>
      <c r="N2427" s="1">
        <f t="shared" si="152"/>
        <v>0</v>
      </c>
      <c r="O2427" s="1"/>
    </row>
    <row r="2428" spans="1:15" x14ac:dyDescent="0.25">
      <c r="A2428">
        <v>4637</v>
      </c>
      <c r="B2428">
        <v>462.00464010000002</v>
      </c>
      <c r="C2428">
        <v>0</v>
      </c>
      <c r="D2428">
        <v>462.00464010000002</v>
      </c>
      <c r="E2428">
        <v>0</v>
      </c>
      <c r="F2428">
        <v>1180.485484</v>
      </c>
      <c r="G2428">
        <v>0</v>
      </c>
      <c r="H2428">
        <v>4637</v>
      </c>
      <c r="I2428" t="str">
        <f t="shared" si="149"/>
        <v>YES</v>
      </c>
      <c r="J2428" t="s">
        <v>2434</v>
      </c>
      <c r="K2428">
        <v>8607349.4934599996</v>
      </c>
      <c r="L2428" s="1">
        <f t="shared" si="150"/>
        <v>0</v>
      </c>
      <c r="M2428" s="1">
        <f t="shared" si="151"/>
        <v>0</v>
      </c>
      <c r="N2428" s="1">
        <f t="shared" si="152"/>
        <v>0</v>
      </c>
      <c r="O2428" s="1"/>
    </row>
    <row r="2429" spans="1:15" x14ac:dyDescent="0.25">
      <c r="A2429">
        <v>4638</v>
      </c>
      <c r="B2429">
        <v>206.0310202</v>
      </c>
      <c r="C2429">
        <v>0</v>
      </c>
      <c r="D2429">
        <v>206.0310202</v>
      </c>
      <c r="E2429">
        <v>0</v>
      </c>
      <c r="F2429">
        <v>206.0310202</v>
      </c>
      <c r="G2429">
        <v>0</v>
      </c>
      <c r="H2429">
        <v>4638</v>
      </c>
      <c r="I2429" t="str">
        <f t="shared" si="149"/>
        <v>YES</v>
      </c>
      <c r="J2429" t="s">
        <v>2435</v>
      </c>
      <c r="K2429">
        <v>9759230.3991500009</v>
      </c>
      <c r="L2429" s="1">
        <f t="shared" si="150"/>
        <v>0</v>
      </c>
      <c r="M2429" s="1">
        <f t="shared" si="151"/>
        <v>0</v>
      </c>
      <c r="N2429" s="1">
        <f t="shared" si="152"/>
        <v>0</v>
      </c>
      <c r="O2429" s="1"/>
    </row>
    <row r="2430" spans="1:15" x14ac:dyDescent="0.25">
      <c r="A2430">
        <v>4639</v>
      </c>
      <c r="B2430">
        <v>323.8111409</v>
      </c>
      <c r="C2430">
        <v>0</v>
      </c>
      <c r="D2430">
        <v>323.8111409</v>
      </c>
      <c r="E2430">
        <v>0</v>
      </c>
      <c r="F2430">
        <v>785.81578100000002</v>
      </c>
      <c r="G2430">
        <v>0</v>
      </c>
      <c r="H2430">
        <v>4639</v>
      </c>
      <c r="I2430" t="str">
        <f t="shared" si="149"/>
        <v>YES</v>
      </c>
      <c r="J2430" t="s">
        <v>2436</v>
      </c>
      <c r="K2430">
        <v>19795841.0361</v>
      </c>
      <c r="L2430" s="1">
        <f t="shared" si="150"/>
        <v>0</v>
      </c>
      <c r="M2430" s="1">
        <f t="shared" si="151"/>
        <v>0</v>
      </c>
      <c r="N2430" s="1">
        <f t="shared" si="152"/>
        <v>0</v>
      </c>
      <c r="O2430" s="1"/>
    </row>
    <row r="2431" spans="1:15" x14ac:dyDescent="0.25">
      <c r="A2431">
        <v>4640</v>
      </c>
      <c r="B2431">
        <v>718.48084419999998</v>
      </c>
      <c r="C2431">
        <v>0</v>
      </c>
      <c r="D2431">
        <v>718.48084419999998</v>
      </c>
      <c r="E2431">
        <v>0</v>
      </c>
      <c r="F2431">
        <v>6806.334081</v>
      </c>
      <c r="G2431">
        <v>0</v>
      </c>
      <c r="H2431">
        <v>4640</v>
      </c>
      <c r="I2431" t="str">
        <f t="shared" si="149"/>
        <v>YES</v>
      </c>
      <c r="J2431" t="s">
        <v>2437</v>
      </c>
      <c r="K2431">
        <v>3414913.4834599998</v>
      </c>
      <c r="L2431" s="1">
        <f t="shared" si="150"/>
        <v>0</v>
      </c>
      <c r="M2431" s="1">
        <f t="shared" si="151"/>
        <v>0</v>
      </c>
      <c r="N2431" s="1">
        <f t="shared" si="152"/>
        <v>0</v>
      </c>
      <c r="O2431" s="1"/>
    </row>
    <row r="2432" spans="1:15" x14ac:dyDescent="0.25">
      <c r="A2432">
        <v>4641</v>
      </c>
      <c r="B2432">
        <v>547.85094049999998</v>
      </c>
      <c r="C2432">
        <v>0</v>
      </c>
      <c r="D2432">
        <v>2462.462763</v>
      </c>
      <c r="E2432">
        <v>0</v>
      </c>
      <c r="F2432">
        <v>5449.7832360000002</v>
      </c>
      <c r="G2432">
        <v>0</v>
      </c>
      <c r="H2432">
        <v>4641</v>
      </c>
      <c r="I2432" t="str">
        <f t="shared" si="149"/>
        <v>YES</v>
      </c>
      <c r="J2432" t="s">
        <v>2438</v>
      </c>
      <c r="K2432">
        <v>1428603.0242699999</v>
      </c>
      <c r="L2432" s="1">
        <f t="shared" si="150"/>
        <v>0</v>
      </c>
      <c r="M2432" s="1">
        <f t="shared" si="151"/>
        <v>0</v>
      </c>
      <c r="N2432" s="1">
        <f t="shared" si="152"/>
        <v>0</v>
      </c>
      <c r="O2432" s="1"/>
    </row>
    <row r="2433" spans="1:15" x14ac:dyDescent="0.25">
      <c r="A2433">
        <v>4642</v>
      </c>
      <c r="B2433">
        <v>410.60608530000002</v>
      </c>
      <c r="C2433">
        <v>0</v>
      </c>
      <c r="D2433">
        <v>958.4570258</v>
      </c>
      <c r="E2433">
        <v>0</v>
      </c>
      <c r="F2433">
        <v>3013.909686</v>
      </c>
      <c r="G2433">
        <v>0</v>
      </c>
      <c r="H2433">
        <v>4642</v>
      </c>
      <c r="I2433" t="str">
        <f t="shared" si="149"/>
        <v>YES</v>
      </c>
      <c r="J2433" t="s">
        <v>2439</v>
      </c>
      <c r="K2433">
        <v>5433817.6361199999</v>
      </c>
      <c r="L2433" s="1">
        <f t="shared" si="150"/>
        <v>0</v>
      </c>
      <c r="M2433" s="1">
        <f t="shared" si="151"/>
        <v>0</v>
      </c>
      <c r="N2433" s="1">
        <f t="shared" si="152"/>
        <v>0</v>
      </c>
      <c r="O2433" s="1"/>
    </row>
    <row r="2434" spans="1:15" x14ac:dyDescent="0.25">
      <c r="A2434">
        <v>4643</v>
      </c>
      <c r="B2434">
        <v>328.7913734</v>
      </c>
      <c r="C2434">
        <v>0</v>
      </c>
      <c r="D2434">
        <v>328.7913734</v>
      </c>
      <c r="E2434">
        <v>0</v>
      </c>
      <c r="F2434">
        <v>1082.9777650000001</v>
      </c>
      <c r="G2434">
        <v>0</v>
      </c>
      <c r="H2434">
        <v>4643</v>
      </c>
      <c r="I2434" t="str">
        <f t="shared" ref="I2434:I2497" si="153">IF(A2434=H2434,"YES","NO")</f>
        <v>YES</v>
      </c>
      <c r="J2434" t="s">
        <v>2440</v>
      </c>
      <c r="K2434">
        <v>3994257.0657100002</v>
      </c>
      <c r="L2434" s="1">
        <f t="shared" si="150"/>
        <v>0</v>
      </c>
      <c r="M2434" s="1">
        <f t="shared" si="151"/>
        <v>0</v>
      </c>
      <c r="N2434" s="1">
        <f t="shared" si="152"/>
        <v>0</v>
      </c>
      <c r="O2434" s="1"/>
    </row>
    <row r="2435" spans="1:15" x14ac:dyDescent="0.25">
      <c r="A2435">
        <v>4644</v>
      </c>
      <c r="B2435">
        <v>1196.1309779999999</v>
      </c>
      <c r="C2435">
        <v>0</v>
      </c>
      <c r="D2435">
        <v>1743.9819190000001</v>
      </c>
      <c r="E2435">
        <v>0</v>
      </c>
      <c r="F2435">
        <v>3600.7949440000002</v>
      </c>
      <c r="G2435">
        <v>0</v>
      </c>
      <c r="H2435">
        <v>4644</v>
      </c>
      <c r="I2435" t="str">
        <f t="shared" si="153"/>
        <v>YES</v>
      </c>
      <c r="J2435" t="s">
        <v>2441</v>
      </c>
      <c r="K2435">
        <v>4178259.6342000002</v>
      </c>
      <c r="L2435" s="1">
        <f t="shared" ref="L2435:L2498" si="154">$U$2*$K2435*C2435</f>
        <v>0</v>
      </c>
      <c r="M2435" s="1">
        <f t="shared" ref="M2435:M2498" si="155">$U$3*$K2435*E2435</f>
        <v>0</v>
      </c>
      <c r="N2435" s="1">
        <f t="shared" ref="N2435:N2498" si="156">$U$4*$K2435*G2435</f>
        <v>0</v>
      </c>
      <c r="O2435" s="1"/>
    </row>
    <row r="2436" spans="1:15" x14ac:dyDescent="0.25">
      <c r="A2436">
        <v>4645</v>
      </c>
      <c r="B2436">
        <v>420.65294799999998</v>
      </c>
      <c r="C2436">
        <v>0</v>
      </c>
      <c r="D2436">
        <v>420.65294799999998</v>
      </c>
      <c r="E2436">
        <v>0</v>
      </c>
      <c r="F2436">
        <v>1686.984733</v>
      </c>
      <c r="G2436">
        <v>0</v>
      </c>
      <c r="H2436">
        <v>4645</v>
      </c>
      <c r="I2436" t="str">
        <f t="shared" si="153"/>
        <v>YES</v>
      </c>
      <c r="J2436" t="s">
        <v>2442</v>
      </c>
      <c r="K2436">
        <v>4067674.1326000001</v>
      </c>
      <c r="L2436" s="1">
        <f t="shared" si="154"/>
        <v>0</v>
      </c>
      <c r="M2436" s="1">
        <f t="shared" si="155"/>
        <v>0</v>
      </c>
      <c r="N2436" s="1">
        <f t="shared" si="156"/>
        <v>0</v>
      </c>
      <c r="O2436" s="1"/>
    </row>
    <row r="2437" spans="1:15" x14ac:dyDescent="0.25">
      <c r="A2437">
        <v>4648</v>
      </c>
      <c r="B2437">
        <v>347.31798020000002</v>
      </c>
      <c r="C2437">
        <v>0</v>
      </c>
      <c r="D2437">
        <v>823.43945189999999</v>
      </c>
      <c r="E2437">
        <v>0</v>
      </c>
      <c r="F2437">
        <v>5876.0580520000003</v>
      </c>
      <c r="G2437">
        <v>0</v>
      </c>
      <c r="H2437">
        <v>4648</v>
      </c>
      <c r="I2437" t="str">
        <f t="shared" si="153"/>
        <v>YES</v>
      </c>
      <c r="J2437" t="s">
        <v>2443</v>
      </c>
      <c r="K2437">
        <v>7628148.9930199999</v>
      </c>
      <c r="L2437" s="1">
        <f t="shared" si="154"/>
        <v>0</v>
      </c>
      <c r="M2437" s="1">
        <f t="shared" si="155"/>
        <v>0</v>
      </c>
      <c r="N2437" s="1">
        <f t="shared" si="156"/>
        <v>0</v>
      </c>
      <c r="O2437" s="1"/>
    </row>
    <row r="2438" spans="1:15" x14ac:dyDescent="0.25">
      <c r="A2438">
        <v>4649</v>
      </c>
      <c r="B2438">
        <v>476.12147169999997</v>
      </c>
      <c r="C2438">
        <v>0</v>
      </c>
      <c r="D2438">
        <v>823.43945189999999</v>
      </c>
      <c r="E2438">
        <v>0</v>
      </c>
      <c r="F2438">
        <v>5876.0580520000003</v>
      </c>
      <c r="G2438">
        <v>0</v>
      </c>
      <c r="H2438">
        <v>4649</v>
      </c>
      <c r="I2438" t="str">
        <f t="shared" si="153"/>
        <v>YES</v>
      </c>
      <c r="J2438" t="s">
        <v>2444</v>
      </c>
      <c r="K2438">
        <v>2416933.0866999999</v>
      </c>
      <c r="L2438" s="1">
        <f t="shared" si="154"/>
        <v>0</v>
      </c>
      <c r="M2438" s="1">
        <f t="shared" si="155"/>
        <v>0</v>
      </c>
      <c r="N2438" s="1">
        <f t="shared" si="156"/>
        <v>0</v>
      </c>
      <c r="O2438" s="1"/>
    </row>
    <row r="2439" spans="1:15" x14ac:dyDescent="0.25">
      <c r="A2439">
        <v>4650</v>
      </c>
      <c r="B2439">
        <v>463.70437980000003</v>
      </c>
      <c r="C2439">
        <v>0</v>
      </c>
      <c r="D2439">
        <v>463.70437980000003</v>
      </c>
      <c r="E2439">
        <v>0</v>
      </c>
      <c r="F2439">
        <v>463.70437980000003</v>
      </c>
      <c r="G2439">
        <v>0</v>
      </c>
      <c r="H2439">
        <v>4650</v>
      </c>
      <c r="I2439" t="str">
        <f t="shared" si="153"/>
        <v>YES</v>
      </c>
      <c r="J2439" t="s">
        <v>2445</v>
      </c>
      <c r="K2439">
        <v>10951772.150900001</v>
      </c>
      <c r="L2439" s="1">
        <f t="shared" si="154"/>
        <v>0</v>
      </c>
      <c r="M2439" s="1">
        <f t="shared" si="155"/>
        <v>0</v>
      </c>
      <c r="N2439" s="1">
        <f t="shared" si="156"/>
        <v>0</v>
      </c>
      <c r="O2439" s="1"/>
    </row>
    <row r="2440" spans="1:15" x14ac:dyDescent="0.25">
      <c r="A2440">
        <v>4700</v>
      </c>
      <c r="B2440">
        <v>418.81271609999999</v>
      </c>
      <c r="C2440">
        <v>0</v>
      </c>
      <c r="D2440">
        <v>418.81271609999999</v>
      </c>
      <c r="E2440">
        <v>0</v>
      </c>
      <c r="F2440">
        <v>418.81271609999999</v>
      </c>
      <c r="G2440">
        <v>0</v>
      </c>
      <c r="H2440">
        <v>4700</v>
      </c>
      <c r="I2440" t="str">
        <f t="shared" si="153"/>
        <v>YES</v>
      </c>
      <c r="J2440" t="s">
        <v>2446</v>
      </c>
      <c r="K2440">
        <v>15121110.187899999</v>
      </c>
      <c r="L2440" s="1">
        <f t="shared" si="154"/>
        <v>0</v>
      </c>
      <c r="M2440" s="1">
        <f t="shared" si="155"/>
        <v>0</v>
      </c>
      <c r="N2440" s="1">
        <f t="shared" si="156"/>
        <v>0</v>
      </c>
      <c r="O2440" s="1"/>
    </row>
    <row r="2441" spans="1:15" x14ac:dyDescent="0.25">
      <c r="A2441">
        <v>4701</v>
      </c>
      <c r="B2441">
        <v>435.39802029999998</v>
      </c>
      <c r="C2441">
        <v>0</v>
      </c>
      <c r="D2441">
        <v>435.39802029999998</v>
      </c>
      <c r="E2441">
        <v>0</v>
      </c>
      <c r="F2441">
        <v>435.39802029999998</v>
      </c>
      <c r="G2441">
        <v>0</v>
      </c>
      <c r="H2441">
        <v>4701</v>
      </c>
      <c r="I2441" t="str">
        <f t="shared" si="153"/>
        <v>YES</v>
      </c>
      <c r="J2441" t="s">
        <v>2447</v>
      </c>
      <c r="K2441">
        <v>28850791.849199999</v>
      </c>
      <c r="L2441" s="1">
        <f t="shared" si="154"/>
        <v>0</v>
      </c>
      <c r="M2441" s="1">
        <f t="shared" si="155"/>
        <v>0</v>
      </c>
      <c r="N2441" s="1">
        <f t="shared" si="156"/>
        <v>0</v>
      </c>
      <c r="O2441" s="1"/>
    </row>
    <row r="2442" spans="1:15" x14ac:dyDescent="0.25">
      <c r="A2442">
        <v>4702</v>
      </c>
      <c r="B2442">
        <v>1985.2509660000001</v>
      </c>
      <c r="C2442">
        <v>0</v>
      </c>
      <c r="D2442">
        <v>1985.2509660000001</v>
      </c>
      <c r="E2442">
        <v>0</v>
      </c>
      <c r="F2442">
        <v>4991.3918830000002</v>
      </c>
      <c r="G2442">
        <v>0</v>
      </c>
      <c r="H2442">
        <v>4702</v>
      </c>
      <c r="I2442" t="str">
        <f t="shared" si="153"/>
        <v>YES</v>
      </c>
      <c r="J2442" t="s">
        <v>2448</v>
      </c>
      <c r="K2442">
        <v>6955517.0188100003</v>
      </c>
      <c r="L2442" s="1">
        <f t="shared" si="154"/>
        <v>0</v>
      </c>
      <c r="M2442" s="1">
        <f t="shared" si="155"/>
        <v>0</v>
      </c>
      <c r="N2442" s="1">
        <f t="shared" si="156"/>
        <v>0</v>
      </c>
      <c r="O2442" s="1"/>
    </row>
    <row r="2443" spans="1:15" x14ac:dyDescent="0.25">
      <c r="A2443">
        <v>4703</v>
      </c>
      <c r="B2443">
        <v>2882.7200549999998</v>
      </c>
      <c r="C2443">
        <v>0</v>
      </c>
      <c r="D2443">
        <v>9951.5254170000007</v>
      </c>
      <c r="E2443">
        <v>0</v>
      </c>
      <c r="F2443">
        <v>19508.120439999999</v>
      </c>
      <c r="G2443">
        <v>0</v>
      </c>
      <c r="H2443">
        <v>4703</v>
      </c>
      <c r="I2443" t="str">
        <f t="shared" si="153"/>
        <v>YES</v>
      </c>
      <c r="J2443" t="s">
        <v>2449</v>
      </c>
      <c r="K2443">
        <v>1291825.6163999999</v>
      </c>
      <c r="L2443" s="1">
        <f t="shared" si="154"/>
        <v>0</v>
      </c>
      <c r="M2443" s="1">
        <f t="shared" si="155"/>
        <v>0</v>
      </c>
      <c r="N2443" s="1">
        <f t="shared" si="156"/>
        <v>0</v>
      </c>
      <c r="O2443" s="1"/>
    </row>
    <row r="2444" spans="1:15" x14ac:dyDescent="0.25">
      <c r="A2444">
        <v>4704</v>
      </c>
      <c r="B2444">
        <v>2721.385487</v>
      </c>
      <c r="C2444">
        <v>0</v>
      </c>
      <c r="D2444">
        <v>2721.385487</v>
      </c>
      <c r="E2444">
        <v>0</v>
      </c>
      <c r="F2444">
        <v>12548.092049999999</v>
      </c>
      <c r="G2444">
        <v>0</v>
      </c>
      <c r="H2444">
        <v>4704</v>
      </c>
      <c r="I2444" t="str">
        <f t="shared" si="153"/>
        <v>YES</v>
      </c>
      <c r="J2444" t="s">
        <v>2450</v>
      </c>
      <c r="K2444">
        <v>4061880.1031900002</v>
      </c>
      <c r="L2444" s="1">
        <f t="shared" si="154"/>
        <v>0</v>
      </c>
      <c r="M2444" s="1">
        <f t="shared" si="155"/>
        <v>0</v>
      </c>
      <c r="N2444" s="1">
        <f t="shared" si="156"/>
        <v>0</v>
      </c>
      <c r="O2444" s="1"/>
    </row>
    <row r="2445" spans="1:15" x14ac:dyDescent="0.25">
      <c r="A2445">
        <v>4705</v>
      </c>
      <c r="B2445">
        <v>2882.7200549999998</v>
      </c>
      <c r="C2445">
        <v>0</v>
      </c>
      <c r="D2445">
        <v>2882.7200549999998</v>
      </c>
      <c r="E2445">
        <v>0</v>
      </c>
      <c r="F2445">
        <v>12810.05228</v>
      </c>
      <c r="G2445">
        <v>0</v>
      </c>
      <c r="H2445">
        <v>4705</v>
      </c>
      <c r="I2445" t="str">
        <f t="shared" si="153"/>
        <v>YES</v>
      </c>
      <c r="J2445" t="s">
        <v>2451</v>
      </c>
      <c r="K2445">
        <v>1431993.78149</v>
      </c>
      <c r="L2445" s="1">
        <f t="shared" si="154"/>
        <v>0</v>
      </c>
      <c r="M2445" s="1">
        <f t="shared" si="155"/>
        <v>0</v>
      </c>
      <c r="N2445" s="1">
        <f t="shared" si="156"/>
        <v>0</v>
      </c>
      <c r="O2445" s="1"/>
    </row>
    <row r="2446" spans="1:15" x14ac:dyDescent="0.25">
      <c r="A2446">
        <v>4706</v>
      </c>
      <c r="B2446">
        <v>1078.3765370000001</v>
      </c>
      <c r="C2446">
        <v>0</v>
      </c>
      <c r="D2446">
        <v>1078.3765370000001</v>
      </c>
      <c r="E2446">
        <v>0</v>
      </c>
      <c r="F2446">
        <v>3961.0965919999999</v>
      </c>
      <c r="G2446">
        <v>0</v>
      </c>
      <c r="H2446">
        <v>4706</v>
      </c>
      <c r="I2446" t="str">
        <f t="shared" si="153"/>
        <v>YES</v>
      </c>
      <c r="J2446" t="s">
        <v>2452</v>
      </c>
      <c r="K2446">
        <v>16820712.059999999</v>
      </c>
      <c r="L2446" s="1">
        <f t="shared" si="154"/>
        <v>0</v>
      </c>
      <c r="M2446" s="1">
        <f t="shared" si="155"/>
        <v>0</v>
      </c>
      <c r="N2446" s="1">
        <f t="shared" si="156"/>
        <v>0</v>
      </c>
      <c r="O2446" s="1"/>
    </row>
    <row r="2447" spans="1:15" x14ac:dyDescent="0.25">
      <c r="A2447">
        <v>4709</v>
      </c>
      <c r="B2447">
        <v>3160.5782279999999</v>
      </c>
      <c r="C2447">
        <v>0</v>
      </c>
      <c r="D2447">
        <v>9918.2452520000006</v>
      </c>
      <c r="E2447">
        <v>0</v>
      </c>
      <c r="F2447">
        <v>20209.7029</v>
      </c>
      <c r="G2447">
        <v>0</v>
      </c>
      <c r="H2447">
        <v>4709</v>
      </c>
      <c r="I2447" t="str">
        <f t="shared" si="153"/>
        <v>YES</v>
      </c>
      <c r="J2447" t="s">
        <v>2453</v>
      </c>
      <c r="K2447">
        <v>2814343.39952</v>
      </c>
      <c r="L2447" s="1">
        <f t="shared" si="154"/>
        <v>0</v>
      </c>
      <c r="M2447" s="1">
        <f t="shared" si="155"/>
        <v>0</v>
      </c>
      <c r="N2447" s="1">
        <f t="shared" si="156"/>
        <v>0</v>
      </c>
      <c r="O2447" s="1"/>
    </row>
    <row r="2448" spans="1:15" x14ac:dyDescent="0.25">
      <c r="A2448">
        <v>4710</v>
      </c>
      <c r="B2448">
        <v>6399.3832549999997</v>
      </c>
      <c r="C2448">
        <v>0</v>
      </c>
      <c r="D2448">
        <v>10478.552100000001</v>
      </c>
      <c r="E2448">
        <v>0</v>
      </c>
      <c r="F2448">
        <v>24559.946540000001</v>
      </c>
      <c r="G2448">
        <v>0</v>
      </c>
      <c r="H2448">
        <v>4710</v>
      </c>
      <c r="I2448" t="str">
        <f t="shared" si="153"/>
        <v>YES</v>
      </c>
      <c r="J2448" t="s">
        <v>2454</v>
      </c>
      <c r="K2448">
        <v>1389843.43835</v>
      </c>
      <c r="L2448" s="1">
        <f t="shared" si="154"/>
        <v>0</v>
      </c>
      <c r="M2448" s="1">
        <f t="shared" si="155"/>
        <v>0</v>
      </c>
      <c r="N2448" s="1">
        <f t="shared" si="156"/>
        <v>0</v>
      </c>
      <c r="O2448" s="1"/>
    </row>
    <row r="2449" spans="1:15" x14ac:dyDescent="0.25">
      <c r="A2449">
        <v>4711</v>
      </c>
      <c r="B2449">
        <v>3238.8050269999999</v>
      </c>
      <c r="C2449">
        <v>0</v>
      </c>
      <c r="D2449">
        <v>6707.6533460000001</v>
      </c>
      <c r="E2449">
        <v>0</v>
      </c>
      <c r="F2449">
        <v>14096.593409999999</v>
      </c>
      <c r="G2449">
        <v>0</v>
      </c>
      <c r="H2449">
        <v>4711</v>
      </c>
      <c r="I2449" t="str">
        <f t="shared" si="153"/>
        <v>YES</v>
      </c>
      <c r="J2449" t="s">
        <v>2455</v>
      </c>
      <c r="K2449">
        <v>2024811.2856000001</v>
      </c>
      <c r="L2449" s="1">
        <f t="shared" si="154"/>
        <v>0</v>
      </c>
      <c r="M2449" s="1">
        <f t="shared" si="155"/>
        <v>0</v>
      </c>
      <c r="N2449" s="1">
        <f t="shared" si="156"/>
        <v>0</v>
      </c>
      <c r="O2449" s="1"/>
    </row>
    <row r="2450" spans="1:15" x14ac:dyDescent="0.25">
      <c r="A2450">
        <v>4712</v>
      </c>
      <c r="B2450">
        <v>2053.4120269999999</v>
      </c>
      <c r="C2450">
        <v>0</v>
      </c>
      <c r="D2450">
        <v>7819.8302130000002</v>
      </c>
      <c r="E2450">
        <v>0</v>
      </c>
      <c r="F2450">
        <v>14267.55293</v>
      </c>
      <c r="G2450">
        <v>0</v>
      </c>
      <c r="H2450">
        <v>4712</v>
      </c>
      <c r="I2450" t="str">
        <f t="shared" si="153"/>
        <v>YES</v>
      </c>
      <c r="J2450" t="s">
        <v>2456</v>
      </c>
      <c r="K2450">
        <v>2988967.7148899999</v>
      </c>
      <c r="L2450" s="1">
        <f t="shared" si="154"/>
        <v>0</v>
      </c>
      <c r="M2450" s="1">
        <f t="shared" si="155"/>
        <v>0</v>
      </c>
      <c r="N2450" s="1">
        <f t="shared" si="156"/>
        <v>0</v>
      </c>
      <c r="O2450" s="1"/>
    </row>
    <row r="2451" spans="1:15" x14ac:dyDescent="0.25">
      <c r="A2451">
        <v>4713</v>
      </c>
      <c r="B2451">
        <v>308.27009070000003</v>
      </c>
      <c r="C2451">
        <v>0</v>
      </c>
      <c r="D2451">
        <v>3718.0168250000002</v>
      </c>
      <c r="E2451">
        <v>0</v>
      </c>
      <c r="F2451">
        <v>7819.8302130000002</v>
      </c>
      <c r="G2451">
        <v>0</v>
      </c>
      <c r="H2451">
        <v>4713</v>
      </c>
      <c r="I2451" t="str">
        <f t="shared" si="153"/>
        <v>YES</v>
      </c>
      <c r="J2451" t="s">
        <v>2457</v>
      </c>
      <c r="K2451">
        <v>3314838.3092999998</v>
      </c>
      <c r="L2451" s="1">
        <f t="shared" si="154"/>
        <v>0</v>
      </c>
      <c r="M2451" s="1">
        <f t="shared" si="155"/>
        <v>0</v>
      </c>
      <c r="N2451" s="1">
        <f t="shared" si="156"/>
        <v>0</v>
      </c>
      <c r="O2451" s="1"/>
    </row>
    <row r="2452" spans="1:15" x14ac:dyDescent="0.25">
      <c r="A2452">
        <v>4714</v>
      </c>
      <c r="B2452">
        <v>1112.1768669999999</v>
      </c>
      <c r="C2452">
        <v>0</v>
      </c>
      <c r="D2452">
        <v>10480.516540000001</v>
      </c>
      <c r="E2452">
        <v>0</v>
      </c>
      <c r="F2452">
        <v>14170.33806</v>
      </c>
      <c r="G2452">
        <v>0</v>
      </c>
      <c r="H2452">
        <v>4714</v>
      </c>
      <c r="I2452" t="str">
        <f t="shared" si="153"/>
        <v>YES</v>
      </c>
      <c r="J2452" t="s">
        <v>2458</v>
      </c>
      <c r="K2452">
        <v>1171711.69374</v>
      </c>
      <c r="L2452" s="1">
        <f t="shared" si="154"/>
        <v>0</v>
      </c>
      <c r="M2452" s="1">
        <f t="shared" si="155"/>
        <v>0</v>
      </c>
      <c r="N2452" s="1">
        <f t="shared" si="156"/>
        <v>0</v>
      </c>
      <c r="O2452" s="1"/>
    </row>
    <row r="2453" spans="1:15" x14ac:dyDescent="0.25">
      <c r="A2453">
        <v>4715</v>
      </c>
      <c r="B2453">
        <v>1112.1768669999999</v>
      </c>
      <c r="C2453">
        <v>0</v>
      </c>
      <c r="D2453">
        <v>10957.781709999999</v>
      </c>
      <c r="E2453">
        <v>0</v>
      </c>
      <c r="F2453">
        <v>14267.55293</v>
      </c>
      <c r="G2453">
        <v>0</v>
      </c>
      <c r="H2453">
        <v>4715</v>
      </c>
      <c r="I2453" t="str">
        <f t="shared" si="153"/>
        <v>YES</v>
      </c>
      <c r="J2453" t="s">
        <v>2459</v>
      </c>
      <c r="K2453">
        <v>1421418.07378</v>
      </c>
      <c r="L2453" s="1">
        <f t="shared" si="154"/>
        <v>0</v>
      </c>
      <c r="M2453" s="1">
        <f t="shared" si="155"/>
        <v>0</v>
      </c>
      <c r="N2453" s="1">
        <f t="shared" si="156"/>
        <v>0</v>
      </c>
      <c r="O2453" s="1"/>
    </row>
    <row r="2454" spans="1:15" x14ac:dyDescent="0.25">
      <c r="A2454">
        <v>4716</v>
      </c>
      <c r="B2454">
        <v>170.95952610000001</v>
      </c>
      <c r="C2454">
        <v>0</v>
      </c>
      <c r="D2454">
        <v>400.2100964</v>
      </c>
      <c r="E2454">
        <v>0</v>
      </c>
      <c r="F2454">
        <v>1304.6581020000001</v>
      </c>
      <c r="G2454">
        <v>0</v>
      </c>
      <c r="H2454">
        <v>4716</v>
      </c>
      <c r="I2454" t="str">
        <f t="shared" si="153"/>
        <v>YES</v>
      </c>
      <c r="J2454" t="s">
        <v>2460</v>
      </c>
      <c r="K2454">
        <v>7561423.2416099999</v>
      </c>
      <c r="L2454" s="1">
        <f t="shared" si="154"/>
        <v>0</v>
      </c>
      <c r="M2454" s="1">
        <f t="shared" si="155"/>
        <v>0</v>
      </c>
      <c r="N2454" s="1">
        <f t="shared" si="156"/>
        <v>0</v>
      </c>
      <c r="O2454" s="1"/>
    </row>
    <row r="2455" spans="1:15" x14ac:dyDescent="0.25">
      <c r="A2455">
        <v>4719</v>
      </c>
      <c r="B2455">
        <v>436.96732659999998</v>
      </c>
      <c r="C2455">
        <v>0</v>
      </c>
      <c r="D2455">
        <v>436.96732659999998</v>
      </c>
      <c r="E2455">
        <v>0</v>
      </c>
      <c r="F2455">
        <v>436.96732659999998</v>
      </c>
      <c r="G2455">
        <v>0</v>
      </c>
      <c r="H2455">
        <v>4719</v>
      </c>
      <c r="I2455" t="str">
        <f t="shared" si="153"/>
        <v>YES</v>
      </c>
      <c r="J2455" t="s">
        <v>2461</v>
      </c>
      <c r="K2455">
        <v>25871960.988699999</v>
      </c>
      <c r="L2455" s="1">
        <f t="shared" si="154"/>
        <v>0</v>
      </c>
      <c r="M2455" s="1">
        <f t="shared" si="155"/>
        <v>0</v>
      </c>
      <c r="N2455" s="1">
        <f t="shared" si="156"/>
        <v>0</v>
      </c>
      <c r="O2455" s="1"/>
    </row>
    <row r="2456" spans="1:15" x14ac:dyDescent="0.25">
      <c r="A2456">
        <v>4720</v>
      </c>
      <c r="B2456">
        <v>356.9263838</v>
      </c>
      <c r="C2456">
        <v>0</v>
      </c>
      <c r="D2456">
        <v>356.9263838</v>
      </c>
      <c r="E2456">
        <v>0</v>
      </c>
      <c r="F2456">
        <v>730.49679349999997</v>
      </c>
      <c r="G2456">
        <v>0</v>
      </c>
      <c r="H2456">
        <v>4720</v>
      </c>
      <c r="I2456" t="str">
        <f t="shared" si="153"/>
        <v>YES</v>
      </c>
      <c r="J2456" t="s">
        <v>2462</v>
      </c>
      <c r="K2456">
        <v>7517601.9345000004</v>
      </c>
      <c r="L2456" s="1">
        <f t="shared" si="154"/>
        <v>0</v>
      </c>
      <c r="M2456" s="1">
        <f t="shared" si="155"/>
        <v>0</v>
      </c>
      <c r="N2456" s="1">
        <f t="shared" si="156"/>
        <v>0</v>
      </c>
      <c r="O2456" s="1"/>
    </row>
    <row r="2457" spans="1:15" x14ac:dyDescent="0.25">
      <c r="A2457">
        <v>4721</v>
      </c>
      <c r="B2457">
        <v>258.52950850000002</v>
      </c>
      <c r="C2457">
        <v>0</v>
      </c>
      <c r="D2457">
        <v>258.52950850000002</v>
      </c>
      <c r="E2457">
        <v>0</v>
      </c>
      <c r="F2457">
        <v>258.52950850000002</v>
      </c>
      <c r="G2457">
        <v>0</v>
      </c>
      <c r="H2457">
        <v>4721</v>
      </c>
      <c r="I2457" t="str">
        <f t="shared" si="153"/>
        <v>YES</v>
      </c>
      <c r="J2457" t="s">
        <v>2463</v>
      </c>
      <c r="K2457">
        <v>18119058.7524</v>
      </c>
      <c r="L2457" s="1">
        <f t="shared" si="154"/>
        <v>0</v>
      </c>
      <c r="M2457" s="1">
        <f t="shared" si="155"/>
        <v>0</v>
      </c>
      <c r="N2457" s="1">
        <f t="shared" si="156"/>
        <v>0</v>
      </c>
      <c r="O2457" s="1"/>
    </row>
    <row r="2458" spans="1:15" x14ac:dyDescent="0.25">
      <c r="A2458">
        <v>4722</v>
      </c>
      <c r="B2458">
        <v>373.57040970000003</v>
      </c>
      <c r="C2458">
        <v>0</v>
      </c>
      <c r="D2458">
        <v>373.57040970000003</v>
      </c>
      <c r="E2458">
        <v>0</v>
      </c>
      <c r="F2458">
        <v>730.49679349999997</v>
      </c>
      <c r="G2458">
        <v>0</v>
      </c>
      <c r="H2458">
        <v>4722</v>
      </c>
      <c r="I2458" t="str">
        <f t="shared" si="153"/>
        <v>YES</v>
      </c>
      <c r="J2458" t="s">
        <v>2464</v>
      </c>
      <c r="K2458">
        <v>10545824.420399999</v>
      </c>
      <c r="L2458" s="1">
        <f t="shared" si="154"/>
        <v>0</v>
      </c>
      <c r="M2458" s="1">
        <f t="shared" si="155"/>
        <v>0</v>
      </c>
      <c r="N2458" s="1">
        <f t="shared" si="156"/>
        <v>0</v>
      </c>
      <c r="O2458" s="1"/>
    </row>
    <row r="2459" spans="1:15" x14ac:dyDescent="0.25">
      <c r="A2459">
        <v>4723</v>
      </c>
      <c r="B2459">
        <v>929.86053979999997</v>
      </c>
      <c r="C2459">
        <v>0</v>
      </c>
      <c r="D2459">
        <v>929.86053979999997</v>
      </c>
      <c r="E2459">
        <v>0</v>
      </c>
      <c r="F2459">
        <v>956.7023762</v>
      </c>
      <c r="G2459">
        <v>0</v>
      </c>
      <c r="H2459">
        <v>4723</v>
      </c>
      <c r="I2459" t="str">
        <f t="shared" si="153"/>
        <v>YES</v>
      </c>
      <c r="J2459" t="s">
        <v>2465</v>
      </c>
      <c r="K2459">
        <v>19231159.822299998</v>
      </c>
      <c r="L2459" s="1">
        <f t="shared" si="154"/>
        <v>0</v>
      </c>
      <c r="M2459" s="1">
        <f t="shared" si="155"/>
        <v>0</v>
      </c>
      <c r="N2459" s="1">
        <f t="shared" si="156"/>
        <v>0</v>
      </c>
      <c r="O2459" s="1"/>
    </row>
    <row r="2460" spans="1:15" x14ac:dyDescent="0.25">
      <c r="A2460">
        <v>4900</v>
      </c>
      <c r="B2460">
        <v>7998.0720659999997</v>
      </c>
      <c r="C2460">
        <v>0</v>
      </c>
      <c r="D2460">
        <v>23186.751240000001</v>
      </c>
      <c r="E2460">
        <v>0</v>
      </c>
      <c r="F2460">
        <v>41145.447189999999</v>
      </c>
      <c r="G2460">
        <v>0</v>
      </c>
      <c r="H2460">
        <v>4900</v>
      </c>
      <c r="I2460" t="str">
        <f t="shared" si="153"/>
        <v>YES</v>
      </c>
      <c r="J2460" t="s">
        <v>2466</v>
      </c>
      <c r="K2460">
        <v>771390.44387900003</v>
      </c>
      <c r="L2460" s="1">
        <f t="shared" si="154"/>
        <v>0</v>
      </c>
      <c r="M2460" s="1">
        <f t="shared" si="155"/>
        <v>0</v>
      </c>
      <c r="N2460" s="1">
        <f t="shared" si="156"/>
        <v>0</v>
      </c>
      <c r="O2460" s="1"/>
    </row>
    <row r="2461" spans="1:15" x14ac:dyDescent="0.25">
      <c r="A2461">
        <v>4901</v>
      </c>
      <c r="B2461">
        <v>1002.969141</v>
      </c>
      <c r="C2461">
        <v>0</v>
      </c>
      <c r="D2461">
        <v>10605.61347</v>
      </c>
      <c r="E2461">
        <v>0</v>
      </c>
      <c r="F2461">
        <v>31733.490969999999</v>
      </c>
      <c r="G2461">
        <v>0</v>
      </c>
      <c r="H2461">
        <v>4901</v>
      </c>
      <c r="I2461" t="str">
        <f t="shared" si="153"/>
        <v>YES</v>
      </c>
      <c r="J2461" t="s">
        <v>2467</v>
      </c>
      <c r="K2461">
        <v>1106916.0478099999</v>
      </c>
      <c r="L2461" s="1">
        <f t="shared" si="154"/>
        <v>0</v>
      </c>
      <c r="M2461" s="1">
        <f t="shared" si="155"/>
        <v>0</v>
      </c>
      <c r="N2461" s="1">
        <f t="shared" si="156"/>
        <v>0</v>
      </c>
      <c r="O2461" s="1"/>
    </row>
    <row r="2462" spans="1:15" x14ac:dyDescent="0.25">
      <c r="A2462">
        <v>4902</v>
      </c>
      <c r="B2462">
        <v>927.01237119999996</v>
      </c>
      <c r="C2462">
        <v>0</v>
      </c>
      <c r="D2462">
        <v>13543.63342</v>
      </c>
      <c r="E2462">
        <v>0</v>
      </c>
      <c r="F2462">
        <v>66872.824850000005</v>
      </c>
      <c r="G2462">
        <v>0</v>
      </c>
      <c r="H2462">
        <v>4902</v>
      </c>
      <c r="I2462" t="str">
        <f t="shared" si="153"/>
        <v>YES</v>
      </c>
      <c r="J2462" t="s">
        <v>2468</v>
      </c>
      <c r="K2462">
        <v>1126215.65836</v>
      </c>
      <c r="L2462" s="1">
        <f t="shared" si="154"/>
        <v>0</v>
      </c>
      <c r="M2462" s="1">
        <f t="shared" si="155"/>
        <v>0</v>
      </c>
      <c r="N2462" s="1">
        <f t="shared" si="156"/>
        <v>0</v>
      </c>
      <c r="O2462" s="1"/>
    </row>
    <row r="2463" spans="1:15" x14ac:dyDescent="0.25">
      <c r="A2463">
        <v>4903</v>
      </c>
      <c r="B2463">
        <v>9624.4028049999997</v>
      </c>
      <c r="C2463">
        <v>0</v>
      </c>
      <c r="D2463">
        <v>34126.543100000003</v>
      </c>
      <c r="E2463">
        <v>0</v>
      </c>
      <c r="F2463">
        <v>84044.407089999993</v>
      </c>
      <c r="G2463">
        <v>0</v>
      </c>
      <c r="H2463">
        <v>4903</v>
      </c>
      <c r="I2463" t="str">
        <f t="shared" si="153"/>
        <v>YES</v>
      </c>
      <c r="J2463" t="s">
        <v>2469</v>
      </c>
      <c r="K2463">
        <v>906884.39265000005</v>
      </c>
      <c r="L2463" s="1">
        <f t="shared" si="154"/>
        <v>0</v>
      </c>
      <c r="M2463" s="1">
        <f t="shared" si="155"/>
        <v>0</v>
      </c>
      <c r="N2463" s="1">
        <f t="shared" si="156"/>
        <v>0</v>
      </c>
      <c r="O2463" s="1"/>
    </row>
    <row r="2464" spans="1:15" x14ac:dyDescent="0.25">
      <c r="A2464">
        <v>4904</v>
      </c>
      <c r="B2464">
        <v>2744.7883980000001</v>
      </c>
      <c r="C2464">
        <v>0</v>
      </c>
      <c r="D2464">
        <v>31156.641640000002</v>
      </c>
      <c r="E2464">
        <v>0</v>
      </c>
      <c r="F2464">
        <v>57368.761449999998</v>
      </c>
      <c r="G2464">
        <v>0</v>
      </c>
      <c r="H2464">
        <v>4904</v>
      </c>
      <c r="I2464" t="str">
        <f t="shared" si="153"/>
        <v>YES</v>
      </c>
      <c r="J2464" t="s">
        <v>2470</v>
      </c>
      <c r="K2464">
        <v>894935.44019300002</v>
      </c>
      <c r="L2464" s="1">
        <f t="shared" si="154"/>
        <v>0</v>
      </c>
      <c r="M2464" s="1">
        <f t="shared" si="155"/>
        <v>0</v>
      </c>
      <c r="N2464" s="1">
        <f t="shared" si="156"/>
        <v>0</v>
      </c>
      <c r="O2464" s="1"/>
    </row>
    <row r="2465" spans="1:15" x14ac:dyDescent="0.25">
      <c r="A2465">
        <v>4905</v>
      </c>
      <c r="B2465">
        <v>1244.2457300000001</v>
      </c>
      <c r="C2465">
        <v>0</v>
      </c>
      <c r="D2465">
        <v>33684.837019999999</v>
      </c>
      <c r="E2465">
        <v>0</v>
      </c>
      <c r="F2465">
        <v>95978.190419999999</v>
      </c>
      <c r="G2465">
        <v>0</v>
      </c>
      <c r="H2465">
        <v>4905</v>
      </c>
      <c r="I2465" t="str">
        <f t="shared" si="153"/>
        <v>YES</v>
      </c>
      <c r="J2465" t="s">
        <v>2471</v>
      </c>
      <c r="K2465">
        <v>986169.13837199996</v>
      </c>
      <c r="L2465" s="1">
        <f t="shared" si="154"/>
        <v>0</v>
      </c>
      <c r="M2465" s="1">
        <f t="shared" si="155"/>
        <v>0</v>
      </c>
      <c r="N2465" s="1">
        <f t="shared" si="156"/>
        <v>0</v>
      </c>
      <c r="O2465" s="1"/>
    </row>
    <row r="2466" spans="1:15" x14ac:dyDescent="0.25">
      <c r="A2466">
        <v>4906</v>
      </c>
      <c r="B2466">
        <v>5369.4526329999999</v>
      </c>
      <c r="C2466">
        <v>0</v>
      </c>
      <c r="D2466">
        <v>28334.315600000002</v>
      </c>
      <c r="E2466">
        <v>0</v>
      </c>
      <c r="F2466">
        <v>76329.158899999995</v>
      </c>
      <c r="G2466">
        <v>0</v>
      </c>
      <c r="H2466">
        <v>4906</v>
      </c>
      <c r="I2466" t="str">
        <f t="shared" si="153"/>
        <v>YES</v>
      </c>
      <c r="J2466" t="s">
        <v>2472</v>
      </c>
      <c r="K2466">
        <v>782260.50812599994</v>
      </c>
      <c r="L2466" s="1">
        <f t="shared" si="154"/>
        <v>0</v>
      </c>
      <c r="M2466" s="1">
        <f t="shared" si="155"/>
        <v>0</v>
      </c>
      <c r="N2466" s="1">
        <f t="shared" si="156"/>
        <v>0</v>
      </c>
      <c r="O2466" s="1"/>
    </row>
    <row r="2467" spans="1:15" x14ac:dyDescent="0.25">
      <c r="A2467">
        <v>4907</v>
      </c>
      <c r="B2467">
        <v>120.9623172</v>
      </c>
      <c r="C2467">
        <v>0</v>
      </c>
      <c r="D2467">
        <v>120.9623172</v>
      </c>
      <c r="E2467">
        <v>0</v>
      </c>
      <c r="F2467">
        <v>120.9623172</v>
      </c>
      <c r="G2467">
        <v>0</v>
      </c>
      <c r="H2467">
        <v>4907</v>
      </c>
      <c r="I2467" t="str">
        <f t="shared" si="153"/>
        <v>YES</v>
      </c>
      <c r="J2467" t="s">
        <v>2473</v>
      </c>
      <c r="K2467">
        <v>8066664.7851600004</v>
      </c>
      <c r="L2467" s="1">
        <f t="shared" si="154"/>
        <v>0</v>
      </c>
      <c r="M2467" s="1">
        <f t="shared" si="155"/>
        <v>0</v>
      </c>
      <c r="N2467" s="1">
        <f t="shared" si="156"/>
        <v>0</v>
      </c>
      <c r="O2467" s="1"/>
    </row>
    <row r="2468" spans="1:15" x14ac:dyDescent="0.25">
      <c r="A2468">
        <v>4909</v>
      </c>
      <c r="B2468">
        <v>685.90646200000003</v>
      </c>
      <c r="C2468">
        <v>0</v>
      </c>
      <c r="D2468">
        <v>685.90646200000003</v>
      </c>
      <c r="E2468">
        <v>0</v>
      </c>
      <c r="F2468">
        <v>907.94019019999996</v>
      </c>
      <c r="G2468">
        <v>0</v>
      </c>
      <c r="H2468">
        <v>4909</v>
      </c>
      <c r="I2468" t="str">
        <f t="shared" si="153"/>
        <v>YES</v>
      </c>
      <c r="J2468" t="s">
        <v>2474</v>
      </c>
      <c r="K2468">
        <v>19756963.1785</v>
      </c>
      <c r="L2468" s="1">
        <f t="shared" si="154"/>
        <v>0</v>
      </c>
      <c r="M2468" s="1">
        <f t="shared" si="155"/>
        <v>0</v>
      </c>
      <c r="N2468" s="1">
        <f t="shared" si="156"/>
        <v>0</v>
      </c>
      <c r="O2468" s="1"/>
    </row>
    <row r="2469" spans="1:15" x14ac:dyDescent="0.25">
      <c r="A2469">
        <v>4910</v>
      </c>
      <c r="B2469">
        <v>580.8852809</v>
      </c>
      <c r="C2469">
        <v>0</v>
      </c>
      <c r="D2469">
        <v>1184.6850019999999</v>
      </c>
      <c r="E2469">
        <v>0</v>
      </c>
      <c r="F2469">
        <v>17574.85929</v>
      </c>
      <c r="G2469">
        <v>0</v>
      </c>
      <c r="H2469">
        <v>4910</v>
      </c>
      <c r="I2469" t="str">
        <f t="shared" si="153"/>
        <v>YES</v>
      </c>
      <c r="J2469" t="s">
        <v>2475</v>
      </c>
      <c r="K2469">
        <v>2972179.17398</v>
      </c>
      <c r="L2469" s="1">
        <f t="shared" si="154"/>
        <v>0</v>
      </c>
      <c r="M2469" s="1">
        <f t="shared" si="155"/>
        <v>0</v>
      </c>
      <c r="N2469" s="1">
        <f t="shared" si="156"/>
        <v>0</v>
      </c>
      <c r="O2469" s="1"/>
    </row>
    <row r="2470" spans="1:15" x14ac:dyDescent="0.25">
      <c r="A2470">
        <v>4911</v>
      </c>
      <c r="B2470">
        <v>672.69970929999999</v>
      </c>
      <c r="C2470">
        <v>0</v>
      </c>
      <c r="D2470">
        <v>672.69970929999999</v>
      </c>
      <c r="E2470">
        <v>0</v>
      </c>
      <c r="F2470">
        <v>672.69970929999999</v>
      </c>
      <c r="G2470">
        <v>0</v>
      </c>
      <c r="H2470">
        <v>4911</v>
      </c>
      <c r="I2470" t="str">
        <f t="shared" si="153"/>
        <v>YES</v>
      </c>
      <c r="J2470" t="s">
        <v>2476</v>
      </c>
      <c r="K2470">
        <v>12797303.561100001</v>
      </c>
      <c r="L2470" s="1">
        <f t="shared" si="154"/>
        <v>0</v>
      </c>
      <c r="M2470" s="1">
        <f t="shared" si="155"/>
        <v>0</v>
      </c>
      <c r="N2470" s="1">
        <f t="shared" si="156"/>
        <v>0</v>
      </c>
      <c r="O2470" s="1"/>
    </row>
    <row r="2471" spans="1:15" x14ac:dyDescent="0.25">
      <c r="A2471">
        <v>4912</v>
      </c>
      <c r="B2471">
        <v>161.32910910000001</v>
      </c>
      <c r="C2471">
        <v>0</v>
      </c>
      <c r="D2471">
        <v>894.51032520000001</v>
      </c>
      <c r="E2471">
        <v>0</v>
      </c>
      <c r="F2471">
        <v>1184.6850019999999</v>
      </c>
      <c r="G2471">
        <v>0</v>
      </c>
      <c r="H2471">
        <v>4912</v>
      </c>
      <c r="I2471" t="str">
        <f t="shared" si="153"/>
        <v>YES</v>
      </c>
      <c r="J2471" t="s">
        <v>2477</v>
      </c>
      <c r="K2471">
        <v>1750028.7517500001</v>
      </c>
      <c r="L2471" s="1">
        <f t="shared" si="154"/>
        <v>0</v>
      </c>
      <c r="M2471" s="1">
        <f t="shared" si="155"/>
        <v>0</v>
      </c>
      <c r="N2471" s="1">
        <f t="shared" si="156"/>
        <v>0</v>
      </c>
      <c r="O2471" s="1"/>
    </row>
    <row r="2472" spans="1:15" x14ac:dyDescent="0.25">
      <c r="A2472">
        <v>4913</v>
      </c>
      <c r="B2472">
        <v>205.2920364</v>
      </c>
      <c r="C2472">
        <v>0</v>
      </c>
      <c r="D2472">
        <v>205.2920364</v>
      </c>
      <c r="E2472">
        <v>0</v>
      </c>
      <c r="F2472">
        <v>357.5879716</v>
      </c>
      <c r="G2472">
        <v>0</v>
      </c>
      <c r="H2472">
        <v>4913</v>
      </c>
      <c r="I2472" t="str">
        <f t="shared" si="153"/>
        <v>YES</v>
      </c>
      <c r="J2472" t="s">
        <v>2478</v>
      </c>
      <c r="K2472">
        <v>11890822.7809</v>
      </c>
      <c r="L2472" s="1">
        <f t="shared" si="154"/>
        <v>0</v>
      </c>
      <c r="M2472" s="1">
        <f t="shared" si="155"/>
        <v>0</v>
      </c>
      <c r="N2472" s="1">
        <f t="shared" si="156"/>
        <v>0</v>
      </c>
      <c r="O2472" s="1"/>
    </row>
    <row r="2473" spans="1:15" x14ac:dyDescent="0.25">
      <c r="A2473">
        <v>4914</v>
      </c>
      <c r="B2473">
        <v>444.16721239999998</v>
      </c>
      <c r="C2473">
        <v>0</v>
      </c>
      <c r="D2473">
        <v>4874.715827</v>
      </c>
      <c r="E2473">
        <v>0</v>
      </c>
      <c r="F2473">
        <v>25780.798999999999</v>
      </c>
      <c r="G2473">
        <v>0</v>
      </c>
      <c r="H2473">
        <v>4914</v>
      </c>
      <c r="I2473" t="str">
        <f t="shared" si="153"/>
        <v>YES</v>
      </c>
      <c r="J2473" t="s">
        <v>2479</v>
      </c>
      <c r="K2473">
        <v>1094409.04427</v>
      </c>
      <c r="L2473" s="1">
        <f t="shared" si="154"/>
        <v>0</v>
      </c>
      <c r="M2473" s="1">
        <f t="shared" si="155"/>
        <v>0</v>
      </c>
      <c r="N2473" s="1">
        <f t="shared" si="156"/>
        <v>0</v>
      </c>
      <c r="O2473" s="1"/>
    </row>
    <row r="2474" spans="1:15" x14ac:dyDescent="0.25">
      <c r="A2474">
        <v>4915</v>
      </c>
      <c r="B2474">
        <v>453.74495810000002</v>
      </c>
      <c r="C2474">
        <v>0</v>
      </c>
      <c r="D2474">
        <v>10755.458790000001</v>
      </c>
      <c r="E2474">
        <v>0</v>
      </c>
      <c r="F2474">
        <v>30952.842219999999</v>
      </c>
      <c r="G2474">
        <v>0</v>
      </c>
      <c r="H2474">
        <v>4915</v>
      </c>
      <c r="I2474" t="str">
        <f t="shared" si="153"/>
        <v>YES</v>
      </c>
      <c r="J2474" t="s">
        <v>2480</v>
      </c>
      <c r="K2474">
        <v>1340729.49013</v>
      </c>
      <c r="L2474" s="1">
        <f t="shared" si="154"/>
        <v>0</v>
      </c>
      <c r="M2474" s="1">
        <f t="shared" si="155"/>
        <v>0</v>
      </c>
      <c r="N2474" s="1">
        <f t="shared" si="156"/>
        <v>0</v>
      </c>
      <c r="O2474" s="1"/>
    </row>
    <row r="2475" spans="1:15" x14ac:dyDescent="0.25">
      <c r="A2475">
        <v>4916</v>
      </c>
      <c r="B2475">
        <v>743.91963499999997</v>
      </c>
      <c r="C2475">
        <v>0</v>
      </c>
      <c r="D2475">
        <v>25593.815739999998</v>
      </c>
      <c r="E2475">
        <v>0</v>
      </c>
      <c r="F2475">
        <v>42455.347170000001</v>
      </c>
      <c r="G2475">
        <v>0</v>
      </c>
      <c r="H2475">
        <v>4916</v>
      </c>
      <c r="I2475" t="str">
        <f t="shared" si="153"/>
        <v>YES</v>
      </c>
      <c r="J2475" t="s">
        <v>2481</v>
      </c>
      <c r="K2475">
        <v>693946.89340900001</v>
      </c>
      <c r="L2475" s="1">
        <f t="shared" si="154"/>
        <v>0</v>
      </c>
      <c r="M2475" s="1">
        <f t="shared" si="155"/>
        <v>0</v>
      </c>
      <c r="N2475" s="1">
        <f t="shared" si="156"/>
        <v>0</v>
      </c>
      <c r="O2475" s="1"/>
    </row>
    <row r="2476" spans="1:15" x14ac:dyDescent="0.25">
      <c r="A2476">
        <v>4917</v>
      </c>
      <c r="B2476">
        <v>546.18502469999999</v>
      </c>
      <c r="C2476">
        <v>0</v>
      </c>
      <c r="D2476">
        <v>654.58082009999998</v>
      </c>
      <c r="E2476">
        <v>0</v>
      </c>
      <c r="F2476">
        <v>1246.20452</v>
      </c>
      <c r="G2476">
        <v>0</v>
      </c>
      <c r="H2476">
        <v>4917</v>
      </c>
      <c r="I2476" t="str">
        <f t="shared" si="153"/>
        <v>YES</v>
      </c>
      <c r="J2476" t="s">
        <v>2482</v>
      </c>
      <c r="K2476">
        <v>3334335.8810000001</v>
      </c>
      <c r="L2476" s="1">
        <f t="shared" si="154"/>
        <v>0</v>
      </c>
      <c r="M2476" s="1">
        <f t="shared" si="155"/>
        <v>0</v>
      </c>
      <c r="N2476" s="1">
        <f t="shared" si="156"/>
        <v>0</v>
      </c>
      <c r="O2476" s="1"/>
    </row>
    <row r="2477" spans="1:15" x14ac:dyDescent="0.25">
      <c r="A2477">
        <v>4918</v>
      </c>
      <c r="B2477">
        <v>1130.3455530000001</v>
      </c>
      <c r="C2477">
        <v>0</v>
      </c>
      <c r="D2477">
        <v>16250.939850000001</v>
      </c>
      <c r="E2477">
        <v>0</v>
      </c>
      <c r="F2477">
        <v>33227.090400000001</v>
      </c>
      <c r="G2477">
        <v>0</v>
      </c>
      <c r="H2477">
        <v>4918</v>
      </c>
      <c r="I2477" t="str">
        <f t="shared" si="153"/>
        <v>YES</v>
      </c>
      <c r="J2477" t="s">
        <v>2483</v>
      </c>
      <c r="K2477">
        <v>1246196.2871300001</v>
      </c>
      <c r="L2477" s="1">
        <f t="shared" si="154"/>
        <v>0</v>
      </c>
      <c r="M2477" s="1">
        <f t="shared" si="155"/>
        <v>0</v>
      </c>
      <c r="N2477" s="1">
        <f t="shared" si="156"/>
        <v>0</v>
      </c>
      <c r="O2477" s="1"/>
    </row>
    <row r="2478" spans="1:15" x14ac:dyDescent="0.25">
      <c r="A2478">
        <v>4919</v>
      </c>
      <c r="B2478">
        <v>10.9385376</v>
      </c>
      <c r="C2478">
        <v>0</v>
      </c>
      <c r="D2478">
        <v>908.72679210000001</v>
      </c>
      <c r="E2478">
        <v>0</v>
      </c>
      <c r="F2478">
        <v>5317.9159970000001</v>
      </c>
      <c r="G2478">
        <v>0</v>
      </c>
      <c r="H2478">
        <v>4919</v>
      </c>
      <c r="I2478" t="str">
        <f t="shared" si="153"/>
        <v>YES</v>
      </c>
      <c r="J2478" t="s">
        <v>2484</v>
      </c>
      <c r="K2478">
        <v>4360592.3047900004</v>
      </c>
      <c r="L2478" s="1">
        <f t="shared" si="154"/>
        <v>0</v>
      </c>
      <c r="M2478" s="1">
        <f t="shared" si="155"/>
        <v>0</v>
      </c>
      <c r="N2478" s="1">
        <f t="shared" si="156"/>
        <v>0</v>
      </c>
      <c r="O2478" s="1"/>
    </row>
    <row r="2479" spans="1:15" x14ac:dyDescent="0.25">
      <c r="A2479">
        <v>4920</v>
      </c>
      <c r="B2479">
        <v>108.3957954</v>
      </c>
      <c r="C2479">
        <v>0</v>
      </c>
      <c r="D2479">
        <v>1897.382429</v>
      </c>
      <c r="E2479">
        <v>0</v>
      </c>
      <c r="F2479">
        <v>24033.243699999999</v>
      </c>
      <c r="G2479">
        <v>0</v>
      </c>
      <c r="H2479">
        <v>4920</v>
      </c>
      <c r="I2479" t="str">
        <f t="shared" si="153"/>
        <v>YES</v>
      </c>
      <c r="J2479" t="s">
        <v>2485</v>
      </c>
      <c r="K2479">
        <v>2082414.8086900001</v>
      </c>
      <c r="L2479" s="1">
        <f t="shared" si="154"/>
        <v>0</v>
      </c>
      <c r="M2479" s="1">
        <f t="shared" si="155"/>
        <v>0</v>
      </c>
      <c r="N2479" s="1">
        <f t="shared" si="156"/>
        <v>0</v>
      </c>
      <c r="O2479" s="1"/>
    </row>
    <row r="2480" spans="1:15" x14ac:dyDescent="0.25">
      <c r="A2480">
        <v>4922</v>
      </c>
      <c r="B2480">
        <v>490.04229290000001</v>
      </c>
      <c r="C2480">
        <v>0</v>
      </c>
      <c r="D2480">
        <v>5024.5770599999996</v>
      </c>
      <c r="E2480">
        <v>0</v>
      </c>
      <c r="F2480">
        <v>21342.90122</v>
      </c>
      <c r="G2480">
        <v>0</v>
      </c>
      <c r="H2480">
        <v>4922</v>
      </c>
      <c r="I2480" t="str">
        <f t="shared" si="153"/>
        <v>YES</v>
      </c>
      <c r="J2480" t="s">
        <v>2486</v>
      </c>
      <c r="K2480">
        <v>3224482.9117700001</v>
      </c>
      <c r="L2480" s="1">
        <f t="shared" si="154"/>
        <v>0</v>
      </c>
      <c r="M2480" s="1">
        <f t="shared" si="155"/>
        <v>0</v>
      </c>
      <c r="N2480" s="1">
        <f t="shared" si="156"/>
        <v>0</v>
      </c>
      <c r="O2480" s="1"/>
    </row>
    <row r="2481" spans="1:15" x14ac:dyDescent="0.25">
      <c r="A2481">
        <v>4923</v>
      </c>
      <c r="B2481">
        <v>3752.3042999999998</v>
      </c>
      <c r="C2481">
        <v>0</v>
      </c>
      <c r="D2481">
        <v>21013.515019999999</v>
      </c>
      <c r="E2481">
        <v>0</v>
      </c>
      <c r="F2481">
        <v>63689.651460000001</v>
      </c>
      <c r="G2481">
        <v>0</v>
      </c>
      <c r="H2481">
        <v>4923</v>
      </c>
      <c r="I2481" t="str">
        <f t="shared" si="153"/>
        <v>YES</v>
      </c>
      <c r="J2481" t="s">
        <v>2487</v>
      </c>
      <c r="K2481">
        <v>4025667.6409</v>
      </c>
      <c r="L2481" s="1">
        <f t="shared" si="154"/>
        <v>0</v>
      </c>
      <c r="M2481" s="1">
        <f t="shared" si="155"/>
        <v>0</v>
      </c>
      <c r="N2481" s="1">
        <f t="shared" si="156"/>
        <v>0</v>
      </c>
      <c r="O2481" s="1"/>
    </row>
    <row r="2482" spans="1:15" x14ac:dyDescent="0.25">
      <c r="A2482">
        <v>4924</v>
      </c>
      <c r="B2482">
        <v>13870.45722</v>
      </c>
      <c r="C2482">
        <v>0</v>
      </c>
      <c r="D2482">
        <v>27203.575219999999</v>
      </c>
      <c r="E2482">
        <v>0</v>
      </c>
      <c r="F2482">
        <v>80838.931349999999</v>
      </c>
      <c r="G2482">
        <v>0</v>
      </c>
      <c r="H2482">
        <v>4924</v>
      </c>
      <c r="I2482" t="str">
        <f t="shared" si="153"/>
        <v>YES</v>
      </c>
      <c r="J2482" t="s">
        <v>2488</v>
      </c>
      <c r="K2482">
        <v>1903731.1033099999</v>
      </c>
      <c r="L2482" s="1">
        <f t="shared" si="154"/>
        <v>0</v>
      </c>
      <c r="M2482" s="1">
        <f t="shared" si="155"/>
        <v>0</v>
      </c>
      <c r="N2482" s="1">
        <f t="shared" si="156"/>
        <v>0</v>
      </c>
      <c r="O2482" s="1"/>
    </row>
    <row r="2483" spans="1:15" x14ac:dyDescent="0.25">
      <c r="A2483">
        <v>4925</v>
      </c>
      <c r="B2483">
        <v>1605.5168980000001</v>
      </c>
      <c r="C2483">
        <v>0</v>
      </c>
      <c r="D2483">
        <v>21916.055260000001</v>
      </c>
      <c r="E2483">
        <v>0</v>
      </c>
      <c r="F2483">
        <v>53687.396059999999</v>
      </c>
      <c r="G2483">
        <v>0</v>
      </c>
      <c r="H2483">
        <v>4925</v>
      </c>
      <c r="I2483" t="str">
        <f t="shared" si="153"/>
        <v>YES</v>
      </c>
      <c r="J2483" t="s">
        <v>2489</v>
      </c>
      <c r="K2483">
        <v>1153296.15897</v>
      </c>
      <c r="L2483" s="1">
        <f t="shared" si="154"/>
        <v>0</v>
      </c>
      <c r="M2483" s="1">
        <f t="shared" si="155"/>
        <v>0</v>
      </c>
      <c r="N2483" s="1">
        <f t="shared" si="156"/>
        <v>0</v>
      </c>
      <c r="O2483" s="1"/>
    </row>
    <row r="2484" spans="1:15" x14ac:dyDescent="0.25">
      <c r="A2484">
        <v>4926</v>
      </c>
      <c r="B2484">
        <v>1878.9189530000001</v>
      </c>
      <c r="C2484">
        <v>0</v>
      </c>
      <c r="D2484">
        <v>21010.05963</v>
      </c>
      <c r="E2484">
        <v>0</v>
      </c>
      <c r="F2484">
        <v>47696.601260000003</v>
      </c>
      <c r="G2484">
        <v>0</v>
      </c>
      <c r="H2484">
        <v>4926</v>
      </c>
      <c r="I2484" t="str">
        <f t="shared" si="153"/>
        <v>YES</v>
      </c>
      <c r="J2484" t="s">
        <v>2490</v>
      </c>
      <c r="K2484">
        <v>1351636.4042</v>
      </c>
      <c r="L2484" s="1">
        <f t="shared" si="154"/>
        <v>0</v>
      </c>
      <c r="M2484" s="1">
        <f t="shared" si="155"/>
        <v>0</v>
      </c>
      <c r="N2484" s="1">
        <f t="shared" si="156"/>
        <v>0</v>
      </c>
      <c r="O2484" s="1"/>
    </row>
    <row r="2485" spans="1:15" x14ac:dyDescent="0.25">
      <c r="A2485">
        <v>4927</v>
      </c>
      <c r="B2485">
        <v>1055.632523</v>
      </c>
      <c r="C2485">
        <v>0</v>
      </c>
      <c r="D2485">
        <v>2172.4537639999999</v>
      </c>
      <c r="E2485">
        <v>0</v>
      </c>
      <c r="F2485">
        <v>17981.57562</v>
      </c>
      <c r="G2485">
        <v>0</v>
      </c>
      <c r="H2485">
        <v>4927</v>
      </c>
      <c r="I2485" t="str">
        <f t="shared" si="153"/>
        <v>YES</v>
      </c>
      <c r="J2485" t="s">
        <v>2491</v>
      </c>
      <c r="K2485">
        <v>2110038.5044999998</v>
      </c>
      <c r="L2485" s="1">
        <f t="shared" si="154"/>
        <v>0</v>
      </c>
      <c r="M2485" s="1">
        <f t="shared" si="155"/>
        <v>0</v>
      </c>
      <c r="N2485" s="1">
        <f t="shared" si="156"/>
        <v>0</v>
      </c>
      <c r="O2485" s="1"/>
    </row>
    <row r="2486" spans="1:15" x14ac:dyDescent="0.25">
      <c r="A2486">
        <v>4930</v>
      </c>
      <c r="B2486">
        <v>154.52506399999999</v>
      </c>
      <c r="C2486">
        <v>0</v>
      </c>
      <c r="D2486">
        <v>18333.93908</v>
      </c>
      <c r="E2486">
        <v>0</v>
      </c>
      <c r="F2486">
        <v>34249.659979999997</v>
      </c>
      <c r="G2486">
        <v>0</v>
      </c>
      <c r="H2486">
        <v>4930</v>
      </c>
      <c r="I2486" t="str">
        <f t="shared" si="153"/>
        <v>YES</v>
      </c>
      <c r="J2486" t="s">
        <v>2492</v>
      </c>
      <c r="K2486">
        <v>1141545.7961599999</v>
      </c>
      <c r="L2486" s="1">
        <f t="shared" si="154"/>
        <v>0</v>
      </c>
      <c r="M2486" s="1">
        <f t="shared" si="155"/>
        <v>0</v>
      </c>
      <c r="N2486" s="1">
        <f t="shared" si="156"/>
        <v>0</v>
      </c>
      <c r="O2486" s="1"/>
    </row>
    <row r="2487" spans="1:15" x14ac:dyDescent="0.25">
      <c r="A2487">
        <v>4931</v>
      </c>
      <c r="B2487">
        <v>1248.2415800000001</v>
      </c>
      <c r="C2487">
        <v>0</v>
      </c>
      <c r="D2487">
        <v>17278.306560000001</v>
      </c>
      <c r="E2487">
        <v>0</v>
      </c>
      <c r="F2487">
        <v>31138.040830000002</v>
      </c>
      <c r="G2487">
        <v>0</v>
      </c>
      <c r="H2487">
        <v>4931</v>
      </c>
      <c r="I2487" t="str">
        <f t="shared" si="153"/>
        <v>YES</v>
      </c>
      <c r="J2487" t="s">
        <v>2493</v>
      </c>
      <c r="K2487">
        <v>804616.26225100004</v>
      </c>
      <c r="L2487" s="1">
        <f t="shared" si="154"/>
        <v>0</v>
      </c>
      <c r="M2487" s="1">
        <f t="shared" si="155"/>
        <v>0</v>
      </c>
      <c r="N2487" s="1">
        <f t="shared" si="156"/>
        <v>0</v>
      </c>
      <c r="O2487" s="1"/>
    </row>
    <row r="2488" spans="1:15" x14ac:dyDescent="0.25">
      <c r="A2488">
        <v>4932</v>
      </c>
      <c r="B2488">
        <v>1884.527167</v>
      </c>
      <c r="C2488">
        <v>0</v>
      </c>
      <c r="D2488">
        <v>11998.240229999999</v>
      </c>
      <c r="E2488">
        <v>0</v>
      </c>
      <c r="F2488">
        <v>28931.16646</v>
      </c>
      <c r="G2488">
        <v>0</v>
      </c>
      <c r="H2488">
        <v>4932</v>
      </c>
      <c r="I2488" t="str">
        <f t="shared" si="153"/>
        <v>YES</v>
      </c>
      <c r="J2488" t="s">
        <v>2494</v>
      </c>
      <c r="K2488">
        <v>748734.07365000003</v>
      </c>
      <c r="L2488" s="1">
        <f t="shared" si="154"/>
        <v>0</v>
      </c>
      <c r="M2488" s="1">
        <f t="shared" si="155"/>
        <v>0</v>
      </c>
      <c r="N2488" s="1">
        <f t="shared" si="156"/>
        <v>0</v>
      </c>
      <c r="O2488" s="1"/>
    </row>
    <row r="2489" spans="1:15" x14ac:dyDescent="0.25">
      <c r="A2489">
        <v>4933</v>
      </c>
      <c r="B2489">
        <v>1838.1353630000001</v>
      </c>
      <c r="C2489">
        <v>0</v>
      </c>
      <c r="D2489">
        <v>20312.12256</v>
      </c>
      <c r="E2489">
        <v>0</v>
      </c>
      <c r="F2489">
        <v>31940.20074</v>
      </c>
      <c r="G2489">
        <v>0</v>
      </c>
      <c r="H2489">
        <v>4933</v>
      </c>
      <c r="I2489" t="str">
        <f t="shared" si="153"/>
        <v>YES</v>
      </c>
      <c r="J2489" t="s">
        <v>2495</v>
      </c>
      <c r="K2489">
        <v>1495337.5740700001</v>
      </c>
      <c r="L2489" s="1">
        <f t="shared" si="154"/>
        <v>0</v>
      </c>
      <c r="M2489" s="1">
        <f t="shared" si="155"/>
        <v>0</v>
      </c>
      <c r="N2489" s="1">
        <f t="shared" si="156"/>
        <v>0</v>
      </c>
      <c r="O2489" s="1"/>
    </row>
    <row r="2490" spans="1:15" x14ac:dyDescent="0.25">
      <c r="A2490">
        <v>4934</v>
      </c>
      <c r="B2490">
        <v>1238.528206</v>
      </c>
      <c r="C2490">
        <v>0</v>
      </c>
      <c r="D2490">
        <v>7190.0955089999998</v>
      </c>
      <c r="E2490">
        <v>0</v>
      </c>
      <c r="F2490">
        <v>26035.35039</v>
      </c>
      <c r="G2490">
        <v>0</v>
      </c>
      <c r="H2490">
        <v>4934</v>
      </c>
      <c r="I2490" t="str">
        <f t="shared" si="153"/>
        <v>YES</v>
      </c>
      <c r="J2490" t="s">
        <v>2496</v>
      </c>
      <c r="K2490">
        <v>1527706.70808</v>
      </c>
      <c r="L2490" s="1">
        <f t="shared" si="154"/>
        <v>0</v>
      </c>
      <c r="M2490" s="1">
        <f t="shared" si="155"/>
        <v>0</v>
      </c>
      <c r="N2490" s="1">
        <f t="shared" si="156"/>
        <v>0</v>
      </c>
      <c r="O2490" s="1"/>
    </row>
    <row r="2491" spans="1:15" x14ac:dyDescent="0.25">
      <c r="A2491">
        <v>4935</v>
      </c>
      <c r="B2491">
        <v>1970.96749</v>
      </c>
      <c r="C2491">
        <v>0</v>
      </c>
      <c r="D2491">
        <v>6383.8636569999999</v>
      </c>
      <c r="E2491">
        <v>0</v>
      </c>
      <c r="F2491">
        <v>23144.962609999999</v>
      </c>
      <c r="G2491">
        <v>0</v>
      </c>
      <c r="H2491">
        <v>4935</v>
      </c>
      <c r="I2491" t="str">
        <f t="shared" si="153"/>
        <v>YES</v>
      </c>
      <c r="J2491" t="s">
        <v>2497</v>
      </c>
      <c r="K2491">
        <v>1230522.39726</v>
      </c>
      <c r="L2491" s="1">
        <f t="shared" si="154"/>
        <v>0</v>
      </c>
      <c r="M2491" s="1">
        <f t="shared" si="155"/>
        <v>0</v>
      </c>
      <c r="N2491" s="1">
        <f t="shared" si="156"/>
        <v>0</v>
      </c>
      <c r="O2491" s="1"/>
    </row>
    <row r="2492" spans="1:15" x14ac:dyDescent="0.25">
      <c r="A2492">
        <v>4936</v>
      </c>
      <c r="B2492">
        <v>1735.295644</v>
      </c>
      <c r="C2492">
        <v>0</v>
      </c>
      <c r="D2492">
        <v>17787.195220000001</v>
      </c>
      <c r="E2492">
        <v>0</v>
      </c>
      <c r="F2492">
        <v>30910.350780000001</v>
      </c>
      <c r="G2492">
        <v>0</v>
      </c>
      <c r="H2492">
        <v>4936</v>
      </c>
      <c r="I2492" t="str">
        <f t="shared" si="153"/>
        <v>YES</v>
      </c>
      <c r="J2492" t="s">
        <v>2498</v>
      </c>
      <c r="K2492">
        <v>788450.81043099996</v>
      </c>
      <c r="L2492" s="1">
        <f t="shared" si="154"/>
        <v>0</v>
      </c>
      <c r="M2492" s="1">
        <f t="shared" si="155"/>
        <v>0</v>
      </c>
      <c r="N2492" s="1">
        <f t="shared" si="156"/>
        <v>0</v>
      </c>
      <c r="O2492" s="1"/>
    </row>
    <row r="2493" spans="1:15" x14ac:dyDescent="0.25">
      <c r="A2493">
        <v>4937</v>
      </c>
      <c r="B2493">
        <v>676.59730200000001</v>
      </c>
      <c r="C2493">
        <v>0</v>
      </c>
      <c r="D2493">
        <v>7043.5559380000004</v>
      </c>
      <c r="E2493">
        <v>0</v>
      </c>
      <c r="F2493">
        <v>29553.594580000001</v>
      </c>
      <c r="G2493">
        <v>0</v>
      </c>
      <c r="H2493">
        <v>4937</v>
      </c>
      <c r="I2493" t="str">
        <f t="shared" si="153"/>
        <v>YES</v>
      </c>
      <c r="J2493" t="s">
        <v>2499</v>
      </c>
      <c r="K2493">
        <v>1479632.0056100001</v>
      </c>
      <c r="L2493" s="1">
        <f t="shared" si="154"/>
        <v>0</v>
      </c>
      <c r="M2493" s="1">
        <f t="shared" si="155"/>
        <v>0</v>
      </c>
      <c r="N2493" s="1">
        <f t="shared" si="156"/>
        <v>0</v>
      </c>
      <c r="O2493" s="1"/>
    </row>
    <row r="2494" spans="1:15" x14ac:dyDescent="0.25">
      <c r="A2494">
        <v>4940</v>
      </c>
      <c r="B2494">
        <v>6555.7529340000001</v>
      </c>
      <c r="C2494">
        <v>0</v>
      </c>
      <c r="D2494">
        <v>25655.906439999999</v>
      </c>
      <c r="E2494">
        <v>0</v>
      </c>
      <c r="F2494">
        <v>46254.545389999999</v>
      </c>
      <c r="G2494">
        <v>0</v>
      </c>
      <c r="H2494">
        <v>4940</v>
      </c>
      <c r="I2494" t="str">
        <f t="shared" si="153"/>
        <v>YES</v>
      </c>
      <c r="J2494" t="s">
        <v>2500</v>
      </c>
      <c r="K2494">
        <v>2748009.0622200002</v>
      </c>
      <c r="L2494" s="1">
        <f t="shared" si="154"/>
        <v>0</v>
      </c>
      <c r="M2494" s="1">
        <f t="shared" si="155"/>
        <v>0</v>
      </c>
      <c r="N2494" s="1">
        <f t="shared" si="156"/>
        <v>0</v>
      </c>
      <c r="O2494" s="1"/>
    </row>
    <row r="2495" spans="1:15" x14ac:dyDescent="0.25">
      <c r="A2495">
        <v>4941</v>
      </c>
      <c r="B2495">
        <v>3256.2456480000001</v>
      </c>
      <c r="C2495">
        <v>0</v>
      </c>
      <c r="D2495">
        <v>27942.050060000001</v>
      </c>
      <c r="E2495">
        <v>0</v>
      </c>
      <c r="F2495">
        <v>45490.383000000002</v>
      </c>
      <c r="G2495">
        <v>0</v>
      </c>
      <c r="H2495">
        <v>4941</v>
      </c>
      <c r="I2495" t="str">
        <f t="shared" si="153"/>
        <v>YES</v>
      </c>
      <c r="J2495" t="s">
        <v>2501</v>
      </c>
      <c r="K2495">
        <v>1179210.3182600001</v>
      </c>
      <c r="L2495" s="1">
        <f t="shared" si="154"/>
        <v>0</v>
      </c>
      <c r="M2495" s="1">
        <f t="shared" si="155"/>
        <v>0</v>
      </c>
      <c r="N2495" s="1">
        <f t="shared" si="156"/>
        <v>0</v>
      </c>
      <c r="O2495" s="1"/>
    </row>
    <row r="2496" spans="1:15" x14ac:dyDescent="0.25">
      <c r="A2496">
        <v>4942</v>
      </c>
      <c r="B2496">
        <v>5581.8128969999998</v>
      </c>
      <c r="C2496">
        <v>0</v>
      </c>
      <c r="D2496">
        <v>24833.76455</v>
      </c>
      <c r="E2496">
        <v>0</v>
      </c>
      <c r="F2496">
        <v>42326.351210000001</v>
      </c>
      <c r="G2496">
        <v>0</v>
      </c>
      <c r="H2496">
        <v>4942</v>
      </c>
      <c r="I2496" t="str">
        <f t="shared" si="153"/>
        <v>YES</v>
      </c>
      <c r="J2496" t="s">
        <v>2502</v>
      </c>
      <c r="K2496">
        <v>1402660.10198</v>
      </c>
      <c r="L2496" s="1">
        <f t="shared" si="154"/>
        <v>0</v>
      </c>
      <c r="M2496" s="1">
        <f t="shared" si="155"/>
        <v>0</v>
      </c>
      <c r="N2496" s="1">
        <f t="shared" si="156"/>
        <v>0</v>
      </c>
      <c r="O2496" s="1"/>
    </row>
    <row r="2497" spans="1:15" x14ac:dyDescent="0.25">
      <c r="A2497">
        <v>4943</v>
      </c>
      <c r="B2497">
        <v>5610.1399300000003</v>
      </c>
      <c r="C2497">
        <v>0</v>
      </c>
      <c r="D2497">
        <v>25084.243630000001</v>
      </c>
      <c r="E2497">
        <v>0</v>
      </c>
      <c r="F2497">
        <v>35391.091670000002</v>
      </c>
      <c r="G2497">
        <v>0</v>
      </c>
      <c r="H2497">
        <v>4943</v>
      </c>
      <c r="I2497" t="str">
        <f t="shared" si="153"/>
        <v>YES</v>
      </c>
      <c r="J2497" t="s">
        <v>2503</v>
      </c>
      <c r="K2497">
        <v>1202440.0561500001</v>
      </c>
      <c r="L2497" s="1">
        <f t="shared" si="154"/>
        <v>0</v>
      </c>
      <c r="M2497" s="1">
        <f t="shared" si="155"/>
        <v>0</v>
      </c>
      <c r="N2497" s="1">
        <f t="shared" si="156"/>
        <v>0</v>
      </c>
      <c r="O2497" s="1"/>
    </row>
    <row r="2498" spans="1:15" x14ac:dyDescent="0.25">
      <c r="A2498">
        <v>4944</v>
      </c>
      <c r="B2498">
        <v>1632.387477</v>
      </c>
      <c r="C2498">
        <v>0</v>
      </c>
      <c r="D2498">
        <v>22858.293689999999</v>
      </c>
      <c r="E2498">
        <v>0</v>
      </c>
      <c r="F2498">
        <v>35789.932739999997</v>
      </c>
      <c r="G2498">
        <v>0</v>
      </c>
      <c r="H2498">
        <v>4944</v>
      </c>
      <c r="I2498" t="str">
        <f t="shared" ref="I2498:I2561" si="157">IF(A2498=H2498,"YES","NO")</f>
        <v>YES</v>
      </c>
      <c r="J2498" t="s">
        <v>2504</v>
      </c>
      <c r="K2498">
        <v>1119128.7764000001</v>
      </c>
      <c r="L2498" s="1">
        <f t="shared" si="154"/>
        <v>0</v>
      </c>
      <c r="M2498" s="1">
        <f t="shared" si="155"/>
        <v>0</v>
      </c>
      <c r="N2498" s="1">
        <f t="shared" si="156"/>
        <v>0</v>
      </c>
      <c r="O2498" s="1"/>
    </row>
    <row r="2499" spans="1:15" x14ac:dyDescent="0.25">
      <c r="A2499">
        <v>4945</v>
      </c>
      <c r="B2499">
        <v>4888.6331250000003</v>
      </c>
      <c r="C2499">
        <v>0</v>
      </c>
      <c r="D2499">
        <v>27489.882539999999</v>
      </c>
      <c r="E2499">
        <v>0</v>
      </c>
      <c r="F2499">
        <v>36620.04247</v>
      </c>
      <c r="G2499">
        <v>0</v>
      </c>
      <c r="H2499">
        <v>4945</v>
      </c>
      <c r="I2499" t="str">
        <f t="shared" si="157"/>
        <v>YES</v>
      </c>
      <c r="J2499" t="s">
        <v>2505</v>
      </c>
      <c r="K2499">
        <v>1350227.04363</v>
      </c>
      <c r="L2499" s="1">
        <f t="shared" ref="L2499:L2561" si="158">$U$2*$K2499*C2499</f>
        <v>0</v>
      </c>
      <c r="M2499" s="1">
        <f t="shared" ref="M2499:M2563" si="159">$U$3*$K2499*E2499</f>
        <v>0</v>
      </c>
      <c r="N2499" s="1">
        <f t="shared" ref="N2499:N2562" si="160">$U$4*$K2499*G2499</f>
        <v>0</v>
      </c>
      <c r="O2499" s="1"/>
    </row>
    <row r="2500" spans="1:15" x14ac:dyDescent="0.25">
      <c r="A2500">
        <v>4948</v>
      </c>
      <c r="B2500">
        <v>2680.4896560000002</v>
      </c>
      <c r="C2500">
        <v>0</v>
      </c>
      <c r="D2500">
        <v>55527.066989999999</v>
      </c>
      <c r="E2500">
        <v>0</v>
      </c>
      <c r="F2500">
        <v>175010.13020000001</v>
      </c>
      <c r="G2500">
        <v>0</v>
      </c>
      <c r="H2500">
        <v>4948</v>
      </c>
      <c r="I2500" t="str">
        <f t="shared" si="157"/>
        <v>YES</v>
      </c>
      <c r="J2500" t="s">
        <v>2506</v>
      </c>
      <c r="K2500">
        <v>1323008.5085100001</v>
      </c>
      <c r="L2500" s="1">
        <f t="shared" si="158"/>
        <v>0</v>
      </c>
      <c r="M2500" s="1">
        <f t="shared" si="159"/>
        <v>0</v>
      </c>
      <c r="N2500" s="1">
        <f t="shared" si="160"/>
        <v>0</v>
      </c>
      <c r="O2500" s="1"/>
    </row>
    <row r="2501" spans="1:15" x14ac:dyDescent="0.25">
      <c r="A2501">
        <v>4949</v>
      </c>
      <c r="B2501">
        <v>21103.427660000001</v>
      </c>
      <c r="C2501">
        <v>0</v>
      </c>
      <c r="D2501">
        <v>59883.465459999999</v>
      </c>
      <c r="E2501">
        <v>0</v>
      </c>
      <c r="F2501">
        <v>175750.19500000001</v>
      </c>
      <c r="G2501">
        <v>0</v>
      </c>
      <c r="H2501">
        <v>4949</v>
      </c>
      <c r="I2501" t="str">
        <f t="shared" si="157"/>
        <v>YES</v>
      </c>
      <c r="J2501" t="s">
        <v>2507</v>
      </c>
      <c r="K2501">
        <v>872648.94045800006</v>
      </c>
      <c r="L2501" s="1">
        <f t="shared" si="158"/>
        <v>0</v>
      </c>
      <c r="M2501" s="1">
        <f t="shared" si="159"/>
        <v>0</v>
      </c>
      <c r="N2501" s="1">
        <f t="shared" si="160"/>
        <v>0</v>
      </c>
      <c r="O2501" s="1"/>
    </row>
    <row r="2502" spans="1:15" x14ac:dyDescent="0.25">
      <c r="A2502">
        <v>4950</v>
      </c>
      <c r="B2502">
        <v>2256.251757</v>
      </c>
      <c r="C2502">
        <v>0</v>
      </c>
      <c r="D2502">
        <v>31199.650290000001</v>
      </c>
      <c r="E2502">
        <v>0</v>
      </c>
      <c r="F2502">
        <v>84926.266250000001</v>
      </c>
      <c r="G2502">
        <v>0</v>
      </c>
      <c r="H2502">
        <v>4950</v>
      </c>
      <c r="I2502" t="str">
        <f t="shared" si="157"/>
        <v>YES</v>
      </c>
      <c r="J2502" t="s">
        <v>2508</v>
      </c>
      <c r="K2502">
        <v>754755.75505399995</v>
      </c>
      <c r="L2502" s="1">
        <f t="shared" si="158"/>
        <v>0</v>
      </c>
      <c r="M2502" s="1">
        <f t="shared" si="159"/>
        <v>0</v>
      </c>
      <c r="N2502" s="1">
        <f t="shared" si="160"/>
        <v>0</v>
      </c>
      <c r="O2502" s="1"/>
    </row>
    <row r="2503" spans="1:15" x14ac:dyDescent="0.25">
      <c r="A2503">
        <v>4951</v>
      </c>
      <c r="B2503">
        <v>25849.438480000001</v>
      </c>
      <c r="C2503">
        <v>0</v>
      </c>
      <c r="D2503">
        <v>41201.419990000002</v>
      </c>
      <c r="E2503">
        <v>0</v>
      </c>
      <c r="F2503">
        <v>123592.7432</v>
      </c>
      <c r="G2503">
        <v>0</v>
      </c>
      <c r="H2503">
        <v>4951</v>
      </c>
      <c r="I2503" t="str">
        <f t="shared" si="157"/>
        <v>YES</v>
      </c>
      <c r="J2503" t="s">
        <v>2509</v>
      </c>
      <c r="K2503">
        <v>405744.09795000002</v>
      </c>
      <c r="L2503" s="1">
        <f t="shared" si="158"/>
        <v>0</v>
      </c>
      <c r="M2503" s="1">
        <f t="shared" si="159"/>
        <v>0</v>
      </c>
      <c r="N2503" s="1">
        <f t="shared" si="160"/>
        <v>0</v>
      </c>
      <c r="O2503" s="1"/>
    </row>
    <row r="2504" spans="1:15" x14ac:dyDescent="0.25">
      <c r="A2504">
        <v>4952</v>
      </c>
      <c r="B2504">
        <v>9298.428183</v>
      </c>
      <c r="C2504">
        <v>0</v>
      </c>
      <c r="D2504">
        <v>30702.642820000001</v>
      </c>
      <c r="E2504">
        <v>0</v>
      </c>
      <c r="F2504">
        <v>85449.587939999998</v>
      </c>
      <c r="G2504">
        <v>0</v>
      </c>
      <c r="H2504">
        <v>4952</v>
      </c>
      <c r="I2504" t="str">
        <f t="shared" si="157"/>
        <v>YES</v>
      </c>
      <c r="J2504" t="s">
        <v>2510</v>
      </c>
      <c r="K2504">
        <v>1006129.12923</v>
      </c>
      <c r="L2504" s="1">
        <f t="shared" si="158"/>
        <v>0</v>
      </c>
      <c r="M2504" s="1">
        <f t="shared" si="159"/>
        <v>0</v>
      </c>
      <c r="N2504" s="1">
        <f t="shared" si="160"/>
        <v>0</v>
      </c>
      <c r="O2504" s="1"/>
    </row>
    <row r="2505" spans="1:15" x14ac:dyDescent="0.25">
      <c r="A2505">
        <v>4953</v>
      </c>
      <c r="B2505">
        <v>2937.2226249999999</v>
      </c>
      <c r="C2505">
        <v>0</v>
      </c>
      <c r="D2505">
        <v>38947.46486</v>
      </c>
      <c r="E2505">
        <v>0</v>
      </c>
      <c r="F2505">
        <v>109069.6749</v>
      </c>
      <c r="G2505">
        <v>0</v>
      </c>
      <c r="H2505">
        <v>4953</v>
      </c>
      <c r="I2505" t="str">
        <f t="shared" si="157"/>
        <v>YES</v>
      </c>
      <c r="J2505" t="s">
        <v>2511</v>
      </c>
      <c r="K2505">
        <v>2188953.0059000002</v>
      </c>
      <c r="L2505" s="1">
        <f t="shared" si="158"/>
        <v>0</v>
      </c>
      <c r="M2505" s="1">
        <f t="shared" si="159"/>
        <v>0</v>
      </c>
      <c r="N2505" s="1">
        <f t="shared" si="160"/>
        <v>0</v>
      </c>
      <c r="O2505" s="1"/>
    </row>
    <row r="2506" spans="1:15" x14ac:dyDescent="0.25">
      <c r="A2506">
        <v>4954</v>
      </c>
      <c r="B2506">
        <v>17524.36695</v>
      </c>
      <c r="C2506">
        <v>0</v>
      </c>
      <c r="D2506">
        <v>35938.473749999997</v>
      </c>
      <c r="E2506">
        <v>0</v>
      </c>
      <c r="F2506">
        <v>75585.868239999996</v>
      </c>
      <c r="G2506">
        <v>0</v>
      </c>
      <c r="H2506">
        <v>4954</v>
      </c>
      <c r="I2506" t="str">
        <f t="shared" si="157"/>
        <v>YES</v>
      </c>
      <c r="J2506" t="s">
        <v>2512</v>
      </c>
      <c r="K2506">
        <v>1549581.5841099999</v>
      </c>
      <c r="L2506" s="1">
        <f t="shared" si="158"/>
        <v>0</v>
      </c>
      <c r="M2506" s="1">
        <f t="shared" si="159"/>
        <v>0</v>
      </c>
      <c r="N2506" s="1">
        <f t="shared" si="160"/>
        <v>0</v>
      </c>
      <c r="O2506" s="1"/>
    </row>
    <row r="2507" spans="1:15" x14ac:dyDescent="0.25">
      <c r="A2507">
        <v>4955</v>
      </c>
      <c r="B2507">
        <v>9078.1309829999991</v>
      </c>
      <c r="C2507">
        <v>0</v>
      </c>
      <c r="D2507">
        <v>28453.51958</v>
      </c>
      <c r="E2507">
        <v>0</v>
      </c>
      <c r="F2507">
        <v>53740.71632</v>
      </c>
      <c r="G2507">
        <v>0</v>
      </c>
      <c r="H2507">
        <v>4955</v>
      </c>
      <c r="I2507" t="str">
        <f t="shared" si="157"/>
        <v>YES</v>
      </c>
      <c r="J2507" t="s">
        <v>2513</v>
      </c>
      <c r="K2507">
        <v>2577142.3906100001</v>
      </c>
      <c r="L2507" s="1">
        <f t="shared" si="158"/>
        <v>0</v>
      </c>
      <c r="M2507" s="1">
        <f t="shared" si="159"/>
        <v>0</v>
      </c>
      <c r="N2507" s="1">
        <f t="shared" si="160"/>
        <v>0</v>
      </c>
      <c r="O2507" s="1"/>
    </row>
    <row r="2508" spans="1:15" x14ac:dyDescent="0.25">
      <c r="A2508">
        <v>4956</v>
      </c>
      <c r="B2508">
        <v>3572.1846409999998</v>
      </c>
      <c r="C2508">
        <v>0</v>
      </c>
      <c r="D2508">
        <v>23267.811679999999</v>
      </c>
      <c r="E2508">
        <v>0</v>
      </c>
      <c r="F2508">
        <v>66772.815149999995</v>
      </c>
      <c r="G2508">
        <v>0</v>
      </c>
      <c r="H2508">
        <v>4956</v>
      </c>
      <c r="I2508" t="str">
        <f t="shared" si="157"/>
        <v>YES</v>
      </c>
      <c r="J2508" t="s">
        <v>2514</v>
      </c>
      <c r="K2508">
        <v>673344.66746699996</v>
      </c>
      <c r="L2508" s="1">
        <f t="shared" si="158"/>
        <v>0</v>
      </c>
      <c r="M2508" s="1">
        <f t="shared" si="159"/>
        <v>0</v>
      </c>
      <c r="N2508" s="1">
        <f t="shared" si="160"/>
        <v>0</v>
      </c>
      <c r="O2508" s="1"/>
    </row>
    <row r="2509" spans="1:15" x14ac:dyDescent="0.25">
      <c r="A2509">
        <v>4957</v>
      </c>
      <c r="B2509">
        <v>1895.553095</v>
      </c>
      <c r="C2509">
        <v>0</v>
      </c>
      <c r="D2509">
        <v>13239.35385</v>
      </c>
      <c r="E2509">
        <v>0</v>
      </c>
      <c r="F2509">
        <v>46567.372940000001</v>
      </c>
      <c r="G2509">
        <v>0</v>
      </c>
      <c r="H2509">
        <v>4957</v>
      </c>
      <c r="I2509" t="str">
        <f t="shared" si="157"/>
        <v>YES</v>
      </c>
      <c r="J2509" t="s">
        <v>2515</v>
      </c>
      <c r="K2509">
        <v>2360880.0597399999</v>
      </c>
      <c r="L2509" s="1">
        <f t="shared" si="158"/>
        <v>0</v>
      </c>
      <c r="M2509" s="1">
        <f t="shared" si="159"/>
        <v>0</v>
      </c>
      <c r="N2509" s="1">
        <f t="shared" si="160"/>
        <v>0</v>
      </c>
      <c r="O2509" s="1"/>
    </row>
    <row r="2510" spans="1:15" x14ac:dyDescent="0.25">
      <c r="A2510">
        <v>4958</v>
      </c>
      <c r="B2510">
        <v>521.58403759999999</v>
      </c>
      <c r="C2510">
        <v>0</v>
      </c>
      <c r="D2510">
        <v>4686.4077370000005</v>
      </c>
      <c r="E2510">
        <v>0</v>
      </c>
      <c r="F2510">
        <v>24989.823100000001</v>
      </c>
      <c r="G2510">
        <v>0</v>
      </c>
      <c r="H2510">
        <v>4958</v>
      </c>
      <c r="I2510" t="str">
        <f t="shared" si="157"/>
        <v>YES</v>
      </c>
      <c r="J2510" t="s">
        <v>2516</v>
      </c>
      <c r="K2510">
        <v>1797079.7163499999</v>
      </c>
      <c r="L2510" s="1">
        <f t="shared" si="158"/>
        <v>0</v>
      </c>
      <c r="M2510" s="1">
        <f t="shared" si="159"/>
        <v>0</v>
      </c>
      <c r="N2510" s="1">
        <f t="shared" si="160"/>
        <v>0</v>
      </c>
      <c r="O2510" s="1"/>
    </row>
    <row r="2511" spans="1:15" x14ac:dyDescent="0.25">
      <c r="A2511">
        <v>4959</v>
      </c>
      <c r="B2511">
        <v>18590.483090000002</v>
      </c>
      <c r="C2511">
        <v>0</v>
      </c>
      <c r="D2511">
        <v>32827.584390000004</v>
      </c>
      <c r="E2511">
        <v>0</v>
      </c>
      <c r="F2511">
        <v>87982.104500000001</v>
      </c>
      <c r="G2511">
        <v>0</v>
      </c>
      <c r="H2511">
        <v>4959</v>
      </c>
      <c r="I2511" t="str">
        <f t="shared" si="157"/>
        <v>YES</v>
      </c>
      <c r="J2511" t="s">
        <v>2517</v>
      </c>
      <c r="K2511">
        <v>285253.67368399998</v>
      </c>
      <c r="L2511" s="1">
        <f t="shared" si="158"/>
        <v>0</v>
      </c>
      <c r="M2511" s="1">
        <f t="shared" si="159"/>
        <v>0</v>
      </c>
      <c r="N2511" s="1">
        <f t="shared" si="160"/>
        <v>0</v>
      </c>
      <c r="O2511" s="1"/>
    </row>
    <row r="2512" spans="1:15" x14ac:dyDescent="0.25">
      <c r="A2512">
        <v>4960</v>
      </c>
      <c r="B2512">
        <v>616.4204297</v>
      </c>
      <c r="C2512">
        <v>0</v>
      </c>
      <c r="D2512">
        <v>9058.5069469999999</v>
      </c>
      <c r="E2512">
        <v>0</v>
      </c>
      <c r="F2512">
        <v>36819.985229999998</v>
      </c>
      <c r="G2512">
        <v>0</v>
      </c>
      <c r="H2512">
        <v>4960</v>
      </c>
      <c r="I2512" t="str">
        <f t="shared" si="157"/>
        <v>YES</v>
      </c>
      <c r="J2512" t="s">
        <v>2518</v>
      </c>
      <c r="K2512">
        <v>2926387.7534699999</v>
      </c>
      <c r="L2512" s="1">
        <f t="shared" si="158"/>
        <v>0</v>
      </c>
      <c r="M2512" s="1">
        <f t="shared" si="159"/>
        <v>0</v>
      </c>
      <c r="N2512" s="1">
        <f t="shared" si="160"/>
        <v>0</v>
      </c>
      <c r="O2512" s="1"/>
    </row>
    <row r="2513" spans="1:15" x14ac:dyDescent="0.25">
      <c r="A2513">
        <v>4961</v>
      </c>
      <c r="B2513">
        <v>616.4204297</v>
      </c>
      <c r="C2513">
        <v>0</v>
      </c>
      <c r="D2513">
        <v>616.4204297</v>
      </c>
      <c r="E2513">
        <v>0</v>
      </c>
      <c r="F2513">
        <v>9558.3764960000008</v>
      </c>
      <c r="G2513">
        <v>0</v>
      </c>
      <c r="H2513">
        <v>4961</v>
      </c>
      <c r="I2513" t="str">
        <f t="shared" si="157"/>
        <v>YES</v>
      </c>
      <c r="J2513" t="s">
        <v>2519</v>
      </c>
      <c r="K2513">
        <v>5144792.8063000003</v>
      </c>
      <c r="L2513" s="1">
        <f t="shared" si="158"/>
        <v>0</v>
      </c>
      <c r="M2513" s="1">
        <f t="shared" si="159"/>
        <v>0</v>
      </c>
      <c r="N2513" s="1">
        <f t="shared" si="160"/>
        <v>0</v>
      </c>
      <c r="O2513" s="1"/>
    </row>
    <row r="2514" spans="1:15" x14ac:dyDescent="0.25">
      <c r="A2514">
        <v>4962</v>
      </c>
      <c r="B2514">
        <v>78.120731539999994</v>
      </c>
      <c r="C2514">
        <v>0</v>
      </c>
      <c r="D2514">
        <v>78.120731539999994</v>
      </c>
      <c r="E2514">
        <v>0</v>
      </c>
      <c r="F2514">
        <v>78.120731539999994</v>
      </c>
      <c r="G2514">
        <v>0</v>
      </c>
      <c r="H2514">
        <v>4962</v>
      </c>
      <c r="I2514" t="str">
        <f t="shared" si="157"/>
        <v>YES</v>
      </c>
      <c r="J2514" t="s">
        <v>2520</v>
      </c>
      <c r="K2514">
        <v>13750287.6764</v>
      </c>
      <c r="L2514" s="1">
        <f t="shared" si="158"/>
        <v>0</v>
      </c>
      <c r="M2514" s="1">
        <f t="shared" si="159"/>
        <v>0</v>
      </c>
      <c r="N2514" s="1">
        <f t="shared" si="160"/>
        <v>0</v>
      </c>
      <c r="O2514" s="1"/>
    </row>
    <row r="2515" spans="1:15" x14ac:dyDescent="0.25">
      <c r="A2515">
        <v>4963</v>
      </c>
      <c r="B2515">
        <v>21.714880709999999</v>
      </c>
      <c r="C2515">
        <v>0</v>
      </c>
      <c r="D2515">
        <v>201.38795139999999</v>
      </c>
      <c r="E2515">
        <v>0</v>
      </c>
      <c r="F2515">
        <v>543.29891829999997</v>
      </c>
      <c r="G2515">
        <v>0</v>
      </c>
      <c r="H2515">
        <v>4963</v>
      </c>
      <c r="I2515" t="str">
        <f t="shared" si="157"/>
        <v>YES</v>
      </c>
      <c r="J2515" t="s">
        <v>2521</v>
      </c>
      <c r="K2515">
        <v>3571027.7234800002</v>
      </c>
      <c r="L2515" s="1">
        <f t="shared" si="158"/>
        <v>0</v>
      </c>
      <c r="M2515" s="1">
        <f t="shared" si="159"/>
        <v>0</v>
      </c>
      <c r="N2515" s="1">
        <f t="shared" si="160"/>
        <v>0</v>
      </c>
      <c r="O2515" s="1"/>
    </row>
    <row r="2516" spans="1:15" x14ac:dyDescent="0.25">
      <c r="A2516">
        <v>4964</v>
      </c>
      <c r="B2516">
        <v>448.00020569999998</v>
      </c>
      <c r="C2516">
        <v>0</v>
      </c>
      <c r="D2516">
        <v>448.00020569999998</v>
      </c>
      <c r="E2516">
        <v>0</v>
      </c>
      <c r="F2516">
        <v>448.00020569999998</v>
      </c>
      <c r="G2516">
        <v>0</v>
      </c>
      <c r="H2516">
        <v>4964</v>
      </c>
      <c r="I2516" t="str">
        <f t="shared" si="157"/>
        <v>YES</v>
      </c>
      <c r="J2516" t="s">
        <v>2522</v>
      </c>
      <c r="K2516">
        <v>23591969.280999999</v>
      </c>
      <c r="L2516" s="1">
        <f t="shared" si="158"/>
        <v>0</v>
      </c>
      <c r="M2516" s="1">
        <f t="shared" si="159"/>
        <v>0</v>
      </c>
      <c r="N2516" s="1">
        <f t="shared" si="160"/>
        <v>0</v>
      </c>
      <c r="O2516" s="1"/>
    </row>
    <row r="2517" spans="1:15" x14ac:dyDescent="0.25">
      <c r="A2517">
        <v>4965</v>
      </c>
      <c r="B2517">
        <v>66.913437209999998</v>
      </c>
      <c r="C2517">
        <v>0</v>
      </c>
      <c r="D2517">
        <v>66.913437209999998</v>
      </c>
      <c r="E2517">
        <v>0</v>
      </c>
      <c r="F2517">
        <v>66.913437209999998</v>
      </c>
      <c r="G2517">
        <v>0</v>
      </c>
      <c r="H2517">
        <v>4965</v>
      </c>
      <c r="I2517" t="str">
        <f t="shared" si="157"/>
        <v>YES</v>
      </c>
      <c r="J2517" t="s">
        <v>2523</v>
      </c>
      <c r="K2517">
        <v>8938798.5002900008</v>
      </c>
      <c r="L2517" s="1">
        <f t="shared" si="158"/>
        <v>0</v>
      </c>
      <c r="M2517" s="1">
        <f t="shared" si="159"/>
        <v>0</v>
      </c>
      <c r="N2517" s="1">
        <f t="shared" si="160"/>
        <v>0</v>
      </c>
      <c r="O2517" s="1"/>
    </row>
    <row r="2518" spans="1:15" x14ac:dyDescent="0.25">
      <c r="A2518">
        <v>4966</v>
      </c>
      <c r="B2518">
        <v>337.57271270000001</v>
      </c>
      <c r="C2518">
        <v>0</v>
      </c>
      <c r="D2518">
        <v>337.57271270000001</v>
      </c>
      <c r="E2518">
        <v>0</v>
      </c>
      <c r="F2518">
        <v>337.57271270000001</v>
      </c>
      <c r="G2518">
        <v>0</v>
      </c>
      <c r="H2518">
        <v>4966</v>
      </c>
      <c r="I2518" t="str">
        <f t="shared" si="157"/>
        <v>YES</v>
      </c>
      <c r="J2518" t="s">
        <v>2524</v>
      </c>
      <c r="K2518">
        <v>23489118.0887</v>
      </c>
      <c r="L2518" s="1">
        <f t="shared" si="158"/>
        <v>0</v>
      </c>
      <c r="M2518" s="1">
        <f t="shared" si="159"/>
        <v>0</v>
      </c>
      <c r="N2518" s="1">
        <f t="shared" si="160"/>
        <v>0</v>
      </c>
      <c r="O2518" s="1"/>
    </row>
    <row r="2519" spans="1:15" x14ac:dyDescent="0.25">
      <c r="A2519">
        <v>4967</v>
      </c>
      <c r="B2519">
        <v>94.477622890000006</v>
      </c>
      <c r="C2519">
        <v>0</v>
      </c>
      <c r="D2519">
        <v>94.477622890000006</v>
      </c>
      <c r="E2519">
        <v>0</v>
      </c>
      <c r="F2519">
        <v>95.643961129999994</v>
      </c>
      <c r="G2519">
        <v>0</v>
      </c>
      <c r="H2519">
        <v>4967</v>
      </c>
      <c r="I2519" t="str">
        <f t="shared" si="157"/>
        <v>YES</v>
      </c>
      <c r="J2519" t="s">
        <v>2525</v>
      </c>
      <c r="K2519">
        <v>12329451.465</v>
      </c>
      <c r="L2519" s="1">
        <f t="shared" si="158"/>
        <v>0</v>
      </c>
      <c r="M2519" s="1">
        <f t="shared" si="159"/>
        <v>0</v>
      </c>
      <c r="N2519" s="1">
        <f t="shared" si="160"/>
        <v>0</v>
      </c>
      <c r="O2519" s="1"/>
    </row>
    <row r="2520" spans="1:15" x14ac:dyDescent="0.25">
      <c r="A2520">
        <v>4968</v>
      </c>
      <c r="B2520">
        <v>58.200557080000003</v>
      </c>
      <c r="C2520">
        <v>0</v>
      </c>
      <c r="D2520">
        <v>58.200557080000003</v>
      </c>
      <c r="E2520">
        <v>0</v>
      </c>
      <c r="F2520">
        <v>58.200557080000003</v>
      </c>
      <c r="G2520">
        <v>0</v>
      </c>
      <c r="H2520">
        <v>4968</v>
      </c>
      <c r="I2520" t="str">
        <f t="shared" si="157"/>
        <v>YES</v>
      </c>
      <c r="J2520" t="s">
        <v>2526</v>
      </c>
      <c r="K2520">
        <v>3232931.4992999998</v>
      </c>
      <c r="L2520" s="1">
        <f t="shared" si="158"/>
        <v>0</v>
      </c>
      <c r="M2520" s="1">
        <f t="shared" si="159"/>
        <v>0</v>
      </c>
      <c r="N2520" s="1">
        <f t="shared" si="160"/>
        <v>0</v>
      </c>
      <c r="O2520" s="1"/>
    </row>
    <row r="2521" spans="1:15" x14ac:dyDescent="0.25">
      <c r="A2521">
        <v>4969</v>
      </c>
      <c r="B2521">
        <v>334.63750750000003</v>
      </c>
      <c r="C2521">
        <v>0</v>
      </c>
      <c r="D2521">
        <v>334.63750750000003</v>
      </c>
      <c r="E2521">
        <v>0</v>
      </c>
      <c r="F2521">
        <v>334.63750750000003</v>
      </c>
      <c r="G2521">
        <v>0</v>
      </c>
      <c r="H2521">
        <v>4969</v>
      </c>
      <c r="I2521" t="str">
        <f t="shared" si="157"/>
        <v>YES</v>
      </c>
      <c r="J2521" t="s">
        <v>2527</v>
      </c>
      <c r="K2521">
        <v>16627219.0045</v>
      </c>
      <c r="L2521" s="1">
        <f t="shared" si="158"/>
        <v>0</v>
      </c>
      <c r="M2521" s="1">
        <f t="shared" si="159"/>
        <v>0</v>
      </c>
      <c r="N2521" s="1">
        <f t="shared" si="160"/>
        <v>0</v>
      </c>
      <c r="O2521" s="1"/>
    </row>
    <row r="2522" spans="1:15" x14ac:dyDescent="0.25">
      <c r="A2522">
        <v>4970</v>
      </c>
      <c r="B2522">
        <v>127.7167192</v>
      </c>
      <c r="C2522">
        <v>0</v>
      </c>
      <c r="D2522">
        <v>127.7167192</v>
      </c>
      <c r="E2522">
        <v>0</v>
      </c>
      <c r="F2522">
        <v>128.88305740000001</v>
      </c>
      <c r="G2522">
        <v>0</v>
      </c>
      <c r="H2522">
        <v>4970</v>
      </c>
      <c r="I2522" t="str">
        <f t="shared" si="157"/>
        <v>YES</v>
      </c>
      <c r="J2522" t="s">
        <v>2528</v>
      </c>
      <c r="K2522">
        <v>4969216.0931299999</v>
      </c>
      <c r="L2522" s="1">
        <f t="shared" si="158"/>
        <v>0</v>
      </c>
      <c r="M2522" s="1">
        <f t="shared" si="159"/>
        <v>0</v>
      </c>
      <c r="N2522" s="1">
        <f t="shared" si="160"/>
        <v>0</v>
      </c>
      <c r="O2522" s="1"/>
    </row>
    <row r="2523" spans="1:15" x14ac:dyDescent="0.25">
      <c r="A2523">
        <v>4971</v>
      </c>
      <c r="B2523">
        <v>79.221754860000004</v>
      </c>
      <c r="C2523">
        <v>0</v>
      </c>
      <c r="D2523">
        <v>79.221754860000004</v>
      </c>
      <c r="E2523">
        <v>0</v>
      </c>
      <c r="F2523">
        <v>79.221754860000004</v>
      </c>
      <c r="G2523">
        <v>0</v>
      </c>
      <c r="H2523">
        <v>4971</v>
      </c>
      <c r="I2523" t="str">
        <f t="shared" si="157"/>
        <v>YES</v>
      </c>
      <c r="J2523" t="s">
        <v>2529</v>
      </c>
      <c r="K2523">
        <v>10733443.0911</v>
      </c>
      <c r="L2523" s="1">
        <f t="shared" si="158"/>
        <v>0</v>
      </c>
      <c r="M2523" s="1">
        <f t="shared" si="159"/>
        <v>0</v>
      </c>
      <c r="N2523" s="1">
        <f t="shared" si="160"/>
        <v>0</v>
      </c>
      <c r="O2523" s="1"/>
    </row>
    <row r="2524" spans="1:15" x14ac:dyDescent="0.25">
      <c r="A2524">
        <v>4972</v>
      </c>
      <c r="B2524">
        <v>388.45459060000002</v>
      </c>
      <c r="C2524">
        <v>0</v>
      </c>
      <c r="D2524">
        <v>388.45459060000002</v>
      </c>
      <c r="E2524">
        <v>0</v>
      </c>
      <c r="F2524">
        <v>700.74636899999996</v>
      </c>
      <c r="G2524">
        <v>0</v>
      </c>
      <c r="H2524">
        <v>4972</v>
      </c>
      <c r="I2524" t="str">
        <f t="shared" si="157"/>
        <v>YES</v>
      </c>
      <c r="J2524" t="s">
        <v>2530</v>
      </c>
      <c r="K2524">
        <v>11332591.906500001</v>
      </c>
      <c r="L2524" s="1">
        <f t="shared" si="158"/>
        <v>0</v>
      </c>
      <c r="M2524" s="1">
        <f t="shared" si="159"/>
        <v>0</v>
      </c>
      <c r="N2524" s="1">
        <f t="shared" si="160"/>
        <v>0</v>
      </c>
      <c r="O2524" s="1"/>
    </row>
    <row r="2525" spans="1:15" x14ac:dyDescent="0.25">
      <c r="A2525">
        <v>4973</v>
      </c>
      <c r="B2525">
        <v>45.82700328</v>
      </c>
      <c r="C2525">
        <v>0</v>
      </c>
      <c r="D2525">
        <v>45.82700328</v>
      </c>
      <c r="E2525">
        <v>0</v>
      </c>
      <c r="F2525">
        <v>45.82700328</v>
      </c>
      <c r="G2525">
        <v>0</v>
      </c>
      <c r="H2525">
        <v>4973</v>
      </c>
      <c r="I2525" t="str">
        <f t="shared" si="157"/>
        <v>YES</v>
      </c>
      <c r="J2525" t="s">
        <v>2531</v>
      </c>
      <c r="K2525">
        <v>7133868.7964300001</v>
      </c>
      <c r="L2525" s="1">
        <f t="shared" si="158"/>
        <v>0</v>
      </c>
      <c r="M2525" s="1">
        <f t="shared" si="159"/>
        <v>0</v>
      </c>
      <c r="N2525" s="1">
        <f t="shared" si="160"/>
        <v>0</v>
      </c>
      <c r="O2525" s="1"/>
    </row>
    <row r="2526" spans="1:15" x14ac:dyDescent="0.25">
      <c r="A2526">
        <v>4974</v>
      </c>
      <c r="B2526">
        <v>5988.5151089999999</v>
      </c>
      <c r="C2526">
        <v>0</v>
      </c>
      <c r="D2526">
        <v>21260.217570000001</v>
      </c>
      <c r="E2526">
        <v>0</v>
      </c>
      <c r="F2526">
        <v>41330.674249999996</v>
      </c>
      <c r="G2526">
        <v>0</v>
      </c>
      <c r="H2526">
        <v>4974</v>
      </c>
      <c r="I2526" t="str">
        <f t="shared" si="157"/>
        <v>YES</v>
      </c>
      <c r="J2526" t="s">
        <v>2532</v>
      </c>
      <c r="K2526">
        <v>1760560.8963599999</v>
      </c>
      <c r="L2526" s="1">
        <f t="shared" si="158"/>
        <v>0</v>
      </c>
      <c r="M2526" s="1">
        <f t="shared" si="159"/>
        <v>0</v>
      </c>
      <c r="N2526" s="1">
        <f t="shared" si="160"/>
        <v>0</v>
      </c>
      <c r="O2526" s="1"/>
    </row>
    <row r="2527" spans="1:15" x14ac:dyDescent="0.25">
      <c r="A2527">
        <v>4975</v>
      </c>
      <c r="B2527">
        <v>5988.5151089999999</v>
      </c>
      <c r="C2527">
        <v>0</v>
      </c>
      <c r="D2527">
        <v>15920.90071</v>
      </c>
      <c r="E2527">
        <v>0</v>
      </c>
      <c r="F2527">
        <v>38696.065240000004</v>
      </c>
      <c r="G2527">
        <v>0</v>
      </c>
      <c r="H2527">
        <v>4975</v>
      </c>
      <c r="I2527" t="str">
        <f t="shared" si="157"/>
        <v>YES</v>
      </c>
      <c r="J2527" t="s">
        <v>2533</v>
      </c>
      <c r="K2527">
        <v>1179227.2684200001</v>
      </c>
      <c r="L2527" s="1">
        <f t="shared" si="158"/>
        <v>0</v>
      </c>
      <c r="M2527" s="1">
        <f t="shared" si="159"/>
        <v>0</v>
      </c>
      <c r="N2527" s="1">
        <f t="shared" si="160"/>
        <v>0</v>
      </c>
      <c r="O2527" s="1"/>
    </row>
    <row r="2528" spans="1:15" x14ac:dyDescent="0.25">
      <c r="A2528">
        <v>4976</v>
      </c>
      <c r="B2528">
        <v>8362.0148480000007</v>
      </c>
      <c r="C2528">
        <v>0</v>
      </c>
      <c r="D2528">
        <v>23771.415949999999</v>
      </c>
      <c r="E2528">
        <v>0</v>
      </c>
      <c r="F2528">
        <v>56650.276519999999</v>
      </c>
      <c r="G2528">
        <v>0</v>
      </c>
      <c r="H2528">
        <v>4976</v>
      </c>
      <c r="I2528" t="str">
        <f t="shared" si="157"/>
        <v>YES</v>
      </c>
      <c r="J2528" t="s">
        <v>2534</v>
      </c>
      <c r="K2528">
        <v>1537479.8692699999</v>
      </c>
      <c r="L2528" s="1">
        <f t="shared" si="158"/>
        <v>0</v>
      </c>
      <c r="M2528" s="1">
        <f t="shared" si="159"/>
        <v>0</v>
      </c>
      <c r="N2528" s="1">
        <f t="shared" si="160"/>
        <v>0</v>
      </c>
      <c r="O2528" s="1"/>
    </row>
    <row r="2529" spans="1:15" x14ac:dyDescent="0.25">
      <c r="A2529">
        <v>4977</v>
      </c>
      <c r="B2529">
        <v>21953.894990000001</v>
      </c>
      <c r="C2529">
        <v>0</v>
      </c>
      <c r="D2529">
        <v>65706.764710000003</v>
      </c>
      <c r="E2529">
        <v>0</v>
      </c>
      <c r="F2529">
        <v>179766.6164</v>
      </c>
      <c r="G2529">
        <v>0</v>
      </c>
      <c r="H2529">
        <v>4977</v>
      </c>
      <c r="I2529" t="str">
        <f t="shared" si="157"/>
        <v>YES</v>
      </c>
      <c r="J2529" t="s">
        <v>2535</v>
      </c>
      <c r="K2529">
        <v>744233.36540999997</v>
      </c>
      <c r="L2529" s="1">
        <f t="shared" si="158"/>
        <v>0</v>
      </c>
      <c r="M2529" s="1">
        <f t="shared" si="159"/>
        <v>0</v>
      </c>
      <c r="N2529" s="1">
        <f t="shared" si="160"/>
        <v>0</v>
      </c>
      <c r="O2529" s="1"/>
    </row>
    <row r="2530" spans="1:15" x14ac:dyDescent="0.25">
      <c r="A2530">
        <v>4978</v>
      </c>
      <c r="B2530">
        <v>12950.86124</v>
      </c>
      <c r="C2530">
        <v>0</v>
      </c>
      <c r="D2530">
        <v>26930.94644</v>
      </c>
      <c r="E2530">
        <v>0</v>
      </c>
      <c r="F2530">
        <v>73384.798280000003</v>
      </c>
      <c r="G2530">
        <v>0</v>
      </c>
      <c r="H2530">
        <v>4978</v>
      </c>
      <c r="I2530" t="str">
        <f t="shared" si="157"/>
        <v>YES</v>
      </c>
      <c r="J2530" t="s">
        <v>2536</v>
      </c>
      <c r="K2530">
        <v>759510.07779600006</v>
      </c>
      <c r="L2530" s="1">
        <f t="shared" si="158"/>
        <v>0</v>
      </c>
      <c r="M2530" s="1">
        <f t="shared" si="159"/>
        <v>0</v>
      </c>
      <c r="N2530" s="1">
        <f t="shared" si="160"/>
        <v>0</v>
      </c>
      <c r="O2530" s="1"/>
    </row>
    <row r="2531" spans="1:15" x14ac:dyDescent="0.25">
      <c r="A2531">
        <v>4979</v>
      </c>
      <c r="B2531">
        <v>22263.033950000001</v>
      </c>
      <c r="C2531">
        <v>0</v>
      </c>
      <c r="D2531">
        <v>57432.273589999997</v>
      </c>
      <c r="E2531">
        <v>0</v>
      </c>
      <c r="F2531">
        <v>149564.33069999999</v>
      </c>
      <c r="G2531">
        <v>0</v>
      </c>
      <c r="H2531">
        <v>4979</v>
      </c>
      <c r="I2531" t="str">
        <f t="shared" si="157"/>
        <v>YES</v>
      </c>
      <c r="J2531" t="s">
        <v>2537</v>
      </c>
      <c r="K2531">
        <v>461286.19747999997</v>
      </c>
      <c r="L2531" s="1">
        <f t="shared" si="158"/>
        <v>0</v>
      </c>
      <c r="M2531" s="1">
        <f t="shared" si="159"/>
        <v>0</v>
      </c>
      <c r="N2531" s="1">
        <f t="shared" si="160"/>
        <v>0</v>
      </c>
      <c r="O2531" s="1"/>
    </row>
    <row r="2532" spans="1:15" x14ac:dyDescent="0.25">
      <c r="A2532">
        <v>4980</v>
      </c>
      <c r="B2532">
        <v>1379.9195589999999</v>
      </c>
      <c r="C2532">
        <v>0</v>
      </c>
      <c r="D2532">
        <v>5357.672012</v>
      </c>
      <c r="E2532">
        <v>0</v>
      </c>
      <c r="F2532">
        <v>16444.756870000001</v>
      </c>
      <c r="G2532">
        <v>0</v>
      </c>
      <c r="H2532">
        <v>4980</v>
      </c>
      <c r="I2532" t="str">
        <f t="shared" si="157"/>
        <v>YES</v>
      </c>
      <c r="J2532" t="s">
        <v>2538</v>
      </c>
      <c r="K2532">
        <v>1572875.60962</v>
      </c>
      <c r="L2532" s="1">
        <f t="shared" si="158"/>
        <v>0</v>
      </c>
      <c r="M2532" s="1">
        <f t="shared" si="159"/>
        <v>0</v>
      </c>
      <c r="N2532" s="1">
        <f t="shared" si="160"/>
        <v>0</v>
      </c>
      <c r="O2532" s="1"/>
    </row>
    <row r="2533" spans="1:15" x14ac:dyDescent="0.25">
      <c r="A2533">
        <v>4981</v>
      </c>
      <c r="B2533">
        <v>21808.321080000002</v>
      </c>
      <c r="C2533">
        <v>0</v>
      </c>
      <c r="D2533">
        <v>41263.352140000003</v>
      </c>
      <c r="E2533">
        <v>0</v>
      </c>
      <c r="F2533">
        <v>90207.545549999995</v>
      </c>
      <c r="G2533">
        <v>0</v>
      </c>
      <c r="H2533">
        <v>4981</v>
      </c>
      <c r="I2533" t="str">
        <f t="shared" si="157"/>
        <v>YES</v>
      </c>
      <c r="J2533" t="s">
        <v>2539</v>
      </c>
      <c r="K2533">
        <v>1029282.51927</v>
      </c>
      <c r="L2533" s="1">
        <f t="shared" si="158"/>
        <v>0</v>
      </c>
      <c r="M2533" s="1">
        <f t="shared" si="159"/>
        <v>0</v>
      </c>
      <c r="N2533" s="1">
        <f t="shared" si="160"/>
        <v>0</v>
      </c>
      <c r="O2533" s="1"/>
    </row>
    <row r="2534" spans="1:15" x14ac:dyDescent="0.25">
      <c r="A2534">
        <v>4982</v>
      </c>
      <c r="B2534">
        <v>22961.882809999999</v>
      </c>
      <c r="C2534">
        <v>0</v>
      </c>
      <c r="D2534">
        <v>37913.206480000001</v>
      </c>
      <c r="E2534">
        <v>0</v>
      </c>
      <c r="F2534">
        <v>73225.961729999995</v>
      </c>
      <c r="G2534">
        <v>0</v>
      </c>
      <c r="H2534">
        <v>4982</v>
      </c>
      <c r="I2534" t="str">
        <f t="shared" si="157"/>
        <v>YES</v>
      </c>
      <c r="J2534" t="s">
        <v>2540</v>
      </c>
      <c r="K2534">
        <v>703655.56846099999</v>
      </c>
      <c r="L2534" s="1">
        <f t="shared" si="158"/>
        <v>0</v>
      </c>
      <c r="M2534" s="1">
        <f t="shared" si="159"/>
        <v>0</v>
      </c>
      <c r="N2534" s="1">
        <f t="shared" si="160"/>
        <v>0</v>
      </c>
      <c r="O2534" s="1"/>
    </row>
    <row r="2535" spans="1:15" x14ac:dyDescent="0.25">
      <c r="A2535">
        <v>4983</v>
      </c>
      <c r="B2535">
        <v>194.1680178</v>
      </c>
      <c r="C2535">
        <v>0</v>
      </c>
      <c r="D2535">
        <v>194.85220129999999</v>
      </c>
      <c r="E2535">
        <v>0</v>
      </c>
      <c r="F2535">
        <v>264.65990799999997</v>
      </c>
      <c r="G2535">
        <v>0</v>
      </c>
      <c r="H2535">
        <v>4983</v>
      </c>
      <c r="I2535" t="str">
        <f t="shared" si="157"/>
        <v>YES</v>
      </c>
      <c r="J2535" t="s">
        <v>2541</v>
      </c>
      <c r="K2535">
        <v>8824605.7731500007</v>
      </c>
      <c r="L2535" s="1">
        <f t="shared" si="158"/>
        <v>0</v>
      </c>
      <c r="M2535" s="1">
        <f t="shared" si="159"/>
        <v>0</v>
      </c>
      <c r="N2535" s="1">
        <f t="shared" si="160"/>
        <v>0</v>
      </c>
      <c r="O2535" s="1"/>
    </row>
    <row r="2536" spans="1:15" x14ac:dyDescent="0.25">
      <c r="A2536">
        <v>4985</v>
      </c>
      <c r="B2536">
        <v>694.82757479999998</v>
      </c>
      <c r="C2536">
        <v>0</v>
      </c>
      <c r="D2536">
        <v>694.82757479999998</v>
      </c>
      <c r="E2536">
        <v>0</v>
      </c>
      <c r="F2536">
        <v>694.82757479999998</v>
      </c>
      <c r="G2536">
        <v>0</v>
      </c>
      <c r="H2536">
        <v>4985</v>
      </c>
      <c r="I2536" t="str">
        <f t="shared" si="157"/>
        <v>YES</v>
      </c>
      <c r="J2536" t="s">
        <v>2542</v>
      </c>
      <c r="K2536">
        <v>12426721.569700001</v>
      </c>
      <c r="L2536" s="1">
        <f t="shared" si="158"/>
        <v>0</v>
      </c>
      <c r="M2536" s="1">
        <f t="shared" si="159"/>
        <v>0</v>
      </c>
      <c r="N2536" s="1">
        <f t="shared" si="160"/>
        <v>0</v>
      </c>
      <c r="O2536" s="1"/>
    </row>
    <row r="2537" spans="1:15" x14ac:dyDescent="0.25">
      <c r="A2537">
        <v>4986</v>
      </c>
      <c r="B2537">
        <v>406.63174029999999</v>
      </c>
      <c r="C2537">
        <v>0</v>
      </c>
      <c r="D2537">
        <v>406.63174029999999</v>
      </c>
      <c r="E2537">
        <v>0</v>
      </c>
      <c r="F2537">
        <v>406.63174029999999</v>
      </c>
      <c r="G2537">
        <v>0</v>
      </c>
      <c r="H2537">
        <v>4986</v>
      </c>
      <c r="I2537" t="str">
        <f t="shared" si="157"/>
        <v>YES</v>
      </c>
      <c r="J2537" t="s">
        <v>2543</v>
      </c>
      <c r="K2537">
        <v>51075581.131099999</v>
      </c>
      <c r="L2537" s="1">
        <f t="shared" si="158"/>
        <v>0</v>
      </c>
      <c r="M2537" s="1">
        <f t="shared" si="159"/>
        <v>0</v>
      </c>
      <c r="N2537" s="1">
        <f t="shared" si="160"/>
        <v>0</v>
      </c>
      <c r="O2537" s="1"/>
    </row>
    <row r="2538" spans="1:15" x14ac:dyDescent="0.25">
      <c r="A2538">
        <v>4987</v>
      </c>
      <c r="B2538">
        <v>22782.10889</v>
      </c>
      <c r="C2538">
        <v>0</v>
      </c>
      <c r="D2538">
        <v>38570.850599999998</v>
      </c>
      <c r="E2538">
        <v>0</v>
      </c>
      <c r="F2538">
        <v>88130.35497</v>
      </c>
      <c r="G2538">
        <v>0</v>
      </c>
      <c r="H2538">
        <v>4987</v>
      </c>
      <c r="I2538" t="str">
        <f t="shared" si="157"/>
        <v>YES</v>
      </c>
      <c r="J2538" t="s">
        <v>2544</v>
      </c>
      <c r="K2538">
        <v>378260.78045999998</v>
      </c>
      <c r="L2538" s="1">
        <f t="shared" si="158"/>
        <v>0</v>
      </c>
      <c r="M2538" s="1">
        <f t="shared" si="159"/>
        <v>0</v>
      </c>
      <c r="N2538" s="1">
        <f t="shared" si="160"/>
        <v>0</v>
      </c>
      <c r="O2538" s="1"/>
    </row>
    <row r="2539" spans="1:15" x14ac:dyDescent="0.25">
      <c r="A2539">
        <v>4988</v>
      </c>
      <c r="B2539">
        <v>23260.720700000002</v>
      </c>
      <c r="C2539">
        <v>0</v>
      </c>
      <c r="D2539">
        <v>64095.1829</v>
      </c>
      <c r="E2539">
        <v>0</v>
      </c>
      <c r="F2539">
        <v>152458.09160000001</v>
      </c>
      <c r="G2539">
        <v>0</v>
      </c>
      <c r="H2539">
        <v>4988</v>
      </c>
      <c r="I2539" t="str">
        <f t="shared" si="157"/>
        <v>YES</v>
      </c>
      <c r="J2539" t="s">
        <v>2545</v>
      </c>
      <c r="K2539">
        <v>248611.487506</v>
      </c>
      <c r="L2539" s="1">
        <f t="shared" si="158"/>
        <v>0</v>
      </c>
      <c r="M2539" s="1">
        <f t="shared" si="159"/>
        <v>0</v>
      </c>
      <c r="N2539" s="1">
        <f t="shared" si="160"/>
        <v>0</v>
      </c>
      <c r="O2539" s="1"/>
    </row>
    <row r="2540" spans="1:15" x14ac:dyDescent="0.25">
      <c r="A2540">
        <v>5000</v>
      </c>
      <c r="B2540">
        <v>1007.514751</v>
      </c>
      <c r="C2540">
        <v>0</v>
      </c>
      <c r="D2540">
        <v>12994.69356</v>
      </c>
      <c r="E2540">
        <v>0</v>
      </c>
      <c r="F2540">
        <v>37312.149100000002</v>
      </c>
      <c r="G2540">
        <v>0</v>
      </c>
      <c r="H2540">
        <v>5000</v>
      </c>
      <c r="I2540" t="str">
        <f t="shared" si="157"/>
        <v>YES</v>
      </c>
      <c r="J2540" t="s">
        <v>2546</v>
      </c>
      <c r="K2540">
        <v>1584485.1069</v>
      </c>
      <c r="L2540" s="1">
        <f t="shared" si="158"/>
        <v>0</v>
      </c>
      <c r="M2540" s="1">
        <f t="shared" si="159"/>
        <v>0</v>
      </c>
      <c r="N2540" s="1">
        <f t="shared" si="160"/>
        <v>0</v>
      </c>
      <c r="O2540" s="1"/>
    </row>
    <row r="2541" spans="1:15" x14ac:dyDescent="0.25">
      <c r="A2541">
        <v>5001</v>
      </c>
      <c r="B2541">
        <v>771.72768910000002</v>
      </c>
      <c r="C2541">
        <v>0</v>
      </c>
      <c r="D2541">
        <v>13588.70865</v>
      </c>
      <c r="E2541">
        <v>0</v>
      </c>
      <c r="F2541">
        <v>43306.541010000001</v>
      </c>
      <c r="G2541">
        <v>0</v>
      </c>
      <c r="H2541">
        <v>5001</v>
      </c>
      <c r="I2541" t="str">
        <f t="shared" si="157"/>
        <v>YES</v>
      </c>
      <c r="J2541" t="s">
        <v>2547</v>
      </c>
      <c r="K2541">
        <v>1398442.5210599999</v>
      </c>
      <c r="L2541" s="1">
        <f t="shared" si="158"/>
        <v>0</v>
      </c>
      <c r="M2541" s="1">
        <f t="shared" si="159"/>
        <v>0</v>
      </c>
      <c r="N2541" s="1">
        <f t="shared" si="160"/>
        <v>0</v>
      </c>
      <c r="O2541" s="1"/>
    </row>
    <row r="2542" spans="1:15" x14ac:dyDescent="0.25">
      <c r="A2542">
        <v>5002</v>
      </c>
      <c r="B2542">
        <v>6380.7616749999997</v>
      </c>
      <c r="C2542">
        <v>0</v>
      </c>
      <c r="D2542">
        <v>6380.7616749999997</v>
      </c>
      <c r="E2542">
        <v>0</v>
      </c>
      <c r="F2542">
        <v>11884.127759999999</v>
      </c>
      <c r="G2542">
        <v>0</v>
      </c>
      <c r="H2542">
        <v>5002</v>
      </c>
      <c r="I2542" t="str">
        <f t="shared" si="157"/>
        <v>YES</v>
      </c>
      <c r="J2542" t="s">
        <v>2548</v>
      </c>
      <c r="K2542">
        <v>5396323.3450499997</v>
      </c>
      <c r="L2542" s="1">
        <f t="shared" si="158"/>
        <v>0</v>
      </c>
      <c r="M2542" s="1">
        <f t="shared" si="159"/>
        <v>0</v>
      </c>
      <c r="N2542" s="1">
        <f t="shared" si="160"/>
        <v>0</v>
      </c>
      <c r="O2542" s="1"/>
    </row>
    <row r="2543" spans="1:15" x14ac:dyDescent="0.25">
      <c r="A2543">
        <v>5005</v>
      </c>
      <c r="B2543">
        <v>2330.7343700000001</v>
      </c>
      <c r="C2543">
        <v>0</v>
      </c>
      <c r="D2543">
        <v>24566.920249999999</v>
      </c>
      <c r="E2543">
        <v>0</v>
      </c>
      <c r="F2543">
        <v>58273.161189999999</v>
      </c>
      <c r="G2543">
        <v>0</v>
      </c>
      <c r="H2543">
        <v>5005</v>
      </c>
      <c r="I2543" t="str">
        <f t="shared" si="157"/>
        <v>YES</v>
      </c>
      <c r="J2543" t="s">
        <v>2549</v>
      </c>
      <c r="K2543">
        <v>769500.82241899997</v>
      </c>
      <c r="L2543" s="1">
        <f t="shared" si="158"/>
        <v>0</v>
      </c>
      <c r="M2543" s="1">
        <f t="shared" si="159"/>
        <v>0</v>
      </c>
      <c r="N2543" s="1">
        <f t="shared" si="160"/>
        <v>0</v>
      </c>
      <c r="O2543" s="1"/>
    </row>
    <row r="2544" spans="1:15" x14ac:dyDescent="0.25">
      <c r="A2544">
        <v>5006</v>
      </c>
      <c r="B2544">
        <v>469.23621220000001</v>
      </c>
      <c r="C2544">
        <v>0</v>
      </c>
      <c r="D2544">
        <v>13501.846320000001</v>
      </c>
      <c r="E2544">
        <v>0</v>
      </c>
      <c r="F2544">
        <v>40601.29666</v>
      </c>
      <c r="G2544">
        <v>0</v>
      </c>
      <c r="H2544">
        <v>5006</v>
      </c>
      <c r="I2544" t="str">
        <f t="shared" si="157"/>
        <v>YES</v>
      </c>
      <c r="J2544" t="s">
        <v>2550</v>
      </c>
      <c r="K2544">
        <v>1718682.4861099999</v>
      </c>
      <c r="L2544" s="1">
        <f t="shared" si="158"/>
        <v>0</v>
      </c>
      <c r="M2544" s="1">
        <f t="shared" si="159"/>
        <v>0</v>
      </c>
      <c r="N2544" s="1">
        <f t="shared" si="160"/>
        <v>0</v>
      </c>
      <c r="O2544" s="1"/>
    </row>
    <row r="2545" spans="1:15" x14ac:dyDescent="0.25">
      <c r="A2545">
        <v>5007</v>
      </c>
      <c r="B2545">
        <v>6841.0291399999996</v>
      </c>
      <c r="C2545">
        <v>0</v>
      </c>
      <c r="D2545">
        <v>22063.22005</v>
      </c>
      <c r="E2545">
        <v>0</v>
      </c>
      <c r="F2545">
        <v>53240.268129999997</v>
      </c>
      <c r="G2545">
        <v>0</v>
      </c>
      <c r="H2545">
        <v>5007</v>
      </c>
      <c r="I2545" t="str">
        <f t="shared" si="157"/>
        <v>YES</v>
      </c>
      <c r="J2545" t="s">
        <v>2551</v>
      </c>
      <c r="K2545">
        <v>1155029.2039999999</v>
      </c>
      <c r="L2545" s="1">
        <f t="shared" si="158"/>
        <v>0</v>
      </c>
      <c r="M2545" s="1">
        <f t="shared" si="159"/>
        <v>0</v>
      </c>
      <c r="N2545" s="1">
        <f t="shared" si="160"/>
        <v>0</v>
      </c>
      <c r="O2545" s="1"/>
    </row>
    <row r="2546" spans="1:15" x14ac:dyDescent="0.25">
      <c r="A2546">
        <v>5008</v>
      </c>
      <c r="B2546">
        <v>1861.4981580000001</v>
      </c>
      <c r="C2546">
        <v>0</v>
      </c>
      <c r="D2546">
        <v>24566.920249999999</v>
      </c>
      <c r="E2546">
        <v>0</v>
      </c>
      <c r="F2546">
        <v>44318.786670000001</v>
      </c>
      <c r="G2546">
        <v>0</v>
      </c>
      <c r="H2546">
        <v>5008</v>
      </c>
      <c r="I2546" t="str">
        <f t="shared" si="157"/>
        <v>YES</v>
      </c>
      <c r="J2546" t="s">
        <v>2552</v>
      </c>
      <c r="K2546">
        <v>1278572.8668800001</v>
      </c>
      <c r="L2546" s="1">
        <f t="shared" si="158"/>
        <v>0</v>
      </c>
      <c r="M2546" s="1">
        <f t="shared" si="159"/>
        <v>0</v>
      </c>
      <c r="N2546" s="1">
        <f t="shared" si="160"/>
        <v>0</v>
      </c>
      <c r="O2546" s="1"/>
    </row>
    <row r="2547" spans="1:15" x14ac:dyDescent="0.25">
      <c r="A2547">
        <v>5009</v>
      </c>
      <c r="B2547">
        <v>445.66613109999997</v>
      </c>
      <c r="C2547">
        <v>0</v>
      </c>
      <c r="D2547">
        <v>1935.13858</v>
      </c>
      <c r="E2547">
        <v>0</v>
      </c>
      <c r="F2547">
        <v>24566.920249999999</v>
      </c>
      <c r="G2547">
        <v>0</v>
      </c>
      <c r="H2547">
        <v>5009</v>
      </c>
      <c r="I2547" t="str">
        <f t="shared" si="157"/>
        <v>YES</v>
      </c>
      <c r="J2547" t="s">
        <v>2553</v>
      </c>
      <c r="K2547">
        <v>1374115.4160500001</v>
      </c>
      <c r="L2547" s="1">
        <f t="shared" si="158"/>
        <v>0</v>
      </c>
      <c r="M2547" s="1">
        <f t="shared" si="159"/>
        <v>0</v>
      </c>
      <c r="N2547" s="1">
        <f t="shared" si="160"/>
        <v>0</v>
      </c>
      <c r="O2547" s="1"/>
    </row>
    <row r="2548" spans="1:15" x14ac:dyDescent="0.25">
      <c r="A2548">
        <v>5010</v>
      </c>
      <c r="B2548">
        <v>2187.4521009999999</v>
      </c>
      <c r="C2548">
        <v>0</v>
      </c>
      <c r="D2548">
        <v>24566.920249999999</v>
      </c>
      <c r="E2548">
        <v>0</v>
      </c>
      <c r="F2548">
        <v>48785.135219999996</v>
      </c>
      <c r="G2548">
        <v>0</v>
      </c>
      <c r="H2548">
        <v>5010</v>
      </c>
      <c r="I2548" t="str">
        <f t="shared" si="157"/>
        <v>YES</v>
      </c>
      <c r="J2548" t="s">
        <v>2554</v>
      </c>
      <c r="K2548">
        <v>894575.80106900004</v>
      </c>
      <c r="L2548" s="1">
        <f t="shared" si="158"/>
        <v>0</v>
      </c>
      <c r="M2548" s="1">
        <f t="shared" si="159"/>
        <v>0</v>
      </c>
      <c r="N2548" s="1">
        <f t="shared" si="160"/>
        <v>0</v>
      </c>
      <c r="O2548" s="1"/>
    </row>
    <row r="2549" spans="1:15" x14ac:dyDescent="0.25">
      <c r="A2549">
        <v>5011</v>
      </c>
      <c r="B2549">
        <v>6678.764255</v>
      </c>
      <c r="C2549">
        <v>0</v>
      </c>
      <c r="D2549">
        <v>58297.573329999999</v>
      </c>
      <c r="E2549">
        <v>0</v>
      </c>
      <c r="F2549">
        <v>161385.18669999999</v>
      </c>
      <c r="G2549">
        <v>0</v>
      </c>
      <c r="H2549">
        <v>5011</v>
      </c>
      <c r="I2549" t="str">
        <f t="shared" si="157"/>
        <v>YES</v>
      </c>
      <c r="J2549" t="s">
        <v>2555</v>
      </c>
      <c r="K2549">
        <v>515956.617027</v>
      </c>
      <c r="L2549" s="1">
        <f t="shared" si="158"/>
        <v>0</v>
      </c>
      <c r="M2549" s="1">
        <f t="shared" si="159"/>
        <v>0</v>
      </c>
      <c r="N2549" s="1">
        <f t="shared" si="160"/>
        <v>0</v>
      </c>
      <c r="O2549" s="1"/>
    </row>
    <row r="2550" spans="1:15" x14ac:dyDescent="0.25">
      <c r="A2550">
        <v>5012</v>
      </c>
      <c r="B2550">
        <v>4675.4146129999999</v>
      </c>
      <c r="C2550">
        <v>0</v>
      </c>
      <c r="D2550">
        <v>35365.109680000001</v>
      </c>
      <c r="E2550">
        <v>0</v>
      </c>
      <c r="F2550">
        <v>83442.89748</v>
      </c>
      <c r="G2550">
        <v>0</v>
      </c>
      <c r="H2550">
        <v>5012</v>
      </c>
      <c r="I2550" t="str">
        <f t="shared" si="157"/>
        <v>YES</v>
      </c>
      <c r="J2550" t="s">
        <v>2556</v>
      </c>
      <c r="K2550">
        <v>944931.52046499995</v>
      </c>
      <c r="L2550" s="1">
        <f t="shared" si="158"/>
        <v>0</v>
      </c>
      <c r="M2550" s="1">
        <f t="shared" si="159"/>
        <v>0</v>
      </c>
      <c r="N2550" s="1">
        <f t="shared" si="160"/>
        <v>0</v>
      </c>
      <c r="O2550" s="1"/>
    </row>
    <row r="2551" spans="1:15" x14ac:dyDescent="0.25">
      <c r="A2551">
        <v>5013</v>
      </c>
      <c r="B2551">
        <v>3925.0945660000002</v>
      </c>
      <c r="C2551">
        <v>0</v>
      </c>
      <c r="D2551">
        <v>6677.418525</v>
      </c>
      <c r="E2551">
        <v>0</v>
      </c>
      <c r="F2551">
        <v>14246.95613</v>
      </c>
      <c r="G2551">
        <v>0</v>
      </c>
      <c r="H2551">
        <v>5013</v>
      </c>
      <c r="I2551" t="str">
        <f t="shared" si="157"/>
        <v>YES</v>
      </c>
      <c r="J2551" t="s">
        <v>2557</v>
      </c>
      <c r="K2551">
        <v>2609042.7542500002</v>
      </c>
      <c r="L2551" s="1">
        <f t="shared" si="158"/>
        <v>0</v>
      </c>
      <c r="M2551" s="1">
        <f t="shared" si="159"/>
        <v>0</v>
      </c>
      <c r="N2551" s="1">
        <f t="shared" si="160"/>
        <v>0</v>
      </c>
      <c r="O2551" s="1"/>
    </row>
    <row r="2552" spans="1:15" x14ac:dyDescent="0.25">
      <c r="A2552">
        <v>5014</v>
      </c>
      <c r="B2552">
        <v>5405.2822230000002</v>
      </c>
      <c r="C2552">
        <v>0</v>
      </c>
      <c r="D2552">
        <v>12023.88255</v>
      </c>
      <c r="E2552">
        <v>0</v>
      </c>
      <c r="F2552">
        <v>64306.016559999996</v>
      </c>
      <c r="G2552">
        <v>0</v>
      </c>
      <c r="H2552">
        <v>5014</v>
      </c>
      <c r="I2552" t="str">
        <f t="shared" si="157"/>
        <v>YES</v>
      </c>
      <c r="J2552" t="s">
        <v>2558</v>
      </c>
      <c r="K2552">
        <v>695042.90972600004</v>
      </c>
      <c r="L2552" s="1">
        <f t="shared" si="158"/>
        <v>0</v>
      </c>
      <c r="M2552" s="1">
        <f t="shared" si="159"/>
        <v>0</v>
      </c>
      <c r="N2552" s="1">
        <f t="shared" si="160"/>
        <v>0</v>
      </c>
      <c r="O2552" s="1"/>
    </row>
    <row r="2553" spans="1:15" x14ac:dyDescent="0.25">
      <c r="A2553">
        <v>5015</v>
      </c>
      <c r="B2553">
        <v>2025.1074060000001</v>
      </c>
      <c r="C2553">
        <v>0</v>
      </c>
      <c r="D2553">
        <v>13043.8475</v>
      </c>
      <c r="E2553">
        <v>0</v>
      </c>
      <c r="F2553">
        <v>69213.065170000002</v>
      </c>
      <c r="G2553">
        <v>0</v>
      </c>
      <c r="H2553">
        <v>5015</v>
      </c>
      <c r="I2553" t="str">
        <f t="shared" si="157"/>
        <v>YES</v>
      </c>
      <c r="J2553" t="s">
        <v>2559</v>
      </c>
      <c r="K2553">
        <v>2429179.2755100001</v>
      </c>
      <c r="L2553" s="1">
        <f t="shared" si="158"/>
        <v>0</v>
      </c>
      <c r="M2553" s="1">
        <f t="shared" si="159"/>
        <v>0</v>
      </c>
      <c r="N2553" s="1">
        <f t="shared" si="160"/>
        <v>0</v>
      </c>
      <c r="O2553" s="1"/>
    </row>
    <row r="2554" spans="1:15" x14ac:dyDescent="0.25">
      <c r="A2554">
        <v>5016</v>
      </c>
      <c r="B2554">
        <v>3126.4843719999999</v>
      </c>
      <c r="C2554">
        <v>0</v>
      </c>
      <c r="D2554">
        <v>9132.7209590000002</v>
      </c>
      <c r="E2554">
        <v>0</v>
      </c>
      <c r="F2554">
        <v>37832.99093</v>
      </c>
      <c r="G2554">
        <v>0</v>
      </c>
      <c r="H2554">
        <v>5016</v>
      </c>
      <c r="I2554" t="str">
        <f t="shared" si="157"/>
        <v>YES</v>
      </c>
      <c r="J2554" t="s">
        <v>2560</v>
      </c>
      <c r="K2554">
        <v>1342395.31015</v>
      </c>
      <c r="L2554" s="1">
        <f t="shared" si="158"/>
        <v>0</v>
      </c>
      <c r="M2554" s="1">
        <f t="shared" si="159"/>
        <v>0</v>
      </c>
      <c r="N2554" s="1">
        <f t="shared" si="160"/>
        <v>0</v>
      </c>
      <c r="O2554" s="1"/>
    </row>
    <row r="2555" spans="1:15" x14ac:dyDescent="0.25">
      <c r="A2555">
        <v>5017</v>
      </c>
      <c r="B2555">
        <v>3220.5478229999999</v>
      </c>
      <c r="C2555">
        <v>0</v>
      </c>
      <c r="D2555">
        <v>15572.52111</v>
      </c>
      <c r="E2555">
        <v>0</v>
      </c>
      <c r="F2555">
        <v>84275.026970000006</v>
      </c>
      <c r="G2555">
        <v>0</v>
      </c>
      <c r="H2555">
        <v>5017</v>
      </c>
      <c r="I2555" t="str">
        <f t="shared" si="157"/>
        <v>YES</v>
      </c>
      <c r="J2555" t="s">
        <v>2561</v>
      </c>
      <c r="K2555">
        <v>429917.00412699999</v>
      </c>
      <c r="L2555" s="1">
        <f t="shared" si="158"/>
        <v>0</v>
      </c>
      <c r="M2555" s="1">
        <f t="shared" si="159"/>
        <v>0</v>
      </c>
      <c r="N2555" s="1">
        <f t="shared" si="160"/>
        <v>0</v>
      </c>
      <c r="O2555" s="1"/>
    </row>
    <row r="2556" spans="1:15" x14ac:dyDescent="0.25">
      <c r="A2556">
        <v>5018</v>
      </c>
      <c r="B2556">
        <v>12132.25203</v>
      </c>
      <c r="C2556">
        <v>0</v>
      </c>
      <c r="D2556">
        <v>61046.778120000003</v>
      </c>
      <c r="E2556">
        <v>0</v>
      </c>
      <c r="F2556">
        <v>168572.85560000001</v>
      </c>
      <c r="G2556">
        <v>0</v>
      </c>
      <c r="H2556">
        <v>5018</v>
      </c>
      <c r="I2556" t="str">
        <f t="shared" si="157"/>
        <v>YES</v>
      </c>
      <c r="J2556" t="s">
        <v>2562</v>
      </c>
      <c r="K2556">
        <v>738352.97177599999</v>
      </c>
      <c r="L2556" s="1">
        <f t="shared" si="158"/>
        <v>0</v>
      </c>
      <c r="M2556" s="1">
        <f t="shared" si="159"/>
        <v>0</v>
      </c>
      <c r="N2556" s="1">
        <f t="shared" si="160"/>
        <v>0</v>
      </c>
      <c r="O2556" s="1"/>
    </row>
    <row r="2557" spans="1:15" x14ac:dyDescent="0.25">
      <c r="A2557">
        <v>5019</v>
      </c>
      <c r="B2557">
        <v>3748.2695610000001</v>
      </c>
      <c r="C2557">
        <v>0</v>
      </c>
      <c r="D2557">
        <v>20675.162830000001</v>
      </c>
      <c r="E2557">
        <v>0</v>
      </c>
      <c r="F2557">
        <v>82482.206090000007</v>
      </c>
      <c r="G2557">
        <v>0</v>
      </c>
      <c r="H2557">
        <v>5019</v>
      </c>
      <c r="I2557" t="str">
        <f t="shared" si="157"/>
        <v>YES</v>
      </c>
      <c r="J2557" t="s">
        <v>2563</v>
      </c>
      <c r="K2557">
        <v>780736.08045899996</v>
      </c>
      <c r="L2557" s="1">
        <f t="shared" si="158"/>
        <v>0</v>
      </c>
      <c r="M2557" s="1">
        <f t="shared" si="159"/>
        <v>0</v>
      </c>
      <c r="N2557" s="1">
        <f t="shared" si="160"/>
        <v>0</v>
      </c>
      <c r="O2557" s="1"/>
    </row>
    <row r="2558" spans="1:15" x14ac:dyDescent="0.25">
      <c r="A2558">
        <v>5020</v>
      </c>
      <c r="B2558">
        <v>670.14257450000002</v>
      </c>
      <c r="C2558">
        <v>0</v>
      </c>
      <c r="D2558">
        <v>10866.069579999999</v>
      </c>
      <c r="E2558">
        <v>0</v>
      </c>
      <c r="F2558">
        <v>64919.606010000003</v>
      </c>
      <c r="G2558">
        <v>0</v>
      </c>
      <c r="H2558">
        <v>5020</v>
      </c>
      <c r="I2558" t="str">
        <f t="shared" si="157"/>
        <v>YES</v>
      </c>
      <c r="J2558" t="s">
        <v>2564</v>
      </c>
      <c r="K2558">
        <v>1285193.30431</v>
      </c>
      <c r="L2558" s="1">
        <f t="shared" si="158"/>
        <v>0</v>
      </c>
      <c r="M2558" s="1">
        <f t="shared" si="159"/>
        <v>0</v>
      </c>
      <c r="N2558" s="1">
        <f t="shared" si="160"/>
        <v>0</v>
      </c>
      <c r="O2558" s="1"/>
    </row>
    <row r="2559" spans="1:15" x14ac:dyDescent="0.25">
      <c r="A2559">
        <v>5021</v>
      </c>
      <c r="B2559">
        <v>2939.5414970000002</v>
      </c>
      <c r="C2559">
        <v>0</v>
      </c>
      <c r="D2559">
        <v>16679.07631</v>
      </c>
      <c r="E2559">
        <v>0</v>
      </c>
      <c r="F2559">
        <v>71944.781480000005</v>
      </c>
      <c r="G2559">
        <v>0</v>
      </c>
      <c r="H2559">
        <v>5021</v>
      </c>
      <c r="I2559" t="str">
        <f t="shared" si="157"/>
        <v>YES</v>
      </c>
      <c r="J2559" t="s">
        <v>2565</v>
      </c>
      <c r="K2559">
        <v>1527374.8359600001</v>
      </c>
      <c r="L2559" s="1">
        <f t="shared" si="158"/>
        <v>0</v>
      </c>
      <c r="M2559" s="1">
        <f t="shared" si="159"/>
        <v>0</v>
      </c>
      <c r="N2559" s="1">
        <f t="shared" si="160"/>
        <v>0</v>
      </c>
      <c r="O2559" s="1"/>
    </row>
    <row r="2560" spans="1:15" x14ac:dyDescent="0.25">
      <c r="A2560">
        <v>5022</v>
      </c>
      <c r="B2560">
        <v>1864.1452180000001</v>
      </c>
      <c r="C2560">
        <v>0</v>
      </c>
      <c r="D2560">
        <v>17869.465639999999</v>
      </c>
      <c r="E2560">
        <v>0</v>
      </c>
      <c r="F2560">
        <v>73579.286869999996</v>
      </c>
      <c r="G2560">
        <v>0</v>
      </c>
      <c r="H2560">
        <v>5022</v>
      </c>
      <c r="I2560" t="str">
        <f t="shared" si="157"/>
        <v>YES</v>
      </c>
      <c r="J2560" t="s">
        <v>2566</v>
      </c>
      <c r="K2560">
        <v>828110.13501600001</v>
      </c>
      <c r="L2560" s="1">
        <f t="shared" si="158"/>
        <v>0</v>
      </c>
      <c r="M2560" s="1">
        <f t="shared" si="159"/>
        <v>0</v>
      </c>
      <c r="N2560" s="1">
        <f t="shared" si="160"/>
        <v>0</v>
      </c>
      <c r="O2560" s="1"/>
    </row>
    <row r="2561" spans="1:15" x14ac:dyDescent="0.25">
      <c r="A2561">
        <v>5023</v>
      </c>
      <c r="B2561">
        <v>3443.2597810000002</v>
      </c>
      <c r="C2561">
        <v>0</v>
      </c>
      <c r="D2561">
        <v>31674.992579999998</v>
      </c>
      <c r="E2561">
        <v>0</v>
      </c>
      <c r="F2561">
        <v>88819.176189999998</v>
      </c>
      <c r="G2561">
        <v>0</v>
      </c>
      <c r="H2561">
        <v>5023</v>
      </c>
      <c r="I2561" t="str">
        <f t="shared" si="157"/>
        <v>YES</v>
      </c>
      <c r="J2561" t="s">
        <v>2567</v>
      </c>
      <c r="K2561">
        <v>953597.67731299996</v>
      </c>
      <c r="L2561" s="1">
        <f t="shared" si="158"/>
        <v>0</v>
      </c>
      <c r="M2561" s="1">
        <f t="shared" si="159"/>
        <v>0</v>
      </c>
      <c r="N2561" s="1">
        <f t="shared" si="160"/>
        <v>0</v>
      </c>
      <c r="O2561" s="1"/>
    </row>
    <row r="2562" spans="1:15" x14ac:dyDescent="0.25">
      <c r="A2562">
        <v>5024</v>
      </c>
      <c r="B2562">
        <v>941.91083760000004</v>
      </c>
      <c r="C2562">
        <v>0</v>
      </c>
      <c r="D2562">
        <v>16592.787049999999</v>
      </c>
      <c r="E2562">
        <v>0</v>
      </c>
      <c r="F2562">
        <v>55575.001810000002</v>
      </c>
      <c r="G2562">
        <v>0</v>
      </c>
      <c r="H2562">
        <v>5024</v>
      </c>
      <c r="I2562" t="str">
        <f t="shared" ref="I2562" si="161">IF(A2562=H2562,"YES","NO")</f>
        <v>YES</v>
      </c>
      <c r="J2562" t="s">
        <v>2568</v>
      </c>
      <c r="K2562">
        <v>1587113.9475799999</v>
      </c>
      <c r="L2562" s="1">
        <f>$U$2*$K2562*C2562</f>
        <v>0</v>
      </c>
      <c r="M2562" s="1">
        <f t="shared" si="159"/>
        <v>0</v>
      </c>
      <c r="N2562" s="1">
        <f t="shared" si="160"/>
        <v>0</v>
      </c>
      <c r="O2562" s="1"/>
    </row>
    <row r="2563" spans="1:15" x14ac:dyDescent="0.25">
      <c r="A2563">
        <v>5025</v>
      </c>
      <c r="B2563">
        <v>2575.4011639999999</v>
      </c>
      <c r="C2563">
        <v>0</v>
      </c>
      <c r="D2563">
        <v>24338.753519999998</v>
      </c>
      <c r="E2563">
        <v>0</v>
      </c>
      <c r="F2563">
        <v>69400.023069999996</v>
      </c>
      <c r="G2563">
        <v>0</v>
      </c>
      <c r="H2563">
        <v>5025</v>
      </c>
      <c r="I2563" t="str">
        <f t="shared" ref="I2563" si="162">IF(A2563=H2563,"YES","NO")</f>
        <v>YES</v>
      </c>
      <c r="J2563" t="s">
        <v>2569</v>
      </c>
      <c r="K2563">
        <v>817755.76250299998</v>
      </c>
      <c r="L2563" s="1">
        <f>$U$2*$K2563*C2563</f>
        <v>0</v>
      </c>
      <c r="M2563" s="1">
        <f t="shared" si="159"/>
        <v>0</v>
      </c>
      <c r="N2563" s="1">
        <f t="shared" ref="N2563" si="163">$U$4*$K2563*G2563</f>
        <v>0</v>
      </c>
      <c r="O256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1974 LVA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Mills</dc:creator>
  <cp:lastModifiedBy>Stuart Mills</cp:lastModifiedBy>
  <dcterms:created xsi:type="dcterms:W3CDTF">2024-10-24T11:45:24Z</dcterms:created>
  <dcterms:modified xsi:type="dcterms:W3CDTF">2024-10-24T12:13:24Z</dcterms:modified>
</cp:coreProperties>
</file>