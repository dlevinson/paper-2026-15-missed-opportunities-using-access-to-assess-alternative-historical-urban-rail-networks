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Lightrail\Extensive\"/>
    </mc:Choice>
  </mc:AlternateContent>
  <xr:revisionPtr revIDLastSave="0" documentId="13_ncr:1_{A84F0638-B34D-4ABB-A071-1BFE1D21839D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<sst xmlns="http://schemas.openxmlformats.org/spreadsheetml/2006/main" count="2595" uniqueCount="2587">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</sst>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18" sqref="T18:Y1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4831.4843049999999</v>
      </c>
      <c r="F2">
        <v>1099931.1640000001</v>
      </c>
      <c r="G2">
        <v>2977.715091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3417004.3507324196</v>
      </c>
      <c r="N2" s="1">
        <f>$U$4*$K2*G2</f>
        <v>985352.85388783528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8850</v>
      </c>
      <c r="D3">
        <v>754544.03890000004</v>
      </c>
      <c r="E3">
        <v>9323.6072449999992</v>
      </c>
      <c r="F3">
        <v>1188749.6769999999</v>
      </c>
      <c r="G3">
        <v>4810.5017989999997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21424796.780439001</v>
      </c>
      <c r="M3" s="1">
        <f t="shared" ref="M3:M66" si="2">$U$3*$K3*E3</f>
        <v>7570081.3777794549</v>
      </c>
      <c r="N3" s="1">
        <f t="shared" ref="N3:N66" si="3">$U$4*$K3*G3</f>
        <v>1827471.6023402251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21400</v>
      </c>
      <c r="D4">
        <v>912192.62890000001</v>
      </c>
      <c r="E4">
        <v>7923.6107330000004</v>
      </c>
      <c r="F4">
        <v>1336597.4709999999</v>
      </c>
      <c r="G4">
        <v>5902.6183250000004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21417765.3126879</v>
      </c>
      <c r="M4" s="1">
        <f t="shared" si="2"/>
        <v>2659663.2389396545</v>
      </c>
      <c r="N4" s="1">
        <f t="shared" si="3"/>
        <v>927025.96617919055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15100</v>
      </c>
      <c r="D5">
        <v>1001489.622</v>
      </c>
      <c r="E5">
        <v>19615.166450000001</v>
      </c>
      <c r="F5">
        <v>1434338.5179999999</v>
      </c>
      <c r="G5">
        <v>4776.4080569999996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6853053.9020336252</v>
      </c>
      <c r="M5" s="1">
        <f t="shared" si="2"/>
        <v>2985673.6494618561</v>
      </c>
      <c r="N5" s="1">
        <f t="shared" si="3"/>
        <v>340169.55181032367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26500</v>
      </c>
      <c r="D6">
        <v>987289.85869999998</v>
      </c>
      <c r="E6">
        <v>23183.213370000001</v>
      </c>
      <c r="F6">
        <v>1425828.1129999999</v>
      </c>
      <c r="G6">
        <v>13860.91951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29113773.573646128</v>
      </c>
      <c r="M6" s="1">
        <f t="shared" si="2"/>
        <v>8542193.3119586539</v>
      </c>
      <c r="N6" s="1">
        <f t="shared" si="3"/>
        <v>2389634.5171518577</v>
      </c>
      <c r="O6" s="1"/>
    </row>
    <row r="7" spans="1:25" x14ac:dyDescent="0.25">
      <c r="A7">
        <v>6</v>
      </c>
      <c r="B7">
        <v>342568.37469999999</v>
      </c>
      <c r="C7" s="1">
        <v>2980</v>
      </c>
      <c r="D7">
        <v>676491.53819999995</v>
      </c>
      <c r="E7">
        <v>4749.3473119999999</v>
      </c>
      <c r="F7">
        <v>1144015.318</v>
      </c>
      <c r="G7">
        <v>3833.8791740000001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2266817.7201636853</v>
      </c>
      <c r="M7" s="1">
        <f t="shared" si="2"/>
        <v>1211650.6003302189</v>
      </c>
      <c r="N7" s="1">
        <f t="shared" si="3"/>
        <v>457641.68061752751</v>
      </c>
      <c r="O7" s="1"/>
    </row>
    <row r="8" spans="1:25" x14ac:dyDescent="0.25">
      <c r="A8">
        <v>7</v>
      </c>
      <c r="B8">
        <v>447450.14120000001</v>
      </c>
      <c r="C8" s="1">
        <v>4210</v>
      </c>
      <c r="D8">
        <v>797901.67200000002</v>
      </c>
      <c r="E8">
        <v>2694.3082829999998</v>
      </c>
      <c r="F8">
        <v>1224440.2320000001</v>
      </c>
      <c r="G8">
        <v>4575.012968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3656642.9586521899</v>
      </c>
      <c r="M8" s="1">
        <f t="shared" si="2"/>
        <v>784857.62970966869</v>
      </c>
      <c r="N8" s="1">
        <f t="shared" si="3"/>
        <v>623561.94899628183</v>
      </c>
      <c r="O8" s="1"/>
    </row>
    <row r="9" spans="1:25" x14ac:dyDescent="0.25">
      <c r="A9">
        <v>8</v>
      </c>
      <c r="B9">
        <v>395243.76449999999</v>
      </c>
      <c r="C9" s="1">
        <v>6220</v>
      </c>
      <c r="D9">
        <v>770947.84470000002</v>
      </c>
      <c r="E9">
        <v>8379.2267709999996</v>
      </c>
      <c r="F9">
        <v>1203647.425</v>
      </c>
      <c r="G9">
        <v>9400.3567500000008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5127819.8327450249</v>
      </c>
      <c r="M9" s="1">
        <f t="shared" si="2"/>
        <v>2316804.8522952269</v>
      </c>
      <c r="N9" s="1">
        <f t="shared" si="3"/>
        <v>1216111.8598337655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4360</v>
      </c>
      <c r="D10">
        <v>609813.4915</v>
      </c>
      <c r="E10">
        <v>18020.591199999999</v>
      </c>
      <c r="F10">
        <v>1089044.08</v>
      </c>
      <c r="G10">
        <v>3997.591719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9472311.63555976</v>
      </c>
      <c r="M10" s="1">
        <f t="shared" si="2"/>
        <v>13130511.977186602</v>
      </c>
      <c r="N10" s="1">
        <f t="shared" si="3"/>
        <v>1362870.968425655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2960</v>
      </c>
      <c r="D11">
        <v>718636.73510000005</v>
      </c>
      <c r="E11">
        <v>23032.64544</v>
      </c>
      <c r="F11">
        <v>1177436.6510000001</v>
      </c>
      <c r="G11">
        <v>6316.0663910000003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3153904.0904506203</v>
      </c>
      <c r="M11" s="1">
        <f t="shared" si="2"/>
        <v>8230831.8697666479</v>
      </c>
      <c r="N11" s="1">
        <f t="shared" si="3"/>
        <v>1056064.0841296904</v>
      </c>
      <c r="O11" s="1"/>
      <c r="S11" s="2" t="str" cm="1">
        <f t="array" ref="S11:S16">TRANSPOSE(L1:Q1)</f>
        <v xml:space="preserve">30 Min Lin </v>
      </c>
      <c r="T11" s="6">
        <f>SUM(L2:L2563)/1000000</f>
        <v>89837.102438803573</v>
      </c>
      <c r="U11" s="3">
        <f>SUM(L$374:L$390,L$395:L$399,L$409:L$418)/1000000</f>
        <v>19081.046719518479</v>
      </c>
      <c r="V11" s="3">
        <f>SUM(L$352:L$377,L$391:L$394)/1000000</f>
        <v>8998.9146959867157</v>
      </c>
      <c r="W11" s="3">
        <f>SUM(L$419:L$479)/1000000</f>
        <v>11494.605070341328</v>
      </c>
      <c r="X11" s="3">
        <f>T11-W11-U11-V11</f>
        <v>50262.535952957049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>
        <v>11172.76943</v>
      </c>
      <c r="F12">
        <v>1103143.1740000001</v>
      </c>
      <c r="G12">
        <v>1474.577665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5084186.7202590546</v>
      </c>
      <c r="N12" s="1">
        <f t="shared" si="3"/>
        <v>313958.3118072736</v>
      </c>
      <c r="O12" s="1"/>
      <c r="S12" s="2" t="str">
        <v>45 Min Lin</v>
      </c>
      <c r="T12" s="6">
        <f>SUM(M2:M2563)/1000000</f>
        <v>72242.334700557883</v>
      </c>
      <c r="U12" s="3">
        <f>SUM(M$374:M$390,M$395:M$399,M$409:M$418)/1000000</f>
        <v>13701.103178686359</v>
      </c>
      <c r="V12" s="3">
        <f>SUM(M$352:M$377,M$391:M$394)/1000000</f>
        <v>10647.338150727968</v>
      </c>
      <c r="W12" s="3">
        <f>SUM(M$419:M$479)/1000000</f>
        <v>18462.735926712987</v>
      </c>
      <c r="X12" s="3">
        <f t="shared" ref="X12:X13" si="4">T12-W12-U12-V12</f>
        <v>29431.157444430566</v>
      </c>
      <c r="Y12" s="3"/>
    </row>
    <row r="13" spans="1:25" x14ac:dyDescent="0.25">
      <c r="A13">
        <v>12</v>
      </c>
      <c r="B13">
        <v>357991.37280000001</v>
      </c>
      <c r="C13" s="1">
        <v>6770</v>
      </c>
      <c r="D13">
        <v>692904.25670000003</v>
      </c>
      <c r="E13">
        <v>7170.5293750000001</v>
      </c>
      <c r="F13">
        <v>1139271.5209999999</v>
      </c>
      <c r="G13">
        <v>7427.4286179999999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6696329.5865225494</v>
      </c>
      <c r="M13" s="1">
        <f t="shared" si="2"/>
        <v>2378715.5334747089</v>
      </c>
      <c r="N13" s="1">
        <f t="shared" si="3"/>
        <v>1152851.7260908454</v>
      </c>
      <c r="O13" s="1"/>
      <c r="S13" s="2" t="str">
        <v>60 Min Lin</v>
      </c>
      <c r="T13" s="6">
        <f>SUM(N2:N2563)/1000000</f>
        <v>45596.760649756521</v>
      </c>
      <c r="U13" s="3">
        <f>SUM(N$374:N$390,N$395:N$399,N$409:N$418)/1000000</f>
        <v>6989.4556755174626</v>
      </c>
      <c r="V13" s="3">
        <f>SUM(N$352:N$377,N$391:N$394)/1000000</f>
        <v>3953.1806270931006</v>
      </c>
      <c r="W13" s="3">
        <f>SUM(N$419:N$479)/1000000</f>
        <v>9296.3733112706341</v>
      </c>
      <c r="X13" s="3">
        <f t="shared" si="4"/>
        <v>25357.751035875324</v>
      </c>
      <c r="Y13" s="4"/>
    </row>
    <row r="14" spans="1:25" x14ac:dyDescent="0.25">
      <c r="A14">
        <v>13</v>
      </c>
      <c r="B14">
        <v>436547.72960000002</v>
      </c>
      <c r="C14" s="1">
        <v>19600</v>
      </c>
      <c r="D14">
        <v>839867.22930000001</v>
      </c>
      <c r="E14">
        <v>3338.7625379999999</v>
      </c>
      <c r="F14">
        <v>1260453.6569999999</v>
      </c>
      <c r="G14">
        <v>2839.5384330000002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8140801.0245016003</v>
      </c>
      <c r="M14" s="1">
        <f t="shared" si="2"/>
        <v>465092.92973329016</v>
      </c>
      <c r="N14" s="1">
        <f t="shared" si="3"/>
        <v>185074.09522894531</v>
      </c>
      <c r="O14" s="1"/>
      <c r="S14" s="2" t="str">
        <v>30 Min Log</v>
      </c>
      <c r="T14" s="6">
        <f>SUM(U14:X14)</f>
        <v>36038.16872667757</v>
      </c>
      <c r="U14" s="7">
        <f>$V2*$Y$2*(SUM(C$374:C$390,C$395:C$399,C$409:C$418))/(SUM(B$374:B$390,B$395:B$399,B$409:B$418))</f>
        <v>6548.3529096228895</v>
      </c>
      <c r="V14" s="7">
        <f>$V2*$Y$3*(SUM(C$352:C$377,C$391:C$394))/(SUM(B$352:B$377,B$391:B$394))</f>
        <v>2846.1920866549549</v>
      </c>
      <c r="W14" s="8">
        <f>V2*$Y$4*(SUM(C$419:C$479))/(SUM(B$419:B$479))</f>
        <v>5651.6783861110525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20991.945344288673</v>
      </c>
    </row>
    <row r="15" spans="1:25" x14ac:dyDescent="0.25">
      <c r="A15">
        <v>14</v>
      </c>
      <c r="B15">
        <v>477278.10139999999</v>
      </c>
      <c r="C15" s="1">
        <v>17000</v>
      </c>
      <c r="D15">
        <v>886862.5466</v>
      </c>
      <c r="E15">
        <v>10260.461359999999</v>
      </c>
      <c r="F15">
        <v>1280429.3540000001</v>
      </c>
      <c r="G15">
        <v>3541.6215870000001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11359153.746937752</v>
      </c>
      <c r="M15" s="1">
        <f t="shared" si="2"/>
        <v>2299360.585194604</v>
      </c>
      <c r="N15" s="1">
        <f t="shared" si="3"/>
        <v>371352.2226480617</v>
      </c>
      <c r="O15" s="1"/>
      <c r="S15" s="2" t="str">
        <v>45 Min Log</v>
      </c>
      <c r="T15" s="6">
        <f>SUM(U15:X15)</f>
        <v>15541.061198426707</v>
      </c>
      <c r="U15" s="7">
        <f>$V3*$Y$2*(SUM(E$374:E$390,E$395:E$399,E$409:E$418))/(SUM(D$374:D$390,D$395:D$399,D$409:D$418))</f>
        <v>2023.1293991928453</v>
      </c>
      <c r="V15" s="7">
        <f>$V3*$Y$3*(SUM(E$352:E$377,E$391:E$394))/(SUM(D$352:D$377,D$391:D$394))</f>
        <v>1685.1124616471157</v>
      </c>
      <c r="W15" s="8">
        <f>V3*$Y$4*(SUM(E$419:E$479))/(SUM(D$419:D$479))</f>
        <v>3493.7320722616064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8339.087265325139</v>
      </c>
    </row>
    <row r="16" spans="1:25" x14ac:dyDescent="0.25">
      <c r="A16">
        <v>15</v>
      </c>
      <c r="B16">
        <v>380423.7929</v>
      </c>
      <c r="C16" s="1">
        <v>8980</v>
      </c>
      <c r="D16">
        <v>729459.53590000002</v>
      </c>
      <c r="E16">
        <v>9005.7993029999998</v>
      </c>
      <c r="F16">
        <v>1190614.932</v>
      </c>
      <c r="G16">
        <v>12406.338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6004162.4925911846</v>
      </c>
      <c r="M16" s="1">
        <f t="shared" si="2"/>
        <v>2019489.0459501562</v>
      </c>
      <c r="N16" s="1">
        <f t="shared" si="3"/>
        <v>1301686.8712662139</v>
      </c>
      <c r="O16" s="1"/>
      <c r="S16" s="2" t="str">
        <v>60 Min Log</v>
      </c>
      <c r="T16" s="6">
        <f>SUM(U16:X16)</f>
        <v>7811.1594106530865</v>
      </c>
      <c r="U16" s="7">
        <f>$V4*$Y$2*(SUM(G$374:G$390,G$395:G$399,G$409:G$418))/(SUM(F$374:F$390,F$395:F$399,F$409:F$418))</f>
        <v>1370.9122507221323</v>
      </c>
      <c r="V16" s="7">
        <f>$V4*$Y$3*(SUM(G$352:G$377,G$391:G$394))/(SUM(F$352:F$377,F$391:F$394))</f>
        <v>704.16504198580526</v>
      </c>
      <c r="W16" s="8">
        <f>V4*$Y$4*(SUM(G$419:G$479))/(SUM(F$419:F$479))</f>
        <v>1177.4163478635498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4558.6657700815995</v>
      </c>
    </row>
    <row r="17" spans="1:25" x14ac:dyDescent="0.25">
      <c r="A17">
        <v>16</v>
      </c>
      <c r="B17">
        <v>500344.1017</v>
      </c>
      <c r="C17" s="1">
        <v>14000</v>
      </c>
      <c r="D17">
        <v>888591.84479999996</v>
      </c>
      <c r="E17">
        <v>15562.92798</v>
      </c>
      <c r="F17">
        <v>1299324.5079999999</v>
      </c>
      <c r="G17">
        <v>16310.90137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11979378.092090499</v>
      </c>
      <c r="M17" s="1">
        <f t="shared" si="2"/>
        <v>4466225.8539936207</v>
      </c>
      <c r="N17" s="1">
        <f t="shared" si="3"/>
        <v>2190135.6442275546</v>
      </c>
      <c r="O17" s="1"/>
    </row>
    <row r="18" spans="1:25" x14ac:dyDescent="0.25">
      <c r="A18">
        <v>17</v>
      </c>
      <c r="B18">
        <v>405817.66460000002</v>
      </c>
      <c r="C18" s="1">
        <v>9240</v>
      </c>
      <c r="D18">
        <v>779015.06539999996</v>
      </c>
      <c r="E18">
        <v>13386.744350000001</v>
      </c>
      <c r="F18">
        <v>1207419.095</v>
      </c>
      <c r="G18">
        <v>6623.8226930000001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12259633.51639026</v>
      </c>
      <c r="M18" s="1">
        <f t="shared" si="2"/>
        <v>5956945.4506287938</v>
      </c>
      <c r="N18" s="1">
        <f t="shared" si="3"/>
        <v>1379116.741052344</v>
      </c>
      <c r="O18" s="1"/>
      <c r="T18" cm="1">
        <f t="array" ref="T18:Y18">TRANSPOSE(T11:T16)</f>
        <v>89837.102438803573</v>
      </c>
      <c r="U18">
        <v>72242.334700557883</v>
      </c>
      <c r="V18">
        <v>45596.760649756521</v>
      </c>
      <c r="W18">
        <v>36038.16872667757</v>
      </c>
      <c r="X18">
        <v>15541.061198426707</v>
      </c>
      <c r="Y18">
        <v>7811.1594106530865</v>
      </c>
    </row>
    <row r="19" spans="1:25" x14ac:dyDescent="0.25">
      <c r="A19">
        <v>18</v>
      </c>
      <c r="B19">
        <v>445777.7329</v>
      </c>
      <c r="C19" s="1">
        <v>2060</v>
      </c>
      <c r="D19">
        <v>828799.30909999995</v>
      </c>
      <c r="E19">
        <v>4479.6915099999997</v>
      </c>
      <c r="F19">
        <v>1258727.352</v>
      </c>
      <c r="G19">
        <v>7880.2130209999996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2115587.622330585</v>
      </c>
      <c r="M19" s="1">
        <f t="shared" si="2"/>
        <v>1542961.3297016867</v>
      </c>
      <c r="N19" s="1">
        <f t="shared" si="3"/>
        <v>1269955.6946323395</v>
      </c>
      <c r="O19" s="1"/>
    </row>
    <row r="20" spans="1:25" x14ac:dyDescent="0.25">
      <c r="A20">
        <v>19</v>
      </c>
      <c r="B20">
        <v>450878.02289999998</v>
      </c>
      <c r="C20" s="1">
        <v>2800</v>
      </c>
      <c r="D20">
        <v>832070.60530000005</v>
      </c>
      <c r="E20">
        <v>5442.1082029999998</v>
      </c>
      <c r="F20">
        <v>1261316.0549999999</v>
      </c>
      <c r="G20">
        <v>8453.8296439999995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10766798.415828001</v>
      </c>
      <c r="M20" s="1">
        <f t="shared" si="2"/>
        <v>7018412.0172438687</v>
      </c>
      <c r="N20" s="1">
        <f t="shared" si="3"/>
        <v>5101158.9676413722</v>
      </c>
      <c r="O20" s="1"/>
    </row>
    <row r="21" spans="1:25" x14ac:dyDescent="0.25">
      <c r="A21">
        <v>20</v>
      </c>
      <c r="B21">
        <v>502288.82179999998</v>
      </c>
      <c r="C21" s="1">
        <v>3560</v>
      </c>
      <c r="D21">
        <v>932607.06099999999</v>
      </c>
      <c r="E21">
        <v>18713.14054</v>
      </c>
      <c r="F21">
        <v>1315359.115</v>
      </c>
      <c r="G21">
        <v>4932.8858819999996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3212954.1885195305</v>
      </c>
      <c r="M21" s="1">
        <f t="shared" si="2"/>
        <v>5664275.2785997335</v>
      </c>
      <c r="N21" s="1">
        <f t="shared" si="3"/>
        <v>698622.25942878006</v>
      </c>
      <c r="O21" s="1"/>
    </row>
    <row r="22" spans="1:25" x14ac:dyDescent="0.25">
      <c r="A22">
        <v>21</v>
      </c>
      <c r="B22">
        <v>541738.39029999997</v>
      </c>
      <c r="C22" s="1">
        <v>14200</v>
      </c>
      <c r="D22">
        <v>967780.33840000001</v>
      </c>
      <c r="E22">
        <v>16473.77133</v>
      </c>
      <c r="F22">
        <v>1346300.28</v>
      </c>
      <c r="G22">
        <v>20448.29623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7376174.9183291001</v>
      </c>
      <c r="M22" s="1">
        <f t="shared" si="2"/>
        <v>2869981.0746511845</v>
      </c>
      <c r="N22" s="1">
        <f t="shared" si="3"/>
        <v>1666812.7190658213</v>
      </c>
      <c r="O22" s="1"/>
    </row>
    <row r="23" spans="1:25" x14ac:dyDescent="0.25">
      <c r="A23">
        <v>22</v>
      </c>
      <c r="B23">
        <v>562585.60560000001</v>
      </c>
      <c r="C23" s="1">
        <v>15800</v>
      </c>
      <c r="D23">
        <v>1004964.159</v>
      </c>
      <c r="E23">
        <v>21978.867470000001</v>
      </c>
      <c r="F23">
        <v>1408220.392</v>
      </c>
      <c r="G23">
        <v>12191.225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10536545.84082685</v>
      </c>
      <c r="M23" s="1">
        <f t="shared" si="2"/>
        <v>4915748.1137985047</v>
      </c>
      <c r="N23" s="1">
        <f t="shared" si="3"/>
        <v>1275778.6668909544</v>
      </c>
      <c r="O23" s="1"/>
    </row>
    <row r="24" spans="1:25" x14ac:dyDescent="0.25">
      <c r="A24">
        <v>23</v>
      </c>
      <c r="B24">
        <v>564141.62809999997</v>
      </c>
      <c r="C24" s="1">
        <v>12600</v>
      </c>
      <c r="D24">
        <v>999994.98849999998</v>
      </c>
      <c r="E24">
        <v>4949.5369049999999</v>
      </c>
      <c r="F24">
        <v>1391814.067</v>
      </c>
      <c r="G24">
        <v>588.23857090000001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9829262.9450925011</v>
      </c>
      <c r="M24" s="1">
        <f t="shared" si="2"/>
        <v>1294965.2422050284</v>
      </c>
      <c r="N24" s="1">
        <f t="shared" si="3"/>
        <v>72009.653474700477</v>
      </c>
      <c r="O24" s="1"/>
    </row>
    <row r="25" spans="1:25" x14ac:dyDescent="0.25">
      <c r="A25">
        <v>24</v>
      </c>
      <c r="B25">
        <v>498597.93070000003</v>
      </c>
      <c r="C25" s="1">
        <v>13000</v>
      </c>
      <c r="D25">
        <v>914110.74549999996</v>
      </c>
      <c r="E25">
        <v>6715.6963910000004</v>
      </c>
      <c r="F25">
        <v>1321500.5060000001</v>
      </c>
      <c r="G25">
        <v>1308.4824470000001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5343837.1218732502</v>
      </c>
      <c r="M25" s="1">
        <f t="shared" si="2"/>
        <v>925857.29145720846</v>
      </c>
      <c r="N25" s="1">
        <f t="shared" si="3"/>
        <v>84404.300770060479</v>
      </c>
      <c r="O25" s="1"/>
    </row>
    <row r="26" spans="1:25" x14ac:dyDescent="0.25">
      <c r="A26">
        <v>25</v>
      </c>
      <c r="B26">
        <v>560605.33940000006</v>
      </c>
      <c r="C26" s="1">
        <v>16700</v>
      </c>
      <c r="D26">
        <v>1019757.0060000001</v>
      </c>
      <c r="E26">
        <v>20797.525549999998</v>
      </c>
      <c r="F26">
        <v>1429100.459</v>
      </c>
      <c r="G26">
        <v>5851.0187040000001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5423076.4208377581</v>
      </c>
      <c r="M26" s="1">
        <f t="shared" si="2"/>
        <v>2265082.6671571373</v>
      </c>
      <c r="N26" s="1">
        <f t="shared" si="3"/>
        <v>298158.74714853946</v>
      </c>
      <c r="O26" s="1"/>
    </row>
    <row r="27" spans="1:25" x14ac:dyDescent="0.25">
      <c r="A27">
        <v>26</v>
      </c>
      <c r="B27">
        <v>634663.14879999997</v>
      </c>
      <c r="C27" s="1">
        <v>29900</v>
      </c>
      <c r="D27">
        <v>1095423.182</v>
      </c>
      <c r="E27">
        <v>27173.55097</v>
      </c>
      <c r="F27">
        <v>1509892.3740000001</v>
      </c>
      <c r="G27">
        <v>14125.784600000001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26527158.045412377</v>
      </c>
      <c r="M27" s="1">
        <f t="shared" si="2"/>
        <v>8085540.7105482072</v>
      </c>
      <c r="N27" s="1">
        <f t="shared" si="3"/>
        <v>1966613.1155731687</v>
      </c>
      <c r="O27" s="1"/>
    </row>
    <row r="28" spans="1:25" x14ac:dyDescent="0.25">
      <c r="A28">
        <v>27</v>
      </c>
      <c r="B28">
        <v>555934.62650000001</v>
      </c>
      <c r="C28" s="1">
        <v>15000</v>
      </c>
      <c r="D28">
        <v>1002145.927</v>
      </c>
      <c r="E28">
        <v>12431.84707</v>
      </c>
      <c r="F28">
        <v>1439892.5109999999</v>
      </c>
      <c r="G28">
        <v>2541.3952850000001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3524448.3668988752</v>
      </c>
      <c r="M28" s="1">
        <f t="shared" si="2"/>
        <v>979667.47451700293</v>
      </c>
      <c r="N28" s="1">
        <f t="shared" si="3"/>
        <v>93704.172216410327</v>
      </c>
      <c r="O28" s="1"/>
    </row>
    <row r="29" spans="1:25" x14ac:dyDescent="0.25">
      <c r="A29">
        <v>28</v>
      </c>
      <c r="B29">
        <v>568716.83239999996</v>
      </c>
      <c r="C29" s="1">
        <v>12700</v>
      </c>
      <c r="D29">
        <v>1028686.291</v>
      </c>
      <c r="E29">
        <v>12272.977580000001</v>
      </c>
      <c r="F29">
        <v>1452619.673</v>
      </c>
      <c r="G29">
        <v>4164.3180769999999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3872283.5050514229</v>
      </c>
      <c r="M29" s="1">
        <f t="shared" si="2"/>
        <v>1255036.9235270969</v>
      </c>
      <c r="N29" s="1">
        <f t="shared" si="3"/>
        <v>199248.07514647671</v>
      </c>
      <c r="O29" s="1"/>
    </row>
    <row r="30" spans="1:25" x14ac:dyDescent="0.25">
      <c r="A30">
        <v>29</v>
      </c>
      <c r="B30">
        <v>603337.15549999999</v>
      </c>
      <c r="C30" s="1">
        <v>15400</v>
      </c>
      <c r="D30">
        <v>1089846.081</v>
      </c>
      <c r="E30">
        <v>14901.438840000001</v>
      </c>
      <c r="F30">
        <v>1497092.192</v>
      </c>
      <c r="G30">
        <v>4438.0149220000003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5993662.8054803498</v>
      </c>
      <c r="M30" s="1">
        <f t="shared" si="2"/>
        <v>1945104.4495216503</v>
      </c>
      <c r="N30" s="1">
        <f t="shared" si="3"/>
        <v>271048.59408113227</v>
      </c>
      <c r="O30" s="1"/>
    </row>
    <row r="31" spans="1:25" x14ac:dyDescent="0.25">
      <c r="A31">
        <v>30</v>
      </c>
      <c r="B31">
        <v>575646.05630000005</v>
      </c>
      <c r="C31" s="1">
        <v>28200</v>
      </c>
      <c r="D31">
        <v>1050928.7930000001</v>
      </c>
      <c r="E31">
        <v>36909.986440000001</v>
      </c>
      <c r="F31">
        <v>1459115.736</v>
      </c>
      <c r="G31">
        <v>19472.271059999999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29410776.96674715</v>
      </c>
      <c r="M31" s="1">
        <f t="shared" si="2"/>
        <v>12910540.132519661</v>
      </c>
      <c r="N31" s="1">
        <f t="shared" si="3"/>
        <v>3186844.0458556423</v>
      </c>
      <c r="O31" s="1"/>
    </row>
    <row r="32" spans="1:25" x14ac:dyDescent="0.25">
      <c r="A32">
        <v>31</v>
      </c>
      <c r="B32">
        <v>586446.74959999998</v>
      </c>
      <c r="C32" s="1">
        <v>39700</v>
      </c>
      <c r="D32">
        <v>1064238.3489999999</v>
      </c>
      <c r="E32">
        <v>27733.876530000001</v>
      </c>
      <c r="F32">
        <v>1451409.389</v>
      </c>
      <c r="G32">
        <v>22262.198219999998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37437749.90010608</v>
      </c>
      <c r="M32" s="1">
        <f t="shared" si="2"/>
        <v>8771481.3973006196</v>
      </c>
      <c r="N32" s="1">
        <f t="shared" si="3"/>
        <v>3294383.0318569485</v>
      </c>
      <c r="O32" s="1"/>
    </row>
    <row r="33" spans="1:15" x14ac:dyDescent="0.25">
      <c r="A33">
        <v>32</v>
      </c>
      <c r="B33">
        <v>598863.00379999995</v>
      </c>
      <c r="C33" s="1">
        <v>33800</v>
      </c>
      <c r="D33">
        <v>1070569.9509999999</v>
      </c>
      <c r="E33">
        <v>15455.54819</v>
      </c>
      <c r="F33">
        <v>1475724.1059999999</v>
      </c>
      <c r="G33">
        <v>10581.68304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13946052.172865152</v>
      </c>
      <c r="M33" s="1">
        <f t="shared" si="2"/>
        <v>2138760.4073335365</v>
      </c>
      <c r="N33" s="1">
        <f t="shared" si="3"/>
        <v>685134.99238786323</v>
      </c>
      <c r="O33" s="1"/>
    </row>
    <row r="34" spans="1:15" x14ac:dyDescent="0.25">
      <c r="A34">
        <v>33</v>
      </c>
      <c r="B34">
        <v>601496.34459999995</v>
      </c>
      <c r="C34" s="1">
        <v>35300</v>
      </c>
      <c r="D34">
        <v>1058122.304</v>
      </c>
      <c r="E34">
        <v>13311.82661</v>
      </c>
      <c r="F34">
        <v>1434478.459</v>
      </c>
      <c r="G34">
        <v>12499.966469999999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15042731.576430677</v>
      </c>
      <c r="M34" s="1">
        <f t="shared" si="2"/>
        <v>1902535.5902373209</v>
      </c>
      <c r="N34" s="1">
        <f t="shared" si="3"/>
        <v>835887.1785968428</v>
      </c>
      <c r="O34" s="1"/>
    </row>
    <row r="35" spans="1:15" x14ac:dyDescent="0.25">
      <c r="A35">
        <v>34</v>
      </c>
      <c r="B35">
        <v>599859.0514</v>
      </c>
      <c r="C35" s="1">
        <v>35200</v>
      </c>
      <c r="D35">
        <v>1055031.0719999999</v>
      </c>
      <c r="E35">
        <v>14171.7688</v>
      </c>
      <c r="F35">
        <v>1425782.25</v>
      </c>
      <c r="G35">
        <v>16187.23472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16089928.089663999</v>
      </c>
      <c r="M35" s="1">
        <f t="shared" si="2"/>
        <v>2172594.2969923499</v>
      </c>
      <c r="N35" s="1">
        <f t="shared" si="3"/>
        <v>1161103.4592116198</v>
      </c>
      <c r="O35" s="1"/>
    </row>
    <row r="36" spans="1:15" x14ac:dyDescent="0.25">
      <c r="A36">
        <v>35</v>
      </c>
      <c r="B36">
        <v>468243.08049999998</v>
      </c>
      <c r="C36" s="1">
        <v>28000</v>
      </c>
      <c r="D36">
        <v>851644.01229999994</v>
      </c>
      <c r="E36">
        <v>33679.966939999998</v>
      </c>
      <c r="F36">
        <v>1265153.023</v>
      </c>
      <c r="G36">
        <v>19872.836449999999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392802009.16775</v>
      </c>
      <c r="M36" s="1">
        <f t="shared" si="2"/>
        <v>158463944.66133606</v>
      </c>
      <c r="N36" s="1">
        <f t="shared" si="3"/>
        <v>43748416.962255701</v>
      </c>
      <c r="O36" s="1"/>
    </row>
    <row r="37" spans="1:15" x14ac:dyDescent="0.25">
      <c r="A37">
        <v>36</v>
      </c>
      <c r="B37">
        <v>601905.54110000003</v>
      </c>
      <c r="C37" s="1">
        <v>7650</v>
      </c>
      <c r="D37">
        <v>1065052.3870000001</v>
      </c>
      <c r="E37">
        <v>3494.4861540000002</v>
      </c>
      <c r="F37">
        <v>1484167.2609999999</v>
      </c>
      <c r="G37">
        <v>2207.5227110000001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4960127.915515013</v>
      </c>
      <c r="M37" s="1">
        <f t="shared" si="2"/>
        <v>759902.55090563477</v>
      </c>
      <c r="N37" s="1">
        <f t="shared" si="3"/>
        <v>224607.07739414321</v>
      </c>
      <c r="O37" s="1"/>
    </row>
    <row r="38" spans="1:15" x14ac:dyDescent="0.25">
      <c r="A38">
        <v>37</v>
      </c>
      <c r="B38">
        <v>632414.45990000002</v>
      </c>
      <c r="C38" s="1">
        <v>13800</v>
      </c>
      <c r="D38">
        <v>1115824.4069999999</v>
      </c>
      <c r="E38">
        <v>4194.9751409999999</v>
      </c>
      <c r="F38">
        <v>1533520.737</v>
      </c>
      <c r="G38">
        <v>2587.7881120000002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5752802.1043876503</v>
      </c>
      <c r="M38" s="1">
        <f t="shared" si="2"/>
        <v>586506.56371702475</v>
      </c>
      <c r="N38" s="1">
        <f t="shared" si="3"/>
        <v>169283.98611317063</v>
      </c>
      <c r="O38" s="1"/>
    </row>
    <row r="39" spans="1:15" x14ac:dyDescent="0.25">
      <c r="A39">
        <v>38</v>
      </c>
      <c r="B39">
        <v>631246.86849999998</v>
      </c>
      <c r="C39" s="1">
        <v>6830</v>
      </c>
      <c r="D39">
        <v>1093682.8230000001</v>
      </c>
      <c r="E39">
        <v>4561.9893249999996</v>
      </c>
      <c r="F39">
        <v>1543904.906</v>
      </c>
      <c r="G39">
        <v>2309.1631619999998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1693572.0962328319</v>
      </c>
      <c r="M39" s="1">
        <f t="shared" si="2"/>
        <v>379385.20231124829</v>
      </c>
      <c r="N39" s="1">
        <f t="shared" si="3"/>
        <v>89851.311696096716</v>
      </c>
      <c r="O39" s="1"/>
    </row>
    <row r="40" spans="1:15" x14ac:dyDescent="0.25">
      <c r="A40">
        <v>39</v>
      </c>
      <c r="B40">
        <v>634500.60600000003</v>
      </c>
      <c r="C40" s="1">
        <v>10200</v>
      </c>
      <c r="D40">
        <v>1110085.9909999999</v>
      </c>
      <c r="E40">
        <v>7798.218734</v>
      </c>
      <c r="F40">
        <v>1546883.1910000001</v>
      </c>
      <c r="G40">
        <v>3670.8229609999999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6461242.8813211499</v>
      </c>
      <c r="M40" s="1">
        <f t="shared" si="2"/>
        <v>1656740.3305407716</v>
      </c>
      <c r="N40" s="1">
        <f t="shared" si="3"/>
        <v>364893.51885156118</v>
      </c>
      <c r="O40" s="1"/>
    </row>
    <row r="41" spans="1:15" x14ac:dyDescent="0.25">
      <c r="A41">
        <v>40</v>
      </c>
      <c r="B41">
        <v>654875.77229999995</v>
      </c>
      <c r="C41" s="1">
        <v>10400</v>
      </c>
      <c r="D41">
        <v>1143140.983</v>
      </c>
      <c r="E41">
        <v>9600.0124309999992</v>
      </c>
      <c r="F41">
        <v>1548153.882</v>
      </c>
      <c r="G41">
        <v>9297.7218560000001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4925555.6590006007</v>
      </c>
      <c r="M41" s="1">
        <f t="shared" si="2"/>
        <v>1524884.0578706239</v>
      </c>
      <c r="N41" s="1">
        <f t="shared" si="3"/>
        <v>691011.47091282625</v>
      </c>
      <c r="O41" s="1"/>
    </row>
    <row r="42" spans="1:15" x14ac:dyDescent="0.25">
      <c r="A42">
        <v>41</v>
      </c>
      <c r="B42">
        <v>625705.83499999996</v>
      </c>
      <c r="C42" s="1">
        <v>17800</v>
      </c>
      <c r="D42">
        <v>1120140.4790000001</v>
      </c>
      <c r="E42">
        <v>20275.633559999998</v>
      </c>
      <c r="F42">
        <v>1520121.632</v>
      </c>
      <c r="G42">
        <v>16943.837729999999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4134433.5915752999</v>
      </c>
      <c r="M42" s="1">
        <f t="shared" si="2"/>
        <v>1579478.0280763989</v>
      </c>
      <c r="N42" s="1">
        <f t="shared" si="3"/>
        <v>617581.98201154056</v>
      </c>
      <c r="O42" s="1"/>
    </row>
    <row r="43" spans="1:15" x14ac:dyDescent="0.25">
      <c r="A43">
        <v>42</v>
      </c>
      <c r="B43">
        <v>623032.63529999997</v>
      </c>
      <c r="C43" s="1">
        <v>28700</v>
      </c>
      <c r="D43">
        <v>1103878.1680000001</v>
      </c>
      <c r="E43">
        <v>41978.266519999997</v>
      </c>
      <c r="F43">
        <v>1498892.7919999999</v>
      </c>
      <c r="G43">
        <v>34973.524740000001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5930181.4307599496</v>
      </c>
      <c r="M43" s="1">
        <f t="shared" si="2"/>
        <v>2909066.9837310291</v>
      </c>
      <c r="N43" s="1">
        <f t="shared" si="3"/>
        <v>1133998.0376360179</v>
      </c>
      <c r="O43" s="1"/>
    </row>
    <row r="44" spans="1:15" x14ac:dyDescent="0.25">
      <c r="A44">
        <v>43</v>
      </c>
      <c r="B44">
        <v>613221.04539999994</v>
      </c>
      <c r="C44" s="1">
        <v>33500</v>
      </c>
      <c r="D44">
        <v>1094689.42</v>
      </c>
      <c r="E44">
        <v>26219.578150000001</v>
      </c>
      <c r="F44">
        <v>1477008.7290000001</v>
      </c>
      <c r="G44">
        <v>21768.306519999998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6966644.021636487</v>
      </c>
      <c r="M44" s="1">
        <f t="shared" si="2"/>
        <v>1828721.8317492146</v>
      </c>
      <c r="N44" s="1">
        <f t="shared" si="3"/>
        <v>710379.2575351675</v>
      </c>
      <c r="O44" s="1"/>
    </row>
    <row r="45" spans="1:15" x14ac:dyDescent="0.25">
      <c r="A45">
        <v>44</v>
      </c>
      <c r="B45">
        <v>623289.37150000001</v>
      </c>
      <c r="C45" s="1">
        <v>24000</v>
      </c>
      <c r="D45">
        <v>1093018.0379999999</v>
      </c>
      <c r="E45">
        <v>18467.499199999998</v>
      </c>
      <c r="F45">
        <v>1473073.023</v>
      </c>
      <c r="G45">
        <v>18223.823840000001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9065670.3734220006</v>
      </c>
      <c r="M45" s="1">
        <f t="shared" si="2"/>
        <v>2339590.8179719434</v>
      </c>
      <c r="N45" s="1">
        <f t="shared" si="3"/>
        <v>1080226.945347978</v>
      </c>
      <c r="O45" s="1"/>
    </row>
    <row r="46" spans="1:15" x14ac:dyDescent="0.25">
      <c r="A46">
        <v>45</v>
      </c>
      <c r="B46">
        <v>623978.84829999995</v>
      </c>
      <c r="C46" s="1">
        <v>23600</v>
      </c>
      <c r="D46">
        <v>1081143.4010000001</v>
      </c>
      <c r="E46">
        <v>13341.808650000001</v>
      </c>
      <c r="F46">
        <v>1448935.466</v>
      </c>
      <c r="G46">
        <v>7597.189308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17015188.2109573</v>
      </c>
      <c r="M46" s="1">
        <f t="shared" si="2"/>
        <v>3226135.4618933205</v>
      </c>
      <c r="N46" s="1">
        <f t="shared" si="3"/>
        <v>859536.88441258355</v>
      </c>
      <c r="O46" s="1"/>
    </row>
    <row r="47" spans="1:15" x14ac:dyDescent="0.25">
      <c r="A47">
        <v>46</v>
      </c>
      <c r="B47">
        <v>683647.95279999997</v>
      </c>
      <c r="C47" s="1">
        <v>9760</v>
      </c>
      <c r="D47">
        <v>1142893.0830000001</v>
      </c>
      <c r="E47">
        <v>5429.9273739999999</v>
      </c>
      <c r="F47">
        <v>1571932.2890000001</v>
      </c>
      <c r="G47">
        <v>2747.9874399999999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1944312.7573768082</v>
      </c>
      <c r="M47" s="1">
        <f t="shared" si="2"/>
        <v>362788.46156174486</v>
      </c>
      <c r="N47" s="1">
        <f t="shared" si="3"/>
        <v>85904.886151281535</v>
      </c>
      <c r="O47" s="1"/>
    </row>
    <row r="48" spans="1:15" x14ac:dyDescent="0.25">
      <c r="A48">
        <v>47</v>
      </c>
      <c r="B48">
        <v>706893.60699999996</v>
      </c>
      <c r="C48" s="1">
        <v>5140</v>
      </c>
      <c r="D48">
        <v>1181617.9180000001</v>
      </c>
      <c r="E48">
        <v>4859.8465589999996</v>
      </c>
      <c r="F48">
        <v>1576696.86</v>
      </c>
      <c r="G48">
        <v>3991.65128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2319990.3099099351</v>
      </c>
      <c r="M48" s="1">
        <f t="shared" si="2"/>
        <v>735679.65565619653</v>
      </c>
      <c r="N48" s="1">
        <f t="shared" si="3"/>
        <v>282723.85920210666</v>
      </c>
      <c r="O48" s="1"/>
    </row>
    <row r="49" spans="1:15" x14ac:dyDescent="0.25">
      <c r="A49">
        <v>48</v>
      </c>
      <c r="B49">
        <v>683325.00210000004</v>
      </c>
      <c r="C49" s="1">
        <v>13900</v>
      </c>
      <c r="D49">
        <v>1178616.9280000001</v>
      </c>
      <c r="E49">
        <v>9105.7802449999999</v>
      </c>
      <c r="F49">
        <v>1583613.334</v>
      </c>
      <c r="G49">
        <v>9876.4903429999995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6053417.5918164002</v>
      </c>
      <c r="M49" s="1">
        <f t="shared" si="2"/>
        <v>1329983.1422535474</v>
      </c>
      <c r="N49" s="1">
        <f t="shared" si="3"/>
        <v>674955.73652988824</v>
      </c>
      <c r="O49" s="1"/>
    </row>
    <row r="50" spans="1:15" x14ac:dyDescent="0.25">
      <c r="A50">
        <v>49</v>
      </c>
      <c r="B50">
        <v>640322.72990000003</v>
      </c>
      <c r="C50" s="1">
        <v>28100</v>
      </c>
      <c r="D50">
        <v>1134765.5319999999</v>
      </c>
      <c r="E50">
        <v>18061.81724</v>
      </c>
      <c r="F50">
        <v>1534006.2720000001</v>
      </c>
      <c r="G50">
        <v>18126.839960000001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11851860.896939375</v>
      </c>
      <c r="M50" s="1">
        <f t="shared" si="2"/>
        <v>2554964.1233738777</v>
      </c>
      <c r="N50" s="1">
        <f t="shared" si="3"/>
        <v>1199745.5320073485</v>
      </c>
      <c r="O50" s="1"/>
    </row>
    <row r="51" spans="1:15" x14ac:dyDescent="0.25">
      <c r="A51">
        <v>50</v>
      </c>
      <c r="B51">
        <v>646642.72640000004</v>
      </c>
      <c r="C51" s="1">
        <v>33500</v>
      </c>
      <c r="D51">
        <v>1141586.9539999999</v>
      </c>
      <c r="E51">
        <v>23976.933540000002</v>
      </c>
      <c r="F51">
        <v>1537749.9469999999</v>
      </c>
      <c r="G51">
        <v>13493.45479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18235915.055432752</v>
      </c>
      <c r="M51" s="1">
        <f t="shared" si="2"/>
        <v>4377433.2254830236</v>
      </c>
      <c r="N51" s="1">
        <f t="shared" si="3"/>
        <v>1152637.4524080707</v>
      </c>
      <c r="O51" s="1"/>
    </row>
    <row r="52" spans="1:15" x14ac:dyDescent="0.25">
      <c r="A52">
        <v>51</v>
      </c>
      <c r="B52">
        <v>636716.86620000005</v>
      </c>
      <c r="C52" s="1">
        <v>20800</v>
      </c>
      <c r="D52">
        <v>1129001.483</v>
      </c>
      <c r="E52">
        <v>18200.725539999999</v>
      </c>
      <c r="F52">
        <v>1523933.8089999999</v>
      </c>
      <c r="G52">
        <v>17509.392230000001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8616622.7241172008</v>
      </c>
      <c r="M52" s="1">
        <f t="shared" si="2"/>
        <v>2528748.1650723205</v>
      </c>
      <c r="N52" s="1">
        <f t="shared" si="3"/>
        <v>1138234.1975886771</v>
      </c>
      <c r="O52" s="1"/>
    </row>
    <row r="53" spans="1:15" x14ac:dyDescent="0.25">
      <c r="A53">
        <v>52</v>
      </c>
      <c r="B53">
        <v>654341.81259999995</v>
      </c>
      <c r="C53" s="1">
        <v>22600</v>
      </c>
      <c r="D53">
        <v>1145072.1640000001</v>
      </c>
      <c r="E53">
        <v>21585.600269999999</v>
      </c>
      <c r="F53">
        <v>1535235.7139999999</v>
      </c>
      <c r="G53">
        <v>13211.09698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11189917.466781301</v>
      </c>
      <c r="M53" s="1">
        <f t="shared" si="2"/>
        <v>3584476.2857254324</v>
      </c>
      <c r="N53" s="1">
        <f t="shared" si="3"/>
        <v>1026464.9867180433</v>
      </c>
      <c r="O53" s="1"/>
    </row>
    <row r="54" spans="1:15" x14ac:dyDescent="0.25">
      <c r="A54">
        <v>53</v>
      </c>
      <c r="B54">
        <v>558219.8077</v>
      </c>
      <c r="C54" s="1">
        <v>30600</v>
      </c>
      <c r="D54">
        <v>989736.83609999996</v>
      </c>
      <c r="E54">
        <v>36539.727310000002</v>
      </c>
      <c r="F54">
        <v>1433753.9809999999</v>
      </c>
      <c r="G54">
        <v>9521.3151699999999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28872880.37610795</v>
      </c>
      <c r="M54" s="1">
        <f t="shared" si="2"/>
        <v>11563175.680251239</v>
      </c>
      <c r="N54" s="1">
        <f t="shared" si="3"/>
        <v>1409783.5585981123</v>
      </c>
      <c r="O54" s="1"/>
    </row>
    <row r="55" spans="1:15" x14ac:dyDescent="0.25">
      <c r="A55">
        <v>54</v>
      </c>
      <c r="B55">
        <v>657888.67310000001</v>
      </c>
      <c r="C55" s="1">
        <v>9870</v>
      </c>
      <c r="D55">
        <v>1119389.7080000001</v>
      </c>
      <c r="E55">
        <v>5735.7454390000003</v>
      </c>
      <c r="F55">
        <v>1545799.1869999999</v>
      </c>
      <c r="G55">
        <v>6509.3419359999998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5491412.9675796311</v>
      </c>
      <c r="M55" s="1">
        <f t="shared" si="2"/>
        <v>1070286.2786028136</v>
      </c>
      <c r="N55" s="1">
        <f t="shared" si="3"/>
        <v>568317.26930271217</v>
      </c>
      <c r="O55" s="1"/>
    </row>
    <row r="56" spans="1:15" x14ac:dyDescent="0.25">
      <c r="A56">
        <v>55</v>
      </c>
      <c r="B56">
        <v>667430.5675</v>
      </c>
      <c r="C56" s="1">
        <v>4720</v>
      </c>
      <c r="D56">
        <v>1144125.638</v>
      </c>
      <c r="E56">
        <v>4102.2755770000003</v>
      </c>
      <c r="F56">
        <v>1567041.3</v>
      </c>
      <c r="G56">
        <v>1952.667762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1679274.6574110002</v>
      </c>
      <c r="M56" s="1">
        <f t="shared" si="2"/>
        <v>489494.37297572911</v>
      </c>
      <c r="N56" s="1">
        <f t="shared" si="3"/>
        <v>109017.17069137729</v>
      </c>
      <c r="O56" s="1"/>
    </row>
    <row r="57" spans="1:15" x14ac:dyDescent="0.25">
      <c r="A57">
        <v>56</v>
      </c>
      <c r="B57">
        <v>703969.06350000005</v>
      </c>
      <c r="C57" s="1">
        <v>7830</v>
      </c>
      <c r="D57">
        <v>1151677.375</v>
      </c>
      <c r="E57">
        <v>4596.5284099999999</v>
      </c>
      <c r="F57">
        <v>1574381.389</v>
      </c>
      <c r="G57">
        <v>4099.6489410000004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3158366.5475850152</v>
      </c>
      <c r="M57" s="1">
        <f t="shared" si="2"/>
        <v>621833.12726331747</v>
      </c>
      <c r="N57" s="1">
        <f t="shared" si="3"/>
        <v>259498.14232318831</v>
      </c>
      <c r="O57" s="1"/>
    </row>
    <row r="58" spans="1:15" x14ac:dyDescent="0.25">
      <c r="A58">
        <v>57</v>
      </c>
      <c r="B58">
        <v>716864.38890000002</v>
      </c>
      <c r="C58" s="1">
        <v>7830</v>
      </c>
      <c r="D58">
        <v>1185634.0719999999</v>
      </c>
      <c r="E58">
        <v>5527.1881149999999</v>
      </c>
      <c r="F58">
        <v>1577632.6470000001</v>
      </c>
      <c r="G58">
        <v>3557.3180430000002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7660363.2777512092</v>
      </c>
      <c r="M58" s="1">
        <f t="shared" si="2"/>
        <v>1813572.7699480159</v>
      </c>
      <c r="N58" s="1">
        <f t="shared" si="3"/>
        <v>546131.35816792573</v>
      </c>
      <c r="O58" s="1"/>
    </row>
    <row r="59" spans="1:15" x14ac:dyDescent="0.25">
      <c r="A59">
        <v>58</v>
      </c>
      <c r="B59">
        <v>686818.17420000001</v>
      </c>
      <c r="C59" s="1">
        <v>15000</v>
      </c>
      <c r="D59">
        <v>1169405.317</v>
      </c>
      <c r="E59">
        <v>15897.944810000001</v>
      </c>
      <c r="F59">
        <v>1569909.8959999999</v>
      </c>
      <c r="G59">
        <v>6308.6585709999999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10575797.399066251</v>
      </c>
      <c r="M59" s="1">
        <f t="shared" si="2"/>
        <v>3759291.3492427799</v>
      </c>
      <c r="N59" s="1">
        <f t="shared" si="3"/>
        <v>697984.37748630135</v>
      </c>
      <c r="O59" s="1"/>
    </row>
    <row r="60" spans="1:15" x14ac:dyDescent="0.25">
      <c r="A60">
        <v>59</v>
      </c>
      <c r="B60">
        <v>656568.69330000004</v>
      </c>
      <c r="C60" s="1">
        <v>16500</v>
      </c>
      <c r="D60">
        <v>1144579.612</v>
      </c>
      <c r="E60">
        <v>23363.375260000001</v>
      </c>
      <c r="F60">
        <v>1547928.307</v>
      </c>
      <c r="G60">
        <v>10500.71623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5558777.9682435002</v>
      </c>
      <c r="M60" s="1">
        <f t="shared" si="2"/>
        <v>2639818.7238864643</v>
      </c>
      <c r="N60" s="1">
        <f t="shared" si="3"/>
        <v>555138.2100764846</v>
      </c>
      <c r="O60" s="1"/>
    </row>
    <row r="61" spans="1:15" x14ac:dyDescent="0.25">
      <c r="A61">
        <v>60</v>
      </c>
      <c r="B61">
        <v>659034.6986</v>
      </c>
      <c r="C61" s="1">
        <v>19300</v>
      </c>
      <c r="D61">
        <v>1077264.7660000001</v>
      </c>
      <c r="E61">
        <v>12088.51367</v>
      </c>
      <c r="F61">
        <v>1464171.1089999999</v>
      </c>
      <c r="G61">
        <v>6645.9842580000004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6784420.1752564255</v>
      </c>
      <c r="M61" s="1">
        <f t="shared" si="2"/>
        <v>1425185.7484967094</v>
      </c>
      <c r="N61" s="1">
        <f t="shared" si="3"/>
        <v>366607.6737991235</v>
      </c>
      <c r="O61" s="1"/>
    </row>
    <row r="62" spans="1:15" x14ac:dyDescent="0.25">
      <c r="A62">
        <v>61</v>
      </c>
      <c r="B62">
        <v>680583.82539999997</v>
      </c>
      <c r="C62" s="1">
        <v>11200</v>
      </c>
      <c r="D62">
        <v>1147397.125</v>
      </c>
      <c r="E62">
        <v>13006.06756</v>
      </c>
      <c r="F62">
        <v>1531584.226</v>
      </c>
      <c r="G62">
        <v>11293.23806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3484728.5201710798</v>
      </c>
      <c r="M62" s="1">
        <f t="shared" si="2"/>
        <v>1357188.1833007757</v>
      </c>
      <c r="N62" s="1">
        <f t="shared" si="3"/>
        <v>551386.62263487349</v>
      </c>
      <c r="O62" s="1"/>
    </row>
    <row r="63" spans="1:15" x14ac:dyDescent="0.25">
      <c r="A63">
        <v>62</v>
      </c>
      <c r="B63">
        <v>655803.60019999999</v>
      </c>
      <c r="C63" s="1">
        <v>14600</v>
      </c>
      <c r="D63">
        <v>1136514.3940000001</v>
      </c>
      <c r="E63">
        <v>8994.7813760000008</v>
      </c>
      <c r="F63">
        <v>1523551.2109999999</v>
      </c>
      <c r="G63">
        <v>4842.0852699999996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6674990.7075319011</v>
      </c>
      <c r="M63" s="1">
        <f t="shared" si="2"/>
        <v>1379213.6878857387</v>
      </c>
      <c r="N63" s="1">
        <f t="shared" si="3"/>
        <v>347389.79626947979</v>
      </c>
      <c r="O63" s="1"/>
    </row>
    <row r="64" spans="1:15" x14ac:dyDescent="0.25">
      <c r="A64">
        <v>63</v>
      </c>
      <c r="B64">
        <v>665915.45920000004</v>
      </c>
      <c r="C64" s="1">
        <v>12800</v>
      </c>
      <c r="D64">
        <v>1111753.7879999999</v>
      </c>
      <c r="E64">
        <v>15690.774520000001</v>
      </c>
      <c r="F64">
        <v>1494529.0360000001</v>
      </c>
      <c r="G64">
        <v>4430.4177040000004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28612502.000617601</v>
      </c>
      <c r="M64" s="1">
        <f t="shared" si="2"/>
        <v>11763414.084273228</v>
      </c>
      <c r="N64" s="1">
        <f t="shared" si="3"/>
        <v>1554094.2563420322</v>
      </c>
      <c r="O64" s="1"/>
    </row>
    <row r="65" spans="1:15" x14ac:dyDescent="0.25">
      <c r="A65">
        <v>64</v>
      </c>
      <c r="B65">
        <v>279396.8028</v>
      </c>
      <c r="C65" s="1">
        <v>36000</v>
      </c>
      <c r="D65">
        <v>633036.03060000006</v>
      </c>
      <c r="E65">
        <v>16239.49675</v>
      </c>
      <c r="F65">
        <v>1100057.0819999999</v>
      </c>
      <c r="G65">
        <v>7666.5611310000004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167932326.11805001</v>
      </c>
      <c r="M65" s="1">
        <f t="shared" si="2"/>
        <v>25406655.948660467</v>
      </c>
      <c r="N65" s="1">
        <f t="shared" si="3"/>
        <v>5612020.1407528194</v>
      </c>
      <c r="O65" s="1"/>
    </row>
    <row r="66" spans="1:15" x14ac:dyDescent="0.25">
      <c r="A66">
        <v>65</v>
      </c>
      <c r="B66">
        <v>532611.43290000001</v>
      </c>
      <c r="C66" s="1">
        <v>23900</v>
      </c>
      <c r="D66">
        <v>938933.34239999996</v>
      </c>
      <c r="E66">
        <v>26987.897089999999</v>
      </c>
      <c r="F66">
        <v>1367756.4140000001</v>
      </c>
      <c r="G66">
        <v>17683.27419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11181661.738535276</v>
      </c>
      <c r="M66" s="1">
        <f t="shared" si="2"/>
        <v>4234680.3290802799</v>
      </c>
      <c r="N66" s="1">
        <f t="shared" si="3"/>
        <v>1298248.8460302441</v>
      </c>
      <c r="O66" s="1"/>
    </row>
    <row r="67" spans="1:15" x14ac:dyDescent="0.25">
      <c r="A67">
        <v>66</v>
      </c>
      <c r="B67">
        <v>553286.84589999996</v>
      </c>
      <c r="C67" s="1">
        <v>29100</v>
      </c>
      <c r="D67">
        <v>975253.5638</v>
      </c>
      <c r="E67">
        <v>34441.824800000002</v>
      </c>
      <c r="F67">
        <v>1406559.6259999999</v>
      </c>
      <c r="G67">
        <v>11210.91798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15581791.081132578</v>
      </c>
      <c r="M67" s="1">
        <f t="shared" ref="M67:M130" si="7">$U$3*$K67*E67</f>
        <v>6185199.0182433221</v>
      </c>
      <c r="N67" s="1">
        <f t="shared" ref="N67:N130" si="8">$U$4*$K67*G67</f>
        <v>942003.20078199473</v>
      </c>
      <c r="O67" s="1"/>
    </row>
    <row r="68" spans="1:15" x14ac:dyDescent="0.25">
      <c r="A68">
        <v>67</v>
      </c>
      <c r="B68">
        <v>595570.29410000006</v>
      </c>
      <c r="C68" s="1">
        <v>30800</v>
      </c>
      <c r="D68">
        <v>1045099.18</v>
      </c>
      <c r="E68">
        <v>20495.308059999999</v>
      </c>
      <c r="F68">
        <v>1474977.254</v>
      </c>
      <c r="G68">
        <v>5653.0622149999999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19945926.099399298</v>
      </c>
      <c r="M68" s="1">
        <f t="shared" si="7"/>
        <v>4451445.6637823107</v>
      </c>
      <c r="N68" s="1">
        <f t="shared" si="8"/>
        <v>574478.88311293931</v>
      </c>
      <c r="O68" s="1"/>
    </row>
    <row r="69" spans="1:15" x14ac:dyDescent="0.25">
      <c r="A69">
        <v>68</v>
      </c>
      <c r="B69">
        <v>624702.1311</v>
      </c>
      <c r="C69" s="1">
        <v>20400</v>
      </c>
      <c r="D69">
        <v>1095124.871</v>
      </c>
      <c r="E69">
        <v>7752.3444200000004</v>
      </c>
      <c r="F69">
        <v>1511831.5460000001</v>
      </c>
      <c r="G69">
        <v>3584.4049150000001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9368109.1404537</v>
      </c>
      <c r="M69" s="1">
        <f t="shared" si="7"/>
        <v>1193982.5248391025</v>
      </c>
      <c r="N69" s="1">
        <f t="shared" si="8"/>
        <v>258300.74190229748</v>
      </c>
      <c r="O69" s="1"/>
    </row>
    <row r="70" spans="1:15" x14ac:dyDescent="0.25">
      <c r="A70">
        <v>69</v>
      </c>
      <c r="B70">
        <v>649439.59880000004</v>
      </c>
      <c r="C70" s="1">
        <v>11300</v>
      </c>
      <c r="D70">
        <v>1110700.0260000001</v>
      </c>
      <c r="E70">
        <v>8103.8492379999998</v>
      </c>
      <c r="F70">
        <v>1540817.6769999999</v>
      </c>
      <c r="G70">
        <v>5216.8640949999999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3000739.0204823199</v>
      </c>
      <c r="M70" s="1">
        <f t="shared" si="7"/>
        <v>721745.81132155319</v>
      </c>
      <c r="N70" s="1">
        <f t="shared" si="8"/>
        <v>217393.28260732576</v>
      </c>
      <c r="O70" s="1"/>
    </row>
    <row r="71" spans="1:15" x14ac:dyDescent="0.25">
      <c r="A71">
        <v>70</v>
      </c>
      <c r="B71">
        <v>618703.35389999999</v>
      </c>
      <c r="C71" s="1">
        <v>24100</v>
      </c>
      <c r="D71">
        <v>1085522.959</v>
      </c>
      <c r="E71">
        <v>12450.33971</v>
      </c>
      <c r="F71">
        <v>1497735.8289999999</v>
      </c>
      <c r="G71">
        <v>15788.437749999999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6093850.9009814151</v>
      </c>
      <c r="M71" s="1">
        <f t="shared" si="7"/>
        <v>1055842.4526861913</v>
      </c>
      <c r="N71" s="1">
        <f t="shared" si="8"/>
        <v>626470.68828653067</v>
      </c>
      <c r="O71" s="1"/>
    </row>
    <row r="72" spans="1:15" x14ac:dyDescent="0.25">
      <c r="A72">
        <v>71</v>
      </c>
      <c r="B72">
        <v>662425.14839999995</v>
      </c>
      <c r="C72" s="1">
        <v>12500</v>
      </c>
      <c r="D72">
        <v>1146003.0649999999</v>
      </c>
      <c r="E72">
        <v>6502.3159939999996</v>
      </c>
      <c r="F72">
        <v>1563460.0390000001</v>
      </c>
      <c r="G72">
        <v>6026.1941020000004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3055308.927068125</v>
      </c>
      <c r="M72" s="1">
        <f t="shared" si="7"/>
        <v>533035.73347357032</v>
      </c>
      <c r="N72" s="1">
        <f t="shared" si="8"/>
        <v>231139.9671237859</v>
      </c>
      <c r="O72" s="1"/>
    </row>
    <row r="73" spans="1:15" x14ac:dyDescent="0.25">
      <c r="A73">
        <v>72</v>
      </c>
      <c r="B73">
        <v>624109.89859999996</v>
      </c>
      <c r="C73" s="1">
        <v>21700</v>
      </c>
      <c r="D73">
        <v>1119524.284</v>
      </c>
      <c r="E73">
        <v>13187.31697</v>
      </c>
      <c r="F73">
        <v>1513477.7</v>
      </c>
      <c r="G73">
        <v>16204.112139999999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7696929.9148537256</v>
      </c>
      <c r="M73" s="1">
        <f t="shared" si="7"/>
        <v>1568763.1533006139</v>
      </c>
      <c r="N73" s="1">
        <f t="shared" si="8"/>
        <v>901923.81271528266</v>
      </c>
      <c r="O73" s="1"/>
    </row>
    <row r="74" spans="1:15" x14ac:dyDescent="0.25">
      <c r="A74">
        <v>73</v>
      </c>
      <c r="B74">
        <v>643838.20460000006</v>
      </c>
      <c r="C74" s="1">
        <v>22000</v>
      </c>
      <c r="D74">
        <v>1140932.058</v>
      </c>
      <c r="E74">
        <v>8566.9103340000001</v>
      </c>
      <c r="F74">
        <v>1544322.327</v>
      </c>
      <c r="G74">
        <v>9906.9984060000006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17228306.743505001</v>
      </c>
      <c r="M74" s="1">
        <f t="shared" si="7"/>
        <v>2250024.6348992703</v>
      </c>
      <c r="N74" s="1">
        <f t="shared" si="8"/>
        <v>1217443.5216426768</v>
      </c>
      <c r="O74" s="1"/>
    </row>
    <row r="75" spans="1:15" x14ac:dyDescent="0.25">
      <c r="A75">
        <v>74</v>
      </c>
      <c r="B75">
        <v>653928.64280000003</v>
      </c>
      <c r="C75" s="1">
        <v>30100</v>
      </c>
      <c r="D75">
        <v>1127760.9809999999</v>
      </c>
      <c r="E75">
        <v>27620.878509999999</v>
      </c>
      <c r="F75">
        <v>1530798.898</v>
      </c>
      <c r="G75">
        <v>13047.77246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18800986.009758227</v>
      </c>
      <c r="M75" s="1">
        <f t="shared" si="7"/>
        <v>5786217.5106943864</v>
      </c>
      <c r="N75" s="1">
        <f t="shared" si="8"/>
        <v>1278902.1580810021</v>
      </c>
      <c r="O75" s="1"/>
    </row>
    <row r="76" spans="1:15" x14ac:dyDescent="0.25">
      <c r="A76">
        <v>75</v>
      </c>
      <c r="B76">
        <v>661320.95479999995</v>
      </c>
      <c r="C76" s="1">
        <v>36500</v>
      </c>
      <c r="D76">
        <v>1129542.2379999999</v>
      </c>
      <c r="E76">
        <v>20128.079760000001</v>
      </c>
      <c r="F76">
        <v>1519406.298</v>
      </c>
      <c r="G76">
        <v>8154.7550410000003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12805134.538964627</v>
      </c>
      <c r="M76" s="1">
        <f t="shared" si="7"/>
        <v>2368300.2619870501</v>
      </c>
      <c r="N76" s="1">
        <f t="shared" si="8"/>
        <v>448940.73821264959</v>
      </c>
      <c r="O76" s="1"/>
    </row>
    <row r="77" spans="1:15" x14ac:dyDescent="0.25">
      <c r="A77">
        <v>76</v>
      </c>
      <c r="B77">
        <v>675412.00450000004</v>
      </c>
      <c r="C77" s="1">
        <v>27900</v>
      </c>
      <c r="D77">
        <v>1141519.4240000001</v>
      </c>
      <c r="E77">
        <v>17459.643499999998</v>
      </c>
      <c r="F77">
        <v>1523316.943</v>
      </c>
      <c r="G77">
        <v>8552.3446430000004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8560172.6357811298</v>
      </c>
      <c r="M77" s="1">
        <f t="shared" si="7"/>
        <v>1796622.4774846572</v>
      </c>
      <c r="N77" s="1">
        <f t="shared" si="8"/>
        <v>411765.85341314308</v>
      </c>
      <c r="O77" s="1"/>
    </row>
    <row r="78" spans="1:15" x14ac:dyDescent="0.25">
      <c r="A78">
        <v>77</v>
      </c>
      <c r="B78">
        <v>696186.70669999998</v>
      </c>
      <c r="C78" s="1">
        <v>11700</v>
      </c>
      <c r="D78">
        <v>1136004.969</v>
      </c>
      <c r="E78">
        <v>13445.213089999999</v>
      </c>
      <c r="F78">
        <v>1508295.5970000001</v>
      </c>
      <c r="G78">
        <v>6383.331862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5390134.7048874004</v>
      </c>
      <c r="M78" s="1">
        <f t="shared" si="7"/>
        <v>2077421.3165866334</v>
      </c>
      <c r="N78" s="1">
        <f t="shared" si="8"/>
        <v>461474.80570970813</v>
      </c>
      <c r="O78" s="1"/>
    </row>
    <row r="79" spans="1:15" x14ac:dyDescent="0.25">
      <c r="A79">
        <v>78</v>
      </c>
      <c r="B79">
        <v>559522.71499999997</v>
      </c>
      <c r="C79" s="1">
        <v>17700</v>
      </c>
      <c r="D79">
        <v>994268.05130000005</v>
      </c>
      <c r="E79">
        <v>6675.7226389999996</v>
      </c>
      <c r="F79">
        <v>1407068.567</v>
      </c>
      <c r="G79">
        <v>6638.001996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12851873.989257224</v>
      </c>
      <c r="M79" s="1">
        <f t="shared" si="7"/>
        <v>1625678.3189324478</v>
      </c>
      <c r="N79" s="1">
        <f t="shared" si="8"/>
        <v>756340.5519069148</v>
      </c>
      <c r="O79" s="1"/>
    </row>
    <row r="80" spans="1:15" x14ac:dyDescent="0.25">
      <c r="A80">
        <v>79</v>
      </c>
      <c r="B80">
        <v>539763.70719999995</v>
      </c>
      <c r="C80" s="1">
        <v>23100</v>
      </c>
      <c r="D80">
        <v>972729.84400000004</v>
      </c>
      <c r="E80">
        <v>24475.144700000001</v>
      </c>
      <c r="F80">
        <v>1384357.105</v>
      </c>
      <c r="G80">
        <v>9138.4467129999994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31904247.95405348</v>
      </c>
      <c r="M80" s="1">
        <f t="shared" si="7"/>
        <v>11337177.261271399</v>
      </c>
      <c r="N80" s="1">
        <f t="shared" si="8"/>
        <v>1980595.2397161913</v>
      </c>
      <c r="O80" s="1"/>
    </row>
    <row r="81" spans="1:15" x14ac:dyDescent="0.25">
      <c r="A81">
        <v>80</v>
      </c>
      <c r="B81">
        <v>574092.85419999994</v>
      </c>
      <c r="C81" s="1">
        <v>20600</v>
      </c>
      <c r="D81">
        <v>1013672.069</v>
      </c>
      <c r="E81">
        <v>16543.955580000002</v>
      </c>
      <c r="F81">
        <v>1412382.041</v>
      </c>
      <c r="G81">
        <v>10412.623970000001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14974236.135812201</v>
      </c>
      <c r="M81" s="1">
        <f t="shared" si="7"/>
        <v>4033294.6414949303</v>
      </c>
      <c r="N81" s="1">
        <f t="shared" si="8"/>
        <v>1187748.408682616</v>
      </c>
      <c r="O81" s="1"/>
    </row>
    <row r="82" spans="1:15" x14ac:dyDescent="0.25">
      <c r="A82">
        <v>81</v>
      </c>
      <c r="B82">
        <v>601412.6483</v>
      </c>
      <c r="C82" s="1">
        <v>25000</v>
      </c>
      <c r="D82">
        <v>1047764.909</v>
      </c>
      <c r="E82">
        <v>26945.697919999999</v>
      </c>
      <c r="F82">
        <v>1457872.2919999999</v>
      </c>
      <c r="G82">
        <v>12998.67136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12259863.51395</v>
      </c>
      <c r="M82" s="1">
        <f t="shared" si="7"/>
        <v>4431780.0723469015</v>
      </c>
      <c r="N82" s="1">
        <f t="shared" si="8"/>
        <v>1000302.6182831794</v>
      </c>
      <c r="O82" s="1"/>
    </row>
    <row r="83" spans="1:15" x14ac:dyDescent="0.25">
      <c r="A83">
        <v>82</v>
      </c>
      <c r="B83">
        <v>628226.8848</v>
      </c>
      <c r="C83" s="1">
        <v>10100</v>
      </c>
      <c r="D83">
        <v>1084681.236</v>
      </c>
      <c r="E83">
        <v>17157.240170000001</v>
      </c>
      <c r="F83">
        <v>1514196.9439999999</v>
      </c>
      <c r="G83">
        <v>7455.9158479999996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5529808.7288310742</v>
      </c>
      <c r="M83" s="1">
        <f t="shared" si="7"/>
        <v>3150498.691108658</v>
      </c>
      <c r="N83" s="1">
        <f t="shared" si="8"/>
        <v>640584.68101225211</v>
      </c>
      <c r="O83" s="1"/>
    </row>
    <row r="84" spans="1:15" x14ac:dyDescent="0.25">
      <c r="A84">
        <v>83</v>
      </c>
      <c r="B84">
        <v>622301.30759999994</v>
      </c>
      <c r="C84" s="1">
        <v>14100</v>
      </c>
      <c r="D84">
        <v>1091641.6299999999</v>
      </c>
      <c r="E84">
        <v>11067.71485</v>
      </c>
      <c r="F84">
        <v>1493463.81</v>
      </c>
      <c r="G84">
        <v>12447.33685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7818333.7389329253</v>
      </c>
      <c r="M84" s="1">
        <f t="shared" si="7"/>
        <v>2058240.8375965501</v>
      </c>
      <c r="N84" s="1">
        <f t="shared" si="8"/>
        <v>1083074.548033851</v>
      </c>
      <c r="O84" s="1"/>
    </row>
    <row r="85" spans="1:15" x14ac:dyDescent="0.25">
      <c r="A85">
        <v>84</v>
      </c>
      <c r="B85">
        <v>635368.84180000005</v>
      </c>
      <c r="C85" s="1">
        <v>21000</v>
      </c>
      <c r="D85">
        <v>1119773.2690000001</v>
      </c>
      <c r="E85">
        <v>17242.600020000002</v>
      </c>
      <c r="F85">
        <v>1522926.388</v>
      </c>
      <c r="G85">
        <v>7608.4290490000003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11313605.542102499</v>
      </c>
      <c r="M85" s="1">
        <f t="shared" si="7"/>
        <v>3115499.0902522532</v>
      </c>
      <c r="N85" s="1">
        <f t="shared" si="8"/>
        <v>643225.93667816301</v>
      </c>
      <c r="O85" s="1"/>
    </row>
    <row r="86" spans="1:15" x14ac:dyDescent="0.25">
      <c r="A86">
        <v>85</v>
      </c>
      <c r="B86">
        <v>643156.78170000005</v>
      </c>
      <c r="C86" s="1">
        <v>31900</v>
      </c>
      <c r="D86">
        <v>1110231.675</v>
      </c>
      <c r="E86">
        <v>25240.954570000002</v>
      </c>
      <c r="F86">
        <v>1501429.264</v>
      </c>
      <c r="G86">
        <v>14977.462740000001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15836787.299547501</v>
      </c>
      <c r="M86" s="1">
        <f t="shared" si="7"/>
        <v>4202670.2228239048</v>
      </c>
      <c r="N86" s="1">
        <f t="shared" si="8"/>
        <v>1166813.5497192354</v>
      </c>
      <c r="O86" s="1"/>
    </row>
    <row r="87" spans="1:15" x14ac:dyDescent="0.25">
      <c r="A87">
        <v>86</v>
      </c>
      <c r="B87">
        <v>664435.13749999995</v>
      </c>
      <c r="C87" s="1">
        <v>43300</v>
      </c>
      <c r="D87">
        <v>1086262.635</v>
      </c>
      <c r="E87">
        <v>56282.778489999997</v>
      </c>
      <c r="F87">
        <v>1481142.2990000001</v>
      </c>
      <c r="G87">
        <v>32381.359840000001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17059472.084630948</v>
      </c>
      <c r="M87" s="1">
        <f t="shared" si="7"/>
        <v>7436975.6081735883</v>
      </c>
      <c r="N87" s="1">
        <f t="shared" si="8"/>
        <v>2001979.329678192</v>
      </c>
      <c r="O87" s="1"/>
    </row>
    <row r="88" spans="1:15" x14ac:dyDescent="0.25">
      <c r="A88">
        <v>87</v>
      </c>
      <c r="B88">
        <v>681737.19609999994</v>
      </c>
      <c r="C88" s="1">
        <v>30500</v>
      </c>
      <c r="D88">
        <v>1109749.132</v>
      </c>
      <c r="E88">
        <v>39336.27319</v>
      </c>
      <c r="F88">
        <v>1487923.7250000001</v>
      </c>
      <c r="G88">
        <v>29397.631580000001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11749424.133667998</v>
      </c>
      <c r="M88" s="1">
        <f t="shared" si="7"/>
        <v>5082215.6643267227</v>
      </c>
      <c r="N88" s="1">
        <f t="shared" si="8"/>
        <v>1777116.5033942356</v>
      </c>
      <c r="O88" s="1"/>
    </row>
    <row r="89" spans="1:15" x14ac:dyDescent="0.25">
      <c r="A89">
        <v>88</v>
      </c>
      <c r="B89">
        <v>540322.37150000001</v>
      </c>
      <c r="C89" s="1">
        <v>6250</v>
      </c>
      <c r="D89">
        <v>948476.53899999999</v>
      </c>
      <c r="E89">
        <v>3981.1380880000002</v>
      </c>
      <c r="F89">
        <v>1376484.825</v>
      </c>
      <c r="G89">
        <v>6942.2735860000003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8112691.6441593748</v>
      </c>
      <c r="M89" s="1">
        <f t="shared" si="7"/>
        <v>1733146.7231424411</v>
      </c>
      <c r="N89" s="1">
        <f t="shared" si="8"/>
        <v>1414078.4101135449</v>
      </c>
      <c r="O89" s="1"/>
    </row>
    <row r="90" spans="1:15" x14ac:dyDescent="0.25">
      <c r="A90">
        <v>89</v>
      </c>
      <c r="B90">
        <v>500885.06209999998</v>
      </c>
      <c r="C90" s="1">
        <v>11200</v>
      </c>
      <c r="D90">
        <v>935810.10770000005</v>
      </c>
      <c r="E90">
        <v>5972.5804829999997</v>
      </c>
      <c r="F90">
        <v>1341063.328</v>
      </c>
      <c r="G90">
        <v>3757.3421349999999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34151819.263998799</v>
      </c>
      <c r="M90" s="1">
        <f t="shared" si="7"/>
        <v>6108027.2863368653</v>
      </c>
      <c r="N90" s="1">
        <f t="shared" si="8"/>
        <v>1797891.0837593121</v>
      </c>
      <c r="O90" s="1"/>
    </row>
    <row r="91" spans="1:15" x14ac:dyDescent="0.25">
      <c r="A91">
        <v>90</v>
      </c>
      <c r="B91">
        <v>536905.21440000006</v>
      </c>
      <c r="C91" s="1">
        <v>24100</v>
      </c>
      <c r="D91">
        <v>978755.58089999994</v>
      </c>
      <c r="E91">
        <v>18019.125940000002</v>
      </c>
      <c r="F91">
        <v>1357029.52</v>
      </c>
      <c r="G91">
        <v>6971.8766329999999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9970708.2160094492</v>
      </c>
      <c r="M91" s="1">
        <f t="shared" si="7"/>
        <v>2500263.7381454329</v>
      </c>
      <c r="N91" s="1">
        <f t="shared" si="8"/>
        <v>452632.22839559877</v>
      </c>
      <c r="O91" s="1"/>
    </row>
    <row r="92" spans="1:15" x14ac:dyDescent="0.25">
      <c r="A92">
        <v>91</v>
      </c>
      <c r="B92">
        <v>507687.76699999999</v>
      </c>
      <c r="C92" s="1">
        <v>17900</v>
      </c>
      <c r="D92">
        <v>941994.58479999995</v>
      </c>
      <c r="E92">
        <v>13259.34979</v>
      </c>
      <c r="F92">
        <v>1336454.125</v>
      </c>
      <c r="G92">
        <v>3256.688361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16513527.127179874</v>
      </c>
      <c r="M92" s="1">
        <f t="shared" si="7"/>
        <v>4102533.8954201229</v>
      </c>
      <c r="N92" s="1">
        <f t="shared" si="8"/>
        <v>471465.40460702492</v>
      </c>
      <c r="O92" s="1"/>
    </row>
    <row r="93" spans="1:15" x14ac:dyDescent="0.25">
      <c r="A93">
        <v>92</v>
      </c>
      <c r="B93">
        <v>627792.07209999999</v>
      </c>
      <c r="C93" s="1">
        <v>7020</v>
      </c>
      <c r="D93">
        <v>1066481.791</v>
      </c>
      <c r="E93">
        <v>5750.975531</v>
      </c>
      <c r="F93">
        <v>1439412.078</v>
      </c>
      <c r="G93">
        <v>3678.9544569999998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4322830.1316197403</v>
      </c>
      <c r="M93" s="1">
        <f t="shared" si="7"/>
        <v>1187724.4987797481</v>
      </c>
      <c r="N93" s="1">
        <f t="shared" si="8"/>
        <v>355502.19336331071</v>
      </c>
      <c r="O93" s="1"/>
    </row>
    <row r="94" spans="1:15" x14ac:dyDescent="0.25">
      <c r="A94">
        <v>93</v>
      </c>
      <c r="B94">
        <v>670392.42839999998</v>
      </c>
      <c r="C94" s="1">
        <v>7610</v>
      </c>
      <c r="D94">
        <v>1110217.6100000001</v>
      </c>
      <c r="E94">
        <v>14162.580330000001</v>
      </c>
      <c r="F94">
        <v>1503735.4680000001</v>
      </c>
      <c r="G94">
        <v>3745.91525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3100787.6184751051</v>
      </c>
      <c r="M94" s="1">
        <f t="shared" si="7"/>
        <v>1935409.5853183521</v>
      </c>
      <c r="N94" s="1">
        <f t="shared" si="8"/>
        <v>239514.67461029455</v>
      </c>
      <c r="O94" s="1"/>
    </row>
    <row r="95" spans="1:15" x14ac:dyDescent="0.25">
      <c r="A95">
        <v>94</v>
      </c>
      <c r="B95">
        <v>694974.45360000001</v>
      </c>
      <c r="C95" s="1">
        <v>8680</v>
      </c>
      <c r="D95">
        <v>1127144.4029999999</v>
      </c>
      <c r="E95">
        <v>10520.498310000001</v>
      </c>
      <c r="F95">
        <v>1508664.743</v>
      </c>
      <c r="G95">
        <v>2884.420122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4356557.6914204797</v>
      </c>
      <c r="M95" s="1">
        <f t="shared" si="7"/>
        <v>1770937.3284192579</v>
      </c>
      <c r="N95" s="1">
        <f t="shared" si="8"/>
        <v>227179.4668759809</v>
      </c>
      <c r="O95" s="1"/>
    </row>
    <row r="96" spans="1:15" x14ac:dyDescent="0.25">
      <c r="A96">
        <v>95</v>
      </c>
      <c r="B96">
        <v>709154.72730000003</v>
      </c>
      <c r="C96" s="1">
        <v>6820</v>
      </c>
      <c r="D96">
        <v>1158650.7520000001</v>
      </c>
      <c r="E96">
        <v>14787.22834</v>
      </c>
      <c r="F96">
        <v>1536501.4669999999</v>
      </c>
      <c r="G96">
        <v>2869.3749379999999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2656754.8049320853</v>
      </c>
      <c r="M96" s="1">
        <f t="shared" si="7"/>
        <v>1931955.0434863956</v>
      </c>
      <c r="N96" s="1">
        <f t="shared" si="8"/>
        <v>175404.69584382739</v>
      </c>
      <c r="O96" s="1"/>
    </row>
    <row r="97" spans="1:15" x14ac:dyDescent="0.25">
      <c r="A97">
        <v>96</v>
      </c>
      <c r="B97">
        <v>703359.34409999999</v>
      </c>
      <c r="C97" s="1">
        <v>6270</v>
      </c>
      <c r="D97">
        <v>1127704.2960000001</v>
      </c>
      <c r="E97">
        <v>20142.405630000001</v>
      </c>
      <c r="F97">
        <v>1500351.817</v>
      </c>
      <c r="G97">
        <v>8364.1674239999993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5718862.3586136904</v>
      </c>
      <c r="M97" s="1">
        <f t="shared" si="7"/>
        <v>6161643.6487584673</v>
      </c>
      <c r="N97" s="1">
        <f t="shared" si="8"/>
        <v>1197158.4514072274</v>
      </c>
      <c r="O97" s="1"/>
    </row>
    <row r="98" spans="1:15" x14ac:dyDescent="0.25">
      <c r="A98">
        <v>97</v>
      </c>
      <c r="B98">
        <v>659982.86919999996</v>
      </c>
      <c r="C98" s="1">
        <v>27200</v>
      </c>
      <c r="D98">
        <v>1110761.828</v>
      </c>
      <c r="E98">
        <v>53693.125370000002</v>
      </c>
      <c r="F98">
        <v>1479301.534</v>
      </c>
      <c r="G98">
        <v>23762.469850000001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25432032.475215599</v>
      </c>
      <c r="M98" s="1">
        <f t="shared" si="7"/>
        <v>16837359.568271179</v>
      </c>
      <c r="N98" s="1">
        <f t="shared" si="8"/>
        <v>3486507.1437492208</v>
      </c>
      <c r="O98" s="1"/>
    </row>
    <row r="99" spans="1:15" x14ac:dyDescent="0.25">
      <c r="A99">
        <v>98</v>
      </c>
      <c r="B99">
        <v>672796.68579999998</v>
      </c>
      <c r="C99" s="1">
        <v>24700</v>
      </c>
      <c r="D99">
        <v>1135278.43</v>
      </c>
      <c r="E99">
        <v>11865.53297</v>
      </c>
      <c r="F99">
        <v>1479775.085</v>
      </c>
      <c r="G99">
        <v>16439.441080000001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15400418.993608348</v>
      </c>
      <c r="M99" s="1">
        <f t="shared" si="7"/>
        <v>2481223.9857903053</v>
      </c>
      <c r="N99" s="1">
        <f t="shared" si="8"/>
        <v>1608456.9683325577</v>
      </c>
      <c r="O99" s="1"/>
    </row>
    <row r="100" spans="1:15" x14ac:dyDescent="0.25">
      <c r="A100">
        <v>99</v>
      </c>
      <c r="B100">
        <v>579723.35549999995</v>
      </c>
      <c r="C100" s="1">
        <v>29000</v>
      </c>
      <c r="D100">
        <v>975062.16680000001</v>
      </c>
      <c r="E100">
        <v>26274.805649999998</v>
      </c>
      <c r="F100">
        <v>1368198.202</v>
      </c>
      <c r="G100">
        <v>28904.838159999999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19057582.300802499</v>
      </c>
      <c r="M100" s="1">
        <f t="shared" si="7"/>
        <v>5790985.2043775851</v>
      </c>
      <c r="N100" s="1">
        <f t="shared" si="8"/>
        <v>2980761.0544726164</v>
      </c>
      <c r="O100" s="1"/>
    </row>
    <row r="101" spans="1:15" x14ac:dyDescent="0.25">
      <c r="A101">
        <v>100</v>
      </c>
      <c r="B101">
        <v>539643.71189999999</v>
      </c>
      <c r="C101" s="1">
        <v>13900</v>
      </c>
      <c r="D101">
        <v>936152.21799999999</v>
      </c>
      <c r="E101">
        <v>8903.4007299999994</v>
      </c>
      <c r="F101">
        <v>1327589.4369999999</v>
      </c>
      <c r="G101">
        <v>4258.3194519999997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84381677.098247752</v>
      </c>
      <c r="M101" s="1">
        <f t="shared" si="7"/>
        <v>18127270.285953026</v>
      </c>
      <c r="N101" s="1">
        <f t="shared" si="8"/>
        <v>4056564.6897559306</v>
      </c>
      <c r="O101" s="1"/>
    </row>
    <row r="102" spans="1:15" x14ac:dyDescent="0.25">
      <c r="A102">
        <v>101</v>
      </c>
      <c r="B102">
        <v>629217.79200000002</v>
      </c>
      <c r="C102" s="1">
        <v>5790</v>
      </c>
      <c r="D102">
        <v>1046674.302</v>
      </c>
      <c r="E102">
        <v>6296.4735909999999</v>
      </c>
      <c r="F102">
        <v>1429219.1310000001</v>
      </c>
      <c r="G102">
        <v>4433.8904409999996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2979727.2142049102</v>
      </c>
      <c r="M102" s="1">
        <f t="shared" si="7"/>
        <v>1086772.0657240062</v>
      </c>
      <c r="N102" s="1">
        <f t="shared" si="8"/>
        <v>358071.46783812204</v>
      </c>
      <c r="O102" s="1"/>
    </row>
    <row r="103" spans="1:15" x14ac:dyDescent="0.25">
      <c r="A103">
        <v>102</v>
      </c>
      <c r="B103">
        <v>642977.14159999997</v>
      </c>
      <c r="C103" s="1">
        <v>18300</v>
      </c>
      <c r="D103">
        <v>1093102.5490000001</v>
      </c>
      <c r="E103">
        <v>10954.40994</v>
      </c>
      <c r="F103">
        <v>1464864.8829999999</v>
      </c>
      <c r="G103">
        <v>2126.506312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8223211.0060074003</v>
      </c>
      <c r="M103" s="1">
        <f t="shared" si="7"/>
        <v>1650906.4746092996</v>
      </c>
      <c r="N103" s="1">
        <f t="shared" si="8"/>
        <v>149949.09046966172</v>
      </c>
      <c r="O103" s="1"/>
    </row>
    <row r="104" spans="1:15" x14ac:dyDescent="0.25">
      <c r="A104">
        <v>103</v>
      </c>
      <c r="B104">
        <v>738848.34259999997</v>
      </c>
      <c r="C104" s="1">
        <v>4360</v>
      </c>
      <c r="D104">
        <v>1185230.487</v>
      </c>
      <c r="E104">
        <v>3228.0203729999998</v>
      </c>
      <c r="F104">
        <v>1552085.429</v>
      </c>
      <c r="G104">
        <v>2709.9387029999998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3782659.7041877802</v>
      </c>
      <c r="M104" s="1">
        <f t="shared" si="7"/>
        <v>939269.42994186969</v>
      </c>
      <c r="N104" s="1">
        <f t="shared" si="8"/>
        <v>368941.12389944028</v>
      </c>
      <c r="O104" s="1"/>
    </row>
    <row r="105" spans="1:15" x14ac:dyDescent="0.25">
      <c r="A105">
        <v>104</v>
      </c>
      <c r="B105">
        <v>774605.9852</v>
      </c>
      <c r="C105" s="1">
        <v>3970</v>
      </c>
      <c r="D105">
        <v>1185163.237</v>
      </c>
      <c r="E105">
        <v>6297.034353</v>
      </c>
      <c r="F105">
        <v>1567817.226</v>
      </c>
      <c r="G105">
        <v>10203.53837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2073797.0047435877</v>
      </c>
      <c r="M105" s="1">
        <f t="shared" si="7"/>
        <v>1103201.7336346114</v>
      </c>
      <c r="N105" s="1">
        <f t="shared" si="8"/>
        <v>836398.70783499768</v>
      </c>
      <c r="O105" s="1"/>
    </row>
    <row r="106" spans="1:15" x14ac:dyDescent="0.25">
      <c r="A106">
        <v>105</v>
      </c>
      <c r="B106">
        <v>748468.65359999996</v>
      </c>
      <c r="C106" s="1">
        <v>9080</v>
      </c>
      <c r="D106">
        <v>1201405.094</v>
      </c>
      <c r="E106">
        <v>11430.958570000001</v>
      </c>
      <c r="F106">
        <v>1543798.993</v>
      </c>
      <c r="G106">
        <v>2951.4343480000002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4275377.6663007801</v>
      </c>
      <c r="M106" s="1">
        <f t="shared" si="7"/>
        <v>1805154.6873026222</v>
      </c>
      <c r="N106" s="1">
        <f t="shared" si="8"/>
        <v>218076.35420013638</v>
      </c>
      <c r="O106" s="1"/>
    </row>
    <row r="107" spans="1:15" x14ac:dyDescent="0.25">
      <c r="A107">
        <v>106</v>
      </c>
      <c r="B107">
        <v>709353.16830000002</v>
      </c>
      <c r="C107" s="1">
        <v>24200</v>
      </c>
      <c r="D107">
        <v>1132742.7590000001</v>
      </c>
      <c r="E107">
        <v>43901.847670000003</v>
      </c>
      <c r="F107">
        <v>1490605.067</v>
      </c>
      <c r="G107">
        <v>28078.969669999999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7819393.168052895</v>
      </c>
      <c r="M107" s="1">
        <f t="shared" si="7"/>
        <v>4757552.8344807336</v>
      </c>
      <c r="N107" s="1">
        <f t="shared" si="8"/>
        <v>1423723.5452996423</v>
      </c>
      <c r="O107" s="1"/>
    </row>
    <row r="108" spans="1:15" x14ac:dyDescent="0.25">
      <c r="A108">
        <v>107</v>
      </c>
      <c r="B108">
        <v>681985.84909999999</v>
      </c>
      <c r="C108" s="1">
        <v>24400</v>
      </c>
      <c r="D108">
        <v>1070963.4609999999</v>
      </c>
      <c r="E108">
        <v>64877.927259999997</v>
      </c>
      <c r="F108">
        <v>1450881.4029999999</v>
      </c>
      <c r="G108">
        <v>32132.8691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153108831.43764001</v>
      </c>
      <c r="M108" s="1">
        <f t="shared" si="7"/>
        <v>136537051.14090216</v>
      </c>
      <c r="N108" s="1">
        <f t="shared" si="8"/>
        <v>31640747.537278969</v>
      </c>
      <c r="O108" s="1"/>
    </row>
    <row r="109" spans="1:15" x14ac:dyDescent="0.25">
      <c r="A109">
        <v>108</v>
      </c>
      <c r="B109">
        <v>479547.31530000002</v>
      </c>
      <c r="C109" s="1">
        <v>11100</v>
      </c>
      <c r="D109">
        <v>854858.90399999998</v>
      </c>
      <c r="E109">
        <v>10353.10137</v>
      </c>
      <c r="F109">
        <v>1276790.477</v>
      </c>
      <c r="G109">
        <v>6591.5372429999998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54294804.339340501</v>
      </c>
      <c r="M109" s="1">
        <f t="shared" si="7"/>
        <v>16984348.672947023</v>
      </c>
      <c r="N109" s="1">
        <f t="shared" si="8"/>
        <v>5059514.1982293017</v>
      </c>
      <c r="O109" s="1"/>
    </row>
    <row r="110" spans="1:15" x14ac:dyDescent="0.25">
      <c r="A110">
        <v>109</v>
      </c>
      <c r="B110">
        <v>606152.33869999996</v>
      </c>
      <c r="C110" s="1">
        <v>11900</v>
      </c>
      <c r="D110">
        <v>1019048.326</v>
      </c>
      <c r="E110">
        <v>5052.6092609999996</v>
      </c>
      <c r="F110">
        <v>1396045.5549999999</v>
      </c>
      <c r="G110">
        <v>4877.7734890000002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8884907.3867781516</v>
      </c>
      <c r="M110" s="1">
        <f t="shared" si="7"/>
        <v>1265216.3471664698</v>
      </c>
      <c r="N110" s="1">
        <f t="shared" si="8"/>
        <v>571497.56971578114</v>
      </c>
      <c r="O110" s="1"/>
    </row>
    <row r="111" spans="1:15" x14ac:dyDescent="0.25">
      <c r="A111">
        <v>110</v>
      </c>
      <c r="B111">
        <v>635787.79680000001</v>
      </c>
      <c r="C111" s="1">
        <v>18300</v>
      </c>
      <c r="D111">
        <v>1079069.145</v>
      </c>
      <c r="E111">
        <v>10954.409530000001</v>
      </c>
      <c r="F111">
        <v>1462937.973</v>
      </c>
      <c r="G111">
        <v>2126.5061580000001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12341512.139267026</v>
      </c>
      <c r="M111" s="1">
        <f t="shared" si="7"/>
        <v>2477703.8458237438</v>
      </c>
      <c r="N111" s="1">
        <f t="shared" si="8"/>
        <v>225045.71327824087</v>
      </c>
      <c r="O111" s="1"/>
    </row>
    <row r="112" spans="1:15" x14ac:dyDescent="0.25">
      <c r="A112">
        <v>111</v>
      </c>
      <c r="B112">
        <v>705289.56099999999</v>
      </c>
      <c r="C112" s="1">
        <v>7220</v>
      </c>
      <c r="D112">
        <v>1147428.45</v>
      </c>
      <c r="E112">
        <v>14229.269759999999</v>
      </c>
      <c r="F112">
        <v>1525919.523</v>
      </c>
      <c r="G112">
        <v>6578.145853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5348490.8918944756</v>
      </c>
      <c r="M112" s="1">
        <f t="shared" si="7"/>
        <v>3535247.4103362337</v>
      </c>
      <c r="N112" s="1">
        <f t="shared" si="8"/>
        <v>764688.17907373526</v>
      </c>
      <c r="O112" s="1"/>
    </row>
    <row r="113" spans="1:15" x14ac:dyDescent="0.25">
      <c r="A113">
        <v>112</v>
      </c>
      <c r="B113">
        <v>746292.40090000001</v>
      </c>
      <c r="C113" s="1">
        <v>15700</v>
      </c>
      <c r="D113">
        <v>1176071.172</v>
      </c>
      <c r="E113">
        <v>12994.63429</v>
      </c>
      <c r="F113">
        <v>1547424.129</v>
      </c>
      <c r="G113">
        <v>12901.004999999999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5819036.2897075498</v>
      </c>
      <c r="M113" s="1">
        <f t="shared" si="7"/>
        <v>1615320.1542466837</v>
      </c>
      <c r="N113" s="1">
        <f t="shared" si="8"/>
        <v>750346.3458507841</v>
      </c>
      <c r="O113" s="1"/>
    </row>
    <row r="114" spans="1:15" x14ac:dyDescent="0.25">
      <c r="A114">
        <v>113</v>
      </c>
      <c r="B114">
        <v>699229.30810000002</v>
      </c>
      <c r="C114" s="1">
        <v>6490</v>
      </c>
      <c r="D114">
        <v>1121621.2660000001</v>
      </c>
      <c r="E114">
        <v>19541.806649999999</v>
      </c>
      <c r="F114">
        <v>1493192.1939999999</v>
      </c>
      <c r="G114">
        <v>9981.661752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1104745.3367836243</v>
      </c>
      <c r="M114" s="1">
        <f t="shared" si="7"/>
        <v>1115643.2166939452</v>
      </c>
      <c r="N114" s="1">
        <f t="shared" si="8"/>
        <v>266628.85289441579</v>
      </c>
      <c r="O114" s="1"/>
    </row>
    <row r="115" spans="1:15" x14ac:dyDescent="0.25">
      <c r="A115">
        <v>114</v>
      </c>
      <c r="B115">
        <v>646199.41009999998</v>
      </c>
      <c r="C115" s="1">
        <v>17800</v>
      </c>
      <c r="D115">
        <v>1090699.76</v>
      </c>
      <c r="E115">
        <v>22351.626380000002</v>
      </c>
      <c r="F115">
        <v>1462140.9850000001</v>
      </c>
      <c r="G115">
        <v>8798.1064659999993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8829696.5284436997</v>
      </c>
      <c r="M115" s="1">
        <f t="shared" si="7"/>
        <v>3718587.8108779038</v>
      </c>
      <c r="N115" s="1">
        <f t="shared" si="8"/>
        <v>684860.00278403319</v>
      </c>
      <c r="O115" s="1"/>
    </row>
    <row r="116" spans="1:15" x14ac:dyDescent="0.25">
      <c r="A116">
        <v>115</v>
      </c>
      <c r="B116">
        <v>679966.50859999994</v>
      </c>
      <c r="C116" s="1">
        <v>34200</v>
      </c>
      <c r="D116">
        <v>1062495.635</v>
      </c>
      <c r="E116">
        <v>53663.67368</v>
      </c>
      <c r="F116">
        <v>1441018.446</v>
      </c>
      <c r="G116">
        <v>31355.61464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24219189.891315904</v>
      </c>
      <c r="M116" s="1">
        <f t="shared" si="7"/>
        <v>12745504.8709174</v>
      </c>
      <c r="N116" s="1">
        <f t="shared" si="8"/>
        <v>3484461.25428514</v>
      </c>
      <c r="O116" s="1"/>
    </row>
    <row r="117" spans="1:15" x14ac:dyDescent="0.25">
      <c r="A117">
        <v>116</v>
      </c>
      <c r="B117">
        <v>695264.42579999997</v>
      </c>
      <c r="C117" s="1">
        <v>23900</v>
      </c>
      <c r="D117">
        <v>1082534.1059999999</v>
      </c>
      <c r="E117">
        <v>51716.420910000001</v>
      </c>
      <c r="F117">
        <v>1459050.0149999999</v>
      </c>
      <c r="G117">
        <v>35297.490619999997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12229184.930083225</v>
      </c>
      <c r="M117" s="1">
        <f t="shared" si="7"/>
        <v>8875058.2040701658</v>
      </c>
      <c r="N117" s="1">
        <f t="shared" si="8"/>
        <v>2834198.462613808</v>
      </c>
      <c r="O117" s="1"/>
    </row>
    <row r="118" spans="1:15" x14ac:dyDescent="0.25">
      <c r="A118">
        <v>117</v>
      </c>
      <c r="B118">
        <v>584761.99340000004</v>
      </c>
      <c r="C118" s="1">
        <v>20000</v>
      </c>
      <c r="D118">
        <v>977111.74540000001</v>
      </c>
      <c r="E118">
        <v>12808.64574</v>
      </c>
      <c r="F118">
        <v>1348966.6359999999</v>
      </c>
      <c r="G118">
        <v>19827.430369999998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12784726.02004</v>
      </c>
      <c r="M118" s="1">
        <f t="shared" si="7"/>
        <v>2746045.8285581726</v>
      </c>
      <c r="N118" s="1">
        <f t="shared" si="8"/>
        <v>1988907.925085444</v>
      </c>
      <c r="O118" s="1"/>
    </row>
    <row r="119" spans="1:15" x14ac:dyDescent="0.25">
      <c r="A119">
        <v>118</v>
      </c>
      <c r="B119">
        <v>632272.4081</v>
      </c>
      <c r="C119" s="1">
        <v>5490</v>
      </c>
      <c r="D119">
        <v>1036030.019</v>
      </c>
      <c r="E119">
        <v>6923.778249</v>
      </c>
      <c r="F119">
        <v>1418951.0970000001</v>
      </c>
      <c r="G119">
        <v>6285.7633180000003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3512152.1013748655</v>
      </c>
      <c r="M119" s="1">
        <f t="shared" si="7"/>
        <v>1485549.9473773316</v>
      </c>
      <c r="N119" s="1">
        <f t="shared" si="8"/>
        <v>631023.90312399948</v>
      </c>
      <c r="O119" s="1"/>
    </row>
    <row r="120" spans="1:15" x14ac:dyDescent="0.25">
      <c r="A120">
        <v>119</v>
      </c>
      <c r="B120">
        <v>663612.86560000002</v>
      </c>
      <c r="C120" s="1">
        <v>35500</v>
      </c>
      <c r="D120">
        <v>1038420.978</v>
      </c>
      <c r="E120">
        <v>42925.053619999999</v>
      </c>
      <c r="F120">
        <v>1421717.5649999999</v>
      </c>
      <c r="G120">
        <v>26386.844079999999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30169455.510333754</v>
      </c>
      <c r="M120" s="1">
        <f t="shared" si="7"/>
        <v>12234693.738325773</v>
      </c>
      <c r="N120" s="1">
        <f t="shared" si="8"/>
        <v>3518952.3419296513</v>
      </c>
      <c r="O120" s="1"/>
    </row>
    <row r="121" spans="1:15" x14ac:dyDescent="0.25">
      <c r="A121">
        <v>120</v>
      </c>
      <c r="B121">
        <v>663586.36159999995</v>
      </c>
      <c r="C121" s="1">
        <v>40800</v>
      </c>
      <c r="D121">
        <v>1015359.84</v>
      </c>
      <c r="E121">
        <v>54160.22365</v>
      </c>
      <c r="F121">
        <v>1405286.09</v>
      </c>
      <c r="G121">
        <v>33515.94195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21676926.276548401</v>
      </c>
      <c r="M121" s="1">
        <f t="shared" si="7"/>
        <v>9650751.2892069463</v>
      </c>
      <c r="N121" s="1">
        <f t="shared" si="8"/>
        <v>2794317.7028431767</v>
      </c>
      <c r="O121" s="1"/>
    </row>
    <row r="122" spans="1:15" x14ac:dyDescent="0.25">
      <c r="A122">
        <v>121</v>
      </c>
      <c r="B122">
        <v>679236.84019999998</v>
      </c>
      <c r="C122" s="1">
        <v>31300</v>
      </c>
      <c r="D122">
        <v>1059976.821</v>
      </c>
      <c r="E122">
        <v>62814.564899999998</v>
      </c>
      <c r="F122">
        <v>1451094.6869999999</v>
      </c>
      <c r="G122">
        <v>37657.767039999999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10943178.593565725</v>
      </c>
      <c r="M122" s="1">
        <f t="shared" si="7"/>
        <v>7365506.927066396</v>
      </c>
      <c r="N122" s="1">
        <f t="shared" si="8"/>
        <v>2066048.5797821833</v>
      </c>
      <c r="O122" s="1"/>
    </row>
    <row r="123" spans="1:15" x14ac:dyDescent="0.25">
      <c r="A123">
        <v>122</v>
      </c>
      <c r="B123">
        <v>668175.5527</v>
      </c>
      <c r="C123" s="1">
        <v>44300</v>
      </c>
      <c r="D123">
        <v>1031419.366</v>
      </c>
      <c r="E123">
        <v>91569.529559999995</v>
      </c>
      <c r="F123">
        <v>1433666.7709999999</v>
      </c>
      <c r="G123">
        <v>55085.683040000004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19396973.172361203</v>
      </c>
      <c r="M123" s="1">
        <f t="shared" si="7"/>
        <v>13446967.612615738</v>
      </c>
      <c r="N123" s="1">
        <f t="shared" si="8"/>
        <v>3784912.0556701995</v>
      </c>
      <c r="O123" s="1"/>
    </row>
    <row r="124" spans="1:15" x14ac:dyDescent="0.25">
      <c r="A124">
        <v>123</v>
      </c>
      <c r="B124">
        <v>626318.17180000001</v>
      </c>
      <c r="C124" s="1">
        <v>54700</v>
      </c>
      <c r="D124">
        <v>978561.15289999999</v>
      </c>
      <c r="E124">
        <v>84009.446729999996</v>
      </c>
      <c r="F124">
        <v>1386317.4650000001</v>
      </c>
      <c r="G124">
        <v>70132.92409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28082227.361763574</v>
      </c>
      <c r="M124" s="1">
        <f t="shared" si="7"/>
        <v>14464901.691084404</v>
      </c>
      <c r="N124" s="1">
        <f t="shared" si="8"/>
        <v>5650059.0472155809</v>
      </c>
      <c r="O124" s="1"/>
    </row>
    <row r="125" spans="1:15" x14ac:dyDescent="0.25">
      <c r="A125">
        <v>124</v>
      </c>
      <c r="B125">
        <v>614657.81920000003</v>
      </c>
      <c r="C125" s="1">
        <v>71400</v>
      </c>
      <c r="D125">
        <v>960189.37789999996</v>
      </c>
      <c r="E125">
        <v>106512.8861</v>
      </c>
      <c r="F125">
        <v>1355654.39</v>
      </c>
      <c r="G125">
        <v>91745.24725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23583185.823083248</v>
      </c>
      <c r="M125" s="1">
        <f t="shared" si="7"/>
        <v>11799118.173409304</v>
      </c>
      <c r="N125" s="1">
        <f t="shared" si="8"/>
        <v>4755264.207212016</v>
      </c>
      <c r="O125" s="1"/>
    </row>
    <row r="126" spans="1:15" x14ac:dyDescent="0.25">
      <c r="A126">
        <v>125</v>
      </c>
      <c r="B126">
        <v>549709.18810000003</v>
      </c>
      <c r="C126" s="1">
        <v>7020</v>
      </c>
      <c r="D126">
        <v>933838.61970000004</v>
      </c>
      <c r="E126">
        <v>9395.8757270000006</v>
      </c>
      <c r="F126">
        <v>1327194.1980000001</v>
      </c>
      <c r="G126">
        <v>8195.6840979999997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12119295.123585001</v>
      </c>
      <c r="M126" s="1">
        <f t="shared" si="7"/>
        <v>5440272.4549307711</v>
      </c>
      <c r="N126" s="1">
        <f t="shared" si="8"/>
        <v>2220303.1472671758</v>
      </c>
      <c r="O126" s="1"/>
    </row>
    <row r="127" spans="1:15" x14ac:dyDescent="0.25">
      <c r="A127">
        <v>126</v>
      </c>
      <c r="B127">
        <v>577774.50600000005</v>
      </c>
      <c r="C127" s="1">
        <v>13200</v>
      </c>
      <c r="D127">
        <v>942037.46070000005</v>
      </c>
      <c r="E127">
        <v>17622.497609999999</v>
      </c>
      <c r="F127">
        <v>1333285.6129999999</v>
      </c>
      <c r="G127">
        <v>20491.471089999999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6216362.4340818003</v>
      </c>
      <c r="M127" s="1">
        <f t="shared" si="7"/>
        <v>2783383.1475495412</v>
      </c>
      <c r="N127" s="1">
        <f t="shared" si="8"/>
        <v>1514336.3557693267</v>
      </c>
      <c r="O127" s="1"/>
    </row>
    <row r="128" spans="1:15" x14ac:dyDescent="0.25">
      <c r="A128">
        <v>127</v>
      </c>
      <c r="B128">
        <v>617046.87990000006</v>
      </c>
      <c r="C128" s="1">
        <v>9900</v>
      </c>
      <c r="D128">
        <v>1016686.696</v>
      </c>
      <c r="E128">
        <v>4184.3960740000002</v>
      </c>
      <c r="F128">
        <v>1382263.2620000001</v>
      </c>
      <c r="G128">
        <v>20402.14789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2724306.4843812678</v>
      </c>
      <c r="M128" s="1">
        <f t="shared" si="7"/>
        <v>386186.14824563521</v>
      </c>
      <c r="N128" s="1">
        <f t="shared" si="8"/>
        <v>881015.35148210172</v>
      </c>
      <c r="O128" s="1"/>
    </row>
    <row r="129" spans="1:15" x14ac:dyDescent="0.25">
      <c r="A129">
        <v>128</v>
      </c>
      <c r="B129">
        <v>637911.85930000001</v>
      </c>
      <c r="C129" s="1">
        <v>14600</v>
      </c>
      <c r="D129">
        <v>1033739.204</v>
      </c>
      <c r="E129">
        <v>14573.9076</v>
      </c>
      <c r="F129">
        <v>1395808.2690000001</v>
      </c>
      <c r="G129">
        <v>17774.271850000001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2813127.9567610049</v>
      </c>
      <c r="M129" s="1">
        <f t="shared" si="7"/>
        <v>941793.69716764463</v>
      </c>
      <c r="N129" s="1">
        <f t="shared" si="8"/>
        <v>537421.78159484989</v>
      </c>
      <c r="O129" s="1"/>
    </row>
    <row r="130" spans="1:15" x14ac:dyDescent="0.25">
      <c r="A130">
        <v>129</v>
      </c>
      <c r="B130">
        <v>654747.41839999997</v>
      </c>
      <c r="C130" s="1">
        <v>10400</v>
      </c>
      <c r="D130">
        <v>1057052.6910000001</v>
      </c>
      <c r="E130">
        <v>21864.430530000001</v>
      </c>
      <c r="F130">
        <v>1432855.5519999999</v>
      </c>
      <c r="G130">
        <v>5792.5308610000002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4769164.6836990006</v>
      </c>
      <c r="M130" s="1">
        <f t="shared" si="7"/>
        <v>3362716.7516279346</v>
      </c>
      <c r="N130" s="1">
        <f t="shared" si="8"/>
        <v>416834.9746116586</v>
      </c>
      <c r="O130" s="1"/>
    </row>
    <row r="131" spans="1:15" x14ac:dyDescent="0.25">
      <c r="A131">
        <v>130</v>
      </c>
      <c r="B131">
        <v>639290.65890000004</v>
      </c>
      <c r="C131" s="1">
        <v>24900</v>
      </c>
      <c r="D131">
        <v>1034202.718</v>
      </c>
      <c r="E131">
        <v>27109.793839999998</v>
      </c>
      <c r="F131">
        <v>1405441.311</v>
      </c>
      <c r="G131">
        <v>25200.411319999999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18373246.284199949</v>
      </c>
      <c r="M131" s="1">
        <f t="shared" ref="M131:M194" si="11">$U$3*$K131*E131</f>
        <v>6708970.7956807576</v>
      </c>
      <c r="N131" s="1">
        <f t="shared" ref="N131:N194" si="12">$U$4*$K131*G131</f>
        <v>2917971.1517974073</v>
      </c>
      <c r="O131" s="1"/>
    </row>
    <row r="132" spans="1:15" x14ac:dyDescent="0.25">
      <c r="A132">
        <v>131</v>
      </c>
      <c r="B132">
        <v>616418.23600000003</v>
      </c>
      <c r="C132" s="1">
        <v>81100</v>
      </c>
      <c r="D132">
        <v>993193.01930000004</v>
      </c>
      <c r="E132">
        <v>99397.768460000007</v>
      </c>
      <c r="F132">
        <v>1404673.152</v>
      </c>
      <c r="G132">
        <v>60626.678590000003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47680155.56574367</v>
      </c>
      <c r="M132" s="1">
        <f t="shared" si="11"/>
        <v>19599120.397367053</v>
      </c>
      <c r="N132" s="1">
        <f t="shared" si="12"/>
        <v>5593290.8203313136</v>
      </c>
      <c r="O132" s="1"/>
    </row>
    <row r="133" spans="1:15" x14ac:dyDescent="0.25">
      <c r="A133">
        <v>132</v>
      </c>
      <c r="B133">
        <v>642089.01930000004</v>
      </c>
      <c r="C133" s="1">
        <v>63200</v>
      </c>
      <c r="D133">
        <v>990589.44629999995</v>
      </c>
      <c r="E133">
        <v>95956.724130000002</v>
      </c>
      <c r="F133">
        <v>1408307.291</v>
      </c>
      <c r="G133">
        <v>59224.322509999998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41304835.452873208</v>
      </c>
      <c r="M133" s="1">
        <f t="shared" si="11"/>
        <v>21033055.520239402</v>
      </c>
      <c r="N133" s="1">
        <f t="shared" si="12"/>
        <v>6073943.315494434</v>
      </c>
      <c r="O133" s="1"/>
    </row>
    <row r="134" spans="1:15" x14ac:dyDescent="0.25">
      <c r="A134">
        <v>133</v>
      </c>
      <c r="B134">
        <v>645309.62470000004</v>
      </c>
      <c r="C134" s="1">
        <v>23600</v>
      </c>
      <c r="D134">
        <v>1041246.2439999999</v>
      </c>
      <c r="E134">
        <v>25632.529930000001</v>
      </c>
      <c r="F134">
        <v>1426175.077</v>
      </c>
      <c r="G134">
        <v>10982.52922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9053111.855202999</v>
      </c>
      <c r="M134" s="1">
        <f t="shared" si="11"/>
        <v>3297770.9914088696</v>
      </c>
      <c r="N134" s="1">
        <f t="shared" si="12"/>
        <v>661112.03905690531</v>
      </c>
      <c r="O134" s="1"/>
    </row>
    <row r="135" spans="1:15" x14ac:dyDescent="0.25">
      <c r="A135">
        <v>134</v>
      </c>
      <c r="B135">
        <v>677362.09600000002</v>
      </c>
      <c r="C135" s="1">
        <v>21600</v>
      </c>
      <c r="D135">
        <v>1089775.298</v>
      </c>
      <c r="E135">
        <v>11241.261920000001</v>
      </c>
      <c r="F135">
        <v>1473526.0689999999</v>
      </c>
      <c r="G135">
        <v>7707.5920299999998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44338272.071792401</v>
      </c>
      <c r="M135" s="1">
        <f t="shared" si="11"/>
        <v>7738970.9556804979</v>
      </c>
      <c r="N135" s="1">
        <f t="shared" si="12"/>
        <v>2482736.0305798366</v>
      </c>
      <c r="O135" s="1"/>
    </row>
    <row r="136" spans="1:15" x14ac:dyDescent="0.25">
      <c r="A136">
        <v>135</v>
      </c>
      <c r="B136">
        <v>617862.22849999997</v>
      </c>
      <c r="C136" s="1">
        <v>17400</v>
      </c>
      <c r="D136">
        <v>1006591.963</v>
      </c>
      <c r="E136">
        <v>16535.80687</v>
      </c>
      <c r="F136">
        <v>1401314.7949999999</v>
      </c>
      <c r="G136">
        <v>16332.32697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11200867.7919567</v>
      </c>
      <c r="M136" s="1">
        <f t="shared" si="11"/>
        <v>3570022.4823479624</v>
      </c>
      <c r="N136" s="1">
        <f t="shared" si="12"/>
        <v>1649822.8101547156</v>
      </c>
      <c r="O136" s="1"/>
    </row>
    <row r="137" spans="1:15" x14ac:dyDescent="0.25">
      <c r="A137">
        <v>136</v>
      </c>
      <c r="B137">
        <v>487476.47600000002</v>
      </c>
      <c r="C137" s="1">
        <v>16400</v>
      </c>
      <c r="D137">
        <v>868819.54099999997</v>
      </c>
      <c r="E137">
        <v>17281.845700000002</v>
      </c>
      <c r="F137">
        <v>1271853.504</v>
      </c>
      <c r="G137">
        <v>3793.1006750000001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20121121.795375898</v>
      </c>
      <c r="M137" s="1">
        <f t="shared" si="11"/>
        <v>7111178.8588117575</v>
      </c>
      <c r="N137" s="1">
        <f t="shared" si="12"/>
        <v>730280.20147348498</v>
      </c>
      <c r="O137" s="1"/>
    </row>
    <row r="138" spans="1:15" x14ac:dyDescent="0.25">
      <c r="A138">
        <v>137</v>
      </c>
      <c r="B138">
        <v>617862.22849999997</v>
      </c>
      <c r="C138" s="1">
        <v>18500</v>
      </c>
      <c r="D138">
        <v>1006828.188</v>
      </c>
      <c r="E138">
        <v>16535.80675</v>
      </c>
      <c r="F138">
        <v>1403728.7620000001</v>
      </c>
      <c r="G138">
        <v>16811.668430000002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3738502.8635556875</v>
      </c>
      <c r="M138" s="1">
        <f t="shared" si="11"/>
        <v>1120713.2701176803</v>
      </c>
      <c r="N138" s="1">
        <f t="shared" si="12"/>
        <v>533118.33661569923</v>
      </c>
      <c r="O138" s="1"/>
    </row>
    <row r="139" spans="1:15" x14ac:dyDescent="0.25">
      <c r="A139">
        <v>138</v>
      </c>
      <c r="B139">
        <v>684073.38219999999</v>
      </c>
      <c r="C139" s="1">
        <v>16500</v>
      </c>
      <c r="D139">
        <v>1065427.6100000001</v>
      </c>
      <c r="E139">
        <v>23898.027600000001</v>
      </c>
      <c r="F139">
        <v>1445122.47</v>
      </c>
      <c r="G139">
        <v>5801.0016100000003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3293143.0622536875</v>
      </c>
      <c r="M139" s="1">
        <f t="shared" si="11"/>
        <v>1599675.3367610439</v>
      </c>
      <c r="N139" s="1">
        <f t="shared" si="12"/>
        <v>181683.90461739723</v>
      </c>
      <c r="O139" s="1"/>
    </row>
    <row r="140" spans="1:15" x14ac:dyDescent="0.25">
      <c r="A140">
        <v>139</v>
      </c>
      <c r="B140">
        <v>661278.17319999996</v>
      </c>
      <c r="C140" s="1">
        <v>25000</v>
      </c>
      <c r="D140">
        <v>1049835.898</v>
      </c>
      <c r="E140">
        <v>25619.308260000002</v>
      </c>
      <c r="F140">
        <v>1434412.6259999999</v>
      </c>
      <c r="G140">
        <v>11108.73033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4060095.4759787507</v>
      </c>
      <c r="M140" s="1">
        <f t="shared" si="11"/>
        <v>1395425.882398804</v>
      </c>
      <c r="N140" s="1">
        <f t="shared" si="12"/>
        <v>283104.95921129198</v>
      </c>
      <c r="O140" s="1"/>
    </row>
    <row r="141" spans="1:15" x14ac:dyDescent="0.25">
      <c r="A141">
        <v>140</v>
      </c>
      <c r="B141">
        <v>617134.82869999995</v>
      </c>
      <c r="C141" s="1">
        <v>31400</v>
      </c>
      <c r="D141">
        <v>1012511.968</v>
      </c>
      <c r="E141">
        <v>33098.24368</v>
      </c>
      <c r="F141">
        <v>1419902.466</v>
      </c>
      <c r="G141">
        <v>12892.06559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10404439.23209925</v>
      </c>
      <c r="M141" s="1">
        <f t="shared" si="11"/>
        <v>3678215.0407934603</v>
      </c>
      <c r="N141" s="1">
        <f t="shared" si="12"/>
        <v>670344.96456413832</v>
      </c>
      <c r="O141" s="1"/>
    </row>
    <row r="142" spans="1:15" x14ac:dyDescent="0.25">
      <c r="A142">
        <v>141</v>
      </c>
      <c r="B142">
        <v>588073.7831</v>
      </c>
      <c r="C142" s="1">
        <v>25500</v>
      </c>
      <c r="D142">
        <v>989478.98499999999</v>
      </c>
      <c r="E142">
        <v>13090.09078</v>
      </c>
      <c r="F142">
        <v>1380284.493</v>
      </c>
      <c r="G142">
        <v>9633.0410960000008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6712055.456608613</v>
      </c>
      <c r="M142" s="1">
        <f t="shared" si="11"/>
        <v>1155583.0180351997</v>
      </c>
      <c r="N142" s="1">
        <f t="shared" si="12"/>
        <v>397892.34493625734</v>
      </c>
      <c r="O142" s="1"/>
    </row>
    <row r="143" spans="1:15" x14ac:dyDescent="0.25">
      <c r="A143">
        <v>142</v>
      </c>
      <c r="B143">
        <v>654730.73620000004</v>
      </c>
      <c r="C143" s="1">
        <v>20800</v>
      </c>
      <c r="D143">
        <v>1026039.214</v>
      </c>
      <c r="E143">
        <v>17693.681809999998</v>
      </c>
      <c r="F143">
        <v>1431011.3740000001</v>
      </c>
      <c r="G143">
        <v>10053.333860000001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14923377.2410684</v>
      </c>
      <c r="M143" s="1">
        <f t="shared" si="11"/>
        <v>4257602.6981231552</v>
      </c>
      <c r="N143" s="1">
        <f t="shared" si="12"/>
        <v>1131880.8254264058</v>
      </c>
      <c r="O143" s="1"/>
    </row>
    <row r="144" spans="1:15" x14ac:dyDescent="0.25">
      <c r="A144">
        <v>143</v>
      </c>
      <c r="B144">
        <v>691644.60439999995</v>
      </c>
      <c r="C144" s="1">
        <v>32500</v>
      </c>
      <c r="D144">
        <v>1077478.1950000001</v>
      </c>
      <c r="E144">
        <v>32060.45333</v>
      </c>
      <c r="F144">
        <v>1464323.0179999999</v>
      </c>
      <c r="G144">
        <v>14456.27527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7327506.9001233131</v>
      </c>
      <c r="M144" s="1">
        <f t="shared" si="11"/>
        <v>2424296.1454802887</v>
      </c>
      <c r="N144" s="1">
        <f t="shared" si="12"/>
        <v>511465.21148793917</v>
      </c>
      <c r="O144" s="1"/>
    </row>
    <row r="145" spans="1:15" x14ac:dyDescent="0.25">
      <c r="A145">
        <v>144</v>
      </c>
      <c r="B145">
        <v>589337.86609999998</v>
      </c>
      <c r="C145" s="1">
        <v>17800</v>
      </c>
      <c r="D145">
        <v>985828.57239999995</v>
      </c>
      <c r="E145">
        <v>15449.03196</v>
      </c>
      <c r="F145">
        <v>1391643.9450000001</v>
      </c>
      <c r="G145">
        <v>8524.7217450000007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15222187.689059</v>
      </c>
      <c r="M145" s="1">
        <f t="shared" si="11"/>
        <v>4430997.232138915</v>
      </c>
      <c r="N145" s="1">
        <f t="shared" si="12"/>
        <v>1143994.9238321558</v>
      </c>
      <c r="O145" s="1"/>
    </row>
    <row r="146" spans="1:15" x14ac:dyDescent="0.25">
      <c r="A146">
        <v>145</v>
      </c>
      <c r="B146">
        <v>695087.51100000006</v>
      </c>
      <c r="C146" s="1">
        <v>16000</v>
      </c>
      <c r="D146">
        <v>1091212.442</v>
      </c>
      <c r="E146">
        <v>15180.61039</v>
      </c>
      <c r="F146">
        <v>1467470.861</v>
      </c>
      <c r="G146">
        <v>5420.1317069999996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7535938.1126119997</v>
      </c>
      <c r="M146" s="1">
        <f t="shared" si="11"/>
        <v>2398002.9432245968</v>
      </c>
      <c r="N146" s="1">
        <f t="shared" si="12"/>
        <v>400602.81392578071</v>
      </c>
      <c r="O146" s="1"/>
    </row>
    <row r="147" spans="1:15" x14ac:dyDescent="0.25">
      <c r="A147">
        <v>146</v>
      </c>
      <c r="B147">
        <v>757147.87699999998</v>
      </c>
      <c r="C147" s="1">
        <v>4320</v>
      </c>
      <c r="D147">
        <v>1204923.44</v>
      </c>
      <c r="E147">
        <v>7090.8584879999999</v>
      </c>
      <c r="F147">
        <v>1577093.3430000001</v>
      </c>
      <c r="G147">
        <v>941.16477669999995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18692089.622668803</v>
      </c>
      <c r="M147" s="1">
        <f t="shared" si="11"/>
        <v>10290016.308525641</v>
      </c>
      <c r="N147" s="1">
        <f t="shared" si="12"/>
        <v>639037.85907731415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>
        <v>21044.04797</v>
      </c>
      <c r="F148">
        <v>792492.29980000004</v>
      </c>
      <c r="G148">
        <v>10885.585160000001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14722599.71064713</v>
      </c>
      <c r="N148" s="1">
        <f t="shared" si="12"/>
        <v>3563285.9800124224</v>
      </c>
      <c r="O148" s="1"/>
    </row>
    <row r="149" spans="1:15" x14ac:dyDescent="0.25">
      <c r="A149">
        <v>148</v>
      </c>
      <c r="B149">
        <v>83546.303509999998</v>
      </c>
      <c r="C149" s="1">
        <v>3340</v>
      </c>
      <c r="D149">
        <v>477526.90259999997</v>
      </c>
      <c r="E149">
        <v>16903.653979999999</v>
      </c>
      <c r="F149">
        <v>849571.42909999995</v>
      </c>
      <c r="G149">
        <v>15256.07646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447568.16909992206</v>
      </c>
      <c r="M149" s="1">
        <f t="shared" si="11"/>
        <v>759690.08149153925</v>
      </c>
      <c r="N149" s="1">
        <f t="shared" si="12"/>
        <v>320805.93703489786</v>
      </c>
      <c r="O149" s="1"/>
    </row>
    <row r="150" spans="1:15" x14ac:dyDescent="0.25">
      <c r="A150">
        <v>149</v>
      </c>
      <c r="B150">
        <v>528047.92740000004</v>
      </c>
      <c r="C150" s="1">
        <v>9940</v>
      </c>
      <c r="D150">
        <v>949631.4523</v>
      </c>
      <c r="E150">
        <v>4262.5327530000004</v>
      </c>
      <c r="F150">
        <v>1389819.6710000001</v>
      </c>
      <c r="G150">
        <v>2654.7162400000002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5528452.2707673358</v>
      </c>
      <c r="M150" s="1">
        <f t="shared" si="11"/>
        <v>795111.52070954535</v>
      </c>
      <c r="N150" s="1">
        <f t="shared" si="12"/>
        <v>231697.90227172797</v>
      </c>
      <c r="O150" s="1"/>
    </row>
    <row r="151" spans="1:15" x14ac:dyDescent="0.25">
      <c r="A151">
        <v>150</v>
      </c>
      <c r="B151">
        <v>521584.07689999999</v>
      </c>
      <c r="C151" s="1">
        <v>31400</v>
      </c>
      <c r="D151">
        <v>922666.41509999998</v>
      </c>
      <c r="E151">
        <v>28698.736219999999</v>
      </c>
      <c r="F151">
        <v>1347281.102</v>
      </c>
      <c r="G151">
        <v>14410.69802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12479792.54055755</v>
      </c>
      <c r="M151" s="1">
        <f t="shared" si="11"/>
        <v>3825459.6656535566</v>
      </c>
      <c r="N151" s="1">
        <f t="shared" si="12"/>
        <v>898772.03374477196</v>
      </c>
      <c r="O151" s="1"/>
    </row>
    <row r="152" spans="1:15" x14ac:dyDescent="0.25">
      <c r="A152">
        <v>151</v>
      </c>
      <c r="B152">
        <v>432159.64059999998</v>
      </c>
      <c r="C152" s="1">
        <v>381</v>
      </c>
      <c r="D152">
        <v>801522.96759999997</v>
      </c>
      <c r="E152">
        <v>11927.15077</v>
      </c>
      <c r="F152">
        <v>1262048.7039999999</v>
      </c>
      <c r="G152">
        <v>15747.053690000001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1387781.3180710052</v>
      </c>
      <c r="M152" s="1">
        <f t="shared" si="11"/>
        <v>14570548.716252938</v>
      </c>
      <c r="N152" s="1">
        <f t="shared" si="12"/>
        <v>9000822.2346682604</v>
      </c>
      <c r="O152" s="1"/>
    </row>
    <row r="153" spans="1:15" x14ac:dyDescent="0.25">
      <c r="A153">
        <v>152</v>
      </c>
      <c r="B153">
        <v>407131.11700000003</v>
      </c>
      <c r="C153" s="1">
        <v>6530</v>
      </c>
      <c r="D153">
        <v>731423.63950000005</v>
      </c>
      <c r="E153">
        <v>7697.5302330000004</v>
      </c>
      <c r="F153">
        <v>1185115.6839999999</v>
      </c>
      <c r="G153">
        <v>6326.2027840000001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40374450.740062401</v>
      </c>
      <c r="M153" s="1">
        <f t="shared" si="11"/>
        <v>15962024.982048087</v>
      </c>
      <c r="N153" s="1">
        <f t="shared" si="12"/>
        <v>6137950.3340261206</v>
      </c>
      <c r="O153" s="1"/>
    </row>
    <row r="154" spans="1:15" x14ac:dyDescent="0.25">
      <c r="A154">
        <v>153</v>
      </c>
      <c r="B154">
        <v>478992.022</v>
      </c>
      <c r="C154" s="1">
        <v>6210</v>
      </c>
      <c r="D154">
        <v>891439.9584</v>
      </c>
      <c r="E154">
        <v>8950.0513759999994</v>
      </c>
      <c r="F154">
        <v>1314338.6370000001</v>
      </c>
      <c r="G154">
        <v>15606.13877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34493852.877690375</v>
      </c>
      <c r="M154" s="1">
        <f t="shared" si="11"/>
        <v>16673192.785757493</v>
      </c>
      <c r="N154" s="1">
        <f t="shared" si="12"/>
        <v>13602927.581212038</v>
      </c>
      <c r="O154" s="1"/>
    </row>
    <row r="155" spans="1:15" x14ac:dyDescent="0.25">
      <c r="A155">
        <v>154</v>
      </c>
      <c r="B155">
        <v>577520.01850000001</v>
      </c>
      <c r="C155" s="1">
        <v>18500</v>
      </c>
      <c r="D155">
        <v>1000663.858</v>
      </c>
      <c r="E155">
        <v>6903.7656209999996</v>
      </c>
      <c r="F155">
        <v>1434643.585</v>
      </c>
      <c r="G155">
        <v>8088.3200379999998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21460757.247013498</v>
      </c>
      <c r="M155" s="1">
        <f t="shared" si="11"/>
        <v>2685978.2371723684</v>
      </c>
      <c r="N155" s="1">
        <f t="shared" si="12"/>
        <v>1472375.0713439207</v>
      </c>
      <c r="O155" s="1"/>
    </row>
    <row r="156" spans="1:15" x14ac:dyDescent="0.25">
      <c r="A156">
        <v>155</v>
      </c>
      <c r="B156">
        <v>507464.4423</v>
      </c>
      <c r="C156" s="1">
        <v>7060</v>
      </c>
      <c r="D156">
        <v>905013.24950000003</v>
      </c>
      <c r="E156">
        <v>8083.0042919999996</v>
      </c>
      <c r="F156">
        <v>1342365.5930000001</v>
      </c>
      <c r="G156">
        <v>11787.94622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6043797.4088040255</v>
      </c>
      <c r="M156" s="1">
        <f t="shared" si="11"/>
        <v>2320711.4417486219</v>
      </c>
      <c r="N156" s="1">
        <f t="shared" si="12"/>
        <v>1583544.0835900707</v>
      </c>
      <c r="O156" s="1"/>
    </row>
    <row r="157" spans="1:15" x14ac:dyDescent="0.25">
      <c r="A157">
        <v>156</v>
      </c>
      <c r="B157">
        <v>461071.71620000002</v>
      </c>
      <c r="C157" s="1">
        <v>5510</v>
      </c>
      <c r="D157">
        <v>851750.37659999996</v>
      </c>
      <c r="E157">
        <v>7309.7091909999999</v>
      </c>
      <c r="F157">
        <v>1281744.27</v>
      </c>
      <c r="G157">
        <v>16392.283200000002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23085079.060090125</v>
      </c>
      <c r="M157" s="1">
        <f t="shared" si="11"/>
        <v>10271242.992754301</v>
      </c>
      <c r="N157" s="1">
        <f t="shared" si="12"/>
        <v>10777202.1979711</v>
      </c>
      <c r="O157" s="1"/>
    </row>
    <row r="158" spans="1:15" x14ac:dyDescent="0.25">
      <c r="A158">
        <v>157</v>
      </c>
      <c r="B158">
        <v>428680.88860000001</v>
      </c>
      <c r="C158" s="1">
        <v>23700</v>
      </c>
      <c r="D158">
        <v>790912.8273</v>
      </c>
      <c r="E158">
        <v>5850.68768</v>
      </c>
      <c r="F158">
        <v>1200485.1610000001</v>
      </c>
      <c r="G158">
        <v>9779.8486410000005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166375764.86766303</v>
      </c>
      <c r="M158" s="1">
        <f t="shared" si="11"/>
        <v>13775005.195201246</v>
      </c>
      <c r="N158" s="1">
        <f t="shared" si="12"/>
        <v>10773595.546219258</v>
      </c>
      <c r="O158" s="1"/>
    </row>
    <row r="159" spans="1:15" x14ac:dyDescent="0.25">
      <c r="A159">
        <v>158</v>
      </c>
      <c r="B159">
        <v>402037.01280000003</v>
      </c>
      <c r="C159" s="1">
        <v>51300</v>
      </c>
      <c r="D159">
        <v>813082.6189</v>
      </c>
      <c r="E159">
        <v>23154.034329999999</v>
      </c>
      <c r="F159">
        <v>1189368.7180000001</v>
      </c>
      <c r="G159">
        <v>19342.793529999999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213058407.92391676</v>
      </c>
      <c r="M159" s="1">
        <f t="shared" si="11"/>
        <v>32251589.405238613</v>
      </c>
      <c r="N159" s="1">
        <f t="shared" si="12"/>
        <v>12606290.868762616</v>
      </c>
      <c r="O159" s="1"/>
    </row>
    <row r="160" spans="1:15" x14ac:dyDescent="0.25">
      <c r="A160">
        <v>159</v>
      </c>
      <c r="B160">
        <v>491875.39429999999</v>
      </c>
      <c r="C160" s="1">
        <v>6980</v>
      </c>
      <c r="D160">
        <v>844019.14150000003</v>
      </c>
      <c r="E160">
        <v>15394.889010000001</v>
      </c>
      <c r="F160">
        <v>1236645.5870000001</v>
      </c>
      <c r="G160">
        <v>24768.670180000001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42296337.724381</v>
      </c>
      <c r="M160" s="1">
        <f t="shared" si="11"/>
        <v>31287224.731231671</v>
      </c>
      <c r="N160" s="1">
        <f t="shared" si="12"/>
        <v>23552491.066683415</v>
      </c>
      <c r="O160" s="1"/>
    </row>
    <row r="161" spans="1:15" x14ac:dyDescent="0.25">
      <c r="A161">
        <v>160</v>
      </c>
      <c r="B161">
        <v>552867.91269999999</v>
      </c>
      <c r="C161" s="1">
        <v>10500</v>
      </c>
      <c r="D161">
        <v>932969.70929999999</v>
      </c>
      <c r="E161">
        <v>11245.006960000001</v>
      </c>
      <c r="F161">
        <v>1329881.0360000001</v>
      </c>
      <c r="G161">
        <v>7271.6072219999996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8412841.9399683755</v>
      </c>
      <c r="M161" s="1">
        <f t="shared" si="11"/>
        <v>3021734.450504717</v>
      </c>
      <c r="N161" s="1">
        <f t="shared" si="12"/>
        <v>914261.9758590901</v>
      </c>
      <c r="O161" s="1"/>
    </row>
    <row r="162" spans="1:15" x14ac:dyDescent="0.25">
      <c r="A162">
        <v>161</v>
      </c>
      <c r="B162">
        <v>676738.40500000003</v>
      </c>
      <c r="C162" s="1">
        <v>39900</v>
      </c>
      <c r="D162">
        <v>1172954.585</v>
      </c>
      <c r="E162">
        <v>23025.485420000001</v>
      </c>
      <c r="F162">
        <v>1559221.1610000001</v>
      </c>
      <c r="G162">
        <v>10353.93332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17824762.396124776</v>
      </c>
      <c r="M162" s="1">
        <f t="shared" si="11"/>
        <v>3449870.4396912237</v>
      </c>
      <c r="N162" s="1">
        <f t="shared" si="12"/>
        <v>725843.56784347701</v>
      </c>
      <c r="O162" s="1"/>
    </row>
    <row r="163" spans="1:15" x14ac:dyDescent="0.25">
      <c r="A163">
        <v>162</v>
      </c>
      <c r="B163">
        <v>664079.1875</v>
      </c>
      <c r="C163" s="1">
        <v>7730</v>
      </c>
      <c r="D163">
        <v>1125072.8940000001</v>
      </c>
      <c r="E163">
        <v>21372.618299999998</v>
      </c>
      <c r="F163">
        <v>1518312.091</v>
      </c>
      <c r="G163">
        <v>10210.00974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2547098.5444340799</v>
      </c>
      <c r="M163" s="1">
        <f t="shared" si="11"/>
        <v>2361930.5327621032</v>
      </c>
      <c r="N163" s="1">
        <f t="shared" si="12"/>
        <v>527933.50515195576</v>
      </c>
      <c r="O163" s="1"/>
    </row>
    <row r="164" spans="1:15" x14ac:dyDescent="0.25">
      <c r="A164">
        <v>163</v>
      </c>
      <c r="B164">
        <v>102828.5062</v>
      </c>
      <c r="C164" s="1">
        <v>28200</v>
      </c>
      <c r="D164">
        <v>572403.46440000006</v>
      </c>
      <c r="E164">
        <v>6336.5614850000002</v>
      </c>
      <c r="F164">
        <v>956857.34400000004</v>
      </c>
      <c r="G164">
        <v>3704.6374420000002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349357026.12177902</v>
      </c>
      <c r="M164" s="1">
        <f t="shared" si="11"/>
        <v>26327957.240575779</v>
      </c>
      <c r="N164" s="1">
        <f t="shared" si="12"/>
        <v>7201996.4101933725</v>
      </c>
      <c r="O164" s="1"/>
    </row>
    <row r="165" spans="1:15" x14ac:dyDescent="0.25">
      <c r="A165">
        <v>164</v>
      </c>
      <c r="B165">
        <v>245372.50649999999</v>
      </c>
      <c r="C165" s="1">
        <v>66000</v>
      </c>
      <c r="D165">
        <v>637800.96369999996</v>
      </c>
      <c r="E165">
        <v>10301.286829999999</v>
      </c>
      <c r="F165">
        <v>1051222.3589999999</v>
      </c>
      <c r="G165">
        <v>11956.46406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111733508.263806</v>
      </c>
      <c r="M165" s="1">
        <f t="shared" si="11"/>
        <v>5848898.9262980353</v>
      </c>
      <c r="N165" s="1">
        <f t="shared" si="12"/>
        <v>3176355.3132190853</v>
      </c>
      <c r="O165" s="1"/>
    </row>
    <row r="166" spans="1:15" x14ac:dyDescent="0.25">
      <c r="A166">
        <v>165</v>
      </c>
      <c r="B166">
        <v>394722.24339999998</v>
      </c>
      <c r="C166" s="1">
        <v>40400</v>
      </c>
      <c r="D166">
        <v>752523.54489999998</v>
      </c>
      <c r="E166">
        <v>5864.5727470000002</v>
      </c>
      <c r="F166">
        <v>1184271.48</v>
      </c>
      <c r="G166">
        <v>9449.671128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198697845.482214</v>
      </c>
      <c r="M166" s="1">
        <f t="shared" si="11"/>
        <v>9673670.8816286679</v>
      </c>
      <c r="N166" s="1">
        <f t="shared" si="12"/>
        <v>7293152.6257504364</v>
      </c>
      <c r="O166" s="1"/>
    </row>
    <row r="167" spans="1:15" x14ac:dyDescent="0.25">
      <c r="A167">
        <v>166</v>
      </c>
      <c r="B167">
        <v>277078.3322</v>
      </c>
      <c r="C167" s="1">
        <v>47000</v>
      </c>
      <c r="D167">
        <v>675012.2709</v>
      </c>
      <c r="E167">
        <v>6544.3552559999998</v>
      </c>
      <c r="F167">
        <v>1074091.0549999999</v>
      </c>
      <c r="G167">
        <v>4390.777411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131500983.43382649</v>
      </c>
      <c r="M167" s="1">
        <f t="shared" si="11"/>
        <v>6141028.9740996473</v>
      </c>
      <c r="N167" s="1">
        <f t="shared" si="12"/>
        <v>1927788.4731169925</v>
      </c>
      <c r="O167" s="1"/>
    </row>
    <row r="168" spans="1:15" x14ac:dyDescent="0.25">
      <c r="A168">
        <v>167</v>
      </c>
      <c r="B168">
        <v>185414.20689999999</v>
      </c>
      <c r="C168" s="1">
        <v>89100</v>
      </c>
      <c r="D168">
        <v>611072.92929999996</v>
      </c>
      <c r="E168">
        <v>10728.82368</v>
      </c>
      <c r="F168">
        <v>1010780.121</v>
      </c>
      <c r="G168">
        <v>13664.478520000001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492737974.36095375</v>
      </c>
      <c r="M168" s="1">
        <f t="shared" si="11"/>
        <v>19899106.42707881</v>
      </c>
      <c r="N168" s="1">
        <f t="shared" si="12"/>
        <v>11858184.608437251</v>
      </c>
      <c r="O168" s="1"/>
    </row>
    <row r="169" spans="1:15" x14ac:dyDescent="0.25">
      <c r="A169">
        <v>168</v>
      </c>
      <c r="B169">
        <v>548999.27469999995</v>
      </c>
      <c r="C169" s="1">
        <v>63400</v>
      </c>
      <c r="D169">
        <v>926535.13150000002</v>
      </c>
      <c r="E169">
        <v>75472.506540000002</v>
      </c>
      <c r="F169">
        <v>1321189.67</v>
      </c>
      <c r="G169">
        <v>70006.271770000007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188414939.93065512</v>
      </c>
      <c r="M169" s="1">
        <f t="shared" si="11"/>
        <v>75224271.229815975</v>
      </c>
      <c r="N169" s="1">
        <f t="shared" si="12"/>
        <v>32647493.424217284</v>
      </c>
      <c r="O169" s="1"/>
    </row>
    <row r="170" spans="1:15" x14ac:dyDescent="0.25">
      <c r="A170">
        <v>169</v>
      </c>
      <c r="B170">
        <v>477002.73109999998</v>
      </c>
      <c r="C170" s="1">
        <v>51800</v>
      </c>
      <c r="D170">
        <v>850222.68319999997</v>
      </c>
      <c r="E170">
        <v>56086.642979999997</v>
      </c>
      <c r="F170">
        <v>1243095.9099999999</v>
      </c>
      <c r="G170">
        <v>58872.526030000001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143092606.12358075</v>
      </c>
      <c r="M170" s="1">
        <f t="shared" si="11"/>
        <v>51962497.563865922</v>
      </c>
      <c r="N170" s="1">
        <f t="shared" si="12"/>
        <v>25520367.217954457</v>
      </c>
      <c r="O170" s="1"/>
    </row>
    <row r="171" spans="1:15" x14ac:dyDescent="0.25">
      <c r="A171">
        <v>170</v>
      </c>
      <c r="B171">
        <v>489271.78539999999</v>
      </c>
      <c r="C171" s="1">
        <v>11600</v>
      </c>
      <c r="D171">
        <v>865039.95</v>
      </c>
      <c r="E171">
        <v>12826.53148</v>
      </c>
      <c r="F171">
        <v>1252649.8470000001</v>
      </c>
      <c r="G171">
        <v>23831.00302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38698499.212048002</v>
      </c>
      <c r="M171" s="1">
        <f t="shared" si="11"/>
        <v>14351209.417124053</v>
      </c>
      <c r="N171" s="1">
        <f t="shared" si="12"/>
        <v>12475709.981745612</v>
      </c>
      <c r="O171" s="1"/>
    </row>
    <row r="172" spans="1:15" x14ac:dyDescent="0.25">
      <c r="A172">
        <v>171</v>
      </c>
      <c r="B172">
        <v>532755.79310000001</v>
      </c>
      <c r="C172" s="1">
        <v>3810</v>
      </c>
      <c r="D172">
        <v>914735.38450000004</v>
      </c>
      <c r="E172">
        <v>1464.7174030000001</v>
      </c>
      <c r="F172">
        <v>1307230.7150000001</v>
      </c>
      <c r="G172">
        <v>2268.8377409999998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12314500.72224216</v>
      </c>
      <c r="M172" s="1">
        <f t="shared" si="11"/>
        <v>1587774.4586041057</v>
      </c>
      <c r="N172" s="1">
        <f t="shared" si="12"/>
        <v>1150752.9206621712</v>
      </c>
      <c r="O172" s="1"/>
    </row>
    <row r="173" spans="1:15" x14ac:dyDescent="0.25">
      <c r="A173">
        <v>172</v>
      </c>
      <c r="B173">
        <v>450180.64510000002</v>
      </c>
      <c r="C173" s="1">
        <v>5290</v>
      </c>
      <c r="D173">
        <v>796820.15319999994</v>
      </c>
      <c r="E173">
        <v>3923.0505109999999</v>
      </c>
      <c r="F173">
        <v>1218190.4010000001</v>
      </c>
      <c r="G173">
        <v>8234.3913840000005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5516986.0162521657</v>
      </c>
      <c r="M173" s="1">
        <f t="shared" si="11"/>
        <v>1372186.833977567</v>
      </c>
      <c r="N173" s="1">
        <f t="shared" si="12"/>
        <v>1347610.9512936694</v>
      </c>
      <c r="O173" s="1"/>
    </row>
    <row r="174" spans="1:15" x14ac:dyDescent="0.25">
      <c r="A174">
        <v>173</v>
      </c>
      <c r="B174">
        <v>320642.55940000003</v>
      </c>
      <c r="C174" s="1">
        <v>121000</v>
      </c>
      <c r="D174">
        <v>693439.7548</v>
      </c>
      <c r="E174">
        <v>50867.343549999998</v>
      </c>
      <c r="F174">
        <v>1105440.7150000001</v>
      </c>
      <c r="G174">
        <v>67969.738070000007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807999349.83303249</v>
      </c>
      <c r="M174" s="1">
        <f t="shared" si="11"/>
        <v>113922061.69761094</v>
      </c>
      <c r="N174" s="1">
        <f t="shared" si="12"/>
        <v>71224277.498104453</v>
      </c>
      <c r="O174" s="1"/>
    </row>
    <row r="175" spans="1:15" x14ac:dyDescent="0.25">
      <c r="A175">
        <v>174</v>
      </c>
      <c r="B175">
        <v>648546.16240000003</v>
      </c>
      <c r="C175" s="1">
        <v>35500</v>
      </c>
      <c r="D175">
        <v>1120177.7490000001</v>
      </c>
      <c r="E175">
        <v>32681.509890000001</v>
      </c>
      <c r="F175">
        <v>1525823.693</v>
      </c>
      <c r="G175">
        <v>16554.631669999999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9747426.3254075497</v>
      </c>
      <c r="M175" s="1">
        <f t="shared" si="11"/>
        <v>3009586.6933294041</v>
      </c>
      <c r="N175" s="1">
        <f t="shared" si="12"/>
        <v>713292.97334143112</v>
      </c>
      <c r="O175" s="1"/>
    </row>
    <row r="176" spans="1:15" x14ac:dyDescent="0.25">
      <c r="A176">
        <v>175</v>
      </c>
      <c r="B176">
        <v>481084.4472</v>
      </c>
      <c r="C176" s="1">
        <v>85400</v>
      </c>
      <c r="D176">
        <v>837568.92920000001</v>
      </c>
      <c r="E176">
        <v>86398.778409999999</v>
      </c>
      <c r="F176">
        <v>1231243.8189999999</v>
      </c>
      <c r="G176">
        <v>84839.933520000006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150097309.45104808</v>
      </c>
      <c r="M176" s="1">
        <f t="shared" si="11"/>
        <v>50929073.51946009</v>
      </c>
      <c r="N176" s="1">
        <f t="shared" si="12"/>
        <v>23399262.602170676</v>
      </c>
      <c r="O176" s="1"/>
    </row>
    <row r="177" spans="1:15" x14ac:dyDescent="0.25">
      <c r="A177">
        <v>176</v>
      </c>
      <c r="B177">
        <v>586009.43830000004</v>
      </c>
      <c r="C177" s="1">
        <v>50200</v>
      </c>
      <c r="D177">
        <v>969485.76910000003</v>
      </c>
      <c r="E177">
        <v>88162.046100000007</v>
      </c>
      <c r="F177">
        <v>1359123.6769999999</v>
      </c>
      <c r="G177">
        <v>74614.490650000007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72693694.511683047</v>
      </c>
      <c r="M177" s="1">
        <f t="shared" si="11"/>
        <v>42817156.499681078</v>
      </c>
      <c r="N177" s="1">
        <f t="shared" si="12"/>
        <v>16955203.951103434</v>
      </c>
      <c r="O177" s="1"/>
    </row>
    <row r="178" spans="1:15" x14ac:dyDescent="0.25">
      <c r="A178">
        <v>177</v>
      </c>
      <c r="B178">
        <v>614430.53370000003</v>
      </c>
      <c r="C178" s="1">
        <v>50800</v>
      </c>
      <c r="D178">
        <v>957222.26679999998</v>
      </c>
      <c r="E178">
        <v>50484.201999999997</v>
      </c>
      <c r="F178">
        <v>1354775.6189999999</v>
      </c>
      <c r="G178">
        <v>59518.506600000001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12939814.99619328</v>
      </c>
      <c r="M178" s="1">
        <f t="shared" si="11"/>
        <v>4312836.4335577907</v>
      </c>
      <c r="N178" s="1">
        <f t="shared" si="12"/>
        <v>2379047.9513591244</v>
      </c>
      <c r="O178" s="1"/>
    </row>
    <row r="179" spans="1:15" x14ac:dyDescent="0.25">
      <c r="A179">
        <v>178</v>
      </c>
      <c r="B179">
        <v>543579.96250000002</v>
      </c>
      <c r="C179" s="1">
        <v>63500</v>
      </c>
      <c r="D179">
        <v>917518.48730000004</v>
      </c>
      <c r="E179">
        <v>70589.408330000006</v>
      </c>
      <c r="F179">
        <v>1290791.0630000001</v>
      </c>
      <c r="G179">
        <v>81428.171799999996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309772783.16052252</v>
      </c>
      <c r="M179" s="1">
        <f t="shared" si="11"/>
        <v>115492082.1477512</v>
      </c>
      <c r="N179" s="1">
        <f t="shared" si="12"/>
        <v>62334866.2247907</v>
      </c>
      <c r="O179" s="1"/>
    </row>
    <row r="180" spans="1:15" x14ac:dyDescent="0.25">
      <c r="A180">
        <v>179</v>
      </c>
      <c r="B180">
        <v>494666.22379999998</v>
      </c>
      <c r="C180" s="1">
        <v>29000</v>
      </c>
      <c r="D180">
        <v>861392.56079999998</v>
      </c>
      <c r="E180">
        <v>28518.983919999999</v>
      </c>
      <c r="F180">
        <v>1253545.3729999999</v>
      </c>
      <c r="G180">
        <v>33587.668420000002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97781545.337905005</v>
      </c>
      <c r="M180" s="1">
        <f t="shared" si="11"/>
        <v>32250472.656650029</v>
      </c>
      <c r="N180" s="1">
        <f t="shared" si="12"/>
        <v>17771560.768450107</v>
      </c>
      <c r="O180" s="1"/>
    </row>
    <row r="181" spans="1:15" x14ac:dyDescent="0.25">
      <c r="A181">
        <v>180</v>
      </c>
      <c r="B181">
        <v>388003.53320000001</v>
      </c>
      <c r="C181" s="1">
        <v>76600</v>
      </c>
      <c r="D181">
        <v>750599.91760000004</v>
      </c>
      <c r="E181">
        <v>43801.786740000003</v>
      </c>
      <c r="F181">
        <v>1150846.422</v>
      </c>
      <c r="G181">
        <v>69744.501010000007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487255853.37300956</v>
      </c>
      <c r="M181" s="1">
        <f t="shared" si="11"/>
        <v>93446547.118757933</v>
      </c>
      <c r="N181" s="1">
        <f t="shared" si="12"/>
        <v>69618567.352593541</v>
      </c>
      <c r="O181" s="1"/>
    </row>
    <row r="182" spans="1:15" x14ac:dyDescent="0.25">
      <c r="A182">
        <v>181</v>
      </c>
      <c r="B182">
        <v>554074.38130000001</v>
      </c>
      <c r="C182" s="1">
        <v>83300</v>
      </c>
      <c r="D182">
        <v>931861.77980000002</v>
      </c>
      <c r="E182">
        <v>76040.008759999997</v>
      </c>
      <c r="F182">
        <v>1339014.67</v>
      </c>
      <c r="G182">
        <v>77774.394180000003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22622370.590915095</v>
      </c>
      <c r="M182" s="1">
        <f t="shared" si="11"/>
        <v>6925934.9196291938</v>
      </c>
      <c r="N182" s="1">
        <f t="shared" si="12"/>
        <v>3314488.8558063488</v>
      </c>
      <c r="O182" s="1"/>
    </row>
    <row r="183" spans="1:15" x14ac:dyDescent="0.25">
      <c r="A183">
        <v>182</v>
      </c>
      <c r="B183">
        <v>520149.02399999998</v>
      </c>
      <c r="C183" s="1">
        <v>108000</v>
      </c>
      <c r="D183">
        <v>885604.85679999995</v>
      </c>
      <c r="E183">
        <v>109016.66869999999</v>
      </c>
      <c r="F183">
        <v>1250715.973</v>
      </c>
      <c r="G183">
        <v>137289.8806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338943669.31643397</v>
      </c>
      <c r="M183" s="1">
        <f t="shared" si="11"/>
        <v>114746597.09218495</v>
      </c>
      <c r="N183" s="1">
        <f t="shared" si="12"/>
        <v>67612829.926482469</v>
      </c>
      <c r="O183" s="1"/>
    </row>
    <row r="184" spans="1:15" x14ac:dyDescent="0.25">
      <c r="A184">
        <v>183</v>
      </c>
      <c r="B184">
        <v>419907.26770000003</v>
      </c>
      <c r="C184" s="1">
        <v>124000</v>
      </c>
      <c r="D184">
        <v>810270.24639999995</v>
      </c>
      <c r="E184">
        <v>85278.260039999994</v>
      </c>
      <c r="F184">
        <v>1214547.095</v>
      </c>
      <c r="G184">
        <v>73570.86937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442868243.73349994</v>
      </c>
      <c r="M184" s="1">
        <f t="shared" si="11"/>
        <v>102149047.75507252</v>
      </c>
      <c r="N184" s="1">
        <f t="shared" si="12"/>
        <v>41233059.233244941</v>
      </c>
      <c r="O184" s="1"/>
    </row>
    <row r="185" spans="1:15" x14ac:dyDescent="0.25">
      <c r="A185">
        <v>184</v>
      </c>
      <c r="B185">
        <v>531156.76379999996</v>
      </c>
      <c r="C185" s="1">
        <v>113000</v>
      </c>
      <c r="D185">
        <v>885742.26540000003</v>
      </c>
      <c r="E185">
        <v>118777.7705</v>
      </c>
      <c r="F185">
        <v>1255293.19</v>
      </c>
      <c r="G185">
        <v>155050.0895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138715054.26444575</v>
      </c>
      <c r="M185" s="1">
        <f t="shared" si="11"/>
        <v>48901643.892568953</v>
      </c>
      <c r="N185" s="1">
        <f t="shared" si="12"/>
        <v>29867851.886009075</v>
      </c>
      <c r="O185" s="1"/>
    </row>
    <row r="186" spans="1:15" x14ac:dyDescent="0.25">
      <c r="A186">
        <v>185</v>
      </c>
      <c r="B186">
        <v>441353.17739999999</v>
      </c>
      <c r="C186" s="1">
        <v>150000</v>
      </c>
      <c r="D186">
        <v>838850.5736</v>
      </c>
      <c r="E186">
        <v>92761.189740000002</v>
      </c>
      <c r="F186">
        <v>1224997.7320000001</v>
      </c>
      <c r="G186">
        <v>98787.586160000006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228535647.85886255</v>
      </c>
      <c r="M186" s="1">
        <f t="shared" si="11"/>
        <v>47399323.213938154</v>
      </c>
      <c r="N186" s="1">
        <f t="shared" si="12"/>
        <v>23618476.619034439</v>
      </c>
      <c r="O186" s="1"/>
    </row>
    <row r="187" spans="1:15" x14ac:dyDescent="0.25">
      <c r="A187">
        <v>186</v>
      </c>
      <c r="B187">
        <v>404581.50770000002</v>
      </c>
      <c r="C187" s="1">
        <v>4610</v>
      </c>
      <c r="D187">
        <v>715590.88910000003</v>
      </c>
      <c r="E187">
        <v>8451.6862120000005</v>
      </c>
      <c r="F187">
        <v>1179532.9909999999</v>
      </c>
      <c r="G187">
        <v>4585.8918139999996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21400608.798139349</v>
      </c>
      <c r="M187" s="1">
        <f t="shared" si="11"/>
        <v>13158661.173724536</v>
      </c>
      <c r="N187" s="1">
        <f t="shared" si="12"/>
        <v>3340687.2763572061</v>
      </c>
      <c r="O187" s="1"/>
    </row>
    <row r="188" spans="1:15" x14ac:dyDescent="0.25">
      <c r="A188">
        <v>187</v>
      </c>
      <c r="B188">
        <v>531248.28249999997</v>
      </c>
      <c r="C188" s="1">
        <v>9300</v>
      </c>
      <c r="D188">
        <v>944944.00269999995</v>
      </c>
      <c r="E188">
        <v>8491.2688030000008</v>
      </c>
      <c r="F188">
        <v>1370307.1170000001</v>
      </c>
      <c r="G188">
        <v>8976.3849549999995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38223318.515118748</v>
      </c>
      <c r="M188" s="1">
        <f t="shared" si="11"/>
        <v>11704723.723390261</v>
      </c>
      <c r="N188" s="1">
        <f t="shared" si="12"/>
        <v>5789402.2444048077</v>
      </c>
      <c r="O188" s="1"/>
    </row>
    <row r="189" spans="1:15" x14ac:dyDescent="0.25">
      <c r="A189">
        <v>188</v>
      </c>
      <c r="B189">
        <v>579759.68830000004</v>
      </c>
      <c r="C189" s="1">
        <v>49600</v>
      </c>
      <c r="D189">
        <v>939626.61769999994</v>
      </c>
      <c r="E189">
        <v>42049.813770000001</v>
      </c>
      <c r="F189">
        <v>1342467.5919999999</v>
      </c>
      <c r="G189">
        <v>51966.669609999997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76698831.023074001</v>
      </c>
      <c r="M189" s="1">
        <f t="shared" si="11"/>
        <v>21807921.844774731</v>
      </c>
      <c r="N189" s="1">
        <f t="shared" si="12"/>
        <v>12610106.909039363</v>
      </c>
      <c r="O189" s="1"/>
    </row>
    <row r="190" spans="1:15" x14ac:dyDescent="0.25">
      <c r="A190">
        <v>189</v>
      </c>
      <c r="B190">
        <v>573563.61809999996</v>
      </c>
      <c r="C190" s="1">
        <v>76400</v>
      </c>
      <c r="D190">
        <v>956348.83589999995</v>
      </c>
      <c r="E190">
        <v>80074.391740000006</v>
      </c>
      <c r="F190">
        <v>1342688.8049999999</v>
      </c>
      <c r="G190">
        <v>79193.791100000002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72381930.001280904</v>
      </c>
      <c r="M190" s="1">
        <f t="shared" si="11"/>
        <v>25443308.616285179</v>
      </c>
      <c r="N190" s="1">
        <f t="shared" si="12"/>
        <v>11773748.354440169</v>
      </c>
      <c r="O190" s="1"/>
    </row>
    <row r="191" spans="1:15" x14ac:dyDescent="0.25">
      <c r="A191">
        <v>190</v>
      </c>
      <c r="B191">
        <v>532768.24300000002</v>
      </c>
      <c r="C191" s="1">
        <v>58500</v>
      </c>
      <c r="D191">
        <v>896551.15049999999</v>
      </c>
      <c r="E191">
        <v>63495.30949</v>
      </c>
      <c r="F191">
        <v>1282580.7309999999</v>
      </c>
      <c r="G191">
        <v>78706.817020000002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57639531.045022883</v>
      </c>
      <c r="M191" s="1">
        <f t="shared" si="11"/>
        <v>20982119.396148786</v>
      </c>
      <c r="N191" s="1">
        <f t="shared" si="12"/>
        <v>12169247.872559657</v>
      </c>
      <c r="O191" s="1"/>
    </row>
    <row r="192" spans="1:15" x14ac:dyDescent="0.25">
      <c r="A192">
        <v>191</v>
      </c>
      <c r="B192">
        <v>514073.04979999998</v>
      </c>
      <c r="C192" s="1">
        <v>87200</v>
      </c>
      <c r="D192">
        <v>876823.60360000003</v>
      </c>
      <c r="E192">
        <v>85173.640199999994</v>
      </c>
      <c r="F192">
        <v>1258174.6029999999</v>
      </c>
      <c r="G192">
        <v>102045.8848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30792737.671469804</v>
      </c>
      <c r="M192" s="1">
        <f t="shared" si="11"/>
        <v>10087421.381549057</v>
      </c>
      <c r="N192" s="1">
        <f t="shared" si="12"/>
        <v>5654759.3583652368</v>
      </c>
      <c r="O192" s="1"/>
    </row>
    <row r="193" spans="1:15" x14ac:dyDescent="0.25">
      <c r="A193">
        <v>192</v>
      </c>
      <c r="B193">
        <v>643873.63230000006</v>
      </c>
      <c r="C193" s="1">
        <v>28200</v>
      </c>
      <c r="D193">
        <v>1009040.7070000001</v>
      </c>
      <c r="E193">
        <v>36027.153010000002</v>
      </c>
      <c r="F193">
        <v>1429353.1980000001</v>
      </c>
      <c r="G193">
        <v>12418.943520000001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25555193.433123898</v>
      </c>
      <c r="M193" s="1">
        <f t="shared" si="11"/>
        <v>10949723.31453005</v>
      </c>
      <c r="N193" s="1">
        <f t="shared" si="12"/>
        <v>1766044.0478254962</v>
      </c>
      <c r="O193" s="1"/>
    </row>
    <row r="194" spans="1:15" x14ac:dyDescent="0.25">
      <c r="A194">
        <v>193</v>
      </c>
      <c r="B194">
        <v>539487.03980000003</v>
      </c>
      <c r="C194" s="1">
        <v>36200</v>
      </c>
      <c r="D194">
        <v>942763.63540000003</v>
      </c>
      <c r="E194">
        <v>24700.105940000001</v>
      </c>
      <c r="F194">
        <v>1335857.3759999999</v>
      </c>
      <c r="G194">
        <v>44589.638590000002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103323793.06425086</v>
      </c>
      <c r="M194" s="1">
        <f t="shared" si="11"/>
        <v>23644695.384126648</v>
      </c>
      <c r="N194" s="1">
        <f t="shared" si="12"/>
        <v>19971585.220112845</v>
      </c>
      <c r="O194" s="1"/>
    </row>
    <row r="195" spans="1:15" x14ac:dyDescent="0.25">
      <c r="A195">
        <v>194</v>
      </c>
      <c r="B195">
        <v>745287.24690000003</v>
      </c>
      <c r="C195" s="1">
        <v>5360</v>
      </c>
      <c r="D195">
        <v>1133185.8160000001</v>
      </c>
      <c r="E195">
        <v>10730.596519999999</v>
      </c>
      <c r="F195">
        <v>1511271.585</v>
      </c>
      <c r="G195">
        <v>2981.4761530000001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3323714.1037916397</v>
      </c>
      <c r="M195" s="1">
        <f t="shared" ref="M195:M258" si="15">$U$3*$K195*E195</f>
        <v>2231648.9176364765</v>
      </c>
      <c r="N195" s="1">
        <f t="shared" ref="N195:N258" si="16">$U$4*$K195*G195</f>
        <v>290119.57022506982</v>
      </c>
      <c r="O195" s="1"/>
    </row>
    <row r="196" spans="1:15" x14ac:dyDescent="0.25">
      <c r="A196">
        <v>195</v>
      </c>
      <c r="B196">
        <v>617195.20539999998</v>
      </c>
      <c r="C196" s="1">
        <v>3260</v>
      </c>
      <c r="D196">
        <v>1004056.251</v>
      </c>
      <c r="E196">
        <v>12646.4305</v>
      </c>
      <c r="F196">
        <v>1428525.737</v>
      </c>
      <c r="G196">
        <v>3706.411681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6562349.3104529101</v>
      </c>
      <c r="M196" s="1">
        <f t="shared" si="15"/>
        <v>8537934.9668512084</v>
      </c>
      <c r="N196" s="1">
        <f t="shared" si="16"/>
        <v>1170798.6551130845</v>
      </c>
      <c r="O196" s="1"/>
    </row>
    <row r="197" spans="1:15" x14ac:dyDescent="0.25">
      <c r="A197">
        <v>196</v>
      </c>
      <c r="B197">
        <v>439019.63370000001</v>
      </c>
      <c r="C197" s="1">
        <v>130000</v>
      </c>
      <c r="D197">
        <v>855608.03189999994</v>
      </c>
      <c r="E197">
        <v>55116.704299999998</v>
      </c>
      <c r="F197">
        <v>1265290.149</v>
      </c>
      <c r="G197">
        <v>56138.084999999999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847692376.66587508</v>
      </c>
      <c r="M197" s="1">
        <f t="shared" si="15"/>
        <v>120537256.7281477</v>
      </c>
      <c r="N197" s="1">
        <f t="shared" si="16"/>
        <v>57443293.76215779</v>
      </c>
      <c r="O197" s="1"/>
    </row>
    <row r="198" spans="1:15" x14ac:dyDescent="0.25">
      <c r="A198">
        <v>197</v>
      </c>
      <c r="B198">
        <v>744884.93689999997</v>
      </c>
      <c r="C198" s="1">
        <v>11200</v>
      </c>
      <c r="D198">
        <v>1145572.598</v>
      </c>
      <c r="E198">
        <v>5062.7794670000003</v>
      </c>
      <c r="F198">
        <v>1526475.977</v>
      </c>
      <c r="G198">
        <v>1342.97774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17527754.975567199</v>
      </c>
      <c r="M198" s="1">
        <f t="shared" si="15"/>
        <v>2657298.9618755626</v>
      </c>
      <c r="N198" s="1">
        <f t="shared" si="16"/>
        <v>329810.06125890405</v>
      </c>
      <c r="O198" s="1"/>
    </row>
    <row r="199" spans="1:15" x14ac:dyDescent="0.25">
      <c r="A199">
        <v>198</v>
      </c>
      <c r="B199">
        <v>608295.50289999996</v>
      </c>
      <c r="C199" s="1">
        <v>12200</v>
      </c>
      <c r="D199">
        <v>994672.05009999999</v>
      </c>
      <c r="E199">
        <v>12485.26676</v>
      </c>
      <c r="F199">
        <v>1422400.8419999999</v>
      </c>
      <c r="G199">
        <v>1410.0366120000001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42538709.760066003</v>
      </c>
      <c r="M199" s="1">
        <f t="shared" si="15"/>
        <v>14600423.240577482</v>
      </c>
      <c r="N199" s="1">
        <f t="shared" si="16"/>
        <v>771510.22638982977</v>
      </c>
      <c r="O199" s="1"/>
    </row>
    <row r="200" spans="1:15" x14ac:dyDescent="0.25">
      <c r="A200">
        <v>199</v>
      </c>
      <c r="B200">
        <v>419798.50959999999</v>
      </c>
      <c r="C200" s="1">
        <v>108000</v>
      </c>
      <c r="D200">
        <v>855397.5355</v>
      </c>
      <c r="E200">
        <v>36473.876029999999</v>
      </c>
      <c r="F200">
        <v>1259111.142</v>
      </c>
      <c r="G200">
        <v>44444.10987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727287883.57835996</v>
      </c>
      <c r="M200" s="1">
        <f t="shared" si="15"/>
        <v>82377318.612810284</v>
      </c>
      <c r="N200" s="1">
        <f t="shared" si="16"/>
        <v>46966005.494264856</v>
      </c>
      <c r="O200" s="1"/>
    </row>
    <row r="201" spans="1:15" x14ac:dyDescent="0.25">
      <c r="A201">
        <v>200</v>
      </c>
      <c r="B201">
        <v>629711.44350000005</v>
      </c>
      <c r="C201" s="1">
        <v>15300</v>
      </c>
      <c r="D201">
        <v>1023370.822</v>
      </c>
      <c r="E201">
        <v>10958.354310000001</v>
      </c>
      <c r="F201">
        <v>1415433.0819999999</v>
      </c>
      <c r="G201">
        <v>4936.386407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45116778.39262718</v>
      </c>
      <c r="M201" s="1">
        <f t="shared" si="15"/>
        <v>10837650.091862351</v>
      </c>
      <c r="N201" s="1">
        <f t="shared" si="16"/>
        <v>2284244.6316409856</v>
      </c>
      <c r="O201" s="1"/>
    </row>
    <row r="202" spans="1:15" x14ac:dyDescent="0.25">
      <c r="A202">
        <v>201</v>
      </c>
      <c r="B202">
        <v>580883.29169999994</v>
      </c>
      <c r="C202" s="1">
        <v>65700</v>
      </c>
      <c r="D202">
        <v>979167.30790000001</v>
      </c>
      <c r="E202">
        <v>27625.133959999999</v>
      </c>
      <c r="F202">
        <v>1382153.2590000001</v>
      </c>
      <c r="G202">
        <v>43368.058239999998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407091761.49078453</v>
      </c>
      <c r="M202" s="1">
        <f t="shared" si="15"/>
        <v>57408271.842935801</v>
      </c>
      <c r="N202" s="1">
        <f t="shared" si="16"/>
        <v>42168071.199587084</v>
      </c>
      <c r="O202" s="1"/>
    </row>
    <row r="203" spans="1:15" x14ac:dyDescent="0.25">
      <c r="A203">
        <v>202</v>
      </c>
      <c r="B203">
        <v>415699.413</v>
      </c>
      <c r="C203" s="1">
        <v>74800</v>
      </c>
      <c r="D203">
        <v>860464.37179999996</v>
      </c>
      <c r="E203">
        <v>19054.66445</v>
      </c>
      <c r="F203">
        <v>1263096.2590000001</v>
      </c>
      <c r="G203">
        <v>22433.727330000002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375879294.00864702</v>
      </c>
      <c r="M203" s="1">
        <f t="shared" si="15"/>
        <v>32113766.61839183</v>
      </c>
      <c r="N203" s="1">
        <f t="shared" si="16"/>
        <v>17690294.24639767</v>
      </c>
      <c r="O203" s="1"/>
    </row>
    <row r="204" spans="1:15" x14ac:dyDescent="0.25">
      <c r="A204">
        <v>205</v>
      </c>
      <c r="B204">
        <v>563691.94189999998</v>
      </c>
      <c r="C204" s="1">
        <v>11500</v>
      </c>
      <c r="D204">
        <v>944485.76100000006</v>
      </c>
      <c r="E204">
        <v>24057.369309999998</v>
      </c>
      <c r="F204">
        <v>1333460.08</v>
      </c>
      <c r="G204">
        <v>11411.612059999999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12267435.405640999</v>
      </c>
      <c r="M204" s="1">
        <f t="shared" si="15"/>
        <v>8606909.0087941661</v>
      </c>
      <c r="N204" s="1">
        <f t="shared" si="16"/>
        <v>1910248.0012935048</v>
      </c>
      <c r="O204" s="1"/>
    </row>
    <row r="205" spans="1:15" x14ac:dyDescent="0.25">
      <c r="A205">
        <v>206</v>
      </c>
      <c r="B205">
        <v>470594.70309999998</v>
      </c>
      <c r="C205" s="1">
        <v>30200</v>
      </c>
      <c r="D205">
        <v>867482.14370000002</v>
      </c>
      <c r="E205">
        <v>9286.3713700000008</v>
      </c>
      <c r="F205">
        <v>1279752.2649999999</v>
      </c>
      <c r="G205">
        <v>17482.219720000001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66534858.85185945</v>
      </c>
      <c r="M205" s="1">
        <f t="shared" si="15"/>
        <v>6861696.1293968372</v>
      </c>
      <c r="N205" s="1">
        <f t="shared" si="16"/>
        <v>6044017.126424564</v>
      </c>
      <c r="O205" s="1"/>
    </row>
    <row r="206" spans="1:15" x14ac:dyDescent="0.25">
      <c r="A206">
        <v>207</v>
      </c>
      <c r="B206">
        <v>334235.24349999998</v>
      </c>
      <c r="C206" s="1">
        <v>92500</v>
      </c>
      <c r="D206">
        <v>829655.38630000001</v>
      </c>
      <c r="E206">
        <v>38646.344319999997</v>
      </c>
      <c r="F206">
        <v>1261879.8459999999</v>
      </c>
      <c r="G206">
        <v>21339.76988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562647378.04169381</v>
      </c>
      <c r="M206" s="1">
        <f t="shared" si="15"/>
        <v>78839910.485733077</v>
      </c>
      <c r="N206" s="1">
        <f t="shared" si="16"/>
        <v>20369065.916698564</v>
      </c>
      <c r="O206" s="1"/>
    </row>
    <row r="207" spans="1:15" x14ac:dyDescent="0.25">
      <c r="A207">
        <v>208</v>
      </c>
      <c r="B207">
        <v>639296.00589999999</v>
      </c>
      <c r="C207" s="1">
        <v>11400</v>
      </c>
      <c r="D207">
        <v>1086530.5589999999</v>
      </c>
      <c r="E207">
        <v>4290.8797199999999</v>
      </c>
      <c r="F207">
        <v>1474526.3870000001</v>
      </c>
      <c r="G207">
        <v>2823.908966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36641879.089769848</v>
      </c>
      <c r="M207" s="1">
        <f t="shared" si="15"/>
        <v>4625539.1773007885</v>
      </c>
      <c r="N207" s="1">
        <f t="shared" si="16"/>
        <v>1424329.2511544235</v>
      </c>
      <c r="O207" s="1"/>
    </row>
    <row r="208" spans="1:15" x14ac:dyDescent="0.25">
      <c r="A208">
        <v>209</v>
      </c>
      <c r="B208">
        <v>416643.86499999999</v>
      </c>
      <c r="C208" s="1">
        <v>57400</v>
      </c>
      <c r="D208">
        <v>899219.82</v>
      </c>
      <c r="E208">
        <v>23113.99799</v>
      </c>
      <c r="F208">
        <v>1331963.4809999999</v>
      </c>
      <c r="G208">
        <v>7183.45082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142516459.85824063</v>
      </c>
      <c r="M208" s="1">
        <f t="shared" si="15"/>
        <v>19247367.631781109</v>
      </c>
      <c r="N208" s="1">
        <f t="shared" si="16"/>
        <v>2798807.7728244956</v>
      </c>
      <c r="O208" s="1"/>
    </row>
    <row r="209" spans="1:15" x14ac:dyDescent="0.25">
      <c r="A209">
        <v>210</v>
      </c>
      <c r="B209">
        <v>590325.72459999996</v>
      </c>
      <c r="C209" s="1">
        <v>15500</v>
      </c>
      <c r="D209">
        <v>1058987.7250000001</v>
      </c>
      <c r="E209">
        <v>14534.887000000001</v>
      </c>
      <c r="F209">
        <v>1471351.31</v>
      </c>
      <c r="G209">
        <v>7400.9144800000004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41512866.858497128</v>
      </c>
      <c r="M209" s="1">
        <f t="shared" si="15"/>
        <v>13055870.241774447</v>
      </c>
      <c r="N209" s="1">
        <f t="shared" si="16"/>
        <v>3110450.0346218441</v>
      </c>
      <c r="O209" s="1"/>
    </row>
    <row r="210" spans="1:15" x14ac:dyDescent="0.25">
      <c r="A210">
        <v>211</v>
      </c>
      <c r="B210">
        <v>573895.95030000003</v>
      </c>
      <c r="C210" s="1">
        <v>22400</v>
      </c>
      <c r="D210">
        <v>1053177.3770000001</v>
      </c>
      <c r="E210">
        <v>17446.36274</v>
      </c>
      <c r="F210">
        <v>1468726.554</v>
      </c>
      <c r="G210">
        <v>3636.395966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35255232.181988001</v>
      </c>
      <c r="M210" s="1">
        <f t="shared" si="15"/>
        <v>9209235.8564776648</v>
      </c>
      <c r="N210" s="1">
        <f t="shared" si="16"/>
        <v>898118.29511479428</v>
      </c>
      <c r="O210" s="1"/>
    </row>
    <row r="211" spans="1:15" x14ac:dyDescent="0.25">
      <c r="A211">
        <v>212</v>
      </c>
      <c r="B211">
        <v>450404.78600000002</v>
      </c>
      <c r="C211" s="1">
        <v>56100</v>
      </c>
      <c r="D211">
        <v>928431.35959999997</v>
      </c>
      <c r="E211">
        <v>14934.07069</v>
      </c>
      <c r="F211">
        <v>1362611.6769999999</v>
      </c>
      <c r="G211">
        <v>20327.478040000002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333913064.71615952</v>
      </c>
      <c r="M211" s="1">
        <f t="shared" si="15"/>
        <v>29812053.371377382</v>
      </c>
      <c r="N211" s="1">
        <f t="shared" si="16"/>
        <v>18986323.049753375</v>
      </c>
      <c r="O211" s="1"/>
    </row>
    <row r="212" spans="1:15" x14ac:dyDescent="0.25">
      <c r="A212">
        <v>213</v>
      </c>
      <c r="B212">
        <v>421201.83020000003</v>
      </c>
      <c r="C212" s="1">
        <v>184000</v>
      </c>
      <c r="D212">
        <v>866398.30330000003</v>
      </c>
      <c r="E212">
        <v>114733.7905</v>
      </c>
      <c r="F212">
        <v>1281586.537</v>
      </c>
      <c r="G212">
        <v>125838.0796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505782605.41528207</v>
      </c>
      <c r="M212" s="1">
        <f t="shared" si="15"/>
        <v>105774393.78295089</v>
      </c>
      <c r="N212" s="1">
        <f t="shared" si="16"/>
        <v>54280640.464677699</v>
      </c>
      <c r="O212" s="1"/>
    </row>
    <row r="213" spans="1:15" x14ac:dyDescent="0.25">
      <c r="A213">
        <v>214</v>
      </c>
      <c r="B213">
        <v>263222.04350000003</v>
      </c>
      <c r="C213" s="1">
        <v>252000</v>
      </c>
      <c r="D213">
        <v>798583.83829999994</v>
      </c>
      <c r="E213">
        <v>72121.322780000002</v>
      </c>
      <c r="F213">
        <v>1180350.307</v>
      </c>
      <c r="G213">
        <v>90628.374100000001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1623606414.1642799</v>
      </c>
      <c r="M213" s="1">
        <f t="shared" si="15"/>
        <v>155842906.06513584</v>
      </c>
      <c r="N213" s="1">
        <f t="shared" si="16"/>
        <v>91628635.948669538</v>
      </c>
      <c r="O213" s="1"/>
    </row>
    <row r="214" spans="1:15" x14ac:dyDescent="0.25">
      <c r="A214">
        <v>215</v>
      </c>
      <c r="B214">
        <v>685872.31259999995</v>
      </c>
      <c r="C214" s="1">
        <v>6660</v>
      </c>
      <c r="D214">
        <v>1140160.429</v>
      </c>
      <c r="E214">
        <v>7673.3099830000001</v>
      </c>
      <c r="F214">
        <v>1571641.0689999999</v>
      </c>
      <c r="G214">
        <v>2350.2516220000002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27272509.093697403</v>
      </c>
      <c r="M214" s="1">
        <f t="shared" si="15"/>
        <v>10538450.161988355</v>
      </c>
      <c r="N214" s="1">
        <f t="shared" si="16"/>
        <v>1510261.1205391898</v>
      </c>
      <c r="O214" s="1"/>
    </row>
    <row r="215" spans="1:15" x14ac:dyDescent="0.25">
      <c r="A215">
        <v>216</v>
      </c>
      <c r="B215">
        <v>395633.13380000001</v>
      </c>
      <c r="C215" s="1">
        <v>2020</v>
      </c>
      <c r="D215">
        <v>891529.75109999999</v>
      </c>
      <c r="E215">
        <v>11652.164709999999</v>
      </c>
      <c r="F215">
        <v>1345783.6669999999</v>
      </c>
      <c r="G215">
        <v>6541.9459699999998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9385357.0691523496</v>
      </c>
      <c r="M215" s="1">
        <f t="shared" si="15"/>
        <v>18157212.766306072</v>
      </c>
      <c r="N215" s="1">
        <f t="shared" si="16"/>
        <v>4769723.444985779</v>
      </c>
      <c r="O215" s="1"/>
    </row>
    <row r="216" spans="1:15" x14ac:dyDescent="0.25">
      <c r="A216">
        <v>217</v>
      </c>
      <c r="B216">
        <v>517120.9486</v>
      </c>
      <c r="C216" s="1">
        <v>34600</v>
      </c>
      <c r="D216">
        <v>1016032.284</v>
      </c>
      <c r="E216">
        <v>12683.955180000001</v>
      </c>
      <c r="F216">
        <v>1427141.686</v>
      </c>
      <c r="G216">
        <v>12116.848470000001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58007829.889402255</v>
      </c>
      <c r="M216" s="1">
        <f t="shared" si="15"/>
        <v>7131951.0778372996</v>
      </c>
      <c r="N216" s="1">
        <f t="shared" si="16"/>
        <v>3187770.2380626611</v>
      </c>
      <c r="O216" s="1"/>
    </row>
    <row r="217" spans="1:15" x14ac:dyDescent="0.25">
      <c r="A217">
        <v>218</v>
      </c>
      <c r="B217">
        <v>432414.26069999998</v>
      </c>
      <c r="C217" s="1">
        <v>113000</v>
      </c>
      <c r="D217">
        <v>912218.92359999998</v>
      </c>
      <c r="E217">
        <v>49047.697749999999</v>
      </c>
      <c r="F217">
        <v>1348244.6</v>
      </c>
      <c r="G217">
        <v>40372.746160000002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368353666.03873503</v>
      </c>
      <c r="M217" s="1">
        <f t="shared" si="15"/>
        <v>53622655.444247313</v>
      </c>
      <c r="N217" s="1">
        <f t="shared" si="16"/>
        <v>20651978.267132755</v>
      </c>
      <c r="O217" s="1"/>
    </row>
    <row r="218" spans="1:15" x14ac:dyDescent="0.25">
      <c r="A218">
        <v>219</v>
      </c>
      <c r="B218">
        <v>433588.02720000001</v>
      </c>
      <c r="C218" s="1">
        <v>107000</v>
      </c>
      <c r="D218">
        <v>887833.22770000005</v>
      </c>
      <c r="E218">
        <v>56938.863790000003</v>
      </c>
      <c r="F218">
        <v>1309968.9439999999</v>
      </c>
      <c r="G218">
        <v>43135.289080000002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504827200.16790748</v>
      </c>
      <c r="M218" s="1">
        <f t="shared" si="15"/>
        <v>90097118.719637185</v>
      </c>
      <c r="N218" s="1">
        <f t="shared" si="16"/>
        <v>31935851.27100433</v>
      </c>
      <c r="O218" s="1"/>
    </row>
    <row r="219" spans="1:15" x14ac:dyDescent="0.25">
      <c r="A219">
        <v>220</v>
      </c>
      <c r="B219">
        <v>324633.54479999997</v>
      </c>
      <c r="C219" s="1">
        <v>206000</v>
      </c>
      <c r="D219">
        <v>806126.68720000004</v>
      </c>
      <c r="E219">
        <v>75947.271269999997</v>
      </c>
      <c r="F219">
        <v>1198479.8529999999</v>
      </c>
      <c r="G219">
        <v>85483.358840000001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613522055.99057758</v>
      </c>
      <c r="M219" s="1">
        <f t="shared" si="15"/>
        <v>75860949.003621399</v>
      </c>
      <c r="N219" s="1">
        <f t="shared" si="16"/>
        <v>39951340.246353291</v>
      </c>
      <c r="O219" s="1"/>
    </row>
    <row r="220" spans="1:15" x14ac:dyDescent="0.25">
      <c r="A220">
        <v>221</v>
      </c>
      <c r="B220">
        <v>143340.44750000001</v>
      </c>
      <c r="C220" s="1">
        <v>294000</v>
      </c>
      <c r="D220">
        <v>721273.96349999995</v>
      </c>
      <c r="E220">
        <v>98459.827749999997</v>
      </c>
      <c r="F220">
        <v>1045809.287</v>
      </c>
      <c r="G220">
        <v>150777.37100000001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555604489.83530402</v>
      </c>
      <c r="M220" s="1">
        <f t="shared" si="15"/>
        <v>62405177.790977098</v>
      </c>
      <c r="N220" s="1">
        <f t="shared" si="16"/>
        <v>44713781.255377628</v>
      </c>
      <c r="O220" s="1"/>
    </row>
    <row r="221" spans="1:15" x14ac:dyDescent="0.25">
      <c r="A221">
        <v>222</v>
      </c>
      <c r="B221">
        <v>433501.27429999999</v>
      </c>
      <c r="C221" s="1">
        <v>19700</v>
      </c>
      <c r="D221">
        <v>913641.94559999998</v>
      </c>
      <c r="E221">
        <v>5956.7216259999996</v>
      </c>
      <c r="F221">
        <v>1351069.3970000001</v>
      </c>
      <c r="G221">
        <v>16493.32144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63836948.175547302</v>
      </c>
      <c r="M221" s="1">
        <f t="shared" si="15"/>
        <v>6473756.0860802028</v>
      </c>
      <c r="N221" s="1">
        <f t="shared" si="16"/>
        <v>8386887.7167362878</v>
      </c>
      <c r="O221" s="1"/>
    </row>
    <row r="222" spans="1:15" x14ac:dyDescent="0.25">
      <c r="A222">
        <v>223</v>
      </c>
      <c r="B222">
        <v>58253.439870000002</v>
      </c>
      <c r="C222" s="1">
        <v>28600</v>
      </c>
      <c r="D222">
        <v>679660.28099999996</v>
      </c>
      <c r="E222">
        <v>25175.626769999999</v>
      </c>
      <c r="F222">
        <v>1153734.2279999999</v>
      </c>
      <c r="G222">
        <v>8893.4275429999998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39544886.985882849</v>
      </c>
      <c r="M222" s="1">
        <f t="shared" si="15"/>
        <v>11674753.887101393</v>
      </c>
      <c r="N222" s="1">
        <f t="shared" si="16"/>
        <v>1929657.7667949127</v>
      </c>
      <c r="O222" s="1"/>
    </row>
    <row r="223" spans="1:15" x14ac:dyDescent="0.25">
      <c r="A223">
        <v>224</v>
      </c>
      <c r="B223">
        <v>503984.79830000002</v>
      </c>
      <c r="C223" s="1">
        <v>11600</v>
      </c>
      <c r="D223">
        <v>1004836.806</v>
      </c>
      <c r="E223">
        <v>5414.3940700000003</v>
      </c>
      <c r="F223">
        <v>1432453.6950000001</v>
      </c>
      <c r="G223">
        <v>3256.2453730000002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39118303.439175993</v>
      </c>
      <c r="M223" s="1">
        <f t="shared" si="15"/>
        <v>6123715.7051669313</v>
      </c>
      <c r="N223" s="1">
        <f t="shared" si="16"/>
        <v>1723161.412001265</v>
      </c>
      <c r="O223" s="1"/>
    </row>
    <row r="224" spans="1:15" x14ac:dyDescent="0.25">
      <c r="A224">
        <v>225</v>
      </c>
      <c r="B224">
        <v>78841.585590000002</v>
      </c>
      <c r="C224" s="1">
        <v>11000</v>
      </c>
      <c r="D224">
        <v>711902.12679999997</v>
      </c>
      <c r="E224">
        <v>31185.895400000001</v>
      </c>
      <c r="F224">
        <v>1146856.064</v>
      </c>
      <c r="G224">
        <v>7457.7014209999998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49049124.046779998</v>
      </c>
      <c r="M224" s="1">
        <f t="shared" si="15"/>
        <v>46638000.80176536</v>
      </c>
      <c r="N224" s="1">
        <f t="shared" si="16"/>
        <v>5218316.0355877774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>
        <v>11540.819219999999</v>
      </c>
      <c r="F225">
        <v>935771.42350000003</v>
      </c>
      <c r="G225">
        <v>5173.3856969999997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20229127.285875101</v>
      </c>
      <c r="N225" s="1">
        <f t="shared" si="16"/>
        <v>4242863.3548582979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>
        <v>11231.666649999999</v>
      </c>
      <c r="F226">
        <v>1052352.6129999999</v>
      </c>
      <c r="G226">
        <v>9540.0881680000002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48877113.652215131</v>
      </c>
      <c r="N226" s="1">
        <f t="shared" si="16"/>
        <v>19424838.322378483</v>
      </c>
      <c r="O226" s="1"/>
    </row>
    <row r="227" spans="1:15" x14ac:dyDescent="0.25">
      <c r="A227">
        <v>228</v>
      </c>
      <c r="B227">
        <v>218467.32519999999</v>
      </c>
      <c r="C227" s="1">
        <v>895</v>
      </c>
      <c r="D227">
        <v>658704.73389999999</v>
      </c>
      <c r="E227">
        <v>3725.4212699999998</v>
      </c>
      <c r="F227">
        <v>1069946.9339999999</v>
      </c>
      <c r="G227">
        <v>14459.49972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14259164.798711462</v>
      </c>
      <c r="M227" s="1">
        <f t="shared" si="15"/>
        <v>19906255.765732665</v>
      </c>
      <c r="N227" s="1">
        <f t="shared" si="16"/>
        <v>36150235.874978989</v>
      </c>
      <c r="O227" s="1"/>
    </row>
    <row r="228" spans="1:15" x14ac:dyDescent="0.25">
      <c r="A228">
        <v>229</v>
      </c>
      <c r="B228">
        <v>164668.56630000001</v>
      </c>
      <c r="C228" s="1">
        <v>700</v>
      </c>
      <c r="D228">
        <v>611497.58909999998</v>
      </c>
      <c r="E228">
        <v>11222.96747</v>
      </c>
      <c r="F228">
        <v>1032709.1139999999</v>
      </c>
      <c r="G228">
        <v>14664.429620000001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7167335.4997789999</v>
      </c>
      <c r="M228" s="1">
        <f t="shared" si="15"/>
        <v>38539895.712109685</v>
      </c>
      <c r="N228" s="1">
        <f t="shared" si="16"/>
        <v>23561974.668005586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>
        <v>5308.1722250000003</v>
      </c>
      <c r="F229">
        <v>915157.17830000003</v>
      </c>
      <c r="G229">
        <v>14316.197169999999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15304328.945565253</v>
      </c>
      <c r="N229" s="1">
        <f t="shared" si="16"/>
        <v>19312595.1161258</v>
      </c>
      <c r="O229" s="1"/>
    </row>
    <row r="230" spans="1:15" x14ac:dyDescent="0.25">
      <c r="A230">
        <v>231</v>
      </c>
      <c r="B230">
        <v>161914.2738</v>
      </c>
      <c r="C230" s="1">
        <v>70100</v>
      </c>
      <c r="D230">
        <v>699212.45039999997</v>
      </c>
      <c r="E230">
        <v>9715.5705749999997</v>
      </c>
      <c r="F230">
        <v>1036218.785</v>
      </c>
      <c r="G230">
        <v>13329.567370000001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394681796.6110208</v>
      </c>
      <c r="M230" s="1">
        <f t="shared" si="15"/>
        <v>18345963.551453803</v>
      </c>
      <c r="N230" s="1">
        <f t="shared" si="16"/>
        <v>11776926.038828101</v>
      </c>
      <c r="O230" s="1"/>
    </row>
    <row r="231" spans="1:15" x14ac:dyDescent="0.25">
      <c r="A231">
        <v>232</v>
      </c>
      <c r="B231">
        <v>237218.9607</v>
      </c>
      <c r="C231" s="1">
        <v>39600</v>
      </c>
      <c r="D231">
        <v>714453.29779999994</v>
      </c>
      <c r="E231">
        <v>32005.19887</v>
      </c>
      <c r="F231">
        <v>1051640.0249999999</v>
      </c>
      <c r="G231">
        <v>26574.231769999999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299809416.36016798</v>
      </c>
      <c r="M231" s="1">
        <f t="shared" si="15"/>
        <v>81266910.59160319</v>
      </c>
      <c r="N231" s="1">
        <f t="shared" si="16"/>
        <v>31571674.496997688</v>
      </c>
      <c r="O231" s="1"/>
    </row>
    <row r="232" spans="1:15" x14ac:dyDescent="0.25">
      <c r="A232">
        <v>233</v>
      </c>
      <c r="B232">
        <v>210765.98149999999</v>
      </c>
      <c r="C232" s="1">
        <v>68500</v>
      </c>
      <c r="D232">
        <v>712997.05429999996</v>
      </c>
      <c r="E232">
        <v>39220.156219999997</v>
      </c>
      <c r="F232">
        <v>1090560.193</v>
      </c>
      <c r="G232">
        <v>25039.78789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582120173.22478497</v>
      </c>
      <c r="M232" s="1">
        <f t="shared" si="15"/>
        <v>111782684.35544789</v>
      </c>
      <c r="N232" s="1">
        <f t="shared" si="16"/>
        <v>33391777.602065012</v>
      </c>
      <c r="O232" s="1"/>
    </row>
    <row r="233" spans="1:15" x14ac:dyDescent="0.25">
      <c r="A233">
        <v>236</v>
      </c>
      <c r="B233">
        <v>140646.4762</v>
      </c>
      <c r="C233" s="1">
        <v>25200</v>
      </c>
      <c r="D233">
        <v>686204.73910000001</v>
      </c>
      <c r="E233">
        <v>26371.120060000001</v>
      </c>
      <c r="F233">
        <v>1027487.201</v>
      </c>
      <c r="G233">
        <v>21040.995029999998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554270513.08765495</v>
      </c>
      <c r="M233" s="1">
        <f t="shared" si="15"/>
        <v>194532848.94412774</v>
      </c>
      <c r="N233" s="1">
        <f t="shared" si="16"/>
        <v>72623023.036483243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>
        <v>7947.1650529999997</v>
      </c>
      <c r="F234">
        <v>972521.37930000003</v>
      </c>
      <c r="G234">
        <v>6798.8884790000002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18894474.500233416</v>
      </c>
      <c r="N234" s="1">
        <f t="shared" si="16"/>
        <v>7563175.5418773489</v>
      </c>
      <c r="O234" s="1"/>
    </row>
    <row r="235" spans="1:15" x14ac:dyDescent="0.25">
      <c r="A235">
        <v>238</v>
      </c>
      <c r="B235">
        <v>95617.404110000003</v>
      </c>
      <c r="C235" s="1">
        <v>670</v>
      </c>
      <c r="D235">
        <v>627293.06980000006</v>
      </c>
      <c r="E235">
        <v>4304.2468049999998</v>
      </c>
      <c r="F235">
        <v>990812.9277</v>
      </c>
      <c r="G235">
        <v>10000.42916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2637269.7909938251</v>
      </c>
      <c r="M235" s="1">
        <f t="shared" si="15"/>
        <v>5682246.3734883703</v>
      </c>
      <c r="N235" s="1">
        <f t="shared" si="16"/>
        <v>6177108.2238931321</v>
      </c>
      <c r="O235" s="1"/>
    </row>
    <row r="236" spans="1:15" x14ac:dyDescent="0.25">
      <c r="A236">
        <v>239</v>
      </c>
      <c r="B236">
        <v>334482.40590000001</v>
      </c>
      <c r="C236" s="1">
        <v>30300</v>
      </c>
      <c r="D236">
        <v>844420.6</v>
      </c>
      <c r="E236">
        <v>28066.141810000001</v>
      </c>
      <c r="F236">
        <v>1282980.9709999999</v>
      </c>
      <c r="G236">
        <v>14146.34136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161687200.488372</v>
      </c>
      <c r="M236" s="1">
        <f t="shared" si="15"/>
        <v>50229501.178651623</v>
      </c>
      <c r="N236" s="1">
        <f t="shared" si="16"/>
        <v>11845788.160874814</v>
      </c>
      <c r="O236" s="1"/>
    </row>
    <row r="237" spans="1:15" x14ac:dyDescent="0.25">
      <c r="A237">
        <v>240</v>
      </c>
      <c r="B237">
        <v>549104.14610000001</v>
      </c>
      <c r="C237" s="1">
        <v>23200</v>
      </c>
      <c r="D237">
        <v>1031867.723</v>
      </c>
      <c r="E237">
        <v>9598.3517900000006</v>
      </c>
      <c r="F237">
        <v>1438010.067</v>
      </c>
      <c r="G237">
        <v>8240.3978569999999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76402944.514806002</v>
      </c>
      <c r="M237" s="1">
        <f t="shared" si="15"/>
        <v>10601368.034177788</v>
      </c>
      <c r="N237" s="1">
        <f t="shared" si="16"/>
        <v>4258504.4658704465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>
        <v>1440.395025</v>
      </c>
      <c r="F238">
        <v>1112541.929</v>
      </c>
      <c r="G238">
        <v>5915.0687349999998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2419729.8266615015</v>
      </c>
      <c r="N238" s="1">
        <f t="shared" si="16"/>
        <v>4649312.5106201069</v>
      </c>
      <c r="O238" s="1"/>
    </row>
    <row r="239" spans="1:15" x14ac:dyDescent="0.25">
      <c r="A239">
        <v>242</v>
      </c>
      <c r="B239">
        <v>192899.9613</v>
      </c>
      <c r="C239" s="1">
        <v>7850</v>
      </c>
      <c r="D239">
        <v>754482.21010000003</v>
      </c>
      <c r="E239">
        <v>26883.483830000001</v>
      </c>
      <c r="F239">
        <v>1168448.0589999999</v>
      </c>
      <c r="G239">
        <v>5906.9414919999999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46523475.034161128</v>
      </c>
      <c r="M239" s="1">
        <f t="shared" si="15"/>
        <v>53435659.648719043</v>
      </c>
      <c r="N239" s="1">
        <f t="shared" si="16"/>
        <v>5493535.9908268247</v>
      </c>
      <c r="O239" s="1"/>
    </row>
    <row r="240" spans="1:15" x14ac:dyDescent="0.25">
      <c r="A240">
        <v>243</v>
      </c>
      <c r="B240">
        <v>213602.50959999999</v>
      </c>
      <c r="C240" s="1">
        <v>2760</v>
      </c>
      <c r="D240">
        <v>768350.11179999996</v>
      </c>
      <c r="E240">
        <v>14724.94325</v>
      </c>
      <c r="F240">
        <v>1214351.2549999999</v>
      </c>
      <c r="G240">
        <v>11578.534309999999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9549788.1606815998</v>
      </c>
      <c r="M240" s="1">
        <f t="shared" si="15"/>
        <v>17087613.901890602</v>
      </c>
      <c r="N240" s="1">
        <f t="shared" si="16"/>
        <v>6286733.6047445573</v>
      </c>
      <c r="O240" s="1"/>
    </row>
    <row r="241" spans="1:15" x14ac:dyDescent="0.25">
      <c r="A241">
        <v>244</v>
      </c>
      <c r="B241">
        <v>545795.65090000001</v>
      </c>
      <c r="C241" s="1">
        <v>10100</v>
      </c>
      <c r="D241">
        <v>1026367.024</v>
      </c>
      <c r="E241">
        <v>6874.0083329999998</v>
      </c>
      <c r="F241">
        <v>1435883.8049999999</v>
      </c>
      <c r="G241">
        <v>8240.3982149999993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15446402.200267674</v>
      </c>
      <c r="M241" s="1">
        <f t="shared" si="15"/>
        <v>3525812.0398801332</v>
      </c>
      <c r="N241" s="1">
        <f t="shared" si="16"/>
        <v>1977611.5037569378</v>
      </c>
      <c r="O241" s="1"/>
    </row>
    <row r="242" spans="1:15" x14ac:dyDescent="0.25">
      <c r="A242">
        <v>245</v>
      </c>
      <c r="B242">
        <v>307154.05619999999</v>
      </c>
      <c r="C242" s="1">
        <v>1860</v>
      </c>
      <c r="D242">
        <v>814966.17870000005</v>
      </c>
      <c r="E242">
        <v>3823.8610600000002</v>
      </c>
      <c r="F242">
        <v>1247363.5049999999</v>
      </c>
      <c r="G242">
        <v>3027.2928120000001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18326238.399998102</v>
      </c>
      <c r="M242" s="1">
        <f t="shared" si="15"/>
        <v>12635883.94367115</v>
      </c>
      <c r="N242" s="1">
        <f t="shared" si="16"/>
        <v>4680601.1228204211</v>
      </c>
      <c r="O242" s="1"/>
    </row>
    <row r="243" spans="1:15" x14ac:dyDescent="0.25">
      <c r="A243">
        <v>246</v>
      </c>
      <c r="B243">
        <v>258574.82550000001</v>
      </c>
      <c r="C243" s="1">
        <v>128</v>
      </c>
      <c r="D243">
        <v>816831.12269999995</v>
      </c>
      <c r="E243">
        <v>12255.30428</v>
      </c>
      <c r="F243">
        <v>1226550.5</v>
      </c>
      <c r="G243">
        <v>5204.4723569999996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625059.64268384001</v>
      </c>
      <c r="M243" s="1">
        <f t="shared" si="15"/>
        <v>20071448.953173082</v>
      </c>
      <c r="N243" s="1">
        <f t="shared" si="16"/>
        <v>3988182.3851692663</v>
      </c>
      <c r="O243" s="1"/>
    </row>
    <row r="244" spans="1:15" x14ac:dyDescent="0.25">
      <c r="A244">
        <v>247</v>
      </c>
      <c r="B244">
        <v>321713.114</v>
      </c>
      <c r="C244" s="1">
        <v>271</v>
      </c>
      <c r="D244">
        <v>821737.25390000001</v>
      </c>
      <c r="E244">
        <v>4110.2207639999997</v>
      </c>
      <c r="F244">
        <v>1264659.6440000001</v>
      </c>
      <c r="G244">
        <v>5070.7202690000004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1116890.6434222551</v>
      </c>
      <c r="M244" s="1">
        <f t="shared" si="15"/>
        <v>5681325.18188533</v>
      </c>
      <c r="N244" s="1">
        <f t="shared" si="16"/>
        <v>3279425.9576127357</v>
      </c>
      <c r="O244" s="1"/>
    </row>
    <row r="245" spans="1:15" x14ac:dyDescent="0.25">
      <c r="A245">
        <v>248</v>
      </c>
      <c r="B245">
        <v>360390.43219999998</v>
      </c>
      <c r="C245" s="1">
        <v>621</v>
      </c>
      <c r="D245">
        <v>846876.51749999996</v>
      </c>
      <c r="E245">
        <v>4246.229421</v>
      </c>
      <c r="F245">
        <v>1289923.8529999999</v>
      </c>
      <c r="G245">
        <v>8334.9164650000002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3321372.6913108956</v>
      </c>
      <c r="M245" s="1">
        <f t="shared" si="15"/>
        <v>7616800.8817271395</v>
      </c>
      <c r="N245" s="1">
        <f t="shared" si="16"/>
        <v>6995424.5534083275</v>
      </c>
      <c r="O245" s="1"/>
    </row>
    <row r="246" spans="1:15" x14ac:dyDescent="0.25">
      <c r="A246">
        <v>249</v>
      </c>
      <c r="B246">
        <v>364607.7169</v>
      </c>
      <c r="C246" s="1">
        <v>4620</v>
      </c>
      <c r="D246">
        <v>863023.20479999995</v>
      </c>
      <c r="E246">
        <v>2944.5116130000001</v>
      </c>
      <c r="F246">
        <v>1295520.952</v>
      </c>
      <c r="G246">
        <v>8320.4760989999995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29508616.063276354</v>
      </c>
      <c r="M246" s="1">
        <f t="shared" si="15"/>
        <v>6307587.367515442</v>
      </c>
      <c r="N246" s="1">
        <f t="shared" si="16"/>
        <v>8339535.4433046794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8395.7663389999998</v>
      </c>
      <c r="F247">
        <v>1176518.0619999999</v>
      </c>
      <c r="G247">
        <v>2017.514173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10263455.013357669</v>
      </c>
      <c r="N247" s="1">
        <f t="shared" si="16"/>
        <v>1153967.3261553354</v>
      </c>
      <c r="O247" s="1"/>
    </row>
    <row r="248" spans="1:15" x14ac:dyDescent="0.25">
      <c r="A248">
        <v>251</v>
      </c>
      <c r="B248">
        <v>73531.840920000002</v>
      </c>
      <c r="C248" s="1">
        <v>1460</v>
      </c>
      <c r="D248">
        <v>720384.80379999999</v>
      </c>
      <c r="E248">
        <v>4676.9197080000004</v>
      </c>
      <c r="F248">
        <v>1139335.8459999999</v>
      </c>
      <c r="G248">
        <v>2097.4487170000002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15558606.361288249</v>
      </c>
      <c r="M248" s="1">
        <f t="shared" si="15"/>
        <v>16715558.369849164</v>
      </c>
      <c r="N248" s="1">
        <f t="shared" si="16"/>
        <v>3507486.4625719627</v>
      </c>
      <c r="O248" s="1"/>
    </row>
    <row r="249" spans="1:15" x14ac:dyDescent="0.25">
      <c r="A249">
        <v>252</v>
      </c>
      <c r="B249">
        <v>110316.3572</v>
      </c>
      <c r="C249" s="1">
        <v>10700</v>
      </c>
      <c r="D249">
        <v>626661.26399999997</v>
      </c>
      <c r="E249">
        <v>15646.04855</v>
      </c>
      <c r="F249">
        <v>976513.24979999999</v>
      </c>
      <c r="G249">
        <v>24368.699219999999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42511066.434073254</v>
      </c>
      <c r="M249" s="1">
        <f t="shared" si="15"/>
        <v>20848078.452346977</v>
      </c>
      <c r="N249" s="1">
        <f t="shared" si="16"/>
        <v>15192784.748848835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1843.9721609999999</v>
      </c>
      <c r="F250">
        <v>1098176.0260000001</v>
      </c>
      <c r="G250">
        <v>4121.5985579999997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1631080.6595609649</v>
      </c>
      <c r="N250" s="1">
        <f t="shared" si="16"/>
        <v>1705809.1733675704</v>
      </c>
      <c r="O250" s="1"/>
    </row>
    <row r="251" spans="1:15" x14ac:dyDescent="0.25">
      <c r="A251">
        <v>254</v>
      </c>
      <c r="B251">
        <v>452590.24739999999</v>
      </c>
      <c r="C251" s="1">
        <v>7940</v>
      </c>
      <c r="D251">
        <v>900877.53769999999</v>
      </c>
      <c r="E251">
        <v>8833.5881339999996</v>
      </c>
      <c r="F251">
        <v>1333610.226</v>
      </c>
      <c r="G251">
        <v>5561.7412780000004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21505509.928282447</v>
      </c>
      <c r="M251" s="1">
        <f t="shared" si="15"/>
        <v>8024343.7658098638</v>
      </c>
      <c r="N251" s="1">
        <f t="shared" si="16"/>
        <v>2363887.6945944326</v>
      </c>
      <c r="O251" s="1"/>
    </row>
    <row r="252" spans="1:15" x14ac:dyDescent="0.25">
      <c r="A252">
        <v>255</v>
      </c>
      <c r="B252">
        <v>322396.67940000002</v>
      </c>
      <c r="C252" s="1">
        <v>4820</v>
      </c>
      <c r="D252">
        <v>840665.87679999997</v>
      </c>
      <c r="E252">
        <v>1870.6634509999999</v>
      </c>
      <c r="F252">
        <v>1283212.915</v>
      </c>
      <c r="G252">
        <v>7032.5285640000002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15408553.858043062</v>
      </c>
      <c r="M252" s="1">
        <f t="shared" si="15"/>
        <v>2005643.0388226463</v>
      </c>
      <c r="N252" s="1">
        <f t="shared" si="16"/>
        <v>3527874.785807617</v>
      </c>
      <c r="O252" s="1"/>
    </row>
    <row r="253" spans="1:15" x14ac:dyDescent="0.25">
      <c r="A253">
        <v>256</v>
      </c>
      <c r="B253">
        <v>191964.511</v>
      </c>
      <c r="C253" s="1">
        <v>1310</v>
      </c>
      <c r="D253">
        <v>793542.77969999996</v>
      </c>
      <c r="E253">
        <v>9952.6754189999992</v>
      </c>
      <c r="F253">
        <v>1223839.54</v>
      </c>
      <c r="G253">
        <v>6108.72847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9134689.3171569761</v>
      </c>
      <c r="M253" s="1">
        <f t="shared" si="15"/>
        <v>23275845.362655647</v>
      </c>
      <c r="N253" s="1">
        <f t="shared" si="16"/>
        <v>6684364.4662651923</v>
      </c>
      <c r="O253" s="1"/>
    </row>
    <row r="254" spans="1:15" x14ac:dyDescent="0.25">
      <c r="A254">
        <v>257</v>
      </c>
      <c r="B254">
        <v>93446.281390000004</v>
      </c>
      <c r="C254" s="1">
        <v>52100</v>
      </c>
      <c r="D254">
        <v>745329.03969999996</v>
      </c>
      <c r="E254">
        <v>17128.4447</v>
      </c>
      <c r="F254">
        <v>1161602.848</v>
      </c>
      <c r="G254">
        <v>5386.9288219999999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260607348.01133826</v>
      </c>
      <c r="M254" s="1">
        <f t="shared" si="15"/>
        <v>28734920.526916813</v>
      </c>
      <c r="N254" s="1">
        <f t="shared" si="16"/>
        <v>4228408.9736064011</v>
      </c>
      <c r="O254" s="1"/>
    </row>
    <row r="255" spans="1:15" x14ac:dyDescent="0.25">
      <c r="A255">
        <v>258</v>
      </c>
      <c r="B255">
        <v>204693.90100000001</v>
      </c>
      <c r="C255" s="1">
        <v>217000</v>
      </c>
      <c r="D255">
        <v>806926.60959999997</v>
      </c>
      <c r="E255">
        <v>72823.72782</v>
      </c>
      <c r="F255">
        <v>1234967.7509999999</v>
      </c>
      <c r="G255">
        <v>65858.116179999997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2352160514.0804229</v>
      </c>
      <c r="M255" s="1">
        <f t="shared" si="15"/>
        <v>264742255.65730584</v>
      </c>
      <c r="N255" s="1">
        <f t="shared" si="16"/>
        <v>112022004.69232425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7702.1459240000004</v>
      </c>
      <c r="F256">
        <v>1171257.8030000001</v>
      </c>
      <c r="G256">
        <v>995.53623870000001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11969044.620233508</v>
      </c>
      <c r="N256" s="1">
        <f t="shared" si="16"/>
        <v>723849.86077098339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4186.6594450000002</v>
      </c>
      <c r="F257">
        <v>1139219.7320000001</v>
      </c>
      <c r="G257">
        <v>7350.5227679999998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8791498.7801972777</v>
      </c>
      <c r="N257" s="1">
        <f t="shared" si="16"/>
        <v>7221995.1080916682</v>
      </c>
      <c r="O257" s="1"/>
    </row>
    <row r="258" spans="1:15" x14ac:dyDescent="0.25">
      <c r="A258">
        <v>261</v>
      </c>
      <c r="B258">
        <v>61089.344449999997</v>
      </c>
      <c r="C258" s="1">
        <v>6950</v>
      </c>
      <c r="D258">
        <v>658031.55169999995</v>
      </c>
      <c r="E258">
        <v>9714.9364700000006</v>
      </c>
      <c r="F258">
        <v>1058755.425</v>
      </c>
      <c r="G258">
        <v>5946.8850899999998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52467971.298702382</v>
      </c>
      <c r="M258" s="1">
        <f t="shared" si="15"/>
        <v>24597590.640202675</v>
      </c>
      <c r="N258" s="1">
        <f t="shared" si="16"/>
        <v>7045078.3872313704</v>
      </c>
      <c r="O258" s="1"/>
    </row>
    <row r="259" spans="1:15" x14ac:dyDescent="0.25">
      <c r="A259">
        <v>262</v>
      </c>
      <c r="B259">
        <v>94947.286030000003</v>
      </c>
      <c r="C259" s="1">
        <v>138000</v>
      </c>
      <c r="D259">
        <v>720876.80610000005</v>
      </c>
      <c r="E259">
        <v>33181.56424</v>
      </c>
      <c r="F259">
        <v>1092001.7069999999</v>
      </c>
      <c r="G259">
        <v>60738.619330000001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1372738871.4335399</v>
      </c>
      <c r="M259" s="1">
        <f t="shared" ref="M259:M322" si="19">$U$3*$K259*E259</f>
        <v>110700310.19279075</v>
      </c>
      <c r="N259" s="1">
        <f t="shared" ref="N259:N322" si="20">$U$4*$K259*G259</f>
        <v>94811403.597018406</v>
      </c>
      <c r="O259" s="1"/>
    </row>
    <row r="260" spans="1:15" x14ac:dyDescent="0.25">
      <c r="A260">
        <v>263</v>
      </c>
      <c r="B260">
        <v>54043.056790000002</v>
      </c>
      <c r="C260" s="1">
        <v>5390</v>
      </c>
      <c r="D260">
        <v>631301.70889999997</v>
      </c>
      <c r="E260">
        <v>5852.2059799999997</v>
      </c>
      <c r="F260">
        <v>1005716.439</v>
      </c>
      <c r="G260">
        <v>10287.108770000001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48128206.894167401</v>
      </c>
      <c r="M260" s="1">
        <f t="shared" si="19"/>
        <v>17525630.735554092</v>
      </c>
      <c r="N260" s="1">
        <f t="shared" si="20"/>
        <v>14414217.245893287</v>
      </c>
      <c r="O260" s="1"/>
    </row>
    <row r="261" spans="1:15" x14ac:dyDescent="0.25">
      <c r="A261">
        <v>264</v>
      </c>
      <c r="B261">
        <v>337505.43310000002</v>
      </c>
      <c r="C261" s="1">
        <v>40000</v>
      </c>
      <c r="D261">
        <v>825189.86199999996</v>
      </c>
      <c r="E261">
        <v>4832.9658520000003</v>
      </c>
      <c r="F261">
        <v>1245265.625</v>
      </c>
      <c r="G261">
        <v>11587.091490000001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290987045.83390003</v>
      </c>
      <c r="M261" s="1">
        <f t="shared" si="19"/>
        <v>11791539.976305088</v>
      </c>
      <c r="N261" s="1">
        <f t="shared" si="20"/>
        <v>13227413.049737953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2882.9835939999998</v>
      </c>
      <c r="F262">
        <v>1027556.211</v>
      </c>
      <c r="G262">
        <v>1920.6186110000001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22949035.762229558</v>
      </c>
      <c r="N262" s="1">
        <f t="shared" si="20"/>
        <v>7153310.6015264187</v>
      </c>
      <c r="O262" s="1"/>
    </row>
    <row r="263" spans="1:15" x14ac:dyDescent="0.25">
      <c r="A263">
        <v>266</v>
      </c>
      <c r="B263">
        <v>76903.596640000003</v>
      </c>
      <c r="C263" s="1">
        <v>1440</v>
      </c>
      <c r="D263">
        <v>563705.15879999998</v>
      </c>
      <c r="E263">
        <v>6631.5502640000004</v>
      </c>
      <c r="F263">
        <v>982278.18259999994</v>
      </c>
      <c r="G263">
        <v>1790.964937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37692574.039972804</v>
      </c>
      <c r="M263" s="1">
        <f t="shared" si="19"/>
        <v>58217225.911309212</v>
      </c>
      <c r="N263" s="1">
        <f t="shared" si="20"/>
        <v>7356431.6304150717</v>
      </c>
      <c r="O263" s="1"/>
    </row>
    <row r="264" spans="1:15" x14ac:dyDescent="0.25">
      <c r="A264">
        <v>267</v>
      </c>
      <c r="B264">
        <v>43515.826520000002</v>
      </c>
      <c r="C264" s="1">
        <v>44900</v>
      </c>
      <c r="D264">
        <v>559051.36690000002</v>
      </c>
      <c r="E264">
        <v>98863.774350000007</v>
      </c>
      <c r="F264">
        <v>921284.13379999995</v>
      </c>
      <c r="G264">
        <v>108873.5858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641740032.0829258</v>
      </c>
      <c r="M264" s="1">
        <f t="shared" si="19"/>
        <v>473906989.7433399</v>
      </c>
      <c r="N264" s="1">
        <f t="shared" si="20"/>
        <v>244186771.3317138</v>
      </c>
      <c r="O264" s="1"/>
    </row>
    <row r="265" spans="1:15" x14ac:dyDescent="0.25">
      <c r="A265">
        <v>268</v>
      </c>
      <c r="B265">
        <v>207485.71460000001</v>
      </c>
      <c r="C265" s="1">
        <v>183000</v>
      </c>
      <c r="D265">
        <v>778677.28350000002</v>
      </c>
      <c r="E265">
        <v>83195.223809999996</v>
      </c>
      <c r="F265">
        <v>1186794.774</v>
      </c>
      <c r="G265">
        <v>94075.950729999997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638444377.14700508</v>
      </c>
      <c r="M265" s="1">
        <f t="shared" si="19"/>
        <v>97344968.311407194</v>
      </c>
      <c r="N265" s="1">
        <f t="shared" si="20"/>
        <v>51503578.817733265</v>
      </c>
      <c r="O265" s="1"/>
    </row>
    <row r="266" spans="1:15" x14ac:dyDescent="0.25">
      <c r="A266">
        <v>270</v>
      </c>
      <c r="B266">
        <v>371603.51650000003</v>
      </c>
      <c r="C266" s="1">
        <v>120000</v>
      </c>
      <c r="D266">
        <v>892077.08120000002</v>
      </c>
      <c r="E266">
        <v>41305.658759999998</v>
      </c>
      <c r="F266">
        <v>1317647.2760000001</v>
      </c>
      <c r="G266">
        <v>40543.499280000004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508196397.7155</v>
      </c>
      <c r="M266" s="1">
        <f t="shared" si="19"/>
        <v>58668235.425478145</v>
      </c>
      <c r="N266" s="1">
        <f t="shared" si="20"/>
        <v>26943771.141762193</v>
      </c>
      <c r="O266" s="1"/>
    </row>
    <row r="267" spans="1:15" x14ac:dyDescent="0.25">
      <c r="A267">
        <v>271</v>
      </c>
      <c r="B267">
        <v>386853.9118</v>
      </c>
      <c r="C267" s="1">
        <v>74200</v>
      </c>
      <c r="D267">
        <v>846914.12479999999</v>
      </c>
      <c r="E267">
        <v>14197.16678</v>
      </c>
      <c r="F267">
        <v>1246408.3230000001</v>
      </c>
      <c r="G267">
        <v>32914.213369999998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462556986.87334502</v>
      </c>
      <c r="M267" s="1">
        <f t="shared" si="19"/>
        <v>29682888.533301733</v>
      </c>
      <c r="N267" s="1">
        <f t="shared" si="20"/>
        <v>32198203.087224212</v>
      </c>
      <c r="O267" s="1"/>
    </row>
    <row r="268" spans="1:15" x14ac:dyDescent="0.25">
      <c r="A268">
        <v>272</v>
      </c>
      <c r="B268">
        <v>146451.09229999999</v>
      </c>
      <c r="C268" s="1">
        <v>183000</v>
      </c>
      <c r="D268">
        <v>717909.4253</v>
      </c>
      <c r="E268">
        <v>67535.663750000007</v>
      </c>
      <c r="F268">
        <v>1086133.56</v>
      </c>
      <c r="G268">
        <v>83024.37242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841059803.40895498</v>
      </c>
      <c r="M268" s="1">
        <f t="shared" si="19"/>
        <v>104100327.80759721</v>
      </c>
      <c r="N268" s="1">
        <f t="shared" si="20"/>
        <v>59878126.601623707</v>
      </c>
      <c r="O268" s="1"/>
    </row>
    <row r="269" spans="1:15" x14ac:dyDescent="0.25">
      <c r="A269">
        <v>273</v>
      </c>
      <c r="B269">
        <v>155405.3193</v>
      </c>
      <c r="C269" s="1">
        <v>275000</v>
      </c>
      <c r="D269">
        <v>712261.5601</v>
      </c>
      <c r="E269">
        <v>102400.50229999999</v>
      </c>
      <c r="F269">
        <v>1046974.578</v>
      </c>
      <c r="G269">
        <v>116428.6789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1145989752.8186252</v>
      </c>
      <c r="M269" s="1">
        <f t="shared" si="19"/>
        <v>143117672.37819886</v>
      </c>
      <c r="N269" s="1">
        <f t="shared" si="20"/>
        <v>76136836.035067007</v>
      </c>
      <c r="O269" s="1"/>
    </row>
    <row r="270" spans="1:15" x14ac:dyDescent="0.25">
      <c r="A270">
        <v>274</v>
      </c>
      <c r="B270">
        <v>327176.9363</v>
      </c>
      <c r="C270" s="1">
        <v>72900</v>
      </c>
      <c r="D270">
        <v>836929.59219999996</v>
      </c>
      <c r="E270">
        <v>29716.82504</v>
      </c>
      <c r="F270">
        <v>1235154.6880000001</v>
      </c>
      <c r="G270">
        <v>37718.189939999997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358956869.18896353</v>
      </c>
      <c r="M270" s="1">
        <f t="shared" si="19"/>
        <v>49074997.326867618</v>
      </c>
      <c r="N270" s="1">
        <f t="shared" si="20"/>
        <v>29144217.452324156</v>
      </c>
      <c r="O270" s="1"/>
    </row>
    <row r="271" spans="1:15" x14ac:dyDescent="0.25">
      <c r="A271">
        <v>275</v>
      </c>
      <c r="B271">
        <v>241638.8063</v>
      </c>
      <c r="C271" s="1">
        <v>101000</v>
      </c>
      <c r="D271">
        <v>790678.61860000005</v>
      </c>
      <c r="E271">
        <v>18539.102650000001</v>
      </c>
      <c r="F271">
        <v>1165050.361</v>
      </c>
      <c r="G271">
        <v>13152.54681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284264526.12804353</v>
      </c>
      <c r="M271" s="1">
        <f t="shared" si="19"/>
        <v>17499802.163927287</v>
      </c>
      <c r="N271" s="1">
        <f t="shared" si="20"/>
        <v>5808954.3580319751</v>
      </c>
      <c r="O271" s="1"/>
    </row>
    <row r="272" spans="1:15" x14ac:dyDescent="0.25">
      <c r="A272">
        <v>276</v>
      </c>
      <c r="B272">
        <v>89936.182539999994</v>
      </c>
      <c r="C272" s="1">
        <v>98100</v>
      </c>
      <c r="D272">
        <v>666701.72470000002</v>
      </c>
      <c r="E272">
        <v>63837.038350000003</v>
      </c>
      <c r="F272">
        <v>1019031.751</v>
      </c>
      <c r="G272">
        <v>21245.338609999999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620257894.13726783</v>
      </c>
      <c r="M272" s="1">
        <f t="shared" si="19"/>
        <v>135368981.11087525</v>
      </c>
      <c r="N272" s="1">
        <f t="shared" si="20"/>
        <v>21079182.570691168</v>
      </c>
      <c r="O272" s="1"/>
    </row>
    <row r="273" spans="1:15" x14ac:dyDescent="0.25">
      <c r="A273">
        <v>277</v>
      </c>
      <c r="B273">
        <v>264170.80579999997</v>
      </c>
      <c r="C273" s="1">
        <v>36200</v>
      </c>
      <c r="D273">
        <v>801619.90240000002</v>
      </c>
      <c r="E273">
        <v>9796.869643</v>
      </c>
      <c r="F273">
        <v>1179817.0549999999</v>
      </c>
      <c r="G273">
        <v>16204.711079999999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113520127.59988874</v>
      </c>
      <c r="M273" s="1">
        <f t="shared" si="19"/>
        <v>10303737.035517141</v>
      </c>
      <c r="N273" s="1">
        <f t="shared" si="20"/>
        <v>7974297.0119479364</v>
      </c>
      <c r="O273" s="1"/>
    </row>
    <row r="274" spans="1:15" x14ac:dyDescent="0.25">
      <c r="A274">
        <v>278</v>
      </c>
      <c r="B274">
        <v>77731.703399999999</v>
      </c>
      <c r="C274" s="1">
        <v>130000</v>
      </c>
      <c r="D274">
        <v>658944.20909999998</v>
      </c>
      <c r="E274">
        <v>75369.106490000006</v>
      </c>
      <c r="F274">
        <v>1000907.385</v>
      </c>
      <c r="G274">
        <v>40969.167659999999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605356763.74387503</v>
      </c>
      <c r="M274" s="1">
        <f t="shared" si="19"/>
        <v>117707612.41715679</v>
      </c>
      <c r="N274" s="1">
        <f t="shared" si="20"/>
        <v>29937256.808161635</v>
      </c>
      <c r="O274" s="1"/>
    </row>
    <row r="275" spans="1:15" x14ac:dyDescent="0.25">
      <c r="A275">
        <v>279</v>
      </c>
      <c r="B275">
        <v>418131.7953</v>
      </c>
      <c r="C275" s="1">
        <v>38600</v>
      </c>
      <c r="D275">
        <v>861999.4817</v>
      </c>
      <c r="E275">
        <v>15810.609570000001</v>
      </c>
      <c r="F275">
        <v>1285190.3370000001</v>
      </c>
      <c r="G275">
        <v>12023.66473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132826536.79547201</v>
      </c>
      <c r="M275" s="1">
        <f t="shared" si="19"/>
        <v>18246908.569559246</v>
      </c>
      <c r="N275" s="1">
        <f t="shared" si="20"/>
        <v>6492638.4240306066</v>
      </c>
      <c r="O275" s="1"/>
    </row>
    <row r="276" spans="1:15" x14ac:dyDescent="0.25">
      <c r="A276">
        <v>280</v>
      </c>
      <c r="B276">
        <v>62849.982669999998</v>
      </c>
      <c r="C276" s="1">
        <v>23400</v>
      </c>
      <c r="D276">
        <v>612531.91850000003</v>
      </c>
      <c r="E276">
        <v>48541.50477</v>
      </c>
      <c r="F276">
        <v>977324.74739999999</v>
      </c>
      <c r="G276">
        <v>27819.821919999998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77681374.822233006</v>
      </c>
      <c r="M276" s="1">
        <f t="shared" si="19"/>
        <v>54045236.040186763</v>
      </c>
      <c r="N276" s="1">
        <f t="shared" si="20"/>
        <v>14492463.210627217</v>
      </c>
      <c r="O276" s="1"/>
    </row>
    <row r="277" spans="1:15" x14ac:dyDescent="0.25">
      <c r="A277">
        <v>281</v>
      </c>
      <c r="B277">
        <v>140439.45259999999</v>
      </c>
      <c r="C277" s="1">
        <v>28300</v>
      </c>
      <c r="D277">
        <v>732244.73439999996</v>
      </c>
      <c r="E277">
        <v>13350.5977</v>
      </c>
      <c r="F277">
        <v>1079465.4569999999</v>
      </c>
      <c r="G277">
        <v>13165.1638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98357644.172066495</v>
      </c>
      <c r="M277" s="1">
        <f t="shared" si="19"/>
        <v>15562004.223827129</v>
      </c>
      <c r="N277" s="1">
        <f t="shared" si="20"/>
        <v>7180170.6248302171</v>
      </c>
      <c r="O277" s="1"/>
    </row>
    <row r="278" spans="1:15" x14ac:dyDescent="0.25">
      <c r="A278">
        <v>282</v>
      </c>
      <c r="B278">
        <v>48231.631529999999</v>
      </c>
      <c r="C278" s="1">
        <v>14100</v>
      </c>
      <c r="D278">
        <v>582344.12569999998</v>
      </c>
      <c r="E278">
        <v>40628.27349</v>
      </c>
      <c r="F278">
        <v>946735.58530000004</v>
      </c>
      <c r="G278">
        <v>25090.546839999999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57535030.351227</v>
      </c>
      <c r="M278" s="1">
        <f t="shared" si="19"/>
        <v>55601273.403556153</v>
      </c>
      <c r="N278" s="1">
        <f t="shared" si="20"/>
        <v>16066089.268386779</v>
      </c>
      <c r="O278" s="1"/>
    </row>
    <row r="279" spans="1:15" x14ac:dyDescent="0.25">
      <c r="A279">
        <v>283</v>
      </c>
      <c r="B279">
        <v>164759.89509999999</v>
      </c>
      <c r="C279" s="1">
        <v>167000</v>
      </c>
      <c r="D279">
        <v>745106.84739999997</v>
      </c>
      <c r="E279">
        <v>72601.059550000005</v>
      </c>
      <c r="F279">
        <v>1106901.713</v>
      </c>
      <c r="G279">
        <v>108358.8876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953700464.17002511</v>
      </c>
      <c r="M279" s="1">
        <f t="shared" si="19"/>
        <v>139053402.06238043</v>
      </c>
      <c r="N279" s="1">
        <f t="shared" si="20"/>
        <v>97106181.325738296</v>
      </c>
      <c r="O279" s="1"/>
    </row>
    <row r="280" spans="1:15" x14ac:dyDescent="0.25">
      <c r="A280">
        <v>284</v>
      </c>
      <c r="B280">
        <v>170373.04019999999</v>
      </c>
      <c r="C280" s="1">
        <v>120000</v>
      </c>
      <c r="D280">
        <v>736646.95220000006</v>
      </c>
      <c r="E280">
        <v>73893.850340000005</v>
      </c>
      <c r="F280">
        <v>1091090.8419999999</v>
      </c>
      <c r="G280">
        <v>95911.746960000004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673989533.73960006</v>
      </c>
      <c r="M280" s="1">
        <f t="shared" si="19"/>
        <v>139194905.3671785</v>
      </c>
      <c r="N280" s="1">
        <f t="shared" si="20"/>
        <v>84533825.494865805</v>
      </c>
      <c r="O280" s="1"/>
    </row>
    <row r="281" spans="1:15" x14ac:dyDescent="0.25">
      <c r="A281">
        <v>285</v>
      </c>
      <c r="B281">
        <v>106466.5851</v>
      </c>
      <c r="C281" s="1">
        <v>2970</v>
      </c>
      <c r="D281">
        <v>685853.3628</v>
      </c>
      <c r="E281">
        <v>13941.40213</v>
      </c>
      <c r="F281">
        <v>1056841.7309999999</v>
      </c>
      <c r="G281">
        <v>14301.51929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14133142.507287376</v>
      </c>
      <c r="M281" s="1">
        <f t="shared" si="19"/>
        <v>22250095.532723323</v>
      </c>
      <c r="N281" s="1">
        <f t="shared" si="20"/>
        <v>10679508.852639999</v>
      </c>
      <c r="O281" s="1"/>
    </row>
    <row r="282" spans="1:15" x14ac:dyDescent="0.25">
      <c r="A282">
        <v>286</v>
      </c>
      <c r="B282">
        <v>39230.60469</v>
      </c>
      <c r="C282" s="1">
        <v>3950</v>
      </c>
      <c r="D282">
        <v>522856.09220000001</v>
      </c>
      <c r="E282">
        <v>30952.56997</v>
      </c>
      <c r="F282">
        <v>913939.8112</v>
      </c>
      <c r="G282">
        <v>14767.954959999999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20777850.092811499</v>
      </c>
      <c r="M282" s="1">
        <f t="shared" si="19"/>
        <v>54606377.107542098</v>
      </c>
      <c r="N282" s="1">
        <f t="shared" si="20"/>
        <v>12190195.965842161</v>
      </c>
      <c r="O282" s="1"/>
    </row>
    <row r="283" spans="1:15" x14ac:dyDescent="0.25">
      <c r="A283">
        <v>287</v>
      </c>
      <c r="B283">
        <v>76483.923800000004</v>
      </c>
      <c r="C283" s="1">
        <v>182000</v>
      </c>
      <c r="D283">
        <v>641568.75320000004</v>
      </c>
      <c r="E283">
        <v>131226.3977</v>
      </c>
      <c r="F283">
        <v>1007924.905</v>
      </c>
      <c r="G283">
        <v>154706.45069999999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1239605283.007</v>
      </c>
      <c r="M283" s="1">
        <f t="shared" si="19"/>
        <v>299761859.82451129</v>
      </c>
      <c r="N283" s="1">
        <f t="shared" si="20"/>
        <v>165351168.44889402</v>
      </c>
      <c r="O283" s="1"/>
    </row>
    <row r="284" spans="1:15" x14ac:dyDescent="0.25">
      <c r="A284">
        <v>288</v>
      </c>
      <c r="B284">
        <v>50830.048459999998</v>
      </c>
      <c r="C284" s="1">
        <v>15300</v>
      </c>
      <c r="D284">
        <v>540806.34779999999</v>
      </c>
      <c r="E284">
        <v>64388.008560000002</v>
      </c>
      <c r="F284">
        <v>921142.37150000001</v>
      </c>
      <c r="G284">
        <v>55254.674229999997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129092057.68302675</v>
      </c>
      <c r="M284" s="1">
        <f t="shared" si="19"/>
        <v>182203293.34306258</v>
      </c>
      <c r="N284" s="1">
        <f t="shared" si="20"/>
        <v>73158354.799548849</v>
      </c>
      <c r="O284" s="1"/>
    </row>
    <row r="285" spans="1:15" x14ac:dyDescent="0.25">
      <c r="A285">
        <v>289</v>
      </c>
      <c r="B285">
        <v>53395.360630000003</v>
      </c>
      <c r="C285" s="1">
        <v>38300</v>
      </c>
      <c r="D285">
        <v>512250.7009</v>
      </c>
      <c r="E285">
        <v>132656.12299999999</v>
      </c>
      <c r="F285">
        <v>917126.4277</v>
      </c>
      <c r="G285">
        <v>104613.4592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254758940.11836126</v>
      </c>
      <c r="M285" s="1">
        <f t="shared" si="19"/>
        <v>295938246.97572327</v>
      </c>
      <c r="N285" s="1">
        <f t="shared" si="20"/>
        <v>109195574.48349299</v>
      </c>
      <c r="O285" s="1"/>
    </row>
    <row r="286" spans="1:15" x14ac:dyDescent="0.25">
      <c r="A286">
        <v>290</v>
      </c>
      <c r="B286">
        <v>44091.151619999997</v>
      </c>
      <c r="C286" s="1">
        <v>3150</v>
      </c>
      <c r="D286">
        <v>417972.84759999998</v>
      </c>
      <c r="E286">
        <v>101509.6655</v>
      </c>
      <c r="F286">
        <v>873996.92460000003</v>
      </c>
      <c r="G286">
        <v>34559.833780000001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31622425.037965123</v>
      </c>
      <c r="M286" s="1">
        <f t="shared" si="19"/>
        <v>341770954.70709687</v>
      </c>
      <c r="N286" s="1">
        <f t="shared" si="20"/>
        <v>54443129.08880277</v>
      </c>
      <c r="O286" s="1"/>
    </row>
    <row r="287" spans="1:15" x14ac:dyDescent="0.25">
      <c r="A287">
        <v>291</v>
      </c>
      <c r="B287">
        <v>463595.05170000001</v>
      </c>
      <c r="C287" s="1">
        <v>24700</v>
      </c>
      <c r="D287">
        <v>879699.49910000002</v>
      </c>
      <c r="E287">
        <v>14375.844289999999</v>
      </c>
      <c r="F287">
        <v>1297894.122</v>
      </c>
      <c r="G287">
        <v>26193.760839999999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47547824.4995104</v>
      </c>
      <c r="M287" s="1">
        <f t="shared" si="19"/>
        <v>9281329.5827243533</v>
      </c>
      <c r="N287" s="1">
        <f t="shared" si="20"/>
        <v>7912584.679355449</v>
      </c>
      <c r="O287" s="1"/>
    </row>
    <row r="288" spans="1:15" x14ac:dyDescent="0.25">
      <c r="A288">
        <v>292</v>
      </c>
      <c r="B288">
        <v>281518.79869999998</v>
      </c>
      <c r="C288" s="1">
        <v>82300</v>
      </c>
      <c r="D288">
        <v>812657.8774</v>
      </c>
      <c r="E288">
        <v>21514.499670000001</v>
      </c>
      <c r="F288">
        <v>1186722.081</v>
      </c>
      <c r="G288">
        <v>50642.330370000003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171057697.7625607</v>
      </c>
      <c r="M288" s="1">
        <f t="shared" si="19"/>
        <v>14997441.452282619</v>
      </c>
      <c r="N288" s="1">
        <f t="shared" si="20"/>
        <v>16517460.793105287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>
        <v>1657.499206</v>
      </c>
      <c r="F289">
        <v>916684.57299999997</v>
      </c>
      <c r="G289">
        <v>1179.2701939999999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5193237.0492655868</v>
      </c>
      <c r="N289" s="1">
        <f t="shared" si="20"/>
        <v>1728788.3122922468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>
        <v>972.10086049999995</v>
      </c>
      <c r="F290">
        <v>848887.52229999995</v>
      </c>
      <c r="G290">
        <v>1350.6645129999999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4110454.8266680324</v>
      </c>
      <c r="N290" s="1">
        <f t="shared" si="20"/>
        <v>2672204.6771160555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>
        <v>1036.578346</v>
      </c>
      <c r="F291">
        <v>853545.07949999999</v>
      </c>
      <c r="G291">
        <v>8014.8862129999998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4072066.5514608519</v>
      </c>
      <c r="N291" s="1">
        <f t="shared" si="20"/>
        <v>14731730.801701672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>
        <v>6950.7171360000002</v>
      </c>
      <c r="F292">
        <v>925275.95120000001</v>
      </c>
      <c r="G292">
        <v>8439.7880110000006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25714240.194782056</v>
      </c>
      <c r="N292" s="1">
        <f t="shared" si="20"/>
        <v>14608959.924618151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>
        <v>4583.3076929999997</v>
      </c>
      <c r="F293">
        <v>986264.56869999995</v>
      </c>
      <c r="G293">
        <v>2977.4057699999998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22763116.668616217</v>
      </c>
      <c r="N293" s="1">
        <f t="shared" si="20"/>
        <v>6918857.9496124201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>
        <v>1485.983027</v>
      </c>
      <c r="F294">
        <v>1117832.6510000001</v>
      </c>
      <c r="G294">
        <v>10762.694100000001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13030970.894800864</v>
      </c>
      <c r="N294" s="1">
        <f t="shared" si="20"/>
        <v>44159851.149849564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>
        <v>8805.5600190000005</v>
      </c>
      <c r="F295">
        <v>950534.92680000002</v>
      </c>
      <c r="G295">
        <v>2136.2989210000001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25599924.00249137</v>
      </c>
      <c r="N295" s="1">
        <f t="shared" si="20"/>
        <v>2905945.0232426208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10214.585880000001</v>
      </c>
      <c r="F296">
        <v>1100476.436</v>
      </c>
      <c r="G296">
        <v>8531.263003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22593178.292251404</v>
      </c>
      <c r="N296" s="1">
        <f t="shared" si="20"/>
        <v>8829041.8256597985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>
        <v>4246.031105</v>
      </c>
      <c r="F297">
        <v>1033714.444</v>
      </c>
      <c r="G297">
        <v>7260.3289990000003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15367661.82358335</v>
      </c>
      <c r="N297" s="1">
        <f t="shared" si="20"/>
        <v>12294888.734718315</v>
      </c>
      <c r="O297" s="1"/>
    </row>
    <row r="298" spans="1:15" x14ac:dyDescent="0.25">
      <c r="A298">
        <v>309</v>
      </c>
      <c r="B298">
        <v>256002.701</v>
      </c>
      <c r="C298" s="1">
        <v>11900</v>
      </c>
      <c r="D298">
        <v>851979.99120000005</v>
      </c>
      <c r="E298">
        <v>4391.3351290000001</v>
      </c>
      <c r="F298">
        <v>1271252.4210000001</v>
      </c>
      <c r="G298">
        <v>2115.0829950000002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172743633.73503602</v>
      </c>
      <c r="M298" s="1">
        <f t="shared" si="19"/>
        <v>21379365.325756501</v>
      </c>
      <c r="N298" s="1">
        <f t="shared" si="20"/>
        <v>4818027.985153622</v>
      </c>
      <c r="O298" s="1"/>
    </row>
    <row r="299" spans="1:15" x14ac:dyDescent="0.25">
      <c r="A299">
        <v>310</v>
      </c>
      <c r="B299">
        <v>29906.873640000002</v>
      </c>
      <c r="C299" s="1">
        <v>-1.3E-7</v>
      </c>
      <c r="D299">
        <v>672761.11069999996</v>
      </c>
      <c r="E299">
        <v>6606.6156810000002</v>
      </c>
      <c r="F299">
        <v>1113076.8759999999</v>
      </c>
      <c r="G299">
        <v>5903.7868710000002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-1.3695764324540998E-3</v>
      </c>
      <c r="M299" s="1">
        <f t="shared" si="19"/>
        <v>23343453.247638889</v>
      </c>
      <c r="N299" s="1">
        <f t="shared" si="20"/>
        <v>9760237.9975959826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3.4721999999999997E-5</v>
      </c>
      <c r="F300">
        <v>851640.45640000002</v>
      </c>
      <c r="G300">
        <v>4452.9380979999996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0.23795090179490905</v>
      </c>
      <c r="N300" s="1">
        <f t="shared" si="20"/>
        <v>14278183.474310597</v>
      </c>
      <c r="O300" s="1"/>
    </row>
    <row r="301" spans="1:15" x14ac:dyDescent="0.25">
      <c r="A301">
        <v>312</v>
      </c>
      <c r="B301">
        <v>14554.317489999999</v>
      </c>
      <c r="C301" s="1">
        <v>4.6600000000000003E-6</v>
      </c>
      <c r="D301">
        <v>401609.94699999999</v>
      </c>
      <c r="E301">
        <v>10837.85943</v>
      </c>
      <c r="F301">
        <v>949336.66220000002</v>
      </c>
      <c r="G301">
        <v>2913.1849000000002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4.1332386144221252E-2</v>
      </c>
      <c r="M301" s="1">
        <f t="shared" si="19"/>
        <v>32239716.350077856</v>
      </c>
      <c r="N301" s="1">
        <f t="shared" si="20"/>
        <v>4054706.5321967932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>
        <v>8021.3786739999996</v>
      </c>
      <c r="F302">
        <v>1058851.733</v>
      </c>
      <c r="G302">
        <v>6005.2528259999999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32298033.938706182</v>
      </c>
      <c r="N302" s="1">
        <f t="shared" si="20"/>
        <v>11313631.835001331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9770.0616300000002</v>
      </c>
      <c r="F303">
        <v>1093958.3840000001</v>
      </c>
      <c r="G303">
        <v>8849.9836670000004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18553253.325599164</v>
      </c>
      <c r="N303" s="1">
        <f t="shared" si="20"/>
        <v>7863373.7526547406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>
        <v>4778.5851819999998</v>
      </c>
      <c r="F304">
        <v>1098388.1240000001</v>
      </c>
      <c r="G304">
        <v>7784.5750269999999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7770085.3148364266</v>
      </c>
      <c r="N304" s="1">
        <f t="shared" si="20"/>
        <v>5922499.6282597715</v>
      </c>
      <c r="O304" s="1"/>
    </row>
    <row r="305" spans="1:15" x14ac:dyDescent="0.25">
      <c r="A305">
        <v>316</v>
      </c>
      <c r="B305">
        <v>104723.31359999999</v>
      </c>
      <c r="C305" s="1">
        <v>1370</v>
      </c>
      <c r="D305">
        <v>638829.32620000001</v>
      </c>
      <c r="E305">
        <v>6822.4376089999996</v>
      </c>
      <c r="F305">
        <v>1055416.7919999999</v>
      </c>
      <c r="G305">
        <v>14020.056860000001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13282382.005852375</v>
      </c>
      <c r="M305" s="1">
        <f t="shared" si="19"/>
        <v>22183910.738209318</v>
      </c>
      <c r="N305" s="1">
        <f t="shared" si="20"/>
        <v>21330055.696513981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>
        <v>1768.0764240000001</v>
      </c>
      <c r="F306">
        <v>1137407.82</v>
      </c>
      <c r="G306">
        <v>6767.8103739999997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9623094.1803102288</v>
      </c>
      <c r="N306" s="1">
        <f t="shared" si="20"/>
        <v>17234772.813407391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>
        <v>2747.799994</v>
      </c>
      <c r="F307">
        <v>1101730.4939999999</v>
      </c>
      <c r="G307">
        <v>13560.374980000001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7030350.3965746714</v>
      </c>
      <c r="N307" s="1">
        <f t="shared" si="20"/>
        <v>16233315.523652103</v>
      </c>
      <c r="O307" s="1"/>
    </row>
    <row r="308" spans="1:15" x14ac:dyDescent="0.25">
      <c r="A308">
        <v>319</v>
      </c>
      <c r="B308">
        <v>218715.79070000001</v>
      </c>
      <c r="C308" s="1">
        <v>271</v>
      </c>
      <c r="D308">
        <v>774388.07530000003</v>
      </c>
      <c r="E308">
        <v>14107.303449999999</v>
      </c>
      <c r="F308">
        <v>1217356.3589999999</v>
      </c>
      <c r="G308">
        <v>2686.4785470000002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3358586.4402021752</v>
      </c>
      <c r="M308" s="1">
        <f t="shared" si="19"/>
        <v>58637356.686615072</v>
      </c>
      <c r="N308" s="1">
        <f t="shared" si="20"/>
        <v>5224652.7551775239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>
        <v>8621.1516510000001</v>
      </c>
      <c r="F309">
        <v>1199762.1680000001</v>
      </c>
      <c r="G309">
        <v>3019.5520740000002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37872106.364505269</v>
      </c>
      <c r="N309" s="1">
        <f t="shared" si="20"/>
        <v>6206408.7922933456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>
        <v>1440.39508</v>
      </c>
      <c r="F310">
        <v>1140666.629</v>
      </c>
      <c r="G310">
        <v>7540.5584159999999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8515828.5273799058</v>
      </c>
      <c r="N310" s="1">
        <f t="shared" si="20"/>
        <v>20858951.083140805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>
        <v>1813.664344</v>
      </c>
      <c r="F311">
        <v>1114853.929</v>
      </c>
      <c r="G311">
        <v>7840.8203869999998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2164043.9680987755</v>
      </c>
      <c r="N311" s="1">
        <f t="shared" si="20"/>
        <v>4377381.0035235174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>
        <v>4774.2695800000001</v>
      </c>
      <c r="F312">
        <v>1051381.926</v>
      </c>
      <c r="G312">
        <v>1811.1809519999999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9768023.7104771771</v>
      </c>
      <c r="N312" s="1">
        <f t="shared" si="20"/>
        <v>1733825.1068281776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>
        <v>843.51925349999999</v>
      </c>
      <c r="F313">
        <v>992170.57539999997</v>
      </c>
      <c r="G313">
        <v>1048.1613420000001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1579654.4464479571</v>
      </c>
      <c r="N313" s="1">
        <f t="shared" si="20"/>
        <v>918414.87831228948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 s="1">
        <v>-4.9700000000000002E-5</v>
      </c>
      <c r="F314">
        <v>1060292.919</v>
      </c>
      <c r="G314">
        <v>11060.001130000001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-9.1705347909306734E-2</v>
      </c>
      <c r="N314" s="1">
        <f t="shared" si="20"/>
        <v>9548543.338324029</v>
      </c>
      <c r="O314" s="1"/>
    </row>
    <row r="315" spans="1:15" x14ac:dyDescent="0.25">
      <c r="A315">
        <v>328</v>
      </c>
      <c r="B315">
        <v>158034.23790000001</v>
      </c>
      <c r="C315" s="1">
        <v>1450</v>
      </c>
      <c r="D315">
        <v>772951.0233</v>
      </c>
      <c r="E315">
        <v>2736.8592979999999</v>
      </c>
      <c r="F315">
        <v>1195380.6580000001</v>
      </c>
      <c r="G315">
        <v>2374.679952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11523735.4305255</v>
      </c>
      <c r="M315" s="1">
        <f t="shared" si="19"/>
        <v>7294925.8954251595</v>
      </c>
      <c r="N315" s="1">
        <f t="shared" si="20"/>
        <v>2961537.1001593014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>
        <v>5348.432014</v>
      </c>
      <c r="F316">
        <v>1095789.554</v>
      </c>
      <c r="G316">
        <v>2143.522011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27053655.904975954</v>
      </c>
      <c r="N316" s="1">
        <f t="shared" si="20"/>
        <v>5073072.9550381936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>
        <v>4461.4540180000004</v>
      </c>
      <c r="F317">
        <v>899794.30390000006</v>
      </c>
      <c r="G317">
        <v>1921.2088659999999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22614654.59976659</v>
      </c>
      <c r="N317" s="1">
        <f t="shared" si="20"/>
        <v>4556504.4426412228</v>
      </c>
      <c r="O317" s="1"/>
    </row>
    <row r="318" spans="1:15" x14ac:dyDescent="0.25">
      <c r="A318">
        <v>331</v>
      </c>
      <c r="B318">
        <v>294206.04080000002</v>
      </c>
      <c r="C318" s="1">
        <v>8700</v>
      </c>
      <c r="D318">
        <v>865429.82649999997</v>
      </c>
      <c r="E318">
        <v>3691.866955</v>
      </c>
      <c r="F318">
        <v>1287726.5160000001</v>
      </c>
      <c r="G318">
        <v>3504.9917540000001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144019247.31031501</v>
      </c>
      <c r="M318" s="1">
        <f t="shared" si="19"/>
        <v>20497007.640372336</v>
      </c>
      <c r="N318" s="1">
        <f t="shared" si="20"/>
        <v>9104898.3152031768</v>
      </c>
      <c r="O318" s="1"/>
    </row>
    <row r="319" spans="1:15" x14ac:dyDescent="0.25">
      <c r="A319">
        <v>332</v>
      </c>
      <c r="B319">
        <v>27103.115870000001</v>
      </c>
      <c r="C319" s="1">
        <v>-8.9999999999999996E-7</v>
      </c>
      <c r="D319">
        <v>287351.75040000002</v>
      </c>
      <c r="E319">
        <v>271.1044134</v>
      </c>
      <c r="F319">
        <v>874731.12159999995</v>
      </c>
      <c r="G319">
        <v>1734.654837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-1.6174121650859252E-2</v>
      </c>
      <c r="M319" s="1">
        <f t="shared" si="19"/>
        <v>1634022.0789859544</v>
      </c>
      <c r="N319" s="1">
        <f t="shared" si="20"/>
        <v>4891905.7646166179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2175.993414</v>
      </c>
      <c r="F320">
        <v>1175916.6910000001</v>
      </c>
      <c r="G320">
        <v>5456.745938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9843218.3986016177</v>
      </c>
      <c r="N320" s="1">
        <f t="shared" si="20"/>
        <v>11549334.414003985</v>
      </c>
      <c r="O320" s="1"/>
    </row>
    <row r="321" spans="1:15" x14ac:dyDescent="0.25">
      <c r="A321">
        <v>334</v>
      </c>
      <c r="B321">
        <v>1324.5644649999999</v>
      </c>
      <c r="C321" s="1">
        <v>0</v>
      </c>
      <c r="D321">
        <v>4382.1329610000003</v>
      </c>
      <c r="E321" s="1">
        <v>-1.1000099999999999E-7</v>
      </c>
      <c r="F321">
        <v>89766.008199999997</v>
      </c>
      <c r="G321" s="1">
        <v>1.40001E-6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-1.4342556376147121E-3</v>
      </c>
      <c r="N321" s="1">
        <f t="shared" si="20"/>
        <v>8.5409218545107173E-3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>
        <v>795.31996839999999</v>
      </c>
      <c r="F322">
        <v>102576.697</v>
      </c>
      <c r="G322">
        <v>46120.272599999997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12021077.593346374</v>
      </c>
      <c r="N322" s="1">
        <f t="shared" si="20"/>
        <v>326164775.82547325</v>
      </c>
      <c r="O322" s="1"/>
    </row>
    <row r="323" spans="1:15" x14ac:dyDescent="0.25">
      <c r="A323">
        <v>401</v>
      </c>
      <c r="B323">
        <v>11972.64092</v>
      </c>
      <c r="C323" s="1">
        <v>3920</v>
      </c>
      <c r="D323">
        <v>40494.64026</v>
      </c>
      <c r="E323">
        <v>22101.70866</v>
      </c>
      <c r="F323">
        <v>143050.13020000001</v>
      </c>
      <c r="G323">
        <v>288695.74540000001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149453243.41711402</v>
      </c>
      <c r="M323" s="1">
        <f t="shared" ref="M323:M386" si="23">$U$3*$K323*E323</f>
        <v>282610481.02699035</v>
      </c>
      <c r="N323" s="1">
        <f t="shared" ref="N323:N386" si="24">$U$4*$K323*G323</f>
        <v>1727215299.0960126</v>
      </c>
      <c r="O323" s="1"/>
    </row>
    <row r="324" spans="1:15" x14ac:dyDescent="0.25">
      <c r="A324">
        <v>402</v>
      </c>
      <c r="B324">
        <v>12743.618469999999</v>
      </c>
      <c r="C324" s="1">
        <v>2630</v>
      </c>
      <c r="D324">
        <v>39094.883099999999</v>
      </c>
      <c r="E324">
        <v>23395.969519999999</v>
      </c>
      <c r="F324">
        <v>152060.34719999999</v>
      </c>
      <c r="G324">
        <v>289235.99040000001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68608624.400531814</v>
      </c>
      <c r="M324" s="1">
        <f t="shared" si="23"/>
        <v>204694958.87212959</v>
      </c>
      <c r="N324" s="1">
        <f t="shared" si="24"/>
        <v>1184028376.5451193</v>
      </c>
      <c r="O324" s="1"/>
    </row>
    <row r="325" spans="1:15" x14ac:dyDescent="0.25">
      <c r="A325">
        <v>405</v>
      </c>
      <c r="B325">
        <v>14869.957189999999</v>
      </c>
      <c r="C325" s="1">
        <v>14400</v>
      </c>
      <c r="D325">
        <v>85669.991590000005</v>
      </c>
      <c r="E325">
        <v>195963.08300000001</v>
      </c>
      <c r="F325">
        <v>567499.1507</v>
      </c>
      <c r="G325">
        <v>210331.9926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306657644.05972803</v>
      </c>
      <c r="M325" s="1">
        <f t="shared" si="23"/>
        <v>1399615370.0310347</v>
      </c>
      <c r="N325" s="1">
        <f t="shared" si="24"/>
        <v>702883670.8069042</v>
      </c>
      <c r="O325" s="1"/>
    </row>
    <row r="326" spans="1:15" x14ac:dyDescent="0.25">
      <c r="A326">
        <v>406</v>
      </c>
      <c r="B326">
        <v>18489.896560000001</v>
      </c>
      <c r="C326" s="1">
        <v>500</v>
      </c>
      <c r="D326">
        <v>72883.659660000005</v>
      </c>
      <c r="E326">
        <v>29036.995749999998</v>
      </c>
      <c r="F326">
        <v>383648.92290000001</v>
      </c>
      <c r="G326">
        <v>210643.18429999999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6662498.1489462499</v>
      </c>
      <c r="M326" s="1">
        <f t="shared" si="23"/>
        <v>129766297.95354785</v>
      </c>
      <c r="N326" s="1">
        <f t="shared" si="24"/>
        <v>440454775.99896359</v>
      </c>
      <c r="O326" s="1"/>
    </row>
    <row r="327" spans="1:15" x14ac:dyDescent="0.25">
      <c r="A327">
        <v>407</v>
      </c>
      <c r="B327">
        <v>15947.499750000001</v>
      </c>
      <c r="C327" s="1">
        <v>14300</v>
      </c>
      <c r="D327">
        <v>86269.520629999999</v>
      </c>
      <c r="E327">
        <v>197129.19349999999</v>
      </c>
      <c r="F327">
        <v>578806.35049999994</v>
      </c>
      <c r="G327">
        <v>198841.50829999999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296302375.46119928</v>
      </c>
      <c r="M327" s="1">
        <f t="shared" si="23"/>
        <v>1369913602.0314672</v>
      </c>
      <c r="N327" s="1">
        <f t="shared" si="24"/>
        <v>646536368.74200451</v>
      </c>
      <c r="O327" s="1"/>
    </row>
    <row r="328" spans="1:15" x14ac:dyDescent="0.25">
      <c r="A328">
        <v>408</v>
      </c>
      <c r="B328">
        <v>30654.992839999999</v>
      </c>
      <c r="C328" s="1">
        <v>13400</v>
      </c>
      <c r="D328">
        <v>129200.4078</v>
      </c>
      <c r="E328">
        <v>162300.86929999999</v>
      </c>
      <c r="F328">
        <v>632384.22030000004</v>
      </c>
      <c r="G328">
        <v>148553.80989999999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749817186.0903101</v>
      </c>
      <c r="M328" s="1">
        <f t="shared" si="23"/>
        <v>3045892523.9771647</v>
      </c>
      <c r="N328" s="1">
        <f t="shared" si="24"/>
        <v>1304431271.1441689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>
        <v>7431.9941509999999</v>
      </c>
      <c r="F329">
        <v>1004835.983</v>
      </c>
      <c r="G329">
        <v>695.59487720000004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36831700.923742183</v>
      </c>
      <c r="N329" s="1">
        <f t="shared" si="24"/>
        <v>1612933.5267875216</v>
      </c>
      <c r="O329" s="1"/>
    </row>
    <row r="330" spans="1:15" x14ac:dyDescent="0.25">
      <c r="A330">
        <v>410</v>
      </c>
      <c r="B330">
        <v>109104.80620000001</v>
      </c>
      <c r="C330" s="1">
        <v>16100</v>
      </c>
      <c r="D330">
        <v>742590.87150000001</v>
      </c>
      <c r="E330">
        <v>8902.5945109999993</v>
      </c>
      <c r="F330">
        <v>1110394.05</v>
      </c>
      <c r="G330">
        <v>1074.80159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159979498.77282101</v>
      </c>
      <c r="M330" s="1">
        <f t="shared" si="23"/>
        <v>29668677.349942047</v>
      </c>
      <c r="N330" s="1">
        <f t="shared" si="24"/>
        <v>1675921.1088523623</v>
      </c>
      <c r="O330" s="1"/>
    </row>
    <row r="331" spans="1:15" x14ac:dyDescent="0.25">
      <c r="A331">
        <v>411</v>
      </c>
      <c r="B331">
        <v>421255.3222</v>
      </c>
      <c r="C331" s="1">
        <v>29400</v>
      </c>
      <c r="D331">
        <v>901882.04070000001</v>
      </c>
      <c r="E331">
        <v>2618.0811960000001</v>
      </c>
      <c r="F331">
        <v>1332042.9509999999</v>
      </c>
      <c r="G331">
        <v>194.2063201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285278329.47827858</v>
      </c>
      <c r="M331" s="1">
        <f t="shared" si="23"/>
        <v>8520159.0239285938</v>
      </c>
      <c r="N331" s="1">
        <f t="shared" si="24"/>
        <v>295713.82346256863</v>
      </c>
      <c r="O331" s="1"/>
    </row>
    <row r="332" spans="1:15" x14ac:dyDescent="0.25">
      <c r="A332">
        <v>412</v>
      </c>
      <c r="B332">
        <v>63091.424509999997</v>
      </c>
      <c r="C332" s="1">
        <v>41200</v>
      </c>
      <c r="D332">
        <v>445178.91830000002</v>
      </c>
      <c r="E332">
        <v>194622.49160000001</v>
      </c>
      <c r="F332">
        <v>903907.15209999995</v>
      </c>
      <c r="G332">
        <v>105406.4786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617230018.192307</v>
      </c>
      <c r="M332" s="1">
        <f t="shared" si="23"/>
        <v>977880955.89007568</v>
      </c>
      <c r="N332" s="1">
        <f t="shared" si="24"/>
        <v>247801506.93779808</v>
      </c>
      <c r="O332" s="1"/>
    </row>
    <row r="333" spans="1:15" x14ac:dyDescent="0.25">
      <c r="A333">
        <v>413</v>
      </c>
      <c r="B333">
        <v>24383.035260000001</v>
      </c>
      <c r="C333" s="1">
        <v>2430</v>
      </c>
      <c r="D333">
        <v>206215.35740000001</v>
      </c>
      <c r="E333">
        <v>154648.51500000001</v>
      </c>
      <c r="F333">
        <v>767494.17189999996</v>
      </c>
      <c r="G333">
        <v>66298.615779999993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30259064.880032629</v>
      </c>
      <c r="M333" s="1">
        <f t="shared" si="23"/>
        <v>645859601.06292009</v>
      </c>
      <c r="N333" s="1">
        <f t="shared" si="24"/>
        <v>129550921.09339933</v>
      </c>
      <c r="O333" s="1"/>
    </row>
    <row r="334" spans="1:15" x14ac:dyDescent="0.25">
      <c r="A334">
        <v>414</v>
      </c>
      <c r="B334">
        <v>63715.914400000001</v>
      </c>
      <c r="C334" s="1">
        <v>21300</v>
      </c>
      <c r="D334">
        <v>557503.99179999996</v>
      </c>
      <c r="E334">
        <v>34681.735930000003</v>
      </c>
      <c r="F334">
        <v>949689.50730000006</v>
      </c>
      <c r="G334">
        <v>38180.427000000003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403693675.28380805</v>
      </c>
      <c r="M334" s="1">
        <f t="shared" si="23"/>
        <v>220453148.6118682</v>
      </c>
      <c r="N334" s="1">
        <f t="shared" si="24"/>
        <v>113553346.6054593</v>
      </c>
      <c r="O334" s="1"/>
    </row>
    <row r="335" spans="1:15" x14ac:dyDescent="0.25">
      <c r="A335">
        <v>415</v>
      </c>
      <c r="B335">
        <v>18086.19138</v>
      </c>
      <c r="C335" s="1">
        <v>7420</v>
      </c>
      <c r="D335">
        <v>154224.30239999999</v>
      </c>
      <c r="E335">
        <v>128292.584</v>
      </c>
      <c r="F335">
        <v>714032.27049999998</v>
      </c>
      <c r="G335">
        <v>81374.992970000007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78955987.058894411</v>
      </c>
      <c r="M335" s="1">
        <f t="shared" si="23"/>
        <v>457852775.70977288</v>
      </c>
      <c r="N335" s="1">
        <f t="shared" si="24"/>
        <v>135881064.68368408</v>
      </c>
      <c r="O335" s="1"/>
    </row>
    <row r="336" spans="1:15" x14ac:dyDescent="0.25">
      <c r="A336">
        <v>416</v>
      </c>
      <c r="B336">
        <v>37056.131050000004</v>
      </c>
      <c r="C336" s="1">
        <v>6700</v>
      </c>
      <c r="D336">
        <v>178038.61970000001</v>
      </c>
      <c r="E336">
        <v>286467.67859999998</v>
      </c>
      <c r="F336">
        <v>757062.46869999997</v>
      </c>
      <c r="G336">
        <v>140250.86199999999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101517323.080056</v>
      </c>
      <c r="M336" s="1">
        <f t="shared" si="23"/>
        <v>1455741021.7987843</v>
      </c>
      <c r="N336" s="1">
        <f t="shared" si="24"/>
        <v>333470721.27000129</v>
      </c>
      <c r="O336" s="1"/>
    </row>
    <row r="337" spans="1:15" x14ac:dyDescent="0.25">
      <c r="A337">
        <v>417</v>
      </c>
      <c r="B337">
        <v>10342.41337</v>
      </c>
      <c r="C337" s="1">
        <v>2640</v>
      </c>
      <c r="D337">
        <v>131403.2599</v>
      </c>
      <c r="E337">
        <v>65026.180710000001</v>
      </c>
      <c r="F337">
        <v>662995.1605</v>
      </c>
      <c r="G337">
        <v>58432.846129999998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229553897.74746001</v>
      </c>
      <c r="M337" s="1">
        <f t="shared" si="23"/>
        <v>1896322194.5217021</v>
      </c>
      <c r="N337" s="1">
        <f t="shared" si="24"/>
        <v>797305206.1381973</v>
      </c>
      <c r="O337" s="1"/>
    </row>
    <row r="338" spans="1:15" x14ac:dyDescent="0.25">
      <c r="A338">
        <v>418</v>
      </c>
      <c r="B338">
        <v>89858.504159999997</v>
      </c>
      <c r="C338" s="1">
        <v>30700</v>
      </c>
      <c r="D338">
        <v>666642.77650000004</v>
      </c>
      <c r="E338">
        <v>28176.333439999999</v>
      </c>
      <c r="F338">
        <v>1058916.5</v>
      </c>
      <c r="G338">
        <v>39305.37167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199175216.44661552</v>
      </c>
      <c r="M338" s="1">
        <f t="shared" si="23"/>
        <v>61309043.043112718</v>
      </c>
      <c r="N338" s="1">
        <f t="shared" si="24"/>
        <v>40016181.548908331</v>
      </c>
      <c r="O338" s="1"/>
    </row>
    <row r="339" spans="1:15" x14ac:dyDescent="0.25">
      <c r="A339">
        <v>420</v>
      </c>
      <c r="B339">
        <v>44315.055289999997</v>
      </c>
      <c r="C339" s="1">
        <v>8930</v>
      </c>
      <c r="D339">
        <v>474478.38459999999</v>
      </c>
      <c r="E339">
        <v>59810.97797</v>
      </c>
      <c r="F339">
        <v>844819.72320000001</v>
      </c>
      <c r="G339">
        <v>26408.73228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141362317.93940425</v>
      </c>
      <c r="M339" s="1">
        <f t="shared" si="23"/>
        <v>317545702.39046979</v>
      </c>
      <c r="N339" s="1">
        <f t="shared" si="24"/>
        <v>65601922.665532053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10510.98328</v>
      </c>
      <c r="F340">
        <v>585551.13190000004</v>
      </c>
      <c r="G340">
        <v>47490.427069999998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107694588.48101556</v>
      </c>
      <c r="N340" s="1">
        <f t="shared" si="24"/>
        <v>227667107.0878191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5383.4373919999998</v>
      </c>
      <c r="F341">
        <v>549963.11750000005</v>
      </c>
      <c r="G341">
        <v>44804.708590000002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35483941.391485788</v>
      </c>
      <c r="N341" s="1">
        <f t="shared" si="24"/>
        <v>138178197.06115165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4546.1758019999997</v>
      </c>
      <c r="F342">
        <v>563220.57660000003</v>
      </c>
      <c r="G342">
        <v>44375.144630000003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5557441.6834857753</v>
      </c>
      <c r="N342" s="1">
        <f t="shared" si="24"/>
        <v>25381199.798978806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3316.2666730000001</v>
      </c>
      <c r="F343">
        <v>522965.44500000001</v>
      </c>
      <c r="G343">
        <v>50289.23027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18507616.507793229</v>
      </c>
      <c r="N343" s="1">
        <f t="shared" si="24"/>
        <v>131316624.91715483</v>
      </c>
      <c r="O343" s="1"/>
    </row>
    <row r="344" spans="1:15" x14ac:dyDescent="0.25">
      <c r="A344">
        <v>425</v>
      </c>
      <c r="B344">
        <v>14279.8513</v>
      </c>
      <c r="C344" s="1">
        <v>301</v>
      </c>
      <c r="D344">
        <v>63420.363669999999</v>
      </c>
      <c r="E344">
        <v>1017.718034</v>
      </c>
      <c r="F344">
        <v>432077.54300000001</v>
      </c>
      <c r="G344">
        <v>32734.248820000001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2637204.3650199976</v>
      </c>
      <c r="M344" s="1">
        <f t="shared" si="23"/>
        <v>2990528.1690473435</v>
      </c>
      <c r="N344" s="1">
        <f t="shared" si="24"/>
        <v>45005592.61499095</v>
      </c>
      <c r="O344" s="1"/>
    </row>
    <row r="345" spans="1:15" x14ac:dyDescent="0.25">
      <c r="A345">
        <v>426</v>
      </c>
      <c r="B345">
        <v>15190.869699999999</v>
      </c>
      <c r="C345" s="1">
        <v>487</v>
      </c>
      <c r="D345">
        <v>108573.0958</v>
      </c>
      <c r="E345">
        <v>18392.936020000001</v>
      </c>
      <c r="F345">
        <v>626506.73400000005</v>
      </c>
      <c r="G345">
        <v>44330.340969999997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2975988.8793299925</v>
      </c>
      <c r="M345" s="1">
        <f t="shared" si="23"/>
        <v>37696110.332386911</v>
      </c>
      <c r="N345" s="1">
        <f t="shared" si="24"/>
        <v>42509914.319538549</v>
      </c>
      <c r="O345" s="1"/>
    </row>
    <row r="346" spans="1:15" x14ac:dyDescent="0.25">
      <c r="A346">
        <v>428</v>
      </c>
      <c r="B346">
        <v>9693.8143080000009</v>
      </c>
      <c r="C346" s="1">
        <v>3560</v>
      </c>
      <c r="D346">
        <v>35035.338309999999</v>
      </c>
      <c r="E346">
        <v>15208.580260000001</v>
      </c>
      <c r="F346">
        <v>118137.9721</v>
      </c>
      <c r="G346">
        <v>208866.25289999999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40189603.302999794</v>
      </c>
      <c r="M346" s="1">
        <f t="shared" si="23"/>
        <v>57583165.092639983</v>
      </c>
      <c r="N346" s="1">
        <f t="shared" si="24"/>
        <v>370014558.52997977</v>
      </c>
      <c r="O346" s="1"/>
    </row>
    <row r="347" spans="1:15" x14ac:dyDescent="0.25">
      <c r="A347">
        <v>429</v>
      </c>
      <c r="B347">
        <v>8396.6571010000007</v>
      </c>
      <c r="C347" s="1">
        <v>3240</v>
      </c>
      <c r="D347">
        <v>35565.386380000004</v>
      </c>
      <c r="E347" s="1">
        <v>1.4699999999999999E-6</v>
      </c>
      <c r="F347">
        <v>108000.21799999999</v>
      </c>
      <c r="G347">
        <v>15048.30258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134054422.16236199</v>
      </c>
      <c r="M347" s="1">
        <f t="shared" si="23"/>
        <v>2.0398423611657418E-2</v>
      </c>
      <c r="N347" s="1">
        <f t="shared" si="24"/>
        <v>97703577.256600514</v>
      </c>
      <c r="O347" s="1"/>
    </row>
    <row r="348" spans="1:15" x14ac:dyDescent="0.25">
      <c r="A348">
        <v>430</v>
      </c>
      <c r="B348">
        <v>4668.5314689999996</v>
      </c>
      <c r="C348" s="1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 s="1">
        <v>6180</v>
      </c>
      <c r="D349">
        <v>742311.3885</v>
      </c>
      <c r="E349">
        <v>7362.7242740000002</v>
      </c>
      <c r="F349">
        <v>1153027.202</v>
      </c>
      <c r="G349">
        <v>1181.2343189999999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663030554.28688645</v>
      </c>
      <c r="M349" s="1">
        <f t="shared" si="23"/>
        <v>264927316.92966843</v>
      </c>
      <c r="N349" s="1">
        <f t="shared" si="24"/>
        <v>19886938.86419338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>
        <v>6153.3198679999996</v>
      </c>
      <c r="F350">
        <v>959593.20319999999</v>
      </c>
      <c r="G350">
        <v>1822.2183930000001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148759677.12657061</v>
      </c>
      <c r="N350" s="1">
        <f t="shared" si="24"/>
        <v>20611986.038179245</v>
      </c>
      <c r="O350" s="1"/>
    </row>
    <row r="351" spans="1:15" x14ac:dyDescent="0.25">
      <c r="A351">
        <v>435</v>
      </c>
      <c r="B351">
        <v>3402.1453019999999</v>
      </c>
      <c r="C351" s="1">
        <v>0</v>
      </c>
      <c r="D351">
        <v>9499.0545469999997</v>
      </c>
      <c r="E351">
        <v>3808.7489249999999</v>
      </c>
      <c r="F351">
        <v>51075.495110000003</v>
      </c>
      <c r="G351">
        <v>10328.91584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140151804.30872658</v>
      </c>
      <c r="N351" s="1">
        <f t="shared" si="24"/>
        <v>177833987.06063896</v>
      </c>
      <c r="O351" s="1"/>
    </row>
    <row r="352" spans="1:15" x14ac:dyDescent="0.25">
      <c r="A352">
        <v>500</v>
      </c>
      <c r="B352">
        <v>64866.161979999997</v>
      </c>
      <c r="C352" s="1">
        <v>27600</v>
      </c>
      <c r="D352">
        <v>542329.84180000005</v>
      </c>
      <c r="E352">
        <v>40376.106509999998</v>
      </c>
      <c r="F352">
        <v>889524.22100000002</v>
      </c>
      <c r="G352">
        <v>18453.250840000001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124079314.36520101</v>
      </c>
      <c r="M352" s="1">
        <f t="shared" si="23"/>
        <v>60877649.694781162</v>
      </c>
      <c r="N352" s="1">
        <f t="shared" si="24"/>
        <v>13018171.941343339</v>
      </c>
      <c r="O352" s="1"/>
    </row>
    <row r="353" spans="1:15" x14ac:dyDescent="0.25">
      <c r="A353">
        <v>501</v>
      </c>
      <c r="B353">
        <v>30413.220290000001</v>
      </c>
      <c r="C353" s="1">
        <v>3010</v>
      </c>
      <c r="D353">
        <v>443977.61609999998</v>
      </c>
      <c r="E353">
        <v>39480.897870000001</v>
      </c>
      <c r="F353">
        <v>802580.66070000001</v>
      </c>
      <c r="G353">
        <v>8395.446645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28119385.7183876</v>
      </c>
      <c r="M353" s="1">
        <f t="shared" si="23"/>
        <v>123699940.64187366</v>
      </c>
      <c r="N353" s="1">
        <f t="shared" si="24"/>
        <v>12307503.119789217</v>
      </c>
      <c r="O353" s="1"/>
    </row>
    <row r="354" spans="1:15" x14ac:dyDescent="0.25">
      <c r="A354">
        <v>502</v>
      </c>
      <c r="B354">
        <v>36334.551469999999</v>
      </c>
      <c r="C354" s="1">
        <v>2980</v>
      </c>
      <c r="D354">
        <v>503379.44270000001</v>
      </c>
      <c r="E354">
        <v>17220.067360000001</v>
      </c>
      <c r="F354">
        <v>824355.30610000005</v>
      </c>
      <c r="G354">
        <v>3661.9725349999999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27990694.87348875</v>
      </c>
      <c r="M354" s="1">
        <f t="shared" si="23"/>
        <v>54246959.192607589</v>
      </c>
      <c r="N354" s="1">
        <f t="shared" si="24"/>
        <v>5397582.8074097438</v>
      </c>
      <c r="O354" s="1"/>
    </row>
    <row r="355" spans="1:15" x14ac:dyDescent="0.25">
      <c r="A355">
        <v>503</v>
      </c>
      <c r="B355">
        <v>26050.398499999999</v>
      </c>
      <c r="C355" s="1">
        <v>6060</v>
      </c>
      <c r="D355">
        <v>309658.23700000002</v>
      </c>
      <c r="E355">
        <v>145396.02859999999</v>
      </c>
      <c r="F355">
        <v>691648.99060000002</v>
      </c>
      <c r="G355">
        <v>86284.196590000007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80819860.392817646</v>
      </c>
      <c r="M355" s="1">
        <f t="shared" si="23"/>
        <v>650341027.626459</v>
      </c>
      <c r="N355" s="1">
        <f t="shared" si="24"/>
        <v>180577462.73065341</v>
      </c>
      <c r="O355" s="1"/>
    </row>
    <row r="356" spans="1:15" x14ac:dyDescent="0.25">
      <c r="A356">
        <v>504</v>
      </c>
      <c r="B356">
        <v>25701.549470000002</v>
      </c>
      <c r="C356" s="1">
        <v>1570</v>
      </c>
      <c r="D356">
        <v>300424.92950000003</v>
      </c>
      <c r="E356">
        <v>60460.286370000002</v>
      </c>
      <c r="F356">
        <v>704952.58929999999</v>
      </c>
      <c r="G356">
        <v>18367.0183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32183144.382640552</v>
      </c>
      <c r="M356" s="1">
        <f t="shared" si="23"/>
        <v>415663756.38824886</v>
      </c>
      <c r="N356" s="1">
        <f t="shared" si="24"/>
        <v>59081878.47761403</v>
      </c>
      <c r="O356" s="1"/>
    </row>
    <row r="357" spans="1:15" x14ac:dyDescent="0.25">
      <c r="A357">
        <v>505</v>
      </c>
      <c r="B357">
        <v>31763.556059999999</v>
      </c>
      <c r="C357" s="1">
        <v>30300</v>
      </c>
      <c r="D357">
        <v>331986.72769999999</v>
      </c>
      <c r="E357">
        <v>203076.39490000001</v>
      </c>
      <c r="F357">
        <v>723507.41489999997</v>
      </c>
      <c r="G357">
        <v>159300.4454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724956777.04601777</v>
      </c>
      <c r="M357" s="1">
        <f t="shared" si="23"/>
        <v>1629566423.2292755</v>
      </c>
      <c r="N357" s="1">
        <f t="shared" si="24"/>
        <v>598099295.39864278</v>
      </c>
      <c r="O357" s="1"/>
    </row>
    <row r="358" spans="1:15" x14ac:dyDescent="0.25">
      <c r="A358">
        <v>508</v>
      </c>
      <c r="B358">
        <v>18431.461050000002</v>
      </c>
      <c r="C358" s="1">
        <v>5190</v>
      </c>
      <c r="D358">
        <v>176196.9308</v>
      </c>
      <c r="E358">
        <v>45419.668680000002</v>
      </c>
      <c r="F358">
        <v>631804.61739999999</v>
      </c>
      <c r="G358">
        <v>8862.7037760000003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80063074.241544232</v>
      </c>
      <c r="M358" s="1">
        <f t="shared" si="23"/>
        <v>234991418.58917844</v>
      </c>
      <c r="N358" s="1">
        <f t="shared" si="24"/>
        <v>21454478.03784427</v>
      </c>
      <c r="O358" s="1"/>
    </row>
    <row r="359" spans="1:15" x14ac:dyDescent="0.25">
      <c r="A359">
        <v>509</v>
      </c>
      <c r="B359">
        <v>18845.249370000001</v>
      </c>
      <c r="C359" s="1">
        <v>665</v>
      </c>
      <c r="D359">
        <v>93961.703670000003</v>
      </c>
      <c r="E359">
        <v>76827.987309999997</v>
      </c>
      <c r="F359">
        <v>586817.66379999998</v>
      </c>
      <c r="G359">
        <v>25476.893479999999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9660664.7713871766</v>
      </c>
      <c r="M359" s="1">
        <f t="shared" si="23"/>
        <v>374324247.17358226</v>
      </c>
      <c r="N359" s="1">
        <f t="shared" si="24"/>
        <v>58078936.234390281</v>
      </c>
      <c r="O359" s="1"/>
    </row>
    <row r="360" spans="1:15" x14ac:dyDescent="0.25">
      <c r="A360">
        <v>510</v>
      </c>
      <c r="B360">
        <v>18570.2611</v>
      </c>
      <c r="C360" s="1">
        <v>9660</v>
      </c>
      <c r="D360">
        <v>92394.706980000003</v>
      </c>
      <c r="E360">
        <v>265492.04509999999</v>
      </c>
      <c r="F360">
        <v>588645.64549999998</v>
      </c>
      <c r="G360">
        <v>113886.83409999999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141230810.0849919</v>
      </c>
      <c r="M360" s="1">
        <f t="shared" si="23"/>
        <v>1301808112.5863254</v>
      </c>
      <c r="N360" s="1">
        <f t="shared" si="24"/>
        <v>261283905.6333372</v>
      </c>
      <c r="O360" s="1"/>
    </row>
    <row r="361" spans="1:15" x14ac:dyDescent="0.25">
      <c r="A361">
        <v>511</v>
      </c>
      <c r="B361">
        <v>27598.16689</v>
      </c>
      <c r="C361" s="1">
        <v>10800</v>
      </c>
      <c r="D361">
        <v>431173.48460000003</v>
      </c>
      <c r="E361">
        <v>29507.775269999998</v>
      </c>
      <c r="F361">
        <v>788134.65850000002</v>
      </c>
      <c r="G361">
        <v>6710.1761740000002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129573165.07570502</v>
      </c>
      <c r="M361" s="1">
        <f t="shared" si="23"/>
        <v>118732856.44796018</v>
      </c>
      <c r="N361" s="1">
        <f t="shared" si="24"/>
        <v>12633161.543908548</v>
      </c>
      <c r="O361" s="1"/>
    </row>
    <row r="362" spans="1:15" x14ac:dyDescent="0.25">
      <c r="A362">
        <v>512</v>
      </c>
      <c r="B362">
        <v>24975.755130000001</v>
      </c>
      <c r="C362" s="1">
        <v>13000</v>
      </c>
      <c r="D362">
        <v>316544.6471</v>
      </c>
      <c r="E362">
        <v>108140.14</v>
      </c>
      <c r="F362">
        <v>706326.17009999999</v>
      </c>
      <c r="G362">
        <v>36023.056149999997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67113640.238287508</v>
      </c>
      <c r="M362" s="1">
        <f t="shared" si="23"/>
        <v>187239515.07439211</v>
      </c>
      <c r="N362" s="1">
        <f t="shared" si="24"/>
        <v>29183327.802951768</v>
      </c>
      <c r="O362" s="1"/>
    </row>
    <row r="363" spans="1:15" x14ac:dyDescent="0.25">
      <c r="A363">
        <v>513</v>
      </c>
      <c r="B363">
        <v>22105.32417</v>
      </c>
      <c r="C363" s="1">
        <v>9060</v>
      </c>
      <c r="D363">
        <v>172899.4762</v>
      </c>
      <c r="E363">
        <v>223895.63870000001</v>
      </c>
      <c r="F363">
        <v>629597.8885</v>
      </c>
      <c r="G363">
        <v>118389.0817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112427638.74673499</v>
      </c>
      <c r="M363" s="1">
        <f t="shared" si="23"/>
        <v>931823508.34977353</v>
      </c>
      <c r="N363" s="1">
        <f t="shared" si="24"/>
        <v>230538444.67827818</v>
      </c>
      <c r="O363" s="1"/>
    </row>
    <row r="364" spans="1:15" x14ac:dyDescent="0.25">
      <c r="A364">
        <v>514</v>
      </c>
      <c r="B364">
        <v>23988.756819999999</v>
      </c>
      <c r="C364" s="1">
        <v>6890</v>
      </c>
      <c r="D364">
        <v>281840.24690000003</v>
      </c>
      <c r="E364">
        <v>148271.12349999999</v>
      </c>
      <c r="F364">
        <v>673586.57330000005</v>
      </c>
      <c r="G364">
        <v>88281.152860000002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39136283.288414657</v>
      </c>
      <c r="M364" s="1">
        <f t="shared" si="23"/>
        <v>282462027.69402212</v>
      </c>
      <c r="N364" s="1">
        <f t="shared" si="24"/>
        <v>78689206.910883859</v>
      </c>
      <c r="O364" s="1"/>
    </row>
    <row r="365" spans="1:15" x14ac:dyDescent="0.25">
      <c r="A365">
        <v>517</v>
      </c>
      <c r="B365">
        <v>505109.76089999999</v>
      </c>
      <c r="C365" s="1">
        <v>4540</v>
      </c>
      <c r="D365">
        <v>844767.02650000004</v>
      </c>
      <c r="E365">
        <v>1403.6708269999999</v>
      </c>
      <c r="F365">
        <v>1242305.476</v>
      </c>
      <c r="G365">
        <v>1525.14282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10465857.740661375</v>
      </c>
      <c r="M365" s="1">
        <f t="shared" si="23"/>
        <v>1085243.9794786423</v>
      </c>
      <c r="N365" s="1">
        <f t="shared" si="24"/>
        <v>551716.92118188215</v>
      </c>
      <c r="O365" s="1"/>
    </row>
    <row r="366" spans="1:15" x14ac:dyDescent="0.25">
      <c r="A366">
        <v>518</v>
      </c>
      <c r="B366">
        <v>305243.80800000002</v>
      </c>
      <c r="C366" s="1">
        <v>51200</v>
      </c>
      <c r="D366">
        <v>713471.58929999999</v>
      </c>
      <c r="E366">
        <v>9011.8252549999997</v>
      </c>
      <c r="F366">
        <v>1087121.534</v>
      </c>
      <c r="G366">
        <v>4854.969975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219094345.51513606</v>
      </c>
      <c r="M366" s="1">
        <f t="shared" si="23"/>
        <v>12933530.962702457</v>
      </c>
      <c r="N366" s="1">
        <f t="shared" si="24"/>
        <v>3260127.3994940706</v>
      </c>
      <c r="O366" s="1"/>
    </row>
    <row r="367" spans="1:15" x14ac:dyDescent="0.25">
      <c r="A367">
        <v>519</v>
      </c>
      <c r="B367">
        <v>168017.5343</v>
      </c>
      <c r="C367" s="1">
        <v>37100</v>
      </c>
      <c r="D367">
        <v>633013.34120000002</v>
      </c>
      <c r="E367">
        <v>3966.474706</v>
      </c>
      <c r="F367">
        <v>984017.64969999995</v>
      </c>
      <c r="G367">
        <v>3685.1043399999999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214838224.08969373</v>
      </c>
      <c r="M367" s="1">
        <f t="shared" si="23"/>
        <v>7703453.5856501414</v>
      </c>
      <c r="N367" s="1">
        <f t="shared" si="24"/>
        <v>3348684.6254639826</v>
      </c>
      <c r="O367" s="1"/>
    </row>
    <row r="368" spans="1:15" x14ac:dyDescent="0.25">
      <c r="A368">
        <v>520</v>
      </c>
      <c r="B368">
        <v>215741.15539999999</v>
      </c>
      <c r="C368" s="1">
        <v>84900</v>
      </c>
      <c r="D368">
        <v>667620.09450000001</v>
      </c>
      <c r="E368">
        <v>2294.878737</v>
      </c>
      <c r="F368">
        <v>1033573.341</v>
      </c>
      <c r="G368">
        <v>2648.3601800000001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745383069.16825056</v>
      </c>
      <c r="M368" s="1">
        <f t="shared" si="23"/>
        <v>6757323.5278640212</v>
      </c>
      <c r="N368" s="1">
        <f t="shared" si="24"/>
        <v>3648679.3440536531</v>
      </c>
      <c r="O368" s="1"/>
    </row>
    <row r="369" spans="1:15" x14ac:dyDescent="0.25">
      <c r="A369">
        <v>521</v>
      </c>
      <c r="B369">
        <v>110364.02650000001</v>
      </c>
      <c r="C369" s="1">
        <v>23800</v>
      </c>
      <c r="D369">
        <v>603252.91819999996</v>
      </c>
      <c r="E369">
        <v>4317.9849400000003</v>
      </c>
      <c r="F369">
        <v>958816.42550000001</v>
      </c>
      <c r="G369">
        <v>379.09957759999998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241165202.10883102</v>
      </c>
      <c r="M369" s="1">
        <f t="shared" si="23"/>
        <v>14674453.842614191</v>
      </c>
      <c r="N369" s="1">
        <f t="shared" si="24"/>
        <v>602806.32693149324</v>
      </c>
      <c r="O369" s="1"/>
    </row>
    <row r="370" spans="1:15" x14ac:dyDescent="0.25">
      <c r="A370">
        <v>522</v>
      </c>
      <c r="B370">
        <v>47779.049429999999</v>
      </c>
      <c r="C370" s="1">
        <v>24600</v>
      </c>
      <c r="D370">
        <v>529601.34730000002</v>
      </c>
      <c r="E370">
        <v>26445.783670000001</v>
      </c>
      <c r="F370">
        <v>844952.8101</v>
      </c>
      <c r="G370">
        <v>60112.500370000002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223134763.56104699</v>
      </c>
      <c r="M370" s="1">
        <f t="shared" si="23"/>
        <v>80451048.382330611</v>
      </c>
      <c r="N370" s="1">
        <f t="shared" si="24"/>
        <v>85562553.647690848</v>
      </c>
      <c r="O370" s="1"/>
    </row>
    <row r="371" spans="1:15" x14ac:dyDescent="0.25">
      <c r="A371">
        <v>523</v>
      </c>
      <c r="B371">
        <v>56643.795940000004</v>
      </c>
      <c r="C371" s="1">
        <v>2400</v>
      </c>
      <c r="D371">
        <v>552725.96959999995</v>
      </c>
      <c r="E371">
        <v>9026.8185790000007</v>
      </c>
      <c r="F371">
        <v>906475.28469999996</v>
      </c>
      <c r="G371">
        <v>8691.1356689999993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66509872.397357993</v>
      </c>
      <c r="M371" s="1">
        <f t="shared" si="23"/>
        <v>83898215.578114823</v>
      </c>
      <c r="N371" s="1">
        <f t="shared" si="24"/>
        <v>37795336.591024548</v>
      </c>
      <c r="O371" s="1"/>
    </row>
    <row r="372" spans="1:15" x14ac:dyDescent="0.25">
      <c r="A372">
        <v>524</v>
      </c>
      <c r="B372">
        <v>34616.190430000002</v>
      </c>
      <c r="C372" s="1">
        <v>20800</v>
      </c>
      <c r="D372">
        <v>361121.76559999998</v>
      </c>
      <c r="E372">
        <v>166380.51070000001</v>
      </c>
      <c r="F372">
        <v>739122.36349999998</v>
      </c>
      <c r="G372">
        <v>129440.69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209633794.25019199</v>
      </c>
      <c r="M372" s="1">
        <f t="shared" si="23"/>
        <v>562397718.11516249</v>
      </c>
      <c r="N372" s="1">
        <f t="shared" si="24"/>
        <v>204717794.63435018</v>
      </c>
      <c r="O372" s="1"/>
    </row>
    <row r="373" spans="1:15" x14ac:dyDescent="0.25">
      <c r="A373">
        <v>525</v>
      </c>
      <c r="B373">
        <v>396580.56969999999</v>
      </c>
      <c r="C373" s="1">
        <v>50100</v>
      </c>
      <c r="D373">
        <v>766297.9094</v>
      </c>
      <c r="E373">
        <v>7749.6705179999999</v>
      </c>
      <c r="F373">
        <v>1160834.8370000001</v>
      </c>
      <c r="G373">
        <v>13776.0015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186307263.15799651</v>
      </c>
      <c r="M373" s="1">
        <f t="shared" si="23"/>
        <v>9665368.9298168253</v>
      </c>
      <c r="N373" s="1">
        <f t="shared" si="24"/>
        <v>8039000.5203745244</v>
      </c>
      <c r="O373" s="1"/>
    </row>
    <row r="374" spans="1:15" x14ac:dyDescent="0.25">
      <c r="A374">
        <v>527</v>
      </c>
      <c r="B374">
        <v>16785.715209999998</v>
      </c>
      <c r="C374" s="1">
        <v>5220</v>
      </c>
      <c r="D374">
        <v>291962.02480000001</v>
      </c>
      <c r="E374">
        <v>115784.1764</v>
      </c>
      <c r="F374">
        <v>755623.93110000005</v>
      </c>
      <c r="G374">
        <v>40809.657650000001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335070293.04368103</v>
      </c>
      <c r="M374" s="1">
        <f t="shared" si="23"/>
        <v>2492629727.593545</v>
      </c>
      <c r="N374" s="1">
        <f t="shared" si="24"/>
        <v>411069437.86483222</v>
      </c>
      <c r="O374" s="1"/>
    </row>
    <row r="375" spans="1:15" x14ac:dyDescent="0.25">
      <c r="A375">
        <v>530</v>
      </c>
      <c r="B375">
        <v>14753.635469999999</v>
      </c>
      <c r="C375" s="1">
        <v>2270</v>
      </c>
      <c r="D375">
        <v>485692.22110000002</v>
      </c>
      <c r="E375">
        <v>10792.32069</v>
      </c>
      <c r="F375">
        <v>832003.87340000004</v>
      </c>
      <c r="G375">
        <v>6812.929204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17780123.383551102</v>
      </c>
      <c r="M375" s="1">
        <f t="shared" si="23"/>
        <v>28350902.727851707</v>
      </c>
      <c r="N375" s="1">
        <f t="shared" si="24"/>
        <v>8373935.3634380866</v>
      </c>
      <c r="O375" s="1"/>
    </row>
    <row r="376" spans="1:15" x14ac:dyDescent="0.25">
      <c r="A376">
        <v>531</v>
      </c>
      <c r="B376">
        <v>120796.7447</v>
      </c>
      <c r="C376" s="1">
        <v>89600</v>
      </c>
      <c r="D376">
        <v>600001.22199999995</v>
      </c>
      <c r="E376">
        <v>6031.4995609999996</v>
      </c>
      <c r="F376">
        <v>966621.36049999995</v>
      </c>
      <c r="G376">
        <v>20062.96168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730188132.52694392</v>
      </c>
      <c r="M376" s="1">
        <f t="shared" si="23"/>
        <v>16485237.111449873</v>
      </c>
      <c r="N376" s="1">
        <f t="shared" si="24"/>
        <v>25657162.178091373</v>
      </c>
      <c r="O376" s="1"/>
    </row>
    <row r="377" spans="1:15" x14ac:dyDescent="0.25">
      <c r="A377">
        <v>532</v>
      </c>
      <c r="B377">
        <v>33297.340640000002</v>
      </c>
      <c r="C377" s="1">
        <v>210000</v>
      </c>
      <c r="D377">
        <v>505881.69329999998</v>
      </c>
      <c r="E377">
        <v>94956.082500000004</v>
      </c>
      <c r="F377">
        <v>855764.68830000004</v>
      </c>
      <c r="G377">
        <v>107634.88009999999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4165784162.1805501</v>
      </c>
      <c r="M377" s="1">
        <f t="shared" si="23"/>
        <v>631747301.96852529</v>
      </c>
      <c r="N377" s="1">
        <f t="shared" si="24"/>
        <v>335055935.82062864</v>
      </c>
      <c r="O377" s="1"/>
    </row>
    <row r="378" spans="1:15" x14ac:dyDescent="0.25">
      <c r="A378">
        <v>533</v>
      </c>
      <c r="B378">
        <v>18253.937809999999</v>
      </c>
      <c r="C378" s="1">
        <v>45800</v>
      </c>
      <c r="D378">
        <v>409675.53649999999</v>
      </c>
      <c r="E378">
        <v>120345.7663</v>
      </c>
      <c r="F378">
        <v>767721.87670000002</v>
      </c>
      <c r="G378">
        <v>71735.055900000007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550393310.29944956</v>
      </c>
      <c r="M378" s="1">
        <f t="shared" si="23"/>
        <v>485044542.26990402</v>
      </c>
      <c r="N378" s="1">
        <f t="shared" si="24"/>
        <v>135277610.94707224</v>
      </c>
      <c r="O378" s="1"/>
    </row>
    <row r="379" spans="1:15" x14ac:dyDescent="0.25">
      <c r="A379">
        <v>534</v>
      </c>
      <c r="B379">
        <v>343835.80829999998</v>
      </c>
      <c r="C379" s="1">
        <v>90600</v>
      </c>
      <c r="D379">
        <v>731962.8689</v>
      </c>
      <c r="E379">
        <v>20251.453079999999</v>
      </c>
      <c r="F379">
        <v>1141921.3770000001</v>
      </c>
      <c r="G379">
        <v>22632.003189999999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721739360.44618201</v>
      </c>
      <c r="M379" s="1">
        <f t="shared" si="23"/>
        <v>54106758.925219618</v>
      </c>
      <c r="N379" s="1">
        <f t="shared" si="24"/>
        <v>28291892.779972631</v>
      </c>
      <c r="O379" s="1"/>
    </row>
    <row r="380" spans="1:15" x14ac:dyDescent="0.25">
      <c r="A380">
        <v>535</v>
      </c>
      <c r="B380">
        <v>94243.148839999994</v>
      </c>
      <c r="C380" s="1">
        <v>159000</v>
      </c>
      <c r="D380">
        <v>590101.62470000004</v>
      </c>
      <c r="E380">
        <v>19784.949860000001</v>
      </c>
      <c r="F380">
        <v>950995.43259999994</v>
      </c>
      <c r="G380">
        <v>37304.55659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756148400.8032825</v>
      </c>
      <c r="M380" s="1">
        <f t="shared" si="23"/>
        <v>31556440.124445517</v>
      </c>
      <c r="N380" s="1">
        <f t="shared" si="24"/>
        <v>27839319.230157848</v>
      </c>
      <c r="O380" s="1"/>
    </row>
    <row r="381" spans="1:15" x14ac:dyDescent="0.25">
      <c r="A381">
        <v>536</v>
      </c>
      <c r="B381">
        <v>200645.52729999999</v>
      </c>
      <c r="C381" s="1">
        <v>167000</v>
      </c>
      <c r="D381">
        <v>639738.95779999997</v>
      </c>
      <c r="E381">
        <v>48575.325729999997</v>
      </c>
      <c r="F381">
        <v>1024634.566</v>
      </c>
      <c r="G381">
        <v>75961.060939999996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553029700.32726002</v>
      </c>
      <c r="M381" s="1">
        <f t="shared" si="23"/>
        <v>53949924.710491799</v>
      </c>
      <c r="N381" s="1">
        <f t="shared" si="24"/>
        <v>39473880.445465416</v>
      </c>
      <c r="O381" s="1"/>
    </row>
    <row r="382" spans="1:15" x14ac:dyDescent="0.25">
      <c r="A382">
        <v>537</v>
      </c>
      <c r="B382">
        <v>444844.63760000002</v>
      </c>
      <c r="C382" s="1">
        <v>28800</v>
      </c>
      <c r="D382">
        <v>802409.20279999997</v>
      </c>
      <c r="E382">
        <v>12946.81142</v>
      </c>
      <c r="F382">
        <v>1219656.855</v>
      </c>
      <c r="G382">
        <v>10092.217049999999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99874691.136792004</v>
      </c>
      <c r="M382" s="1">
        <f t="shared" si="23"/>
        <v>15058056.442723107</v>
      </c>
      <c r="N382" s="1">
        <f t="shared" si="24"/>
        <v>5492073.7284684852</v>
      </c>
      <c r="O382" s="1"/>
    </row>
    <row r="383" spans="1:15" x14ac:dyDescent="0.25">
      <c r="A383">
        <v>538</v>
      </c>
      <c r="B383">
        <v>15733.547689999999</v>
      </c>
      <c r="C383" s="1">
        <v>15900</v>
      </c>
      <c r="D383">
        <v>408210.96669999999</v>
      </c>
      <c r="E383">
        <v>89825.954429999998</v>
      </c>
      <c r="F383">
        <v>771253.88320000004</v>
      </c>
      <c r="G383">
        <v>43199.674899999998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240927053.940846</v>
      </c>
      <c r="M383" s="1">
        <f t="shared" si="23"/>
        <v>456492265.10665888</v>
      </c>
      <c r="N383" s="1">
        <f t="shared" si="24"/>
        <v>102720172.35565066</v>
      </c>
      <c r="O383" s="1"/>
    </row>
    <row r="384" spans="1:15" x14ac:dyDescent="0.25">
      <c r="A384">
        <v>539</v>
      </c>
      <c r="B384">
        <v>503027.81449999998</v>
      </c>
      <c r="C384" s="1">
        <v>8570</v>
      </c>
      <c r="D384">
        <v>884773.91429999995</v>
      </c>
      <c r="E384">
        <v>9418.7142370000001</v>
      </c>
      <c r="F384">
        <v>1272131.2849999999</v>
      </c>
      <c r="G384">
        <v>4817.8006880000003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44160220.551678404</v>
      </c>
      <c r="M384" s="1">
        <f t="shared" si="23"/>
        <v>16277405.002814008</v>
      </c>
      <c r="N384" s="1">
        <f t="shared" si="24"/>
        <v>3895704.9416610743</v>
      </c>
      <c r="O384" s="1"/>
    </row>
    <row r="385" spans="1:15" x14ac:dyDescent="0.25">
      <c r="A385">
        <v>540</v>
      </c>
      <c r="B385">
        <v>10752.94736</v>
      </c>
      <c r="C385" s="1">
        <v>14300</v>
      </c>
      <c r="D385">
        <v>222554.19519999999</v>
      </c>
      <c r="E385">
        <v>116903.5491</v>
      </c>
      <c r="F385">
        <v>653720.53989999997</v>
      </c>
      <c r="G385">
        <v>32076.776999999998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232281695.0509055</v>
      </c>
      <c r="M385" s="1">
        <f t="shared" si="23"/>
        <v>636868519.66072273</v>
      </c>
      <c r="N385" s="1">
        <f t="shared" si="24"/>
        <v>81762938.095712721</v>
      </c>
      <c r="O385" s="1"/>
    </row>
    <row r="386" spans="1:15" x14ac:dyDescent="0.25">
      <c r="A386">
        <v>541</v>
      </c>
      <c r="B386">
        <v>288456.43430000002</v>
      </c>
      <c r="C386" s="1">
        <v>125000</v>
      </c>
      <c r="D386">
        <v>694681.9719</v>
      </c>
      <c r="E386">
        <v>28171.35673</v>
      </c>
      <c r="F386">
        <v>1100117.1980000001</v>
      </c>
      <c r="G386">
        <v>34423.879650000003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746538223.36031258</v>
      </c>
      <c r="M386" s="1">
        <f t="shared" si="23"/>
        <v>56427776.288299136</v>
      </c>
      <c r="N386" s="1">
        <f t="shared" si="24"/>
        <v>32261805.285146862</v>
      </c>
      <c r="O386" s="1"/>
    </row>
    <row r="387" spans="1:15" x14ac:dyDescent="0.25">
      <c r="A387">
        <v>542</v>
      </c>
      <c r="B387">
        <v>31867.563119999999</v>
      </c>
      <c r="C387" s="1">
        <v>29900</v>
      </c>
      <c r="D387">
        <v>474020.46289999998</v>
      </c>
      <c r="E387">
        <v>45697.882850000002</v>
      </c>
      <c r="F387">
        <v>806393.81310000003</v>
      </c>
      <c r="G387">
        <v>37488.69902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294590503.60296375</v>
      </c>
      <c r="M387" s="1">
        <f t="shared" ref="M387:M450" si="27">$U$3*$K387*E387</f>
        <v>151003415.81048733</v>
      </c>
      <c r="N387" s="1">
        <f t="shared" ref="N387:N450" si="28">$U$4*$K387*G387</f>
        <v>57960849.077417895</v>
      </c>
      <c r="O387" s="1"/>
    </row>
    <row r="388" spans="1:15" x14ac:dyDescent="0.25">
      <c r="A388">
        <v>543</v>
      </c>
      <c r="B388">
        <v>24679.214970000001</v>
      </c>
      <c r="C388" s="1">
        <v>6950</v>
      </c>
      <c r="D388">
        <v>313964.08809999999</v>
      </c>
      <c r="E388">
        <v>87731.501310000007</v>
      </c>
      <c r="F388">
        <v>711747.63520000002</v>
      </c>
      <c r="G388">
        <v>20596.06883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56138104.88747175</v>
      </c>
      <c r="M388" s="1">
        <f t="shared" si="27"/>
        <v>237668508.79907024</v>
      </c>
      <c r="N388" s="1">
        <f t="shared" si="28"/>
        <v>26106225.958895192</v>
      </c>
      <c r="O388" s="1"/>
    </row>
    <row r="389" spans="1:15" x14ac:dyDescent="0.25">
      <c r="A389">
        <v>544</v>
      </c>
      <c r="B389">
        <v>24217.011689999999</v>
      </c>
      <c r="C389" s="1">
        <v>4450</v>
      </c>
      <c r="D389">
        <v>310253.00689999998</v>
      </c>
      <c r="E389">
        <v>64189.366170000001</v>
      </c>
      <c r="F389">
        <v>701348.4105</v>
      </c>
      <c r="G389">
        <v>17371.20261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50885236.858329251</v>
      </c>
      <c r="M389" s="1">
        <f t="shared" si="27"/>
        <v>246171637.02455729</v>
      </c>
      <c r="N389" s="1">
        <f t="shared" si="28"/>
        <v>31170838.876762491</v>
      </c>
      <c r="O389" s="1"/>
    </row>
    <row r="390" spans="1:15" x14ac:dyDescent="0.25">
      <c r="A390">
        <v>545</v>
      </c>
      <c r="B390">
        <v>36291.227480000001</v>
      </c>
      <c r="C390" s="1">
        <v>29400</v>
      </c>
      <c r="D390">
        <v>504315.61359999998</v>
      </c>
      <c r="E390">
        <v>46159.99987</v>
      </c>
      <c r="F390">
        <v>826451.88659999997</v>
      </c>
      <c r="G390">
        <v>37097.064120000003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402184072.20591605</v>
      </c>
      <c r="M390" s="1">
        <f t="shared" si="27"/>
        <v>211780745.42760709</v>
      </c>
      <c r="N390" s="1">
        <f t="shared" si="28"/>
        <v>79634983.155200884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>
        <v>10974.988880000001</v>
      </c>
      <c r="F391">
        <v>240745.09789999999</v>
      </c>
      <c r="G391">
        <v>244097.09109999999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48579167.16302295</v>
      </c>
      <c r="N391" s="1">
        <f t="shared" si="28"/>
        <v>505536198.42477441</v>
      </c>
      <c r="O391" s="1"/>
    </row>
    <row r="392" spans="1:15" x14ac:dyDescent="0.25">
      <c r="A392">
        <v>549</v>
      </c>
      <c r="B392">
        <v>6319.2327670000004</v>
      </c>
      <c r="C392" s="1">
        <v>796</v>
      </c>
      <c r="D392">
        <v>36004.943140000003</v>
      </c>
      <c r="E392">
        <v>7059.7048109999996</v>
      </c>
      <c r="F392">
        <v>330597.53779999999</v>
      </c>
      <c r="G392">
        <v>139601.1251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14797335.333407901</v>
      </c>
      <c r="M392" s="1">
        <f t="shared" si="27"/>
        <v>44014941.31933964</v>
      </c>
      <c r="N392" s="1">
        <f t="shared" si="28"/>
        <v>407236017.4422577</v>
      </c>
      <c r="O392" s="1"/>
    </row>
    <row r="393" spans="1:15" x14ac:dyDescent="0.25">
      <c r="A393">
        <v>550</v>
      </c>
      <c r="B393">
        <v>19062.927169999999</v>
      </c>
      <c r="C393" s="1">
        <v>1820</v>
      </c>
      <c r="D393">
        <v>96180.548880000002</v>
      </c>
      <c r="E393">
        <v>44734.039340000003</v>
      </c>
      <c r="F393">
        <v>585143.9817</v>
      </c>
      <c r="G393">
        <v>6876.586628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21407804.316316601</v>
      </c>
      <c r="M393" s="1">
        <f t="shared" si="27"/>
        <v>176474512.4110482</v>
      </c>
      <c r="N393" s="1">
        <f t="shared" si="28"/>
        <v>12692888.69943803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>
        <v>11094.183590000001</v>
      </c>
      <c r="F394">
        <v>327992.00209999998</v>
      </c>
      <c r="G394">
        <v>126417.75900000001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63712560.840969495</v>
      </c>
      <c r="N394" s="1">
        <f t="shared" si="28"/>
        <v>339688995.97202766</v>
      </c>
      <c r="O394" s="1"/>
    </row>
    <row r="395" spans="1:15" x14ac:dyDescent="0.25">
      <c r="A395">
        <v>554</v>
      </c>
      <c r="B395">
        <v>178435.11730000001</v>
      </c>
      <c r="C395" s="1">
        <v>112000</v>
      </c>
      <c r="D395">
        <v>611141.28489999997</v>
      </c>
      <c r="E395">
        <v>47323.382129999998</v>
      </c>
      <c r="F395">
        <v>978622.99529999995</v>
      </c>
      <c r="G395">
        <v>78154.112040000007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403960579.20036</v>
      </c>
      <c r="M395" s="1">
        <f t="shared" si="27"/>
        <v>57245305.307419486</v>
      </c>
      <c r="N395" s="1">
        <f t="shared" si="28"/>
        <v>44234346.117993951</v>
      </c>
      <c r="O395" s="1"/>
    </row>
    <row r="396" spans="1:15" x14ac:dyDescent="0.25">
      <c r="A396">
        <v>555</v>
      </c>
      <c r="B396">
        <v>297712.71620000002</v>
      </c>
      <c r="C396" s="1">
        <v>169000</v>
      </c>
      <c r="D396">
        <v>687591.76800000004</v>
      </c>
      <c r="E396">
        <v>100512.7757</v>
      </c>
      <c r="F396">
        <v>1064275.1880000001</v>
      </c>
      <c r="G396">
        <v>144195.0074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935139833.73778498</v>
      </c>
      <c r="M396" s="1">
        <f t="shared" si="27"/>
        <v>186532390.3299357</v>
      </c>
      <c r="N396" s="1">
        <f t="shared" si="28"/>
        <v>125206504.46133073</v>
      </c>
      <c r="O396" s="1"/>
    </row>
    <row r="397" spans="1:15" x14ac:dyDescent="0.25">
      <c r="A397">
        <v>556</v>
      </c>
      <c r="B397">
        <v>402571.59789999999</v>
      </c>
      <c r="C397" s="1">
        <v>75200</v>
      </c>
      <c r="D397">
        <v>779965.09959999996</v>
      </c>
      <c r="E397">
        <v>76718.109760000007</v>
      </c>
      <c r="F397">
        <v>1167884.6040000001</v>
      </c>
      <c r="G397">
        <v>69509.236239999998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362423895.989272</v>
      </c>
      <c r="M397" s="1">
        <f t="shared" si="27"/>
        <v>124005233.60493231</v>
      </c>
      <c r="N397" s="1">
        <f t="shared" si="28"/>
        <v>52568830.543057054</v>
      </c>
      <c r="O397" s="1"/>
    </row>
    <row r="398" spans="1:15" x14ac:dyDescent="0.25">
      <c r="A398">
        <v>557</v>
      </c>
      <c r="B398">
        <v>227066.4277</v>
      </c>
      <c r="C398" s="1">
        <v>210000</v>
      </c>
      <c r="D398">
        <v>660022.7182</v>
      </c>
      <c r="E398">
        <v>116693.62910000001</v>
      </c>
      <c r="F398">
        <v>1002102.949</v>
      </c>
      <c r="G398">
        <v>192666.42600000001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1720795186.580925</v>
      </c>
      <c r="M398" s="1">
        <f t="shared" si="27"/>
        <v>320700894.40781587</v>
      </c>
      <c r="N398" s="1">
        <f t="shared" si="28"/>
        <v>247743771.1692901</v>
      </c>
      <c r="O398" s="1"/>
    </row>
    <row r="399" spans="1:15" x14ac:dyDescent="0.25">
      <c r="A399">
        <v>558</v>
      </c>
      <c r="B399">
        <v>303165.2181</v>
      </c>
      <c r="C399" s="1">
        <v>88500</v>
      </c>
      <c r="D399">
        <v>699025.64450000005</v>
      </c>
      <c r="E399">
        <v>24863.97479</v>
      </c>
      <c r="F399">
        <v>1078378.4380000001</v>
      </c>
      <c r="G399">
        <v>61375.033839999996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906587063.33349383</v>
      </c>
      <c r="M399" s="1">
        <f t="shared" si="27"/>
        <v>85424007.292668909</v>
      </c>
      <c r="N399" s="1">
        <f t="shared" si="28"/>
        <v>98660839.504249275</v>
      </c>
      <c r="O399" s="1"/>
    </row>
    <row r="400" spans="1:15" x14ac:dyDescent="0.25">
      <c r="A400">
        <v>559</v>
      </c>
      <c r="B400">
        <v>394301.38130000001</v>
      </c>
      <c r="C400" s="1">
        <v>130000</v>
      </c>
      <c r="D400">
        <v>779948.71719999996</v>
      </c>
      <c r="E400">
        <v>89706.823640000002</v>
      </c>
      <c r="F400">
        <v>1175393.912</v>
      </c>
      <c r="G400">
        <v>68356.114390000002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416174280.67734998</v>
      </c>
      <c r="M400" s="1">
        <f t="shared" si="27"/>
        <v>96316457.638455182</v>
      </c>
      <c r="N400" s="1">
        <f t="shared" si="28"/>
        <v>34339666.119384669</v>
      </c>
      <c r="O400" s="1"/>
    </row>
    <row r="401" spans="1:15" x14ac:dyDescent="0.25">
      <c r="A401">
        <v>560</v>
      </c>
      <c r="B401">
        <v>206737.09779999999</v>
      </c>
      <c r="C401" s="1">
        <v>138000</v>
      </c>
      <c r="D401">
        <v>634570.81019999995</v>
      </c>
      <c r="E401">
        <v>93086.227119999996</v>
      </c>
      <c r="F401">
        <v>968361.94510000001</v>
      </c>
      <c r="G401">
        <v>126862.8446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710615195.89534497</v>
      </c>
      <c r="M401" s="1">
        <f t="shared" si="27"/>
        <v>160762210.47233164</v>
      </c>
      <c r="N401" s="1">
        <f t="shared" si="28"/>
        <v>102512462.06311607</v>
      </c>
      <c r="O401" s="1"/>
    </row>
    <row r="402" spans="1:15" x14ac:dyDescent="0.25">
      <c r="A402">
        <v>561</v>
      </c>
      <c r="B402">
        <v>242560.97409999999</v>
      </c>
      <c r="C402" s="1">
        <v>174000</v>
      </c>
      <c r="D402">
        <v>659407.01540000003</v>
      </c>
      <c r="E402">
        <v>124213.42660000001</v>
      </c>
      <c r="F402">
        <v>1000601.844</v>
      </c>
      <c r="G402">
        <v>196183.9565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834029115.096645</v>
      </c>
      <c r="M402" s="1">
        <f t="shared" si="27"/>
        <v>199684172.51043126</v>
      </c>
      <c r="N402" s="1">
        <f t="shared" si="28"/>
        <v>147564628.00050464</v>
      </c>
      <c r="O402" s="1"/>
    </row>
    <row r="403" spans="1:15" x14ac:dyDescent="0.25">
      <c r="A403">
        <v>562</v>
      </c>
      <c r="B403">
        <v>283675.45159999997</v>
      </c>
      <c r="C403" s="1">
        <v>107000</v>
      </c>
      <c r="D403">
        <v>697337.67090000003</v>
      </c>
      <c r="E403">
        <v>81423.903789999997</v>
      </c>
      <c r="F403">
        <v>1030261.588</v>
      </c>
      <c r="G403">
        <v>142095.27340000001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443691395.28870004</v>
      </c>
      <c r="M403" s="1">
        <f t="shared" si="27"/>
        <v>113238024.94854747</v>
      </c>
      <c r="N403" s="1">
        <f t="shared" si="28"/>
        <v>92462083.567434669</v>
      </c>
      <c r="O403" s="1"/>
    </row>
    <row r="404" spans="1:15" x14ac:dyDescent="0.25">
      <c r="A404">
        <v>563</v>
      </c>
      <c r="B404">
        <v>340554.25020000001</v>
      </c>
      <c r="C404" s="1">
        <v>158000</v>
      </c>
      <c r="D404">
        <v>748919.65910000005</v>
      </c>
      <c r="E404">
        <v>109962.2001</v>
      </c>
      <c r="F404">
        <v>1090556.433</v>
      </c>
      <c r="G404">
        <v>142729.7262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376527427.68774897</v>
      </c>
      <c r="M404" s="1">
        <f t="shared" si="27"/>
        <v>87887292.965388522</v>
      </c>
      <c r="N404" s="1">
        <f t="shared" si="28"/>
        <v>53375355.203384593</v>
      </c>
      <c r="O404" s="1"/>
    </row>
    <row r="405" spans="1:15" x14ac:dyDescent="0.25">
      <c r="A405">
        <v>564</v>
      </c>
      <c r="B405">
        <v>84255.662590000007</v>
      </c>
      <c r="C405" s="1">
        <v>136000</v>
      </c>
      <c r="D405">
        <v>603815.84680000006</v>
      </c>
      <c r="E405">
        <v>56907.384429999998</v>
      </c>
      <c r="F405">
        <v>981813.47979999997</v>
      </c>
      <c r="G405">
        <v>26904.00231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1107001729.0209799</v>
      </c>
      <c r="M405" s="1">
        <f t="shared" si="27"/>
        <v>155353539.64773309</v>
      </c>
      <c r="N405" s="1">
        <f t="shared" si="28"/>
        <v>34364742.778562814</v>
      </c>
      <c r="O405" s="1"/>
    </row>
    <row r="406" spans="1:15" x14ac:dyDescent="0.25">
      <c r="A406">
        <v>565</v>
      </c>
      <c r="B406">
        <v>142798.01029999999</v>
      </c>
      <c r="C406" s="1">
        <v>189000</v>
      </c>
      <c r="D406">
        <v>680613.81810000003</v>
      </c>
      <c r="E406">
        <v>56424.089379999998</v>
      </c>
      <c r="F406">
        <v>1034483.255</v>
      </c>
      <c r="G406">
        <v>52370.285909999999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5255855960.9016829</v>
      </c>
      <c r="M406" s="1">
        <f t="shared" si="27"/>
        <v>526246652.48985159</v>
      </c>
      <c r="N406" s="1">
        <f t="shared" si="28"/>
        <v>228535362.60617247</v>
      </c>
      <c r="O406" s="1"/>
    </row>
    <row r="407" spans="1:15" x14ac:dyDescent="0.25">
      <c r="A407">
        <v>566</v>
      </c>
      <c r="B407">
        <v>168280.97080000001</v>
      </c>
      <c r="C407" s="1">
        <v>136000</v>
      </c>
      <c r="D407">
        <v>707490.83629999997</v>
      </c>
      <c r="E407">
        <v>31191.996070000001</v>
      </c>
      <c r="F407">
        <v>1077620.0260000001</v>
      </c>
      <c r="G407">
        <v>10390.777120000001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3227541392.2016201</v>
      </c>
      <c r="M407" s="1">
        <f t="shared" si="27"/>
        <v>248267125.97111681</v>
      </c>
      <c r="N407" s="1">
        <f t="shared" si="28"/>
        <v>38696149.906086393</v>
      </c>
      <c r="O407" s="1"/>
    </row>
    <row r="408" spans="1:15" x14ac:dyDescent="0.25">
      <c r="A408">
        <v>567</v>
      </c>
      <c r="B408">
        <v>88993.969620000003</v>
      </c>
      <c r="C408" s="1">
        <v>236000</v>
      </c>
      <c r="D408">
        <v>583463.18779999996</v>
      </c>
      <c r="E408">
        <v>149012.77299999999</v>
      </c>
      <c r="F408">
        <v>954962.74289999995</v>
      </c>
      <c r="G408">
        <v>91546.705069999996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2142842741.23686</v>
      </c>
      <c r="M408" s="1">
        <f t="shared" si="27"/>
        <v>453779561.25468349</v>
      </c>
      <c r="N408" s="1">
        <f t="shared" si="28"/>
        <v>130439111.0119095</v>
      </c>
      <c r="O408" s="1"/>
    </row>
    <row r="409" spans="1:15" x14ac:dyDescent="0.25">
      <c r="A409">
        <v>570</v>
      </c>
      <c r="B409">
        <v>1746.533132</v>
      </c>
      <c r="C409" s="1">
        <v>331</v>
      </c>
      <c r="D409">
        <v>10352.75193</v>
      </c>
      <c r="E409">
        <v>6245.8671860000004</v>
      </c>
      <c r="F409">
        <v>124340.0808</v>
      </c>
      <c r="G409">
        <v>189486.38699999999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6523739.7099644905</v>
      </c>
      <c r="M409" s="1">
        <f t="shared" si="27"/>
        <v>41286162.068394028</v>
      </c>
      <c r="N409" s="1">
        <f t="shared" si="28"/>
        <v>586048368.44852006</v>
      </c>
      <c r="O409" s="1"/>
    </row>
    <row r="410" spans="1:15" x14ac:dyDescent="0.25">
      <c r="A410">
        <v>571</v>
      </c>
      <c r="B410">
        <v>4219.4067370000002</v>
      </c>
      <c r="C410" s="1">
        <v>3720</v>
      </c>
      <c r="D410">
        <v>32003.196240000001</v>
      </c>
      <c r="E410">
        <v>26126.106029999999</v>
      </c>
      <c r="F410">
        <v>298894.8357</v>
      </c>
      <c r="G410">
        <v>202429.818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75155114.452524602</v>
      </c>
      <c r="M410" s="1">
        <f t="shared" si="27"/>
        <v>177024518.84887949</v>
      </c>
      <c r="N410" s="1">
        <f t="shared" si="28"/>
        <v>641766288.80072784</v>
      </c>
      <c r="O410" s="1"/>
    </row>
    <row r="411" spans="1:15" x14ac:dyDescent="0.25">
      <c r="A411">
        <v>572</v>
      </c>
      <c r="B411">
        <v>5662.1937090000001</v>
      </c>
      <c r="C411" s="1">
        <v>1890</v>
      </c>
      <c r="D411">
        <v>33929.631329999997</v>
      </c>
      <c r="E411">
        <v>46519.394690000001</v>
      </c>
      <c r="F411">
        <v>367027.41840000002</v>
      </c>
      <c r="G411">
        <v>163339.5735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67820157.107907757</v>
      </c>
      <c r="M411" s="1">
        <f t="shared" si="27"/>
        <v>559853218.64391053</v>
      </c>
      <c r="N411" s="1">
        <f t="shared" si="28"/>
        <v>919761485.34333074</v>
      </c>
      <c r="O411" s="1"/>
    </row>
    <row r="412" spans="1:15" x14ac:dyDescent="0.25">
      <c r="A412">
        <v>573</v>
      </c>
      <c r="B412">
        <v>9370.5683229999995</v>
      </c>
      <c r="C412" s="1">
        <v>5840</v>
      </c>
      <c r="D412">
        <v>53973.093560000001</v>
      </c>
      <c r="E412">
        <v>227655.9473</v>
      </c>
      <c r="F412">
        <v>509767.67469999997</v>
      </c>
      <c r="G412">
        <v>96730.533230000001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98544468.753733605</v>
      </c>
      <c r="M412" s="1">
        <f t="shared" si="27"/>
        <v>1288372786.0897815</v>
      </c>
      <c r="N412" s="1">
        <f t="shared" si="28"/>
        <v>256135516.05911592</v>
      </c>
      <c r="O412" s="1"/>
    </row>
    <row r="413" spans="1:15" x14ac:dyDescent="0.25">
      <c r="A413">
        <v>574</v>
      </c>
      <c r="B413">
        <v>10147.71408</v>
      </c>
      <c r="C413" s="1">
        <v>3600</v>
      </c>
      <c r="D413">
        <v>146466.77989999999</v>
      </c>
      <c r="E413">
        <v>260600.9382</v>
      </c>
      <c r="F413">
        <v>588063.48190000001</v>
      </c>
      <c r="G413">
        <v>107019.4507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175239888.05466002</v>
      </c>
      <c r="M413" s="1">
        <f t="shared" si="27"/>
        <v>4254510287.9014559</v>
      </c>
      <c r="N413" s="1">
        <f t="shared" si="28"/>
        <v>817485388.52760649</v>
      </c>
      <c r="O413" s="1"/>
    </row>
    <row r="414" spans="1:15" x14ac:dyDescent="0.25">
      <c r="A414">
        <v>575</v>
      </c>
      <c r="B414">
        <v>3235.7220419999999</v>
      </c>
      <c r="C414" s="1">
        <v>4110</v>
      </c>
      <c r="D414">
        <v>15778.73962</v>
      </c>
      <c r="E414">
        <v>32736.180520000002</v>
      </c>
      <c r="F414">
        <v>127784.98540000001</v>
      </c>
      <c r="G414">
        <v>363391.92190000002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103834276.68661807</v>
      </c>
      <c r="M414" s="1">
        <f t="shared" si="27"/>
        <v>277376755.53783751</v>
      </c>
      <c r="N414" s="1">
        <f t="shared" si="28"/>
        <v>1440658360.9032917</v>
      </c>
      <c r="O414" s="1"/>
    </row>
    <row r="415" spans="1:15" x14ac:dyDescent="0.25">
      <c r="A415">
        <v>577</v>
      </c>
      <c r="B415">
        <v>100875.2743</v>
      </c>
      <c r="C415" s="1">
        <v>58100</v>
      </c>
      <c r="D415">
        <v>583245.87049999996</v>
      </c>
      <c r="E415">
        <v>20199.91417</v>
      </c>
      <c r="F415">
        <v>945346.68830000004</v>
      </c>
      <c r="G415">
        <v>14053.79075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759362346.60454357</v>
      </c>
      <c r="M415" s="1">
        <f t="shared" si="27"/>
        <v>88545315.003957689</v>
      </c>
      <c r="N415" s="1">
        <f t="shared" si="28"/>
        <v>28823931.982156526</v>
      </c>
      <c r="O415" s="1"/>
    </row>
    <row r="416" spans="1:15" x14ac:dyDescent="0.25">
      <c r="A416">
        <v>578</v>
      </c>
      <c r="B416">
        <v>180165.15100000001</v>
      </c>
      <c r="C416" s="1">
        <v>193000</v>
      </c>
      <c r="D416">
        <v>633523.53249999997</v>
      </c>
      <c r="E416">
        <v>77908.131779999996</v>
      </c>
      <c r="F416">
        <v>979334.48360000004</v>
      </c>
      <c r="G416">
        <v>122659.32249999999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2801487147.1059852</v>
      </c>
      <c r="M416" s="1">
        <f t="shared" si="27"/>
        <v>379277650.89200979</v>
      </c>
      <c r="N416" s="1">
        <f t="shared" si="28"/>
        <v>279395046.445283</v>
      </c>
      <c r="O416" s="1"/>
    </row>
    <row r="417" spans="1:15" x14ac:dyDescent="0.25">
      <c r="A417">
        <v>579</v>
      </c>
      <c r="B417">
        <v>340741.16680000001</v>
      </c>
      <c r="C417" s="1">
        <v>37600</v>
      </c>
      <c r="D417">
        <v>725873.68980000005</v>
      </c>
      <c r="E417">
        <v>4334.7161569999998</v>
      </c>
      <c r="F417">
        <v>1137053.7250000001</v>
      </c>
      <c r="G417">
        <v>9389.3044129999998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315660024.79128003</v>
      </c>
      <c r="M417" s="1">
        <f t="shared" si="27"/>
        <v>12204937.02491115</v>
      </c>
      <c r="N417" s="1">
        <f t="shared" si="28"/>
        <v>12369495.192537086</v>
      </c>
      <c r="O417" s="1"/>
    </row>
    <row r="418" spans="1:15" x14ac:dyDescent="0.25">
      <c r="A418">
        <v>580</v>
      </c>
      <c r="B418">
        <v>103161.03350000001</v>
      </c>
      <c r="C418" s="1">
        <v>63100</v>
      </c>
      <c r="D418">
        <v>608110.09420000005</v>
      </c>
      <c r="E418">
        <v>14547.539559999999</v>
      </c>
      <c r="F418">
        <v>957039.66390000004</v>
      </c>
      <c r="G418">
        <v>7511.1421389999996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350799712.80330926</v>
      </c>
      <c r="M418" s="1">
        <f t="shared" si="27"/>
        <v>27124550.738074508</v>
      </c>
      <c r="N418" s="1">
        <f t="shared" si="28"/>
        <v>6552735.9143965738</v>
      </c>
      <c r="O418" s="1"/>
    </row>
    <row r="419" spans="1:15" x14ac:dyDescent="0.25">
      <c r="A419">
        <v>600</v>
      </c>
      <c r="B419">
        <v>36623.220020000001</v>
      </c>
      <c r="C419" s="1">
        <v>3700</v>
      </c>
      <c r="D419">
        <v>358476.56189999997</v>
      </c>
      <c r="E419">
        <v>99375.721470000004</v>
      </c>
      <c r="F419">
        <v>744860.34979999997</v>
      </c>
      <c r="G419">
        <v>74540.267139999996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25399945.865661252</v>
      </c>
      <c r="M419" s="1">
        <f t="shared" si="27"/>
        <v>228799198.40431958</v>
      </c>
      <c r="N419" s="1">
        <f t="shared" si="28"/>
        <v>80298757.803379908</v>
      </c>
      <c r="O419" s="1"/>
    </row>
    <row r="420" spans="1:15" x14ac:dyDescent="0.25">
      <c r="A420">
        <v>601</v>
      </c>
      <c r="B420">
        <v>19013.956699999999</v>
      </c>
      <c r="C420" s="1">
        <v>8550</v>
      </c>
      <c r="D420">
        <v>154627.27530000001</v>
      </c>
      <c r="E420">
        <v>203081.26579999999</v>
      </c>
      <c r="F420">
        <v>644632.75529999996</v>
      </c>
      <c r="G420">
        <v>101968.4253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150114898.74052912</v>
      </c>
      <c r="M420" s="1">
        <f t="shared" si="27"/>
        <v>1195833406.3991137</v>
      </c>
      <c r="N420" s="1">
        <f t="shared" si="28"/>
        <v>280937821.59988344</v>
      </c>
      <c r="O420" s="1"/>
    </row>
    <row r="421" spans="1:15" x14ac:dyDescent="0.25">
      <c r="A421">
        <v>602</v>
      </c>
      <c r="B421">
        <v>31121.914870000001</v>
      </c>
      <c r="C421" s="1">
        <v>5050</v>
      </c>
      <c r="D421">
        <v>328399.35350000003</v>
      </c>
      <c r="E421">
        <v>95056.914699999994</v>
      </c>
      <c r="F421">
        <v>746517.67989999999</v>
      </c>
      <c r="G421">
        <v>59960.970240000002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75951802.798686743</v>
      </c>
      <c r="M421" s="1">
        <f t="shared" si="27"/>
        <v>479483381.784684</v>
      </c>
      <c r="N421" s="1">
        <f t="shared" si="28"/>
        <v>141514902.14873219</v>
      </c>
      <c r="O421" s="1"/>
    </row>
    <row r="422" spans="1:15" x14ac:dyDescent="0.25">
      <c r="A422">
        <v>603</v>
      </c>
      <c r="B422">
        <v>17824.366429999998</v>
      </c>
      <c r="C422" s="1">
        <v>15700</v>
      </c>
      <c r="D422">
        <v>149384.2029</v>
      </c>
      <c r="E422">
        <v>214488.7727</v>
      </c>
      <c r="F422">
        <v>647929.93649999995</v>
      </c>
      <c r="G422">
        <v>162317.5288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219093157.72959876</v>
      </c>
      <c r="M422" s="1">
        <f t="shared" si="27"/>
        <v>1003868584.6966032</v>
      </c>
      <c r="N422" s="1">
        <f t="shared" si="28"/>
        <v>355452358.04458833</v>
      </c>
      <c r="O422" s="1"/>
    </row>
    <row r="423" spans="1:15" x14ac:dyDescent="0.25">
      <c r="A423">
        <v>604</v>
      </c>
      <c r="B423">
        <v>31793.696479999999</v>
      </c>
      <c r="C423" s="1">
        <v>5190</v>
      </c>
      <c r="D423">
        <v>184477.13579999999</v>
      </c>
      <c r="E423">
        <v>116901.7359</v>
      </c>
      <c r="F423">
        <v>707446.59510000004</v>
      </c>
      <c r="G423">
        <v>67480.869160000002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70634216.0653155</v>
      </c>
      <c r="M423" s="1">
        <f t="shared" si="27"/>
        <v>533595144.17954308</v>
      </c>
      <c r="N423" s="1">
        <f t="shared" si="28"/>
        <v>144117013.73568046</v>
      </c>
      <c r="O423" s="1"/>
    </row>
    <row r="424" spans="1:15" x14ac:dyDescent="0.25">
      <c r="A424">
        <v>605</v>
      </c>
      <c r="B424">
        <v>33606.65756</v>
      </c>
      <c r="C424" s="1">
        <v>5460</v>
      </c>
      <c r="D424">
        <v>192936.33300000001</v>
      </c>
      <c r="E424">
        <v>160089.00580000001</v>
      </c>
      <c r="F424">
        <v>715113.90009999997</v>
      </c>
      <c r="G424">
        <v>90310.331860000006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54557053.521666154</v>
      </c>
      <c r="M424" s="1">
        <f t="shared" si="27"/>
        <v>536491578.40802521</v>
      </c>
      <c r="N424" s="1">
        <f t="shared" si="28"/>
        <v>141606281.23478055</v>
      </c>
      <c r="O424" s="1"/>
    </row>
    <row r="425" spans="1:15" x14ac:dyDescent="0.25">
      <c r="A425">
        <v>606</v>
      </c>
      <c r="B425">
        <v>29044.149099999999</v>
      </c>
      <c r="C425" s="1">
        <v>3290</v>
      </c>
      <c r="D425">
        <v>153207.4037</v>
      </c>
      <c r="E425">
        <v>98632.582169999994</v>
      </c>
      <c r="F425">
        <v>695182.20799999998</v>
      </c>
      <c r="G425">
        <v>49671.437010000001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35269300.005662456</v>
      </c>
      <c r="M425" s="1">
        <f t="shared" si="27"/>
        <v>354621026.20216995</v>
      </c>
      <c r="N425" s="1">
        <f t="shared" si="28"/>
        <v>83559240.116456226</v>
      </c>
      <c r="O425" s="1"/>
    </row>
    <row r="426" spans="1:15" x14ac:dyDescent="0.25">
      <c r="A426">
        <v>607</v>
      </c>
      <c r="B426">
        <v>17435.517540000001</v>
      </c>
      <c r="C426" s="1">
        <v>1100</v>
      </c>
      <c r="D426">
        <v>72016.14748</v>
      </c>
      <c r="E426">
        <v>3598.1663410000001</v>
      </c>
      <c r="F426">
        <v>535576.12309999997</v>
      </c>
      <c r="G426">
        <v>28356.256460000001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11502437.4179</v>
      </c>
      <c r="M426" s="1">
        <f t="shared" si="27"/>
        <v>12618901.997380681</v>
      </c>
      <c r="N426" s="1">
        <f t="shared" si="28"/>
        <v>46529984.14598798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5505.4393330000003</v>
      </c>
      <c r="F427">
        <v>587367.99840000004</v>
      </c>
      <c r="G427">
        <v>38813.015630000002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48513413.62752194</v>
      </c>
      <c r="N427" s="1">
        <f t="shared" si="28"/>
        <v>160026135.92609555</v>
      </c>
      <c r="O427" s="1"/>
    </row>
    <row r="428" spans="1:15" x14ac:dyDescent="0.25">
      <c r="A428">
        <v>609</v>
      </c>
      <c r="B428">
        <v>75617.0236</v>
      </c>
      <c r="C428" s="1">
        <v>86800</v>
      </c>
      <c r="D428">
        <v>625790.52910000004</v>
      </c>
      <c r="E428">
        <v>82403.347280000002</v>
      </c>
      <c r="F428">
        <v>952798.62450000003</v>
      </c>
      <c r="G428">
        <v>38706.277549999999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557436740.05255604</v>
      </c>
      <c r="M428" s="1">
        <f t="shared" si="27"/>
        <v>177485898.87319469</v>
      </c>
      <c r="N428" s="1">
        <f t="shared" si="28"/>
        <v>39007137.895395719</v>
      </c>
      <c r="O428" s="1"/>
    </row>
    <row r="429" spans="1:15" x14ac:dyDescent="0.25">
      <c r="A429">
        <v>610</v>
      </c>
      <c r="B429">
        <v>38289.765299999999</v>
      </c>
      <c r="C429" s="1">
        <v>8720</v>
      </c>
      <c r="D429">
        <v>301541.87459999998</v>
      </c>
      <c r="E429">
        <v>131438.88130000001</v>
      </c>
      <c r="F429">
        <v>762655.40150000004</v>
      </c>
      <c r="G429">
        <v>69031.261910000001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77722826.320341796</v>
      </c>
      <c r="M429" s="1">
        <f t="shared" si="27"/>
        <v>392915436.26999694</v>
      </c>
      <c r="N429" s="1">
        <f t="shared" si="28"/>
        <v>96552767.743596599</v>
      </c>
      <c r="O429" s="1"/>
    </row>
    <row r="430" spans="1:15" x14ac:dyDescent="0.25">
      <c r="A430">
        <v>611</v>
      </c>
      <c r="B430">
        <v>207488.09450000001</v>
      </c>
      <c r="C430" s="1">
        <v>192000</v>
      </c>
      <c r="D430">
        <v>773021.14029999997</v>
      </c>
      <c r="E430">
        <v>51876.344089999999</v>
      </c>
      <c r="F430">
        <v>1134748.328</v>
      </c>
      <c r="G430">
        <v>50590.299229999997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1839089529.1891201</v>
      </c>
      <c r="M430" s="1">
        <f t="shared" si="27"/>
        <v>166653386.12035045</v>
      </c>
      <c r="N430" s="1">
        <f t="shared" si="28"/>
        <v>76042380.916895956</v>
      </c>
      <c r="O430" s="1"/>
    </row>
    <row r="431" spans="1:15" x14ac:dyDescent="0.25">
      <c r="A431">
        <v>612</v>
      </c>
      <c r="B431">
        <v>37665.722500000003</v>
      </c>
      <c r="C431" s="1">
        <v>42100</v>
      </c>
      <c r="D431">
        <v>542270.86239999998</v>
      </c>
      <c r="E431">
        <v>93402.532269999996</v>
      </c>
      <c r="F431">
        <v>911262.47840000002</v>
      </c>
      <c r="G431">
        <v>35231.469700000001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707476567.36484981</v>
      </c>
      <c r="M431" s="1">
        <f t="shared" si="27"/>
        <v>526419237.5354284</v>
      </c>
      <c r="N431" s="1">
        <f t="shared" si="28"/>
        <v>92906808.081513643</v>
      </c>
      <c r="O431" s="1"/>
    </row>
    <row r="432" spans="1:15" x14ac:dyDescent="0.25">
      <c r="A432">
        <v>613</v>
      </c>
      <c r="B432">
        <v>223122.3921</v>
      </c>
      <c r="C432" s="1">
        <v>131000</v>
      </c>
      <c r="D432">
        <v>794252.72120000003</v>
      </c>
      <c r="E432">
        <v>20106.505829999998</v>
      </c>
      <c r="F432">
        <v>1140106.689</v>
      </c>
      <c r="G432">
        <v>20842.73184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961015071.46446753</v>
      </c>
      <c r="M432" s="1">
        <f t="shared" si="27"/>
        <v>49469627.94940415</v>
      </c>
      <c r="N432" s="1">
        <f t="shared" si="28"/>
        <v>23993873.185328223</v>
      </c>
      <c r="O432" s="1"/>
    </row>
    <row r="433" spans="1:15" x14ac:dyDescent="0.25">
      <c r="A433">
        <v>614</v>
      </c>
      <c r="B433">
        <v>36675.468849999997</v>
      </c>
      <c r="C433" s="1">
        <v>26400</v>
      </c>
      <c r="D433">
        <v>504259.97240000003</v>
      </c>
      <c r="E433">
        <v>62686.451119999998</v>
      </c>
      <c r="F433">
        <v>894085.15540000005</v>
      </c>
      <c r="G433">
        <v>26205.081859999998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336337408.29031199</v>
      </c>
      <c r="M433" s="1">
        <f t="shared" si="27"/>
        <v>267847789.8605333</v>
      </c>
      <c r="N433" s="1">
        <f t="shared" si="28"/>
        <v>52389419.016109712</v>
      </c>
      <c r="O433" s="1"/>
    </row>
    <row r="434" spans="1:15" x14ac:dyDescent="0.25">
      <c r="A434">
        <v>615</v>
      </c>
      <c r="B434">
        <v>60481.518580000004</v>
      </c>
      <c r="C434" s="1">
        <v>18100</v>
      </c>
      <c r="D434">
        <v>567068.78209999995</v>
      </c>
      <c r="E434">
        <v>55707.473129999998</v>
      </c>
      <c r="F434">
        <v>942035.95830000006</v>
      </c>
      <c r="G434">
        <v>11303.58317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247407728.135048</v>
      </c>
      <c r="M434" s="1">
        <f t="shared" si="27"/>
        <v>255382587.51022372</v>
      </c>
      <c r="N434" s="1">
        <f t="shared" si="28"/>
        <v>24245862.375799142</v>
      </c>
      <c r="O434" s="1"/>
    </row>
    <row r="435" spans="1:15" x14ac:dyDescent="0.25">
      <c r="A435">
        <v>616</v>
      </c>
      <c r="B435">
        <v>21173.518929999998</v>
      </c>
      <c r="C435" s="1">
        <v>4780</v>
      </c>
      <c r="D435">
        <v>268451.01559999998</v>
      </c>
      <c r="E435">
        <v>137781.6918</v>
      </c>
      <c r="F435">
        <v>780993.34169999999</v>
      </c>
      <c r="G435">
        <v>37427.983139999997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99026600.735433161</v>
      </c>
      <c r="M435" s="1">
        <f t="shared" si="27"/>
        <v>957323290.30955279</v>
      </c>
      <c r="N435" s="1">
        <f t="shared" si="28"/>
        <v>121676641.82787414</v>
      </c>
      <c r="O435" s="1"/>
    </row>
    <row r="436" spans="1:15" x14ac:dyDescent="0.25">
      <c r="A436">
        <v>617</v>
      </c>
      <c r="B436">
        <v>36317.416360000003</v>
      </c>
      <c r="C436" s="1">
        <v>32100</v>
      </c>
      <c r="D436">
        <v>538125.93550000002</v>
      </c>
      <c r="E436">
        <v>98654.501730000004</v>
      </c>
      <c r="F436">
        <v>904031.57519999996</v>
      </c>
      <c r="G436">
        <v>31138.727019999998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156597616.54603949</v>
      </c>
      <c r="M436" s="1">
        <f t="shared" si="27"/>
        <v>161413613.39445093</v>
      </c>
      <c r="N436" s="1">
        <f t="shared" si="28"/>
        <v>23837888.532384157</v>
      </c>
      <c r="O436" s="1"/>
    </row>
    <row r="437" spans="1:15" x14ac:dyDescent="0.25">
      <c r="A437">
        <v>618</v>
      </c>
      <c r="B437">
        <v>70816.307310000004</v>
      </c>
      <c r="C437" s="1">
        <v>23600</v>
      </c>
      <c r="D437">
        <v>606883.22389999998</v>
      </c>
      <c r="E437">
        <v>65577.611810000002</v>
      </c>
      <c r="F437">
        <v>956780.28119999997</v>
      </c>
      <c r="G437">
        <v>15325.272989999999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125276791.931317</v>
      </c>
      <c r="M437" s="1">
        <f t="shared" si="27"/>
        <v>116750124.96454643</v>
      </c>
      <c r="N437" s="1">
        <f t="shared" si="28"/>
        <v>12765965.165397912</v>
      </c>
      <c r="O437" s="1"/>
    </row>
    <row r="438" spans="1:15" x14ac:dyDescent="0.25">
      <c r="A438">
        <v>619</v>
      </c>
      <c r="B438">
        <v>32321.082170000001</v>
      </c>
      <c r="C438" s="1">
        <v>2940</v>
      </c>
      <c r="D438">
        <v>469484.61550000001</v>
      </c>
      <c r="E438">
        <v>94768.022710000005</v>
      </c>
      <c r="F438">
        <v>872674.35860000004</v>
      </c>
      <c r="G438">
        <v>26202.033899999999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25453207.2010944</v>
      </c>
      <c r="M438" s="1">
        <f t="shared" si="27"/>
        <v>275169401.22474706</v>
      </c>
      <c r="N438" s="1">
        <f t="shared" si="28"/>
        <v>35597295.337819755</v>
      </c>
      <c r="O438" s="1"/>
    </row>
    <row r="439" spans="1:15" x14ac:dyDescent="0.25">
      <c r="A439">
        <v>620</v>
      </c>
      <c r="B439">
        <v>38628.572840000001</v>
      </c>
      <c r="C439" s="1">
        <v>5410</v>
      </c>
      <c r="D439">
        <v>512226.68040000001</v>
      </c>
      <c r="E439">
        <v>112109.98540000001</v>
      </c>
      <c r="F439">
        <v>877329.43859999999</v>
      </c>
      <c r="G439">
        <v>36362.675940000001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62272410.554270484</v>
      </c>
      <c r="M439" s="1">
        <f t="shared" si="27"/>
        <v>432798598.12243176</v>
      </c>
      <c r="N439" s="1">
        <f t="shared" si="28"/>
        <v>65681197.630806908</v>
      </c>
      <c r="O439" s="1"/>
    </row>
    <row r="440" spans="1:15" x14ac:dyDescent="0.25">
      <c r="A440">
        <v>621</v>
      </c>
      <c r="B440">
        <v>39478.271959999998</v>
      </c>
      <c r="C440" s="1">
        <v>2220</v>
      </c>
      <c r="D440">
        <v>536789.08400000003</v>
      </c>
      <c r="E440">
        <v>62399.911529999998</v>
      </c>
      <c r="F440">
        <v>888171.93460000004</v>
      </c>
      <c r="G440">
        <v>13963.71198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38085450.424468197</v>
      </c>
      <c r="M440" s="1">
        <f t="shared" si="27"/>
        <v>359032061.45572388</v>
      </c>
      <c r="N440" s="1">
        <f t="shared" si="28"/>
        <v>37591860.399373502</v>
      </c>
      <c r="O440" s="1"/>
    </row>
    <row r="441" spans="1:15" x14ac:dyDescent="0.25">
      <c r="A441">
        <v>622</v>
      </c>
      <c r="B441">
        <v>40987.505069999999</v>
      </c>
      <c r="C441" s="1">
        <v>8000</v>
      </c>
      <c r="D441">
        <v>482049.50540000002</v>
      </c>
      <c r="E441">
        <v>67316.516950000005</v>
      </c>
      <c r="F441">
        <v>859972.71499999997</v>
      </c>
      <c r="G441">
        <v>25755.701799999999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58945832.696920007</v>
      </c>
      <c r="M441" s="1">
        <f t="shared" si="27"/>
        <v>166351949.19241336</v>
      </c>
      <c r="N441" s="1">
        <f t="shared" si="28"/>
        <v>29779906.059239477</v>
      </c>
      <c r="O441" s="1"/>
    </row>
    <row r="442" spans="1:15" x14ac:dyDescent="0.25">
      <c r="A442">
        <v>624</v>
      </c>
      <c r="B442">
        <v>19080.807830000002</v>
      </c>
      <c r="C442" s="1">
        <v>1570</v>
      </c>
      <c r="D442">
        <v>67832.263229999997</v>
      </c>
      <c r="E442" s="1">
        <v>-3.58E-6</v>
      </c>
      <c r="F442">
        <v>503871.57610000001</v>
      </c>
      <c r="G442">
        <v>39743.761619999997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26801572.797335699</v>
      </c>
      <c r="M442" s="1">
        <f t="shared" si="27"/>
        <v>-2.0496834369380375E-2</v>
      </c>
      <c r="N442" s="1">
        <f t="shared" si="28"/>
        <v>106467342.15623267</v>
      </c>
      <c r="O442" s="1"/>
    </row>
    <row r="443" spans="1:15" x14ac:dyDescent="0.25">
      <c r="A443">
        <v>625</v>
      </c>
      <c r="B443">
        <v>17223.300879999999</v>
      </c>
      <c r="C443" s="1">
        <v>7180</v>
      </c>
      <c r="D443">
        <v>61604.892339999999</v>
      </c>
      <c r="E443">
        <v>17521.864430000001</v>
      </c>
      <c r="F443">
        <v>454646.54100000003</v>
      </c>
      <c r="G443">
        <v>59246.344960000002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94524036.904957414</v>
      </c>
      <c r="M443" s="1">
        <f t="shared" si="27"/>
        <v>77364419.216937169</v>
      </c>
      <c r="N443" s="1">
        <f t="shared" si="28"/>
        <v>122395709.69429044</v>
      </c>
      <c r="O443" s="1"/>
    </row>
    <row r="444" spans="1:15" x14ac:dyDescent="0.25">
      <c r="A444">
        <v>626</v>
      </c>
      <c r="B444">
        <v>492.78501030000001</v>
      </c>
      <c r="C444" s="1">
        <v>0</v>
      </c>
      <c r="D444">
        <v>3835.5813520000002</v>
      </c>
      <c r="E444" s="1">
        <v>3.7E-7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 s="1">
        <v>1080</v>
      </c>
      <c r="D445">
        <v>50891.689230000004</v>
      </c>
      <c r="E445">
        <v>7630.5499630000004</v>
      </c>
      <c r="F445">
        <v>431776.10930000001</v>
      </c>
      <c r="G445">
        <v>97511.704270000002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24118493.717038497</v>
      </c>
      <c r="M445" s="1">
        <f t="shared" si="27"/>
        <v>57151206.484552309</v>
      </c>
      <c r="N445" s="1">
        <f t="shared" si="28"/>
        <v>341719677.39447087</v>
      </c>
      <c r="O445" s="1"/>
    </row>
    <row r="446" spans="1:15" x14ac:dyDescent="0.25">
      <c r="A446">
        <v>628</v>
      </c>
      <c r="B446">
        <v>14843.494489999999</v>
      </c>
      <c r="C446" s="1">
        <v>8750</v>
      </c>
      <c r="D446">
        <v>49450.807869999997</v>
      </c>
      <c r="E446">
        <v>13790.91303</v>
      </c>
      <c r="F446">
        <v>260402.1256</v>
      </c>
      <c r="G446">
        <v>170462.3898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129091755.83309688</v>
      </c>
      <c r="M446" s="1">
        <f t="shared" si="27"/>
        <v>68238050.586964935</v>
      </c>
      <c r="N446" s="1">
        <f t="shared" si="28"/>
        <v>394644307.4609853</v>
      </c>
      <c r="O446" s="1"/>
    </row>
    <row r="447" spans="1:15" x14ac:dyDescent="0.25">
      <c r="A447">
        <v>629</v>
      </c>
      <c r="B447">
        <v>14805.54212</v>
      </c>
      <c r="C447" s="1">
        <v>1480</v>
      </c>
      <c r="D447">
        <v>50523.227279999999</v>
      </c>
      <c r="E447">
        <v>8396.1059929999992</v>
      </c>
      <c r="F447">
        <v>404636.86690000002</v>
      </c>
      <c r="G447">
        <v>69723.216920000006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64307035.222000994</v>
      </c>
      <c r="M447" s="1">
        <f t="shared" si="27"/>
        <v>122353901.32292308</v>
      </c>
      <c r="N447" s="1">
        <f t="shared" si="28"/>
        <v>475401999.33378065</v>
      </c>
      <c r="O447" s="1"/>
    </row>
    <row r="448" spans="1:15" x14ac:dyDescent="0.25">
      <c r="A448">
        <v>630</v>
      </c>
      <c r="B448">
        <v>14860.122069999999</v>
      </c>
      <c r="C448" s="1">
        <v>2920</v>
      </c>
      <c r="D448">
        <v>47515.13594</v>
      </c>
      <c r="E448">
        <v>60400.348460000001</v>
      </c>
      <c r="F448">
        <v>450944.23149999999</v>
      </c>
      <c r="G448">
        <v>231692.82819999999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40031344.249845006</v>
      </c>
      <c r="M448" s="1">
        <f t="shared" si="27"/>
        <v>277715361.93825209</v>
      </c>
      <c r="N448" s="1">
        <f t="shared" si="28"/>
        <v>498444408.49379784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 s="1">
        <v>2.3199999999999998E-6</v>
      </c>
      <c r="F449">
        <v>458714.64299999998</v>
      </c>
      <c r="G449">
        <v>58143.34676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1.8210279963584222E-2</v>
      </c>
      <c r="N449" s="1">
        <f t="shared" si="28"/>
        <v>213536609.25532761</v>
      </c>
      <c r="O449" s="1"/>
    </row>
    <row r="450" spans="1:15" x14ac:dyDescent="0.25">
      <c r="A450">
        <v>632</v>
      </c>
      <c r="B450">
        <v>4017.5058859999999</v>
      </c>
      <c r="C450" s="1">
        <v>5540</v>
      </c>
      <c r="D450">
        <v>31227.07346</v>
      </c>
      <c r="E450">
        <v>16343.30467</v>
      </c>
      <c r="F450">
        <v>182262.26329999999</v>
      </c>
      <c r="G450">
        <v>109060.77589999999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244361915.94613501</v>
      </c>
      <c r="M450" s="1">
        <f t="shared" si="27"/>
        <v>241772427.31670931</v>
      </c>
      <c r="N450" s="1">
        <f t="shared" si="28"/>
        <v>754882148.19677842</v>
      </c>
      <c r="O450" s="1"/>
    </row>
    <row r="451" spans="1:15" x14ac:dyDescent="0.25">
      <c r="A451">
        <v>633</v>
      </c>
      <c r="B451">
        <v>5557.3761029999996</v>
      </c>
      <c r="C451" s="1">
        <v>2670</v>
      </c>
      <c r="D451">
        <v>33280.225680000003</v>
      </c>
      <c r="E451">
        <v>2912.365487</v>
      </c>
      <c r="F451">
        <v>188164.80910000001</v>
      </c>
      <c r="G451">
        <v>176807.36369999999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88097731.632085502</v>
      </c>
      <c r="M451" s="1">
        <f t="shared" ref="M451:M514" si="31">$U$3*$K451*E451</f>
        <v>32228676.976804227</v>
      </c>
      <c r="N451" s="1">
        <f t="shared" ref="N451:N514" si="32">$U$4*$K451*G451</f>
        <v>915462646.57882559</v>
      </c>
      <c r="O451" s="1"/>
    </row>
    <row r="452" spans="1:15" x14ac:dyDescent="0.25">
      <c r="A452">
        <v>634</v>
      </c>
      <c r="B452">
        <v>3296.027619</v>
      </c>
      <c r="C452" s="1">
        <v>217</v>
      </c>
      <c r="D452">
        <v>20582.933079999999</v>
      </c>
      <c r="E452">
        <v>20139.074110000001</v>
      </c>
      <c r="F452">
        <v>84572.685469999997</v>
      </c>
      <c r="G452">
        <v>100564.3803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4806610.4068596251</v>
      </c>
      <c r="M452" s="1">
        <f t="shared" si="31"/>
        <v>149610414.30668721</v>
      </c>
      <c r="N452" s="1">
        <f t="shared" si="32"/>
        <v>349550707.4424364</v>
      </c>
      <c r="O452" s="1"/>
    </row>
    <row r="453" spans="1:15" x14ac:dyDescent="0.25">
      <c r="A453">
        <v>635</v>
      </c>
      <c r="B453">
        <v>240.5971844</v>
      </c>
      <c r="C453" s="1">
        <v>2E-8</v>
      </c>
      <c r="D453">
        <v>2656.0804159999998</v>
      </c>
      <c r="E453" s="1">
        <v>1.9000000000000001E-7</v>
      </c>
      <c r="F453">
        <v>16009.738950000001</v>
      </c>
      <c r="G453">
        <v>2259.7191899999998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1.154146113068E-3</v>
      </c>
      <c r="M453" s="1">
        <f t="shared" si="31"/>
        <v>3.6772870771751205E-3</v>
      </c>
      <c r="N453" s="1">
        <f t="shared" si="32"/>
        <v>20463131.093530327</v>
      </c>
      <c r="O453" s="1"/>
    </row>
    <row r="454" spans="1:15" x14ac:dyDescent="0.25">
      <c r="A454">
        <v>636</v>
      </c>
      <c r="B454">
        <v>33288.516130000004</v>
      </c>
      <c r="C454" s="1">
        <v>2170</v>
      </c>
      <c r="D454">
        <v>407756.9253</v>
      </c>
      <c r="E454">
        <v>96339.476699999999</v>
      </c>
      <c r="F454">
        <v>813690.16090000002</v>
      </c>
      <c r="G454">
        <v>76634.102339999998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23785411.483049124</v>
      </c>
      <c r="M454" s="1">
        <f t="shared" si="31"/>
        <v>354159059.05062383</v>
      </c>
      <c r="N454" s="1">
        <f t="shared" si="32"/>
        <v>131813479.68428344</v>
      </c>
      <c r="O454" s="1"/>
    </row>
    <row r="455" spans="1:15" x14ac:dyDescent="0.25">
      <c r="A455">
        <v>637</v>
      </c>
      <c r="B455">
        <v>34250.602720000003</v>
      </c>
      <c r="C455" s="1">
        <v>3820</v>
      </c>
      <c r="D455">
        <v>431063.75219999999</v>
      </c>
      <c r="E455">
        <v>107911.6421</v>
      </c>
      <c r="F455">
        <v>848985.83860000002</v>
      </c>
      <c r="G455">
        <v>41692.426200000002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28666851.963673301</v>
      </c>
      <c r="M455" s="1">
        <f t="shared" si="31"/>
        <v>271598945.26532251</v>
      </c>
      <c r="N455" s="1">
        <f t="shared" si="32"/>
        <v>49097640.840894468</v>
      </c>
      <c r="O455" s="1"/>
    </row>
    <row r="456" spans="1:15" x14ac:dyDescent="0.25">
      <c r="A456">
        <v>638</v>
      </c>
      <c r="B456">
        <v>11018.893609999999</v>
      </c>
      <c r="C456" s="1">
        <v>9530</v>
      </c>
      <c r="D456">
        <v>91931.688380000007</v>
      </c>
      <c r="E456">
        <v>165255.9368</v>
      </c>
      <c r="F456">
        <v>640522.61990000005</v>
      </c>
      <c r="G456">
        <v>99248.471680000002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149916127.15034702</v>
      </c>
      <c r="M456" s="1">
        <f t="shared" si="31"/>
        <v>871877883.17661715</v>
      </c>
      <c r="N456" s="1">
        <f t="shared" si="32"/>
        <v>245000006.93927881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4255.9933279999996</v>
      </c>
      <c r="F457">
        <v>536722.9264</v>
      </c>
      <c r="G457">
        <v>55027.46458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18049527.176875595</v>
      </c>
      <c r="N457" s="1">
        <f t="shared" si="32"/>
        <v>109191308.97154543</v>
      </c>
      <c r="O457" s="1"/>
    </row>
    <row r="458" spans="1:15" x14ac:dyDescent="0.25">
      <c r="A458">
        <v>640</v>
      </c>
      <c r="B458">
        <v>27721.051100000001</v>
      </c>
      <c r="C458" s="1">
        <v>466</v>
      </c>
      <c r="D458">
        <v>191680.34760000001</v>
      </c>
      <c r="E458">
        <v>91867.069759999998</v>
      </c>
      <c r="F458">
        <v>706479.13619999995</v>
      </c>
      <c r="G458">
        <v>46182.903489999997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12884426.976423535</v>
      </c>
      <c r="M458" s="1">
        <f t="shared" si="31"/>
        <v>851887396.18896818</v>
      </c>
      <c r="N458" s="1">
        <f t="shared" si="32"/>
        <v>200376709.31912944</v>
      </c>
      <c r="O458" s="1"/>
    </row>
    <row r="459" spans="1:15" x14ac:dyDescent="0.25">
      <c r="A459">
        <v>641</v>
      </c>
      <c r="B459">
        <v>18885.373950000001</v>
      </c>
      <c r="C459" s="1">
        <v>9.9999999999999995E-7</v>
      </c>
      <c r="D459">
        <v>75046.139169999995</v>
      </c>
      <c r="E459">
        <v>3900.4666990000001</v>
      </c>
      <c r="F459">
        <v>548632.82539999997</v>
      </c>
      <c r="G459">
        <v>37921.756070000003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1.9432655197929999E-2</v>
      </c>
      <c r="M459" s="1">
        <f t="shared" si="31"/>
        <v>25420954.669297226</v>
      </c>
      <c r="N459" s="1">
        <f t="shared" si="32"/>
        <v>115639818.21730545</v>
      </c>
      <c r="O459" s="1"/>
    </row>
    <row r="460" spans="1:15" x14ac:dyDescent="0.25">
      <c r="A460">
        <v>642</v>
      </c>
      <c r="B460">
        <v>16338.67324</v>
      </c>
      <c r="C460" s="1">
        <v>8610</v>
      </c>
      <c r="D460">
        <v>139304.74479999999</v>
      </c>
      <c r="E460">
        <v>127290.8404</v>
      </c>
      <c r="F460">
        <v>671484.39020000002</v>
      </c>
      <c r="G460">
        <v>70383.991240000003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88177953.933137238</v>
      </c>
      <c r="M460" s="1">
        <f t="shared" si="31"/>
        <v>437217117.42634368</v>
      </c>
      <c r="N460" s="1">
        <f t="shared" si="32"/>
        <v>113114315.44599085</v>
      </c>
      <c r="O460" s="1"/>
    </row>
    <row r="461" spans="1:15" x14ac:dyDescent="0.25">
      <c r="A461">
        <v>643</v>
      </c>
      <c r="B461">
        <v>12034.13349</v>
      </c>
      <c r="C461" s="1">
        <v>9820</v>
      </c>
      <c r="D461">
        <v>73876.642080000005</v>
      </c>
      <c r="E461">
        <v>257941.66310000001</v>
      </c>
      <c r="F461">
        <v>639023.99419999996</v>
      </c>
      <c r="G461">
        <v>128320.73540000001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161849034.8079631</v>
      </c>
      <c r="M461" s="1">
        <f t="shared" si="31"/>
        <v>1425815260.4841113</v>
      </c>
      <c r="N461" s="1">
        <f t="shared" si="32"/>
        <v>331880916.71227926</v>
      </c>
      <c r="O461" s="1"/>
    </row>
    <row r="462" spans="1:15" x14ac:dyDescent="0.25">
      <c r="A462">
        <v>644</v>
      </c>
      <c r="B462">
        <v>27329.85053</v>
      </c>
      <c r="C462" s="1">
        <v>9390</v>
      </c>
      <c r="D462">
        <v>97428.536080000005</v>
      </c>
      <c r="E462">
        <v>212612.1574</v>
      </c>
      <c r="F462">
        <v>623786.56149999995</v>
      </c>
      <c r="G462">
        <v>130963.4252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189897598.49438721</v>
      </c>
      <c r="M462" s="1">
        <f t="shared" si="31"/>
        <v>1442065913.9856811</v>
      </c>
      <c r="N462" s="1">
        <f t="shared" si="32"/>
        <v>415614528.30017042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>
        <v>9261.0871119999993</v>
      </c>
      <c r="F463">
        <v>598318.3382</v>
      </c>
      <c r="G463">
        <v>62434.73414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65256730.679510154</v>
      </c>
      <c r="N463" s="1">
        <f t="shared" si="32"/>
        <v>205841665.76263806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>
        <v>4762.7377219999998</v>
      </c>
      <c r="F464">
        <v>564316.99639999995</v>
      </c>
      <c r="G464">
        <v>70368.681299999997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28554433.452894676</v>
      </c>
      <c r="N464" s="1">
        <f t="shared" si="32"/>
        <v>197396738.29876959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 s="1">
        <v>2.52E-6</v>
      </c>
      <c r="F465">
        <v>519095.32740000001</v>
      </c>
      <c r="G465">
        <v>51272.234629999999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1.0498275293347297E-2</v>
      </c>
      <c r="N465" s="1">
        <f t="shared" si="32"/>
        <v>99940919.384711549</v>
      </c>
      <c r="O465" s="1"/>
    </row>
    <row r="466" spans="1:15" x14ac:dyDescent="0.25">
      <c r="A466">
        <v>650</v>
      </c>
      <c r="B466">
        <v>30705.845700000002</v>
      </c>
      <c r="C466" s="1">
        <v>34900</v>
      </c>
      <c r="D466">
        <v>472798.94280000002</v>
      </c>
      <c r="E466">
        <v>71200.065010000006</v>
      </c>
      <c r="F466">
        <v>861827.21</v>
      </c>
      <c r="G466">
        <v>27927.72321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378070810.42692</v>
      </c>
      <c r="M466" s="1">
        <f t="shared" si="31"/>
        <v>258685001.06722769</v>
      </c>
      <c r="N466" s="1">
        <f t="shared" si="32"/>
        <v>47475556.915719956</v>
      </c>
      <c r="O466" s="1"/>
    </row>
    <row r="467" spans="1:15" x14ac:dyDescent="0.25">
      <c r="A467">
        <v>651</v>
      </c>
      <c r="B467">
        <v>45071.268219999998</v>
      </c>
      <c r="C467" s="1">
        <v>72500</v>
      </c>
      <c r="D467">
        <v>480779.71500000003</v>
      </c>
      <c r="E467">
        <v>112933.7099</v>
      </c>
      <c r="F467">
        <v>867778.02339999995</v>
      </c>
      <c r="G467">
        <v>58881.064250000003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944547807.5890187</v>
      </c>
      <c r="M467" s="1">
        <f t="shared" si="31"/>
        <v>493460812.8040055</v>
      </c>
      <c r="N467" s="1">
        <f t="shared" si="32"/>
        <v>120378354.90453596</v>
      </c>
      <c r="O467" s="1"/>
    </row>
    <row r="468" spans="1:15" x14ac:dyDescent="0.25">
      <c r="A468">
        <v>652</v>
      </c>
      <c r="B468">
        <v>27093.59722</v>
      </c>
      <c r="C468" s="1">
        <v>22500</v>
      </c>
      <c r="D468">
        <v>495984.49949999998</v>
      </c>
      <c r="E468">
        <v>60697.860460000004</v>
      </c>
      <c r="F468">
        <v>885015.75560000003</v>
      </c>
      <c r="G468">
        <v>22174.71891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229271053.97649375</v>
      </c>
      <c r="M468" s="1">
        <f t="shared" si="31"/>
        <v>207435570.07237959</v>
      </c>
      <c r="N468" s="1">
        <f t="shared" si="32"/>
        <v>35457788.71556069</v>
      </c>
      <c r="O468" s="1"/>
    </row>
    <row r="469" spans="1:15" x14ac:dyDescent="0.25">
      <c r="A469">
        <v>653</v>
      </c>
      <c r="B469">
        <v>45654.624470000002</v>
      </c>
      <c r="C469" s="1">
        <v>13200</v>
      </c>
      <c r="D469">
        <v>437161.72690000001</v>
      </c>
      <c r="E469">
        <v>81785.8266</v>
      </c>
      <c r="F469">
        <v>836965.28639999998</v>
      </c>
      <c r="G469">
        <v>39028.50404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71925554.433018014</v>
      </c>
      <c r="M469" s="1">
        <f t="shared" si="31"/>
        <v>149461890.58356088</v>
      </c>
      <c r="N469" s="1">
        <f t="shared" si="32"/>
        <v>33371675.146895677</v>
      </c>
      <c r="O469" s="1"/>
    </row>
    <row r="470" spans="1:15" x14ac:dyDescent="0.25">
      <c r="A470">
        <v>654</v>
      </c>
      <c r="B470">
        <v>162619.7028</v>
      </c>
      <c r="C470" s="1">
        <v>26300</v>
      </c>
      <c r="D470">
        <v>639860.3358</v>
      </c>
      <c r="E470">
        <v>20134.421149999998</v>
      </c>
      <c r="F470">
        <v>992389.61679999996</v>
      </c>
      <c r="G470">
        <v>4827.7693650000001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244181192.25999525</v>
      </c>
      <c r="M470" s="1">
        <f t="shared" si="31"/>
        <v>62695843.093773991</v>
      </c>
      <c r="N470" s="1">
        <f t="shared" si="32"/>
        <v>7033796.3678971613</v>
      </c>
      <c r="O470" s="1"/>
    </row>
    <row r="471" spans="1:15" x14ac:dyDescent="0.25">
      <c r="A471">
        <v>655</v>
      </c>
      <c r="B471">
        <v>31310.227640000001</v>
      </c>
      <c r="C471" s="1">
        <v>19000</v>
      </c>
      <c r="D471">
        <v>422992.3873</v>
      </c>
      <c r="E471">
        <v>71657.950249999994</v>
      </c>
      <c r="F471">
        <v>836755.81310000003</v>
      </c>
      <c r="G471">
        <v>28574.58943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266701230.42920503</v>
      </c>
      <c r="M471" s="1">
        <f t="shared" si="31"/>
        <v>337348618.89657712</v>
      </c>
      <c r="N471" s="1">
        <f t="shared" si="32"/>
        <v>62941665.774819136</v>
      </c>
      <c r="O471" s="1"/>
    </row>
    <row r="472" spans="1:15" x14ac:dyDescent="0.25">
      <c r="A472">
        <v>656</v>
      </c>
      <c r="B472">
        <v>220385.34830000001</v>
      </c>
      <c r="C472" s="1">
        <v>52200</v>
      </c>
      <c r="D472">
        <v>744627.52049999998</v>
      </c>
      <c r="E472">
        <v>8490.7887719999999</v>
      </c>
      <c r="F472">
        <v>1104564.1640000001</v>
      </c>
      <c r="G472">
        <v>4116.6600330000001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1478148665.3916841</v>
      </c>
      <c r="M472" s="1">
        <f t="shared" si="31"/>
        <v>80637821.513029173</v>
      </c>
      <c r="N472" s="1">
        <f t="shared" si="32"/>
        <v>18292768.182502922</v>
      </c>
      <c r="O472" s="1"/>
    </row>
    <row r="473" spans="1:15" x14ac:dyDescent="0.25">
      <c r="A473">
        <v>657</v>
      </c>
      <c r="B473">
        <v>50289.980539999997</v>
      </c>
      <c r="C473" s="1">
        <v>18600</v>
      </c>
      <c r="D473">
        <v>549606.08510000003</v>
      </c>
      <c r="E473">
        <v>37096.626730000004</v>
      </c>
      <c r="F473">
        <v>922206.03929999995</v>
      </c>
      <c r="G473">
        <v>7462.3799879999997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257673731.40442052</v>
      </c>
      <c r="M473" s="1">
        <f t="shared" si="31"/>
        <v>172359315.01934347</v>
      </c>
      <c r="N473" s="1">
        <f t="shared" si="32"/>
        <v>16222634.264672849</v>
      </c>
      <c r="O473" s="1"/>
    </row>
    <row r="474" spans="1:15" x14ac:dyDescent="0.25">
      <c r="A474">
        <v>658</v>
      </c>
      <c r="B474">
        <v>31434.613359999999</v>
      </c>
      <c r="C474" s="1">
        <v>4940</v>
      </c>
      <c r="D474">
        <v>347926.40710000001</v>
      </c>
      <c r="E474">
        <v>18054.88926</v>
      </c>
      <c r="F474">
        <v>790822.29509999999</v>
      </c>
      <c r="G474">
        <v>7780.0212030000002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39082738.596548401</v>
      </c>
      <c r="M474" s="1">
        <f t="shared" si="31"/>
        <v>47906672.307608105</v>
      </c>
      <c r="N474" s="1">
        <f t="shared" si="32"/>
        <v>9658854.7384460326</v>
      </c>
      <c r="O474" s="1"/>
    </row>
    <row r="475" spans="1:15" x14ac:dyDescent="0.25">
      <c r="A475">
        <v>659</v>
      </c>
      <c r="B475">
        <v>29674.379949999999</v>
      </c>
      <c r="C475" s="1">
        <v>2010</v>
      </c>
      <c r="D475">
        <v>291904.86139999999</v>
      </c>
      <c r="E475">
        <v>61612.833890000002</v>
      </c>
      <c r="F475">
        <v>797337.68480000005</v>
      </c>
      <c r="G475">
        <v>19296.993470000001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13474535.781218849</v>
      </c>
      <c r="M475" s="1">
        <f t="shared" si="31"/>
        <v>138526249.51673591</v>
      </c>
      <c r="N475" s="1">
        <f t="shared" si="32"/>
        <v>20299915.006589416</v>
      </c>
      <c r="O475" s="1"/>
    </row>
    <row r="476" spans="1:15" x14ac:dyDescent="0.25">
      <c r="A476">
        <v>660</v>
      </c>
      <c r="B476">
        <v>34998.118540000003</v>
      </c>
      <c r="C476" s="1">
        <v>18900</v>
      </c>
      <c r="D476">
        <v>441757.5454</v>
      </c>
      <c r="E476">
        <v>86874.933799999999</v>
      </c>
      <c r="F476">
        <v>853986.71660000004</v>
      </c>
      <c r="G476">
        <v>43583.984199999999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234378526.29752925</v>
      </c>
      <c r="M476" s="1">
        <f t="shared" si="31"/>
        <v>361321362.02362162</v>
      </c>
      <c r="N476" s="1">
        <f t="shared" si="32"/>
        <v>84814432.126253292</v>
      </c>
      <c r="O476" s="1"/>
    </row>
    <row r="477" spans="1:15" x14ac:dyDescent="0.25">
      <c r="A477">
        <v>661</v>
      </c>
      <c r="B477">
        <v>35998.752699999997</v>
      </c>
      <c r="C477" s="1">
        <v>1320</v>
      </c>
      <c r="D477">
        <v>298925.78000000003</v>
      </c>
      <c r="E477">
        <v>91272.048540000003</v>
      </c>
      <c r="F477">
        <v>773754.88329999999</v>
      </c>
      <c r="G477">
        <v>26647.853289999999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13992392.157143399</v>
      </c>
      <c r="M477" s="1">
        <f t="shared" si="31"/>
        <v>324488247.74165118</v>
      </c>
      <c r="N477" s="1">
        <f t="shared" si="32"/>
        <v>44326871.520664103</v>
      </c>
      <c r="O477" s="1"/>
    </row>
    <row r="478" spans="1:15" x14ac:dyDescent="0.25">
      <c r="A478">
        <v>662</v>
      </c>
      <c r="B478">
        <v>14784.060289999999</v>
      </c>
      <c r="C478" s="1">
        <v>280</v>
      </c>
      <c r="D478">
        <v>47690.085709999999</v>
      </c>
      <c r="E478">
        <v>6246.473841</v>
      </c>
      <c r="F478">
        <v>509482.50900000002</v>
      </c>
      <c r="G478">
        <v>56794.556819999998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6292836.7913684007</v>
      </c>
      <c r="M478" s="1">
        <f t="shared" si="31"/>
        <v>47083257.185969166</v>
      </c>
      <c r="N478" s="1">
        <f t="shared" si="32"/>
        <v>200300469.36290455</v>
      </c>
      <c r="O478" s="1"/>
    </row>
    <row r="479" spans="1:15" x14ac:dyDescent="0.25">
      <c r="A479">
        <v>663</v>
      </c>
      <c r="B479">
        <v>31694.657729999999</v>
      </c>
      <c r="C479" s="1">
        <v>1520</v>
      </c>
      <c r="D479">
        <v>263689.72610000003</v>
      </c>
      <c r="E479">
        <v>110037.8345</v>
      </c>
      <c r="F479">
        <v>761800.27359999996</v>
      </c>
      <c r="G479">
        <v>17701.297900000001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10879500.169280602</v>
      </c>
      <c r="M479" s="1">
        <f t="shared" si="31"/>
        <v>264149946.67739323</v>
      </c>
      <c r="N479" s="1">
        <f t="shared" si="32"/>
        <v>19881872.365336753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4.50001E-6</v>
      </c>
      <c r="F480">
        <v>671864.20689999999</v>
      </c>
      <c r="G480">
        <v>4032.2959380000002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1.3295205892898478E-2</v>
      </c>
      <c r="N480" s="1">
        <f t="shared" si="32"/>
        <v>5574137.3389347987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-3.0790000000000002E-5</v>
      </c>
      <c r="F481">
        <v>1054766.544</v>
      </c>
      <c r="G481">
        <v>2747.7998010000001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-0.11515799134947523</v>
      </c>
      <c r="N481" s="1">
        <f t="shared" si="32"/>
        <v>4808539.1692751534</v>
      </c>
      <c r="O481" s="1"/>
    </row>
    <row r="482" spans="1:15" x14ac:dyDescent="0.25">
      <c r="A482">
        <v>666</v>
      </c>
      <c r="B482">
        <v>292110.3162</v>
      </c>
      <c r="C482" s="1">
        <v>5380</v>
      </c>
      <c r="D482">
        <v>837432.28890000004</v>
      </c>
      <c r="E482">
        <v>12206.581270000001</v>
      </c>
      <c r="F482">
        <v>1425845.378</v>
      </c>
      <c r="G482">
        <v>5910.7234939999998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29711894.1546297</v>
      </c>
      <c r="M482" s="1">
        <f t="shared" si="31"/>
        <v>22609202.702070158</v>
      </c>
      <c r="N482" s="1">
        <f t="shared" si="32"/>
        <v>5122423.9819168225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-4.7849999999999998E-5</v>
      </c>
      <c r="F483">
        <v>1105269.828</v>
      </c>
      <c r="G483">
        <v>1200.424342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-0.16593079730022395</v>
      </c>
      <c r="N483" s="1">
        <f t="shared" si="32"/>
        <v>1947706.5708971065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>
        <v>9675.4991910000008</v>
      </c>
      <c r="F484">
        <v>1396795.28</v>
      </c>
      <c r="G484">
        <v>2424.6656200000002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11941150.328713989</v>
      </c>
      <c r="N484" s="1">
        <f t="shared" si="32"/>
        <v>1400129.8592485427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4.50001E-6</v>
      </c>
      <c r="F485">
        <v>656567.8371</v>
      </c>
      <c r="G485">
        <v>4032.2958979999999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1.3573175657978246E-2</v>
      </c>
      <c r="N485" s="1">
        <f t="shared" si="32"/>
        <v>5690678.6628210256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6.9999800000000002E-7</v>
      </c>
      <c r="F486">
        <v>467385.46779999998</v>
      </c>
      <c r="G486" s="1">
        <v>-1.288E-5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5.4325997184579014E-3</v>
      </c>
      <c r="N486" s="1">
        <f t="shared" si="32"/>
        <v>-4.6770331572646255E-2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>
        <v>4789.6347420000002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20943236.965577692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>
        <v>2635.6121010000002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15919040.802708769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-2.6000099999999999E-6</v>
      </c>
      <c r="F489">
        <v>718207.58649999998</v>
      </c>
      <c r="G489">
        <v>1164.597215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-2.2928449764327747E-2</v>
      </c>
      <c r="N489" s="1">
        <f t="shared" si="32"/>
        <v>4805284.4317923365</v>
      </c>
      <c r="O489" s="1"/>
    </row>
    <row r="490" spans="1:15" x14ac:dyDescent="0.25">
      <c r="A490">
        <v>705</v>
      </c>
      <c r="B490">
        <v>55727.411160000003</v>
      </c>
      <c r="C490" s="1">
        <v>-2.9000000000000002E-6</v>
      </c>
      <c r="D490">
        <v>588835.69739999995</v>
      </c>
      <c r="E490">
        <v>4476.7371089999997</v>
      </c>
      <c r="F490">
        <v>1182686.344</v>
      </c>
      <c r="G490">
        <v>10097.79659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-5.4706401966957002E-2</v>
      </c>
      <c r="M490" s="1">
        <f t="shared" si="31"/>
        <v>28323367.211249679</v>
      </c>
      <c r="N490" s="1">
        <f t="shared" si="32"/>
        <v>29891904.595107157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>
        <v>2756.5133860000001</v>
      </c>
      <c r="F491">
        <v>1125994.219</v>
      </c>
      <c r="G491">
        <v>9470.3696199999995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19404523.23951124</v>
      </c>
      <c r="N491" s="1">
        <f t="shared" si="32"/>
        <v>31192736.646723527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>
        <v>4889.6782139999996</v>
      </c>
      <c r="F492">
        <v>1133504.2379999999</v>
      </c>
      <c r="G492">
        <v>2119.8628899999999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33478932.094342135</v>
      </c>
      <c r="N492" s="1">
        <f t="shared" si="32"/>
        <v>6791141.310655483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-3.4749999999999998E-5</v>
      </c>
      <c r="F493">
        <v>1155837.2819999999</v>
      </c>
      <c r="G493">
        <v>1113.439304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-6.195106128888922E-2</v>
      </c>
      <c r="N493" s="1">
        <f t="shared" si="32"/>
        <v>928761.42162013613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>
        <v>3715.9433840000002</v>
      </c>
      <c r="F494">
        <v>1414763.8640000001</v>
      </c>
      <c r="G494">
        <v>1058.401775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8979122.7332737707</v>
      </c>
      <c r="N494" s="1">
        <f t="shared" si="32"/>
        <v>1196627.7143786112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-1.7229999999999999E-5</v>
      </c>
      <c r="F495">
        <v>1220735.7209999999</v>
      </c>
      <c r="G495">
        <v>-1.2394000000000001E-4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-3.5275378765530496E-2</v>
      </c>
      <c r="N495" s="1">
        <f t="shared" si="32"/>
        <v>-0.11872483595083909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>
        <v>5799.9726860000001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14340151.280256441</v>
      </c>
      <c r="O496" s="1"/>
    </row>
    <row r="497" spans="1:15" x14ac:dyDescent="0.25">
      <c r="A497">
        <v>714</v>
      </c>
      <c r="B497">
        <v>20072.935509999999</v>
      </c>
      <c r="C497" s="1">
        <v>0</v>
      </c>
      <c r="D497">
        <v>83507.193119999996</v>
      </c>
      <c r="E497" s="1">
        <v>-1.9999999999999999E-6</v>
      </c>
      <c r="F497">
        <v>796301.72459999996</v>
      </c>
      <c r="G497">
        <v>3186.2576920000001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3700443.9088862315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2.9999500000000001E-7</v>
      </c>
      <c r="F498">
        <v>511907.77140000003</v>
      </c>
      <c r="G498">
        <v>3567.25227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2.5995284922690053E-3</v>
      </c>
      <c r="N498" s="1">
        <f t="shared" si="32"/>
        <v>14462989.35758381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>
        <v>4099.8699340000003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10486913.664210906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-4.6860000000000002E-5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-0.15331672876310604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>
        <v>10009.95124</v>
      </c>
      <c r="F501">
        <v>1156202.5179999999</v>
      </c>
      <c r="G501">
        <v>1440.3951970000001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64974573.179573916</v>
      </c>
      <c r="N501" s="1">
        <f t="shared" si="32"/>
        <v>4374584.5623194817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15765.048570000001</v>
      </c>
      <c r="F502">
        <v>1478434.932</v>
      </c>
      <c r="G502">
        <v>4364.7673279999999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28407018.916604009</v>
      </c>
      <c r="N502" s="1">
        <f t="shared" si="32"/>
        <v>3679892.427411628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>
        <v>7489.5868600000003</v>
      </c>
      <c r="F503">
        <v>1190381.48</v>
      </c>
      <c r="G503">
        <v>10232.327719999999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12940863.937059183</v>
      </c>
      <c r="N503" s="1">
        <f t="shared" si="32"/>
        <v>8272247.6672108416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>
        <v>7855.7453029999997</v>
      </c>
      <c r="F504">
        <v>1094792.3230000001</v>
      </c>
      <c r="G504">
        <v>4657.5412299999998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35974484.014188394</v>
      </c>
      <c r="N504" s="1">
        <f t="shared" si="32"/>
        <v>9979472.0316150263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>
        <v>1832.039567</v>
      </c>
      <c r="F505">
        <v>919138.26280000003</v>
      </c>
      <c r="G505">
        <v>6006.8318829999998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5766240.9823122667</v>
      </c>
      <c r="N505" s="1">
        <f t="shared" si="32"/>
        <v>8846003.2550226692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>
        <v>9148.9808420000008</v>
      </c>
      <c r="F506">
        <v>1113954.3810000001</v>
      </c>
      <c r="G506">
        <v>12220.449640000001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72395351.407207683</v>
      </c>
      <c r="N506" s="1">
        <f t="shared" si="32"/>
        <v>45244815.976635762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>
        <v>1005.412229</v>
      </c>
      <c r="F507">
        <v>819309.12410000002</v>
      </c>
      <c r="G507">
        <v>1656.885998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7087971.217451985</v>
      </c>
      <c r="N507" s="1">
        <f t="shared" si="32"/>
        <v>5465301.0299653187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>
        <v>2108.3844779999999</v>
      </c>
      <c r="F508">
        <v>880030.08790000004</v>
      </c>
      <c r="G508">
        <v>1723.0848639999999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12119545.995164603</v>
      </c>
      <c r="N508" s="1">
        <f t="shared" si="32"/>
        <v>4634329.2631841749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12710.9179</v>
      </c>
      <c r="F509">
        <v>870999.06740000006</v>
      </c>
      <c r="G509">
        <v>2987.040665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103248513.16229811</v>
      </c>
      <c r="N509" s="1">
        <f t="shared" si="32"/>
        <v>11352505.105148483</v>
      </c>
      <c r="O509" s="1"/>
    </row>
    <row r="510" spans="1:15" x14ac:dyDescent="0.25">
      <c r="A510">
        <v>731</v>
      </c>
      <c r="B510">
        <v>7708.3923649999997</v>
      </c>
      <c r="C510" s="1">
        <v>0</v>
      </c>
      <c r="D510">
        <v>497472.8089</v>
      </c>
      <c r="E510" s="1">
        <v>-8.0779999999999996E-6</v>
      </c>
      <c r="F510">
        <v>941581.09640000004</v>
      </c>
      <c r="G510">
        <v>7188.3880179999996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-3.8261428335323783E-2</v>
      </c>
      <c r="N510" s="1">
        <f t="shared" si="32"/>
        <v>15930614.175615236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>
        <v>2883.7047699999998</v>
      </c>
      <c r="F511">
        <v>806528.34299999999</v>
      </c>
      <c r="G511">
        <v>6041.0468849999997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15040129.95344785</v>
      </c>
      <c r="N511" s="1">
        <f t="shared" si="32"/>
        <v>14742009.18498884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>
        <v>9563.1244769999994</v>
      </c>
      <c r="F512">
        <v>1059884.294</v>
      </c>
      <c r="G512">
        <v>6822.3617770000001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55432421.629580699</v>
      </c>
      <c r="N512" s="1">
        <f t="shared" si="32"/>
        <v>18503013.537826899</v>
      </c>
      <c r="O512" s="1"/>
    </row>
    <row r="513" spans="1:15" x14ac:dyDescent="0.25">
      <c r="A513">
        <v>734</v>
      </c>
      <c r="B513">
        <v>96731.795029999994</v>
      </c>
      <c r="C513" s="1">
        <v>2.0999999999999998E-6</v>
      </c>
      <c r="D513">
        <v>642789.57620000001</v>
      </c>
      <c r="E513">
        <v>12700.318670000001</v>
      </c>
      <c r="F513">
        <v>1100479.395</v>
      </c>
      <c r="G513">
        <v>10526.322819999999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4.5365246615870998E-2</v>
      </c>
      <c r="M513" s="1">
        <f t="shared" si="31"/>
        <v>92015658.100443065</v>
      </c>
      <c r="N513" s="1">
        <f t="shared" si="32"/>
        <v>35683502.952477813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>
        <v>11996.26677</v>
      </c>
      <c r="F514">
        <v>888504.04229999997</v>
      </c>
      <c r="G514">
        <v>5458.3237939999999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106339399.43252252</v>
      </c>
      <c r="N514" s="1">
        <f t="shared" si="32"/>
        <v>22638677.951044727</v>
      </c>
      <c r="O514" s="1"/>
    </row>
    <row r="515" spans="1:15" x14ac:dyDescent="0.25">
      <c r="A515">
        <v>736</v>
      </c>
      <c r="B515">
        <v>527613.74470000004</v>
      </c>
      <c r="C515" s="1">
        <v>2470</v>
      </c>
      <c r="D515">
        <v>973510.88419999997</v>
      </c>
      <c r="E515">
        <v>8981.112572</v>
      </c>
      <c r="F515">
        <v>1494061.423</v>
      </c>
      <c r="G515">
        <v>11988.287249999999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3041686.1562334322</v>
      </c>
      <c r="M515" s="1">
        <f t="shared" ref="M515:M578" si="35">$U$3*$K515*E515</f>
        <v>3709289.4547282238</v>
      </c>
      <c r="N515" s="1">
        <f t="shared" ref="N515:N578" si="36">$U$4*$K515*G515</f>
        <v>2316655.2172270482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>
        <v>20242.380420000001</v>
      </c>
      <c r="F516">
        <v>1161913.196</v>
      </c>
      <c r="G516">
        <v>4564.3113549999998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191578386.10391992</v>
      </c>
      <c r="N516" s="1">
        <f t="shared" si="36"/>
        <v>20211747.697138958</v>
      </c>
      <c r="O516" s="1"/>
    </row>
    <row r="517" spans="1:15" x14ac:dyDescent="0.25">
      <c r="A517">
        <v>738</v>
      </c>
      <c r="B517">
        <v>327384.52409999998</v>
      </c>
      <c r="C517" s="1">
        <v>2110</v>
      </c>
      <c r="D517">
        <v>766954.16480000003</v>
      </c>
      <c r="E517">
        <v>18719.286629999999</v>
      </c>
      <c r="F517">
        <v>1296339.426</v>
      </c>
      <c r="G517">
        <v>9870.2614250000006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22841395.040319376</v>
      </c>
      <c r="M517" s="1">
        <f t="shared" si="35"/>
        <v>67963009.356148839</v>
      </c>
      <c r="N517" s="1">
        <f t="shared" si="36"/>
        <v>16767010.657443944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>
        <v>12211.771119999999</v>
      </c>
      <c r="F518">
        <v>1285517.7239999999</v>
      </c>
      <c r="G518">
        <v>5069.0948150000004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19128574.308405906</v>
      </c>
      <c r="N518" s="1">
        <f t="shared" si="36"/>
        <v>3715164.4229649468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>
        <v>3037.9291539999999</v>
      </c>
      <c r="F519">
        <v>1314005.852</v>
      </c>
      <c r="G519">
        <v>4141.5883569999996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3504065.0621554605</v>
      </c>
      <c r="N519" s="1">
        <f t="shared" si="36"/>
        <v>2235142.0492975684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>
        <v>12098.55688</v>
      </c>
      <c r="F520">
        <v>1369110.0449999999</v>
      </c>
      <c r="G520">
        <v>8557.1274560000002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17753066.208913594</v>
      </c>
      <c r="N520" s="1">
        <f t="shared" si="36"/>
        <v>5875048.8362729913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>
        <v>12098.556920000001</v>
      </c>
      <c r="F521">
        <v>1372938.9569999999</v>
      </c>
      <c r="G521">
        <v>8229.4197719999993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17818418.642503757</v>
      </c>
      <c r="N521" s="1">
        <f t="shared" si="36"/>
        <v>5670854.1829507975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9128.2911179999992</v>
      </c>
      <c r="F522">
        <v>1017598.987</v>
      </c>
      <c r="G522">
        <v>2694.3084789999998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34225184.798378341</v>
      </c>
      <c r="N522" s="1">
        <f t="shared" si="36"/>
        <v>4726583.294660856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>
        <v>13337.12945</v>
      </c>
      <c r="F523">
        <v>1203552.3219999999</v>
      </c>
      <c r="G523">
        <v>6993.7060350000002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65250323.706291579</v>
      </c>
      <c r="N523" s="1">
        <f t="shared" si="36"/>
        <v>16009263.616977841</v>
      </c>
      <c r="O523" s="1"/>
    </row>
    <row r="524" spans="1:15" x14ac:dyDescent="0.25">
      <c r="A524">
        <v>745</v>
      </c>
      <c r="B524">
        <v>49689.949919999999</v>
      </c>
      <c r="C524" s="1">
        <v>-4.9200000000000003E-6</v>
      </c>
      <c r="D524">
        <v>529637.23959999997</v>
      </c>
      <c r="E524">
        <v>2059.1602659999999</v>
      </c>
      <c r="F524">
        <v>959678.84439999994</v>
      </c>
      <c r="G524">
        <v>3448.3905049999998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-2.6205905273640299E-2</v>
      </c>
      <c r="M524" s="1">
        <f t="shared" si="35"/>
        <v>3678471.1177425617</v>
      </c>
      <c r="N524" s="1">
        <f t="shared" si="36"/>
        <v>2882287.6428693449</v>
      </c>
      <c r="O524" s="1"/>
    </row>
    <row r="525" spans="1:15" x14ac:dyDescent="0.25">
      <c r="A525">
        <v>800</v>
      </c>
      <c r="B525">
        <v>32.681546330000003</v>
      </c>
      <c r="C525" s="1">
        <v>0</v>
      </c>
      <c r="D525">
        <v>18880.83454</v>
      </c>
      <c r="E525" s="1">
        <v>-1.6999900000000001E-7</v>
      </c>
      <c r="F525">
        <v>428586.30359999998</v>
      </c>
      <c r="G525">
        <v>933.42032140000003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-3.3137399875439455E-4</v>
      </c>
      <c r="N525" s="1">
        <f t="shared" si="36"/>
        <v>851320.30433786346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4.7392000000000003E-5</v>
      </c>
      <c r="F526">
        <v>890066.26139999996</v>
      </c>
      <c r="G526">
        <v>4019.7307599999999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0.29685999441269406</v>
      </c>
      <c r="N526" s="1">
        <f t="shared" si="36"/>
        <v>11781139.037645973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>
        <v>2183.1999059999998</v>
      </c>
      <c r="F527">
        <v>992475.56449999998</v>
      </c>
      <c r="G527">
        <v>1356.35466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5822971.7301075244</v>
      </c>
      <c r="N527" s="1">
        <f t="shared" si="36"/>
        <v>1692653.7186517301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>
        <v>4016.2271460000002</v>
      </c>
      <c r="F528">
        <v>946680.06319999998</v>
      </c>
      <c r="G528">
        <v>8449.6220560000002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9977187.5626790971</v>
      </c>
      <c r="N528" s="1">
        <f t="shared" si="36"/>
        <v>9821341.9319266845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>
        <v>8535.8824160000004</v>
      </c>
      <c r="F529">
        <v>1101459.385</v>
      </c>
      <c r="G529">
        <v>5572.9306690000003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31815583.258887473</v>
      </c>
      <c r="N529" s="1">
        <f t="shared" si="36"/>
        <v>9718937.3755959161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>
        <v>21443.97294</v>
      </c>
      <c r="F530">
        <v>850004.07279999997</v>
      </c>
      <c r="G530">
        <v>37170.857859999996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68628217.817964733</v>
      </c>
      <c r="N530" s="1">
        <f t="shared" si="36"/>
        <v>55660068.035595201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>
        <v>5156.0014529999999</v>
      </c>
      <c r="F531">
        <v>974089.47149999999</v>
      </c>
      <c r="G531">
        <v>3521.4633709999998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13842132.583125535</v>
      </c>
      <c r="N531" s="1">
        <f t="shared" si="36"/>
        <v>4423406.2492478704</v>
      </c>
      <c r="O531" s="1"/>
    </row>
    <row r="532" spans="1:15" x14ac:dyDescent="0.25">
      <c r="A532">
        <v>807</v>
      </c>
      <c r="B532">
        <v>387054.18469999998</v>
      </c>
      <c r="C532" s="1">
        <v>17.600000000000001</v>
      </c>
      <c r="D532">
        <v>762026.59909999999</v>
      </c>
      <c r="E532">
        <v>4311.489423</v>
      </c>
      <c r="F532">
        <v>1270614.585</v>
      </c>
      <c r="G532">
        <v>6065.1536850000002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123573.29501259601</v>
      </c>
      <c r="M532" s="1">
        <f t="shared" si="35"/>
        <v>10152720.28512504</v>
      </c>
      <c r="N532" s="1">
        <f t="shared" si="36"/>
        <v>6682524.8787194369</v>
      </c>
      <c r="O532" s="1"/>
    </row>
    <row r="533" spans="1:15" x14ac:dyDescent="0.25">
      <c r="A533">
        <v>808</v>
      </c>
      <c r="B533">
        <v>270232.13260000001</v>
      </c>
      <c r="C533" s="1">
        <v>1010</v>
      </c>
      <c r="D533">
        <v>696350.03390000004</v>
      </c>
      <c r="E533">
        <v>7393.9635529999996</v>
      </c>
      <c r="F533">
        <v>1193933.8729999999</v>
      </c>
      <c r="G533">
        <v>3419.8480960000002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2904227.5732707251</v>
      </c>
      <c r="M533" s="1">
        <f t="shared" si="35"/>
        <v>7130659.7351883324</v>
      </c>
      <c r="N533" s="1">
        <f t="shared" si="36"/>
        <v>1543131.3754054231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>
        <v>3397.1377299999999</v>
      </c>
      <c r="F534">
        <v>947210.98380000005</v>
      </c>
      <c r="G534">
        <v>2311.2497640000001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18942230.14157695</v>
      </c>
      <c r="N534" s="1">
        <f t="shared" si="36"/>
        <v>6029877.8150155023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>
        <v>4907.5271659999999</v>
      </c>
      <c r="F535">
        <v>890907.67879999999</v>
      </c>
      <c r="G535">
        <v>16167.650610000001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32125439.577387959</v>
      </c>
      <c r="N535" s="1">
        <f t="shared" si="36"/>
        <v>49519580.850579515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>
        <v>11961.451950000001</v>
      </c>
      <c r="F536">
        <v>824462.60309999995</v>
      </c>
      <c r="G536">
        <v>11951.5982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68239762.104145512</v>
      </c>
      <c r="N536" s="1">
        <f t="shared" si="36"/>
        <v>31902393.421815064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>
        <v>18355.43363</v>
      </c>
      <c r="F537">
        <v>765344.65289999999</v>
      </c>
      <c r="G537">
        <v>13734.62336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56868593.41994819</v>
      </c>
      <c r="N537" s="1">
        <f t="shared" si="36"/>
        <v>19909862.942838617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>
        <v>15337.185530000001</v>
      </c>
      <c r="F538">
        <v>934704.92079999996</v>
      </c>
      <c r="G538">
        <v>15143.826730000001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59390496.591035917</v>
      </c>
      <c r="N538" s="1">
        <f t="shared" si="36"/>
        <v>27437882.729453065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>
        <v>6301.1241680000003</v>
      </c>
      <c r="F539">
        <v>968497.2635</v>
      </c>
      <c r="G539">
        <v>14623.01016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14503415.291349813</v>
      </c>
      <c r="N539" s="1">
        <f t="shared" si="36"/>
        <v>15748264.663448028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>
        <v>29670.7186</v>
      </c>
      <c r="F540">
        <v>865398.9693</v>
      </c>
      <c r="G540">
        <v>17746.893820000001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141441081.0365355</v>
      </c>
      <c r="N540" s="1">
        <f t="shared" si="36"/>
        <v>39583439.772077426</v>
      </c>
      <c r="O540" s="1"/>
    </row>
    <row r="541" spans="1:15" x14ac:dyDescent="0.25">
      <c r="A541">
        <v>819</v>
      </c>
      <c r="B541">
        <v>73984.874679999994</v>
      </c>
      <c r="C541" s="1">
        <v>-3.49E-6</v>
      </c>
      <c r="D541">
        <v>522863.5969</v>
      </c>
      <c r="E541">
        <v>23659.822560000001</v>
      </c>
      <c r="F541">
        <v>950898.42379999999</v>
      </c>
      <c r="G541">
        <v>14243.191059999999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-4.1497613709123325E-2</v>
      </c>
      <c r="M541" s="1">
        <f t="shared" si="35"/>
        <v>94352262.107401073</v>
      </c>
      <c r="N541" s="1">
        <f t="shared" si="36"/>
        <v>26576134.423847526</v>
      </c>
      <c r="O541" s="1"/>
    </row>
    <row r="542" spans="1:15" x14ac:dyDescent="0.25">
      <c r="A542">
        <v>820</v>
      </c>
      <c r="B542">
        <v>79883.119390000007</v>
      </c>
      <c r="C542" s="1">
        <v>1.26E-6</v>
      </c>
      <c r="D542">
        <v>560586.45120000001</v>
      </c>
      <c r="E542">
        <v>23811.809700000002</v>
      </c>
      <c r="F542">
        <v>939738.55390000006</v>
      </c>
      <c r="G542">
        <v>10721.805780000001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2.1993588468674549E-2</v>
      </c>
      <c r="M542" s="1">
        <f t="shared" si="35"/>
        <v>139399459.37178269</v>
      </c>
      <c r="N542" s="1">
        <f t="shared" si="36"/>
        <v>29368400.933541354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>
        <v>15289.474819999999</v>
      </c>
      <c r="F543">
        <v>992707.06449999998</v>
      </c>
      <c r="G543">
        <v>4022.3305190000001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106319040.95906822</v>
      </c>
      <c r="N543" s="1">
        <f t="shared" si="36"/>
        <v>13086994.343752997</v>
      </c>
      <c r="O543" s="1"/>
    </row>
    <row r="544" spans="1:15" x14ac:dyDescent="0.25">
      <c r="A544">
        <v>824</v>
      </c>
      <c r="B544">
        <v>275614.56390000001</v>
      </c>
      <c r="C544" s="1">
        <v>25600</v>
      </c>
      <c r="D544">
        <v>711584.32310000004</v>
      </c>
      <c r="E544">
        <v>6382.4527989999997</v>
      </c>
      <c r="F544">
        <v>1172868.523</v>
      </c>
      <c r="G544">
        <v>4824.2129580000001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211978086.31584001</v>
      </c>
      <c r="M544" s="1">
        <f t="shared" si="35"/>
        <v>17724816.61133635</v>
      </c>
      <c r="N544" s="1">
        <f t="shared" si="36"/>
        <v>6268509.4917863961</v>
      </c>
      <c r="O544" s="1"/>
    </row>
    <row r="545" spans="1:15" x14ac:dyDescent="0.25">
      <c r="A545">
        <v>825</v>
      </c>
      <c r="B545">
        <v>282809.29830000002</v>
      </c>
      <c r="C545" s="1">
        <v>25600</v>
      </c>
      <c r="D545">
        <v>726990.39569999999</v>
      </c>
      <c r="E545">
        <v>6382.4528790000004</v>
      </c>
      <c r="F545">
        <v>1189934.2879999999</v>
      </c>
      <c r="G545">
        <v>9284.3720130000002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188105121.462336</v>
      </c>
      <c r="M545" s="1">
        <f t="shared" si="35"/>
        <v>15728648.566043327</v>
      </c>
      <c r="N545" s="1">
        <f t="shared" si="36"/>
        <v>10705328.628071006</v>
      </c>
      <c r="O545" s="1"/>
    </row>
    <row r="546" spans="1:15" x14ac:dyDescent="0.25">
      <c r="A546">
        <v>826</v>
      </c>
      <c r="B546">
        <v>439768.94699999999</v>
      </c>
      <c r="C546" s="1">
        <v>421</v>
      </c>
      <c r="D546">
        <v>839954.20750000002</v>
      </c>
      <c r="E546">
        <v>3906.6399849999998</v>
      </c>
      <c r="F546">
        <v>1302781.389</v>
      </c>
      <c r="G546">
        <v>1780.607863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4339877.2908553723</v>
      </c>
      <c r="M546" s="1">
        <f t="shared" si="35"/>
        <v>13506470.738790052</v>
      </c>
      <c r="N546" s="1">
        <f t="shared" si="36"/>
        <v>2880384.4403885468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>
        <v>8600.7524549999998</v>
      </c>
      <c r="F547">
        <v>1281372.4620000001</v>
      </c>
      <c r="G547">
        <v>5107.914914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4833864.4242277648</v>
      </c>
      <c r="N547" s="1">
        <f t="shared" si="36"/>
        <v>1343214.4337590057</v>
      </c>
      <c r="O547" s="1"/>
    </row>
    <row r="548" spans="1:15" x14ac:dyDescent="0.25">
      <c r="A548">
        <v>828</v>
      </c>
      <c r="B548">
        <v>509968.62050000002</v>
      </c>
      <c r="C548" s="1">
        <v>7150</v>
      </c>
      <c r="D548">
        <v>946018.53989999997</v>
      </c>
      <c r="E548">
        <v>12298.313459999999</v>
      </c>
      <c r="F548">
        <v>1408322.97</v>
      </c>
      <c r="G548">
        <v>11819.65596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18898555.858455487</v>
      </c>
      <c r="M548" s="1">
        <f t="shared" si="35"/>
        <v>10902127.881165331</v>
      </c>
      <c r="N548" s="1">
        <f t="shared" si="36"/>
        <v>4902461.9032929977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>
        <v>16539.283869999999</v>
      </c>
      <c r="F549">
        <v>774910.73129999998</v>
      </c>
      <c r="G549">
        <v>7861.6387240000004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116958598.68902108</v>
      </c>
      <c r="N549" s="1">
        <f t="shared" si="36"/>
        <v>26011908.366951905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>
        <v>8809.0756629999996</v>
      </c>
      <c r="F550">
        <v>886091.98490000004</v>
      </c>
      <c r="G550">
        <v>2699.3792579999999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25634390.409108274</v>
      </c>
      <c r="N550" s="1">
        <f t="shared" si="36"/>
        <v>3675362.9973441577</v>
      </c>
      <c r="O550" s="1"/>
    </row>
    <row r="551" spans="1:15" x14ac:dyDescent="0.25">
      <c r="A551">
        <v>831</v>
      </c>
      <c r="B551">
        <v>357179.94919999997</v>
      </c>
      <c r="C551" s="1">
        <v>11500</v>
      </c>
      <c r="D551">
        <v>781191.27930000005</v>
      </c>
      <c r="E551">
        <v>5744.8190610000001</v>
      </c>
      <c r="F551">
        <v>1227997.4469999999</v>
      </c>
      <c r="G551">
        <v>4903.2943329999998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136424533.61194128</v>
      </c>
      <c r="M551" s="1">
        <f t="shared" si="35"/>
        <v>22856731.627539471</v>
      </c>
      <c r="N551" s="1">
        <f t="shared" si="36"/>
        <v>9127869.3697984163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>
        <v>4393.473414</v>
      </c>
      <c r="F552">
        <v>1077406.531</v>
      </c>
      <c r="G552">
        <v>14956.81385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4644212.533388623</v>
      </c>
      <c r="N552" s="1">
        <f t="shared" si="36"/>
        <v>7397531.9598359726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>
        <v>7865.7307110000002</v>
      </c>
      <c r="F553">
        <v>977630.06909999996</v>
      </c>
      <c r="G553">
        <v>2804.1790590000001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34436469.310020611</v>
      </c>
      <c r="N553" s="1">
        <f t="shared" si="36"/>
        <v>5744192.2124081971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>
        <v>3925.8948270000001</v>
      </c>
      <c r="F554">
        <v>971616.03079999995</v>
      </c>
      <c r="G554">
        <v>3368.2935240000002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23768370.825934056</v>
      </c>
      <c r="N554" s="1">
        <f t="shared" si="36"/>
        <v>9541449.634276351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>
        <v>5019.6070390000004</v>
      </c>
      <c r="F555">
        <v>921653.97140000004</v>
      </c>
      <c r="G555">
        <v>10176.80478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8817043.008577643</v>
      </c>
      <c r="N555" s="1">
        <f t="shared" si="36"/>
        <v>8363890.9419833822</v>
      </c>
      <c r="O555" s="1"/>
    </row>
    <row r="556" spans="1:15" x14ac:dyDescent="0.25">
      <c r="A556">
        <v>836</v>
      </c>
      <c r="B556">
        <v>518818.85230000003</v>
      </c>
      <c r="C556" s="1">
        <v>10400</v>
      </c>
      <c r="D556">
        <v>979112.55900000001</v>
      </c>
      <c r="E556">
        <v>3094.333791</v>
      </c>
      <c r="F556">
        <v>1414478.6910000001</v>
      </c>
      <c r="G556">
        <v>9386.1557520000006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12793359.769892</v>
      </c>
      <c r="M556" s="1">
        <f t="shared" si="35"/>
        <v>1276619.7847832104</v>
      </c>
      <c r="N556" s="1">
        <f t="shared" si="36"/>
        <v>1811865.040523798</v>
      </c>
      <c r="O556" s="1"/>
    </row>
    <row r="557" spans="1:15" x14ac:dyDescent="0.25">
      <c r="A557">
        <v>837</v>
      </c>
      <c r="B557">
        <v>321856.37209999998</v>
      </c>
      <c r="C557" s="1">
        <v>16100</v>
      </c>
      <c r="D557">
        <v>748248.54429999995</v>
      </c>
      <c r="E557">
        <v>5462.405503</v>
      </c>
      <c r="F557">
        <v>1178496.3529999999</v>
      </c>
      <c r="G557">
        <v>6317.9496790000003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69528861.765135497</v>
      </c>
      <c r="M557" s="1">
        <f t="shared" si="35"/>
        <v>7911636.3586104279</v>
      </c>
      <c r="N557" s="1">
        <f t="shared" si="36"/>
        <v>4281561.8429782959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>
        <v>4063.1357760000001</v>
      </c>
      <c r="F558">
        <v>1377564.1869999999</v>
      </c>
      <c r="G558">
        <v>2259.0517530000002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3231451.5530285253</v>
      </c>
      <c r="N558" s="1">
        <f t="shared" si="36"/>
        <v>840632.49251942604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>
        <v>18395.87341</v>
      </c>
      <c r="F559">
        <v>1467284.923</v>
      </c>
      <c r="G559">
        <v>895.51649620000001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21134899.024139281</v>
      </c>
      <c r="N559" s="1">
        <f t="shared" si="36"/>
        <v>481389.96569433523</v>
      </c>
      <c r="O559" s="1"/>
    </row>
    <row r="560" spans="1:15" x14ac:dyDescent="0.25">
      <c r="A560">
        <v>896</v>
      </c>
      <c r="B560">
        <v>176718.43460000001</v>
      </c>
      <c r="C560" s="1">
        <v>-4.9200000000000003E-5</v>
      </c>
      <c r="D560">
        <v>952114.31940000004</v>
      </c>
      <c r="E560">
        <v>613.23997510000004</v>
      </c>
      <c r="F560">
        <v>1531125.3060000001</v>
      </c>
      <c r="G560">
        <v>10224.44137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-0.11167025911925522</v>
      </c>
      <c r="M560" s="1">
        <f t="shared" si="35"/>
        <v>466816.30359384516</v>
      </c>
      <c r="N560" s="1">
        <f t="shared" si="36"/>
        <v>3641655.2141347202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>
        <v>4070.2202630000002</v>
      </c>
      <c r="F561">
        <v>982613.30339999998</v>
      </c>
      <c r="G561">
        <v>10382.80085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15601603.800778836</v>
      </c>
      <c r="N561" s="1">
        <f t="shared" si="36"/>
        <v>18621280.195868719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>
        <v>3630.1391290000001</v>
      </c>
      <c r="F562">
        <v>1170011.639</v>
      </c>
      <c r="G562">
        <v>223.78745000000001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9414728.9025360867</v>
      </c>
      <c r="N562" s="1">
        <f t="shared" si="36"/>
        <v>271558.84611940716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>
        <v>425.26181450000001</v>
      </c>
      <c r="F563">
        <v>910148.93819999998</v>
      </c>
      <c r="G563">
        <v>10677.822620000001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1830162.6299394344</v>
      </c>
      <c r="N563" s="1">
        <f t="shared" si="36"/>
        <v>21501050.320258737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>
        <v>1005.4122589999999</v>
      </c>
      <c r="F564">
        <v>921892.33779999998</v>
      </c>
      <c r="G564">
        <v>2799.1781129999999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5355609.9172805836</v>
      </c>
      <c r="N564" s="1">
        <f t="shared" si="36"/>
        <v>6976522.0737196021</v>
      </c>
      <c r="O564" s="1"/>
    </row>
    <row r="565" spans="1:15" x14ac:dyDescent="0.25">
      <c r="A565">
        <v>901</v>
      </c>
      <c r="B565">
        <v>29041.807290000001</v>
      </c>
      <c r="C565" s="1">
        <v>5.0999999999999999E-7</v>
      </c>
      <c r="D565">
        <v>444396.93300000002</v>
      </c>
      <c r="E565">
        <v>271.1044612</v>
      </c>
      <c r="F565">
        <v>1013672.794</v>
      </c>
      <c r="G565">
        <v>4528.2471029999997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4.9676869841030246E-3</v>
      </c>
      <c r="M565" s="1">
        <f t="shared" si="35"/>
        <v>885653.50982002949</v>
      </c>
      <c r="N565" s="1">
        <f t="shared" si="36"/>
        <v>6921512.0598077942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>
        <v>2869.545912</v>
      </c>
      <c r="F566">
        <v>1030705.001</v>
      </c>
      <c r="G566">
        <v>3128.237126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15032245.602531634</v>
      </c>
      <c r="N566" s="1">
        <f t="shared" si="36"/>
        <v>7667504.3170278063</v>
      </c>
      <c r="O566" s="1"/>
    </row>
    <row r="567" spans="1:15" x14ac:dyDescent="0.25">
      <c r="A567">
        <v>903</v>
      </c>
      <c r="B567">
        <v>38538.358639999999</v>
      </c>
      <c r="C567" s="1">
        <v>-3.7900000000000001E-6</v>
      </c>
      <c r="D567">
        <v>529953.41500000004</v>
      </c>
      <c r="E567">
        <v>981.48602340000002</v>
      </c>
      <c r="F567">
        <v>1031875.76</v>
      </c>
      <c r="G567">
        <v>2151.69445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-3.6990376275301162E-2</v>
      </c>
      <c r="M567" s="1">
        <f t="shared" si="35"/>
        <v>3212748.9890660755</v>
      </c>
      <c r="N567" s="1">
        <f t="shared" si="36"/>
        <v>3295466.9000071734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>
        <v>1768.0764140000001</v>
      </c>
      <c r="F568">
        <v>1337769.4569999999</v>
      </c>
      <c r="G568">
        <v>3510.9583950000001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3960626.3784211315</v>
      </c>
      <c r="N568" s="1">
        <f t="shared" si="36"/>
        <v>3679867.7092748154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-2.425E-5</v>
      </c>
      <c r="F569">
        <v>938368.72149999999</v>
      </c>
      <c r="G569">
        <v>1771.9560200000001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-0.13439916367843266</v>
      </c>
      <c r="N569" s="1">
        <f t="shared" si="36"/>
        <v>4594956.877068446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>
        <v>3779.167786</v>
      </c>
      <c r="F570">
        <v>948332.64099999995</v>
      </c>
      <c r="G570">
        <v>8277.7476839999999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21885229.032047536</v>
      </c>
      <c r="N570" s="1">
        <f t="shared" si="36"/>
        <v>22429045.116861701</v>
      </c>
      <c r="O570" s="1"/>
    </row>
    <row r="571" spans="1:15" x14ac:dyDescent="0.25">
      <c r="A571">
        <v>907</v>
      </c>
      <c r="B571">
        <v>16153.59611</v>
      </c>
      <c r="C571" s="1">
        <v>-1.99E-6</v>
      </c>
      <c r="D571">
        <v>131280.02069999999</v>
      </c>
      <c r="E571" s="1">
        <v>-4.8228E-5</v>
      </c>
      <c r="F571">
        <v>847171.78570000001</v>
      </c>
      <c r="G571">
        <v>1389.5434090000001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-3.9470441347152406E-2</v>
      </c>
      <c r="M571" s="1">
        <f t="shared" si="35"/>
        <v>-0.3208198972348833</v>
      </c>
      <c r="N571" s="1">
        <f t="shared" si="36"/>
        <v>4324917.6232502386</v>
      </c>
      <c r="O571" s="1"/>
    </row>
    <row r="572" spans="1:15" x14ac:dyDescent="0.25">
      <c r="A572">
        <v>910</v>
      </c>
      <c r="B572">
        <v>114709.05379999999</v>
      </c>
      <c r="C572" s="1">
        <v>4.57E-5</v>
      </c>
      <c r="D572">
        <v>781465.2439</v>
      </c>
      <c r="E572">
        <v>4908.9456490000002</v>
      </c>
      <c r="F572">
        <v>1404221.4480000001</v>
      </c>
      <c r="G572">
        <v>8385.7173010000006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0.52576581743539752</v>
      </c>
      <c r="M572" s="1">
        <f t="shared" si="35"/>
        <v>18941200.780089151</v>
      </c>
      <c r="N572" s="1">
        <f t="shared" si="36"/>
        <v>15139208.826033561</v>
      </c>
      <c r="O572" s="1"/>
    </row>
    <row r="573" spans="1:15" x14ac:dyDescent="0.25">
      <c r="A573">
        <v>911</v>
      </c>
      <c r="B573">
        <v>28281.780429999999</v>
      </c>
      <c r="C573" s="1">
        <v>-4.4000000000000002E-6</v>
      </c>
      <c r="D573">
        <v>560803.66229999997</v>
      </c>
      <c r="E573" s="1">
        <v>-3.0190000000000001E-5</v>
      </c>
      <c r="F573">
        <v>1085209.325</v>
      </c>
      <c r="G573">
        <v>3396.3093119999999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-8.1174183918542003E-2</v>
      </c>
      <c r="M573" s="1">
        <f t="shared" si="35"/>
        <v>-0.18679769144236738</v>
      </c>
      <c r="N573" s="1">
        <f t="shared" si="36"/>
        <v>9832394.7367578931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4.3352000000000001E-5</v>
      </c>
      <c r="F574">
        <v>951361.49140000006</v>
      </c>
      <c r="G574">
        <v>5040.8463259999999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0.19386788846665001</v>
      </c>
      <c r="N574" s="1">
        <f t="shared" si="36"/>
        <v>10547362.638979867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>
        <v>10527.650379999999</v>
      </c>
      <c r="F575">
        <v>1503592.9110000001</v>
      </c>
      <c r="G575">
        <v>11319.481900000001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9875242.5826388597</v>
      </c>
      <c r="N575" s="1">
        <f t="shared" si="36"/>
        <v>4968056.7319600303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>
        <v>6133.0708240000004</v>
      </c>
      <c r="F576">
        <v>1078164.527</v>
      </c>
      <c r="G576">
        <v>5369.4563109999999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21726978.040209204</v>
      </c>
      <c r="N576" s="1">
        <f t="shared" si="36"/>
        <v>8900109.2301077042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>
        <v>6225.4668300000003</v>
      </c>
      <c r="F577">
        <v>1437621.0390000001</v>
      </c>
      <c r="G577">
        <v>3973.8346940000001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8478134.6355426591</v>
      </c>
      <c r="N577" s="1">
        <f t="shared" si="36"/>
        <v>2532105.8744273856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>
        <v>652.08697219999999</v>
      </c>
      <c r="F578">
        <v>1086950.43</v>
      </c>
      <c r="G578">
        <v>2945.1979769999998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2362538.234400583</v>
      </c>
      <c r="N578" s="1">
        <f t="shared" si="36"/>
        <v>4992654.2753964728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>
        <v>2253.4063019999999</v>
      </c>
      <c r="F579">
        <v>1381109.7949999999</v>
      </c>
      <c r="G579">
        <v>2977.4058799999998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6148607.1039437586</v>
      </c>
      <c r="N579" s="1">
        <f t="shared" ref="N579:N642" si="40">$U$4*$K579*G579</f>
        <v>3801184.5712354118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>
        <v>1246.057832</v>
      </c>
      <c r="F580">
        <v>1238590.6000000001</v>
      </c>
      <c r="G580">
        <v>2424.6650119999999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1837843.6447450314</v>
      </c>
      <c r="N580" s="1">
        <f t="shared" si="40"/>
        <v>1673269.0780311578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>
        <v>2245.116164</v>
      </c>
      <c r="F581">
        <v>1064059.0930000001</v>
      </c>
      <c r="G581">
        <v>1179.2701890000001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5340529.8870879877</v>
      </c>
      <c r="N581" s="1">
        <f t="shared" si="40"/>
        <v>1312509.7293442499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>
        <v>19704.031660000001</v>
      </c>
      <c r="F582">
        <v>1131263.098</v>
      </c>
      <c r="G582">
        <v>3289.983052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90386241.299900264</v>
      </c>
      <c r="N582" s="1">
        <f t="shared" si="40"/>
        <v>7061298.4717050996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>
        <v>4091.5323870000002</v>
      </c>
      <c r="F583">
        <v>1302510.075</v>
      </c>
      <c r="G583">
        <v>190.42025670000001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19475349.598954327</v>
      </c>
      <c r="N583" s="1">
        <f t="shared" si="40"/>
        <v>424088.10716126621</v>
      </c>
      <c r="O583" s="1"/>
    </row>
    <row r="584" spans="1:15" x14ac:dyDescent="0.25">
      <c r="A584">
        <v>922</v>
      </c>
      <c r="B584">
        <v>34691.907919999998</v>
      </c>
      <c r="C584" s="1">
        <v>1.11E-6</v>
      </c>
      <c r="D584">
        <v>479364.7243</v>
      </c>
      <c r="E584">
        <v>24547.768800000002</v>
      </c>
      <c r="F584">
        <v>1125036.0109999999</v>
      </c>
      <c r="G584">
        <v>5680.7682640000003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1.4605357187449274E-2</v>
      </c>
      <c r="M584" s="1">
        <f t="shared" si="39"/>
        <v>108328907.91740157</v>
      </c>
      <c r="N584" s="1">
        <f t="shared" si="40"/>
        <v>11729597.032119622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>
        <v>12282.94051</v>
      </c>
      <c r="F585">
        <v>1053112.8759999999</v>
      </c>
      <c r="G585">
        <v>4171.5642699999999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18929079.120708231</v>
      </c>
      <c r="N585" s="1">
        <f t="shared" si="40"/>
        <v>3007944.0601233495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2.1761999999999999E-5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0.10743280884203875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6.9994699999999996E-8</v>
      </c>
      <c r="F587">
        <v>856359.63780000003</v>
      </c>
      <c r="G587" s="1">
        <v>1.3419199999999999E-6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3.6240892838241407E-4</v>
      </c>
      <c r="N587" s="1">
        <f t="shared" si="40"/>
        <v>3.2509031841010273E-3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>
        <v>11030.526320000001</v>
      </c>
      <c r="F588">
        <v>988816.93350000004</v>
      </c>
      <c r="G588">
        <v>690.01038819999997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30967238.654173031</v>
      </c>
      <c r="N588" s="1">
        <f t="shared" si="40"/>
        <v>906370.06428854843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>
        <v>4461.453998</v>
      </c>
      <c r="F589">
        <v>955232.77919999999</v>
      </c>
      <c r="G589">
        <v>7128.0265929999996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21085227.950894799</v>
      </c>
      <c r="N589" s="1">
        <f t="shared" si="40"/>
        <v>15762128.748765713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-4.935E-5</v>
      </c>
      <c r="F590">
        <v>953439.78480000002</v>
      </c>
      <c r="G590">
        <v>827.15510919999997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-0.28023763831018883</v>
      </c>
      <c r="N590" s="1">
        <f t="shared" si="40"/>
        <v>2197707.7624232699</v>
      </c>
      <c r="O590" s="1"/>
    </row>
    <row r="591" spans="1:15" x14ac:dyDescent="0.25">
      <c r="A591">
        <v>932</v>
      </c>
      <c r="B591">
        <v>20695.098290000002</v>
      </c>
      <c r="C591" s="1">
        <v>0</v>
      </c>
      <c r="D591">
        <v>115037.8484</v>
      </c>
      <c r="E591" s="1">
        <v>-4.7870000000000001E-5</v>
      </c>
      <c r="F591">
        <v>909519.73369999998</v>
      </c>
      <c r="G591">
        <v>6637.5527890000003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-0.37837383249854972</v>
      </c>
      <c r="N591" s="1">
        <f t="shared" si="40"/>
        <v>24547616.661802657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>
        <v>1036.5783389999999</v>
      </c>
      <c r="F592">
        <v>968801.72580000001</v>
      </c>
      <c r="G592">
        <v>3536.1743110000002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3937245.3148605842</v>
      </c>
      <c r="N592" s="1">
        <f t="shared" si="40"/>
        <v>6284455.980585604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>
        <v>8407.7332960000003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23764373.659210425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>
        <v>1156.2593469999999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5138297.2002712721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-4.9500099999999999E-6</v>
      </c>
      <c r="F595">
        <v>881063.02419999999</v>
      </c>
      <c r="G595">
        <v>3085.187563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-5.0926478579265771E-2</v>
      </c>
      <c r="N595" s="1">
        <f t="shared" si="40"/>
        <v>14851243.568698883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>
        <v>9690.7121480000005</v>
      </c>
      <c r="F596">
        <v>1311662.7080000001</v>
      </c>
      <c r="G596">
        <v>3019.5522190000002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54034129.443026327</v>
      </c>
      <c r="N596" s="1">
        <f t="shared" si="40"/>
        <v>7877686.3975571292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>
        <v>128.01884699999999</v>
      </c>
      <c r="F597">
        <v>981646.17209999997</v>
      </c>
      <c r="G597">
        <v>6977.5538999999999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457519.33460647153</v>
      </c>
      <c r="N597" s="1">
        <f t="shared" si="40"/>
        <v>11667623.826330744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>
        <v>652.08698809999999</v>
      </c>
      <c r="F598">
        <v>988115.28220000002</v>
      </c>
      <c r="G598">
        <v>1243.109054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2500980.4148125881</v>
      </c>
      <c r="N598" s="1">
        <f t="shared" si="40"/>
        <v>2230784.7362517226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>
        <v>3520.300624</v>
      </c>
      <c r="F599">
        <v>883248.21869999997</v>
      </c>
      <c r="G599">
        <v>7681.9397719999997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14404073.740113841</v>
      </c>
      <c r="N599" s="1">
        <f t="shared" si="40"/>
        <v>14706866.814131547</v>
      </c>
      <c r="O599" s="1"/>
    </row>
    <row r="600" spans="1:15" x14ac:dyDescent="0.25">
      <c r="A600">
        <v>943</v>
      </c>
      <c r="B600">
        <v>18569.85785</v>
      </c>
      <c r="C600" s="1">
        <v>1.1000000000000001E-6</v>
      </c>
      <c r="D600">
        <v>164341.12469999999</v>
      </c>
      <c r="E600" s="1">
        <v>-3.2928000000000001E-5</v>
      </c>
      <c r="F600">
        <v>860307.59069999994</v>
      </c>
      <c r="G600">
        <v>1358.0711650000001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1.2563507149908001E-2</v>
      </c>
      <c r="M600" s="1">
        <f t="shared" si="39"/>
        <v>-0.12613241066882963</v>
      </c>
      <c r="N600" s="1">
        <f t="shared" si="40"/>
        <v>2434039.0947402259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>
        <v>2374.2137899999998</v>
      </c>
      <c r="F601">
        <v>997943.18559999997</v>
      </c>
      <c r="G601">
        <v>5469.472315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9079018.6635649521</v>
      </c>
      <c r="N601" s="1">
        <f t="shared" si="40"/>
        <v>9786067.1680780798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>
        <v>8607.8253989999994</v>
      </c>
      <c r="F602">
        <v>994329.02309999999</v>
      </c>
      <c r="G602">
        <v>4244.8333769999999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21452466.257236931</v>
      </c>
      <c r="N602" s="1">
        <f t="shared" si="40"/>
        <v>4949805.1593071129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>
        <v>1987.0142109999999</v>
      </c>
      <c r="F603">
        <v>1008806.426</v>
      </c>
      <c r="G603">
        <v>8833.5884000000005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4316364.8018213511</v>
      </c>
      <c r="N603" s="1">
        <f t="shared" si="40"/>
        <v>8978380.5040930491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>
        <v>2108.3845179999998</v>
      </c>
      <c r="F604">
        <v>827276.49080000003</v>
      </c>
      <c r="G604">
        <v>3687.5733839999998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14993747.068418816</v>
      </c>
      <c r="N604" s="1">
        <f t="shared" si="40"/>
        <v>12270004.209943784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>
        <v>4055.3151079999998</v>
      </c>
      <c r="F605">
        <v>1096811.7849999999</v>
      </c>
      <c r="G605">
        <v>3247.407033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41097120.573380113</v>
      </c>
      <c r="N605" s="1">
        <f t="shared" si="40"/>
        <v>15398102.065831821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>
        <v>380.98257430000001</v>
      </c>
      <c r="F606">
        <v>978930.29150000005</v>
      </c>
      <c r="G606">
        <v>12129.62499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3305732.2802441954</v>
      </c>
      <c r="N606" s="1">
        <f t="shared" si="40"/>
        <v>49244033.588410467</v>
      </c>
      <c r="O606" s="1"/>
    </row>
    <row r="607" spans="1:15" x14ac:dyDescent="0.25">
      <c r="A607">
        <v>952</v>
      </c>
      <c r="B607">
        <v>113352.9039</v>
      </c>
      <c r="C607" s="1">
        <v>1040</v>
      </c>
      <c r="D607">
        <v>821006.4926</v>
      </c>
      <c r="E607">
        <v>613.24004249999996</v>
      </c>
      <c r="F607">
        <v>1295351.902</v>
      </c>
      <c r="G607">
        <v>6344.2038240000002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11816239.235197801</v>
      </c>
      <c r="M607" s="1">
        <f t="shared" si="39"/>
        <v>2336789.4217021666</v>
      </c>
      <c r="N607" s="1">
        <f t="shared" si="40"/>
        <v>11311231.175157623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625.74059380000006</v>
      </c>
      <c r="F608">
        <v>1327212.416</v>
      </c>
      <c r="G608">
        <v>3425.4891929999999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748544.34902333037</v>
      </c>
      <c r="N608" s="1">
        <f t="shared" si="40"/>
        <v>1917297.4117624755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>
        <v>2265.7881130000001</v>
      </c>
      <c r="F609">
        <v>1127839.7009999999</v>
      </c>
      <c r="G609">
        <v>1027.3423150000001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6140442.671533091</v>
      </c>
      <c r="N609" s="1">
        <f t="shared" si="40"/>
        <v>1302684.488052998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>
        <v>2996.980814</v>
      </c>
      <c r="F610">
        <v>973206.3689</v>
      </c>
      <c r="G610">
        <v>1243.1090959999999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12482496.029670637</v>
      </c>
      <c r="N610" s="1">
        <f t="shared" si="40"/>
        <v>2422536.8742045383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2.24001E-6</v>
      </c>
      <c r="F611">
        <v>1059638.862</v>
      </c>
      <c r="G611">
        <v>1693.0443990000001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2.30580633974438E-2</v>
      </c>
      <c r="N611" s="1">
        <f t="shared" si="40"/>
        <v>8154266.428890395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1.506E-5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2.2624762084165227E-2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2.6279999999999999E-5</v>
      </c>
      <c r="F613">
        <v>732007.78</v>
      </c>
      <c r="G613">
        <v>8160.9803970000003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5.3023734586184361E-2</v>
      </c>
      <c r="N613" s="1">
        <f t="shared" si="40"/>
        <v>7704260.6039450448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6.00005E-7</v>
      </c>
      <c r="F614">
        <v>1035014.44</v>
      </c>
      <c r="G614">
        <v>2130.1640090000001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4.6481478171104375E-3</v>
      </c>
      <c r="N614" s="1">
        <f t="shared" si="40"/>
        <v>7721146.3087127022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-2.6840000000000001E-5</v>
      </c>
      <c r="F615">
        <v>875961.70940000005</v>
      </c>
      <c r="G615">
        <v>2265.7881499999999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-6.4581135680982713E-2</v>
      </c>
      <c r="N615" s="1">
        <f t="shared" si="40"/>
        <v>2550857.1927819471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>
        <v>9564.8249820000001</v>
      </c>
      <c r="F616">
        <v>1339829.706</v>
      </c>
      <c r="G616">
        <v>1329.2653359999999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12766239.020074204</v>
      </c>
      <c r="N616" s="1">
        <f t="shared" si="40"/>
        <v>830120.81049256865</v>
      </c>
      <c r="O616" s="1"/>
    </row>
    <row r="617" spans="1:15" x14ac:dyDescent="0.25">
      <c r="A617">
        <v>964</v>
      </c>
      <c r="B617">
        <v>39832.541929999999</v>
      </c>
      <c r="C617" s="1">
        <v>-1.22E-6</v>
      </c>
      <c r="D617">
        <v>367446.44679999998</v>
      </c>
      <c r="E617" s="1">
        <v>-3.5355000000000003E-5</v>
      </c>
      <c r="F617">
        <v>1229459.7050000001</v>
      </c>
      <c r="G617">
        <v>475.28245279999999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-9.8506676349035503E-3</v>
      </c>
      <c r="M617" s="1">
        <f t="shared" si="39"/>
        <v>-9.5741408855711571E-2</v>
      </c>
      <c r="N617" s="1">
        <f t="shared" si="40"/>
        <v>602205.10274139023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1.3859999999999999E-5</v>
      </c>
      <c r="F618">
        <v>924957.81240000005</v>
      </c>
      <c r="G618">
        <v>3690.037926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5.7831613714932749E-2</v>
      </c>
      <c r="N618" s="1">
        <f t="shared" si="40"/>
        <v>7204047.8470312981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4.163E-5</v>
      </c>
      <c r="F619">
        <v>1056219.1440000001</v>
      </c>
      <c r="G619">
        <v>3673.1798610000001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0.20264801050391665</v>
      </c>
      <c r="N619" s="1">
        <f t="shared" si="40"/>
        <v>8366076.0134143429</v>
      </c>
      <c r="O619" s="1"/>
    </row>
    <row r="620" spans="1:15" x14ac:dyDescent="0.25">
      <c r="A620">
        <v>967</v>
      </c>
      <c r="B620">
        <v>35399.701130000001</v>
      </c>
      <c r="C620" s="1">
        <v>3.1E-6</v>
      </c>
      <c r="D620">
        <v>283151.55209999997</v>
      </c>
      <c r="E620">
        <v>1036.578405</v>
      </c>
      <c r="F620">
        <v>1113002.7579999999</v>
      </c>
      <c r="G620">
        <v>-3.3171999999999997E-4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1.4026812001445749E-2</v>
      </c>
      <c r="M620" s="1">
        <f t="shared" si="39"/>
        <v>1573050.1785355739</v>
      </c>
      <c r="N620" s="1">
        <f t="shared" si="40"/>
        <v>-0.23553516420158688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>
        <v>271.10440599999998</v>
      </c>
      <c r="F621">
        <v>1193329.1510000001</v>
      </c>
      <c r="G621">
        <v>6294.175553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417862.02095647092</v>
      </c>
      <c r="N621" s="1">
        <f t="shared" si="40"/>
        <v>4539195.1509742169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>
        <v>11436.989229999999</v>
      </c>
      <c r="F622">
        <v>1504763.4509999999</v>
      </c>
      <c r="G622">
        <v>7509.356162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20429637.478630051</v>
      </c>
      <c r="N622" s="1">
        <f t="shared" si="40"/>
        <v>6276179.1130680479</v>
      </c>
      <c r="O622" s="1"/>
    </row>
    <row r="623" spans="1:15" x14ac:dyDescent="0.25">
      <c r="A623">
        <v>970</v>
      </c>
      <c r="B623">
        <v>150778.6139</v>
      </c>
      <c r="C623" s="1">
        <v>1.1600000000000001E-5</v>
      </c>
      <c r="D623">
        <v>963034.52190000005</v>
      </c>
      <c r="E623">
        <v>6338.8552600000003</v>
      </c>
      <c r="F623">
        <v>1582930.62</v>
      </c>
      <c r="G623">
        <v>9273.4883960000006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8.8763028437798E-2</v>
      </c>
      <c r="M623" s="1">
        <f t="shared" si="39"/>
        <v>16267772.646685604</v>
      </c>
      <c r="N623" s="1">
        <f t="shared" si="40"/>
        <v>11135355.072890883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>
        <v>2640.819426</v>
      </c>
      <c r="F624">
        <v>1558722.6540000001</v>
      </c>
      <c r="G624">
        <v>4986.0458840000001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2035258.8951379273</v>
      </c>
      <c r="N624" s="1">
        <f t="shared" si="40"/>
        <v>1797963.6384042667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>
        <v>1609.4984549999999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7400798.9697782639</v>
      </c>
      <c r="O625" s="1"/>
    </row>
    <row r="626" spans="1:15" x14ac:dyDescent="0.25">
      <c r="A626">
        <v>973</v>
      </c>
      <c r="B626">
        <v>20651.81091</v>
      </c>
      <c r="C626" s="1">
        <v>1.5999999999999999E-6</v>
      </c>
      <c r="D626">
        <v>208951.47750000001</v>
      </c>
      <c r="E626" s="1">
        <v>-2.1670000000000001E-5</v>
      </c>
      <c r="F626">
        <v>1096784.1939999999</v>
      </c>
      <c r="G626">
        <v>475.28188189999997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2.9824176160583998E-2</v>
      </c>
      <c r="M626" s="1">
        <f t="shared" si="39"/>
        <v>-0.13547230541650812</v>
      </c>
      <c r="N626" s="1">
        <f t="shared" si="40"/>
        <v>1390229.6522263337</v>
      </c>
      <c r="O626" s="1"/>
    </row>
    <row r="627" spans="1:15" x14ac:dyDescent="0.25">
      <c r="A627">
        <v>974</v>
      </c>
      <c r="B627">
        <v>53872.163809999998</v>
      </c>
      <c r="C627" s="1">
        <v>-2.2000000000000001E-6</v>
      </c>
      <c r="D627">
        <v>728534.63950000005</v>
      </c>
      <c r="E627">
        <v>5876.8801869999998</v>
      </c>
      <c r="F627">
        <v>1431634.64</v>
      </c>
      <c r="G627">
        <v>7995.0465379999996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-4.1560185387863997E-2</v>
      </c>
      <c r="M627" s="1">
        <f t="shared" si="39"/>
        <v>37234435.074215867</v>
      </c>
      <c r="N627" s="1">
        <f t="shared" si="40"/>
        <v>23700778.225871179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>
        <v>4014.5837630000001</v>
      </c>
      <c r="F628">
        <v>1214880.43</v>
      </c>
      <c r="G628">
        <v>3823.8613350000001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11486841.178052047</v>
      </c>
      <c r="N628" s="1">
        <f t="shared" si="40"/>
        <v>5119244.8941010768</v>
      </c>
      <c r="O628" s="1"/>
    </row>
    <row r="629" spans="1:15" x14ac:dyDescent="0.25">
      <c r="A629">
        <v>976</v>
      </c>
      <c r="B629">
        <v>2113.3096019999998</v>
      </c>
      <c r="C629" s="1">
        <v>0</v>
      </c>
      <c r="D629">
        <v>13759.991249999999</v>
      </c>
      <c r="E629" s="1">
        <v>9.0000099999999999E-7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4.3838308819068098E-3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>
        <v>843.51929210000003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2231493.8104748651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 s="1">
        <v>-4.0001E-6</v>
      </c>
      <c r="F631">
        <v>441928.91629999998</v>
      </c>
      <c r="G631">
        <v>6141.0172780000003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-3.9955225393939059E-2</v>
      </c>
      <c r="N631" s="1">
        <f t="shared" si="40"/>
        <v>28700319.657189239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>
        <v>4070.2202820000002</v>
      </c>
      <c r="F632">
        <v>1114099.9990000001</v>
      </c>
      <c r="G632">
        <v>1069.5601019999999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21884572.783224728</v>
      </c>
      <c r="N632" s="1">
        <f t="shared" si="40"/>
        <v>2690723.2481119949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-3.8430000000000003E-5</v>
      </c>
      <c r="F633">
        <v>1137815.531</v>
      </c>
      <c r="G633">
        <v>475.281946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-0.10447864370393468</v>
      </c>
      <c r="N633" s="1">
        <f t="shared" si="40"/>
        <v>604577.71853683284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>
        <v>843.51923429999999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2390964.5430253111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-3.5049999999999998E-5</v>
      </c>
      <c r="F635">
        <v>1008634.853</v>
      </c>
      <c r="G635">
        <v>1762.0868929999999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-0.1799974633598686</v>
      </c>
      <c r="N635" s="1">
        <f t="shared" si="40"/>
        <v>4233985.4516989579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 s="1">
        <v>2.6568999999999999E-5</v>
      </c>
      <c r="F636">
        <v>972884.66619999998</v>
      </c>
      <c r="G636">
        <v>8083.2230719999998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0.25752122696610918</v>
      </c>
      <c r="N636" s="1">
        <f t="shared" si="40"/>
        <v>36657772.057057709</v>
      </c>
      <c r="O636" s="1"/>
    </row>
    <row r="637" spans="1:15" x14ac:dyDescent="0.25">
      <c r="A637">
        <v>984</v>
      </c>
      <c r="B637">
        <v>3024.2682639999998</v>
      </c>
      <c r="C637" s="1">
        <v>9.9999999999999995E-8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5.2562201901624993E-3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2.6089999999999999E-5</v>
      </c>
      <c r="F638">
        <v>729847.50410000002</v>
      </c>
      <c r="G638">
        <v>2595.1513450000002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6.8234857955753847E-2</v>
      </c>
      <c r="N638" s="1">
        <f t="shared" si="40"/>
        <v>3175693.5074381502</v>
      </c>
      <c r="O638" s="1"/>
    </row>
    <row r="639" spans="1:15" x14ac:dyDescent="0.25">
      <c r="A639">
        <v>1000</v>
      </c>
      <c r="B639">
        <v>9102.3904789999997</v>
      </c>
      <c r="C639" s="1">
        <v>-4.9999999999999998E-7</v>
      </c>
      <c r="D639">
        <v>56052.59302</v>
      </c>
      <c r="E639" s="1">
        <v>2.8999799999999997E-7</v>
      </c>
      <c r="F639">
        <v>200462.03820000001</v>
      </c>
      <c r="G639" s="1">
        <v>1.358E-5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-1.435333470020125E-2</v>
      </c>
      <c r="M639" s="1">
        <f t="shared" si="39"/>
        <v>2.792035574439365E-3</v>
      </c>
      <c r="N639" s="1">
        <f t="shared" si="40"/>
        <v>6.1174354133325441E-2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 s="1">
        <v>-5.82001E-6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-3.2868579881785084E-2</v>
      </c>
      <c r="O640" s="1"/>
    </row>
    <row r="641" spans="1:15" x14ac:dyDescent="0.25">
      <c r="A641">
        <v>1002</v>
      </c>
      <c r="B641">
        <v>10370.900030000001</v>
      </c>
      <c r="C641" s="1">
        <v>1.5E-6</v>
      </c>
      <c r="D641">
        <v>63756.014289999999</v>
      </c>
      <c r="E641" s="1">
        <v>3.9199999999999997E-6</v>
      </c>
      <c r="F641">
        <v>198836.57949999999</v>
      </c>
      <c r="G641" s="1">
        <v>-1.5529999999999999E-5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3.6708085543837504E-2</v>
      </c>
      <c r="M641" s="1">
        <f t="shared" si="39"/>
        <v>3.217360162291464E-2</v>
      </c>
      <c r="N641" s="1">
        <f t="shared" si="40"/>
        <v>-5.9638779473406393E-2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-1.802E-5</v>
      </c>
      <c r="F642">
        <v>414755.84029999998</v>
      </c>
      <c r="G642" s="1">
        <v>-3.7809999999999999E-5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-7.0034257301909833E-2</v>
      </c>
      <c r="N642" s="1">
        <f t="shared" si="40"/>
        <v>-6.8755286530687493E-2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 s="1">
        <v>-2.932E-5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-0.11510144087228785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 s="1">
        <v>-3.5280000000000001E-5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-0.13519972255202736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-4.2339999999999998E-5</v>
      </c>
      <c r="F645">
        <v>860006.26930000004</v>
      </c>
      <c r="G645">
        <v>271.10438970000001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-0.11517413585256153</v>
      </c>
      <c r="N645" s="1">
        <f t="shared" si="44"/>
        <v>345051.83124081005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2.2714999999999999E-5</v>
      </c>
      <c r="F646">
        <v>1303767.1680000001</v>
      </c>
      <c r="G646">
        <v>12770.728709999999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7.9952959086116382E-2</v>
      </c>
      <c r="N646" s="1">
        <f t="shared" si="44"/>
        <v>21032028.325693775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 s="1">
        <v>4.0439999999999999E-5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0.12037055071495667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 s="1">
        <v>-3.81999E-6</v>
      </c>
      <c r="F648">
        <v>1135935.004</v>
      </c>
      <c r="G648">
        <v>5201.0463289999998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-1.9217170987102062E-2</v>
      </c>
      <c r="N648" s="1">
        <f t="shared" si="44"/>
        <v>12242260.847043999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 s="1">
        <v>-2.179E-5</v>
      </c>
      <c r="F649">
        <v>347676.27510000003</v>
      </c>
      <c r="G649" s="1">
        <v>1.71899E-5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-0.13326908277524943</v>
      </c>
      <c r="N649" s="1">
        <f t="shared" si="44"/>
        <v>4.9191402716468408E-2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 s="1">
        <v>4.7240000000000002E-5</v>
      </c>
      <c r="F650">
        <v>844267.11399999994</v>
      </c>
      <c r="G650">
        <v>4070.2202349999998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0.31159984584083883</v>
      </c>
      <c r="N650" s="1">
        <f t="shared" si="44"/>
        <v>12561714.898347965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 s="1">
        <v>8.4400099999999995E-6</v>
      </c>
      <c r="F651">
        <v>319813.01380000002</v>
      </c>
      <c r="G651" s="1">
        <v>2.9655E-5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3.5067368641381699E-2</v>
      </c>
      <c r="N651" s="1">
        <f t="shared" si="44"/>
        <v>5.7650333526680884E-2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 s="1">
        <v>1.044E-5</v>
      </c>
      <c r="F652">
        <v>821857.69739999995</v>
      </c>
      <c r="G652">
        <v>5667.1760789999998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4.0514392103237103E-2</v>
      </c>
      <c r="N652" s="1">
        <f t="shared" si="44"/>
        <v>10290090.937218605</v>
      </c>
      <c r="O652" s="1"/>
    </row>
    <row r="653" spans="1:15" x14ac:dyDescent="0.25">
      <c r="A653">
        <v>1014</v>
      </c>
      <c r="B653">
        <v>898.89670639999997</v>
      </c>
      <c r="C653" s="1">
        <v>0</v>
      </c>
      <c r="D653">
        <v>61095.371489999998</v>
      </c>
      <c r="E653" s="1">
        <v>-4.4900000000000002E-6</v>
      </c>
      <c r="F653">
        <v>130128.86169999999</v>
      </c>
      <c r="G653" s="1">
        <v>1.434E-5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0.15962321234712007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4.7462000000000001E-5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6.3184568651494979E-2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-2.0978000000000001E-5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-6.3377604561732429E-2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 s="1">
        <v>-2.4539999999999999E-5</v>
      </c>
      <c r="F656">
        <v>322515.88890000002</v>
      </c>
      <c r="G656" s="1">
        <v>1.6716999999999999E-5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-7.2734124879520162E-2</v>
      </c>
      <c r="N656" s="1">
        <f t="shared" si="44"/>
        <v>2.3182788873495386E-2</v>
      </c>
      <c r="O656" s="1"/>
    </row>
    <row r="657" spans="1:15" x14ac:dyDescent="0.25">
      <c r="A657">
        <v>1018</v>
      </c>
      <c r="B657">
        <v>54884.157010000003</v>
      </c>
      <c r="C657" s="1">
        <v>3.9999999999999998E-6</v>
      </c>
      <c r="D657">
        <v>124455.74430000001</v>
      </c>
      <c r="E657" s="1">
        <v>-1.6290000000000002E-5</v>
      </c>
      <c r="F657">
        <v>366546.26990000001</v>
      </c>
      <c r="G657" s="1">
        <v>-3.6788000000000001E-5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6.196778689192E-2</v>
      </c>
      <c r="M657" s="1">
        <f t="shared" si="43"/>
        <v>-8.4638940063970824E-2</v>
      </c>
      <c r="N657" s="1">
        <f t="shared" si="44"/>
        <v>-8.9433244733213554E-2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-1.0370000000000001E-5</v>
      </c>
      <c r="F658">
        <v>951475.64480000001</v>
      </c>
      <c r="G658">
        <v>143.08558120000001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-2.5674745290873473E-2</v>
      </c>
      <c r="N658" s="1">
        <f t="shared" si="44"/>
        <v>165755.11439795131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-4.9750000000000003E-5</v>
      </c>
      <c r="F659">
        <v>364288.27269999997</v>
      </c>
      <c r="G659" s="1">
        <v>-3.3643000000000003E-5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-0.21011001775482116</v>
      </c>
      <c r="N659" s="1">
        <f t="shared" si="44"/>
        <v>-6.6480161853966699E-2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2.942E-5</v>
      </c>
      <c r="F660">
        <v>697128.55929999996</v>
      </c>
      <c r="G660">
        <v>1005.412241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4.6299634724988895E-2</v>
      </c>
      <c r="N660" s="1">
        <f t="shared" si="44"/>
        <v>740325.55860488012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0.1122291448974797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-4.8040000000000001E-5</v>
      </c>
      <c r="F662">
        <v>935330.77879999997</v>
      </c>
      <c r="G662">
        <v>5608.2382939999998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-6.1867363509134195E-2</v>
      </c>
      <c r="N662" s="1">
        <f t="shared" si="44"/>
        <v>3379315.5505385376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-4.5729999999999998E-5</v>
      </c>
      <c r="F663">
        <v>768423.6764</v>
      </c>
      <c r="G663" s="1">
        <v>-4.9802899999999997E-5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-6.4088871299119138E-2</v>
      </c>
      <c r="N663" s="1">
        <f t="shared" si="44"/>
        <v>-3.2657259115544159E-2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-8.4499800000000007E-6</v>
      </c>
      <c r="F664">
        <v>1017261.339</v>
      </c>
      <c r="G664">
        <v>350.36898209999998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-3.1580040472283064E-2</v>
      </c>
      <c r="N664" s="1">
        <f t="shared" si="44"/>
        <v>612669.59882982145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1.325E-5</v>
      </c>
      <c r="F665">
        <v>1029765.633</v>
      </c>
      <c r="G665">
        <v>4706.1049830000002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1.7978017138657102E-2</v>
      </c>
      <c r="N665" s="1">
        <f t="shared" si="44"/>
        <v>2987660.1960016428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-4.4159999999999997E-5</v>
      </c>
      <c r="F666">
        <v>929514.86029999994</v>
      </c>
      <c r="G666">
        <v>1063.9173109999999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-0.18312180340117015</v>
      </c>
      <c r="N666" s="1">
        <f t="shared" si="44"/>
        <v>2064251.1986567248</v>
      </c>
      <c r="O666" s="1"/>
    </row>
    <row r="667" spans="1:15" x14ac:dyDescent="0.25">
      <c r="A667">
        <v>1028</v>
      </c>
      <c r="B667">
        <v>56813.14789</v>
      </c>
      <c r="C667" s="1">
        <v>3.1700000000000001E-6</v>
      </c>
      <c r="D667">
        <v>130031.89659999999</v>
      </c>
      <c r="E667" s="1">
        <v>-1.5379999999999998E-5</v>
      </c>
      <c r="F667">
        <v>480998.68369999999</v>
      </c>
      <c r="G667" s="1">
        <v>-1.8275E-5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3.0555241363468252E-2</v>
      </c>
      <c r="M667" s="1">
        <f t="shared" si="43"/>
        <v>-4.9719405703999457E-2</v>
      </c>
      <c r="N667" s="1">
        <f t="shared" si="44"/>
        <v>-2.7642076031823826E-2</v>
      </c>
      <c r="O667" s="1"/>
    </row>
    <row r="668" spans="1:15" x14ac:dyDescent="0.25">
      <c r="A668">
        <v>1029</v>
      </c>
      <c r="B668">
        <v>66460.975879999998</v>
      </c>
      <c r="C668" s="1">
        <v>-4.1400000000000002E-6</v>
      </c>
      <c r="D668">
        <v>144025.12899999999</v>
      </c>
      <c r="E668" s="1">
        <v>3.2270000000000001E-5</v>
      </c>
      <c r="F668">
        <v>523666.60639999999</v>
      </c>
      <c r="G668" s="1">
        <v>-6.0349700000000003E-6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-4.6899503224575298E-2</v>
      </c>
      <c r="M668" s="1">
        <f t="shared" si="43"/>
        <v>0.12260551440149975</v>
      </c>
      <c r="N668" s="1">
        <f t="shared" si="44"/>
        <v>-1.0728273388135248E-2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>
        <v>16972.59317</v>
      </c>
      <c r="F669">
        <v>1527692.63</v>
      </c>
      <c r="G669">
        <v>9100.5204819999999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8862733.0056982338</v>
      </c>
      <c r="N669" s="1">
        <f t="shared" si="44"/>
        <v>2223460.273740198</v>
      </c>
      <c r="O669" s="1"/>
    </row>
    <row r="670" spans="1:15" x14ac:dyDescent="0.25">
      <c r="A670">
        <v>1031</v>
      </c>
      <c r="B670">
        <v>17856.728429999999</v>
      </c>
      <c r="C670" s="1">
        <v>-1.1000000000000001E-6</v>
      </c>
      <c r="D670">
        <v>311150.2268</v>
      </c>
      <c r="E670" s="1">
        <v>1.6524999999999998E-5</v>
      </c>
      <c r="F670">
        <v>914630.17799999996</v>
      </c>
      <c r="G670">
        <v>2740.8675560000001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-5.9347824761582506E-2</v>
      </c>
      <c r="M670" s="1">
        <f t="shared" si="43"/>
        <v>0.29901758225505298</v>
      </c>
      <c r="N670" s="1">
        <f t="shared" si="44"/>
        <v>23205289.224665571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-2.4700099999999999E-6</v>
      </c>
      <c r="F671">
        <v>239977.7665</v>
      </c>
      <c r="G671" s="1">
        <v>-1.8117999999999998E-5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-3.2257281053354334E-2</v>
      </c>
      <c r="N671" s="1">
        <f t="shared" si="44"/>
        <v>-0.11070901330287809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 s="1">
        <v>7.9269800000000008E-6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3.7895779245468914E-2</v>
      </c>
      <c r="O672" s="1"/>
    </row>
    <row r="673" spans="1:15" x14ac:dyDescent="0.25">
      <c r="A673">
        <v>1034</v>
      </c>
      <c r="B673">
        <v>4410.5153760000003</v>
      </c>
      <c r="C673" s="1">
        <v>-1.9999999999999999E-7</v>
      </c>
      <c r="D673">
        <v>17769.50635</v>
      </c>
      <c r="E673" s="1">
        <v>3.6100000000000002E-6</v>
      </c>
      <c r="F673">
        <v>89989.981150000007</v>
      </c>
      <c r="G673" s="1">
        <v>-4.9000699999999995E-7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-7.3544507455249996E-3</v>
      </c>
      <c r="M673" s="1">
        <f t="shared" si="43"/>
        <v>4.4521581905486649E-2</v>
      </c>
      <c r="N673" s="1">
        <f t="shared" si="44"/>
        <v>-2.8275438410705523E-3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4.9998899999999999E-7</v>
      </c>
      <c r="F674">
        <v>178840.24960000001</v>
      </c>
      <c r="G674" s="1">
        <v>-2.2212999999999999E-5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2.3967189258146944E-3</v>
      </c>
      <c r="N674" s="1">
        <f t="shared" si="44"/>
        <v>-4.9820439030488252E-2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4.3044999999999999E-5</v>
      </c>
      <c r="F675">
        <v>1016788.807</v>
      </c>
      <c r="G675">
        <v>1736.115035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8.5009110496000337E-2</v>
      </c>
      <c r="N675" s="1">
        <f t="shared" si="44"/>
        <v>1604223.7293909846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-2.7780000000000002E-5</v>
      </c>
      <c r="F676">
        <v>729601.71440000006</v>
      </c>
      <c r="G676">
        <v>3520.3005819999998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-3.6227155201603106E-2</v>
      </c>
      <c r="N676" s="1">
        <f t="shared" si="44"/>
        <v>2147956.1735261967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3.7072E-5</v>
      </c>
      <c r="F677">
        <v>708374.67130000005</v>
      </c>
      <c r="G677">
        <v>1188.1031929999999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0.21748472536254929</v>
      </c>
      <c r="N677" s="1">
        <f t="shared" si="44"/>
        <v>3261223.6659806599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3.8787E-5</v>
      </c>
      <c r="F678">
        <v>578421.05779999995</v>
      </c>
      <c r="G678" s="1">
        <v>1.8682099999999999E-5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0.22359781227880746</v>
      </c>
      <c r="N678" s="1">
        <f t="shared" si="44"/>
        <v>5.0390739337252966E-2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1.66999E-6</v>
      </c>
      <c r="F679">
        <v>237299.10930000001</v>
      </c>
      <c r="G679" s="1">
        <v>-1.2378000000000001E-5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2.2841178118598083E-2</v>
      </c>
      <c r="N679" s="1">
        <f t="shared" si="44"/>
        <v>-7.9213424067376789E-2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3.8027E-5</v>
      </c>
      <c r="F680">
        <v>375155.75199999998</v>
      </c>
      <c r="G680" s="1">
        <v>4.7071999999999999E-5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0.26577962728342885</v>
      </c>
      <c r="N680" s="1">
        <f t="shared" si="44"/>
        <v>0.15393449545380086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1.6925000000000001E-5</v>
      </c>
      <c r="F681">
        <v>262767.86349999998</v>
      </c>
      <c r="G681" s="1">
        <v>-1.4868000000000001E-5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0.10163249294263597</v>
      </c>
      <c r="N681" s="1">
        <f t="shared" si="44"/>
        <v>-4.1773429544063365E-2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3.0380000000000001E-5</v>
      </c>
      <c r="F682">
        <v>308374.9534</v>
      </c>
      <c r="G682" s="1">
        <v>-3.8608E-5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6.160583780137948E-2</v>
      </c>
      <c r="N682" s="1">
        <f t="shared" si="44"/>
        <v>-3.6631531934221154E-2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-2.0784999999999998E-5</v>
      </c>
      <c r="F683">
        <v>588826.24589999998</v>
      </c>
      <c r="G683" s="1">
        <v>-1.6538E-5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-0.15318247551165795</v>
      </c>
      <c r="N683" s="1">
        <f t="shared" si="44"/>
        <v>-5.7027682181090278E-2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4.2484999999999997E-5</v>
      </c>
      <c r="F684">
        <v>855890.08550000004</v>
      </c>
      <c r="G684">
        <v>1554.7703919999999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0.30098103547420152</v>
      </c>
      <c r="N684" s="1">
        <f t="shared" si="44"/>
        <v>5153632.5347312652</v>
      </c>
      <c r="O684" s="1"/>
    </row>
    <row r="685" spans="1:15" x14ac:dyDescent="0.25">
      <c r="A685">
        <v>1046</v>
      </c>
      <c r="B685">
        <v>55578.427759999999</v>
      </c>
      <c r="C685" s="1">
        <v>-2.4999999999999999E-7</v>
      </c>
      <c r="D685">
        <v>166334.21909999999</v>
      </c>
      <c r="E685" s="1">
        <v>-7.4849799999999998E-6</v>
      </c>
      <c r="F685">
        <v>769574.49470000004</v>
      </c>
      <c r="G685" s="1">
        <v>3.6860000000000003E-5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-1.204020551134375E-3</v>
      </c>
      <c r="M685" s="1">
        <f t="shared" si="43"/>
        <v>-1.2090038180756249E-2</v>
      </c>
      <c r="N685" s="1">
        <f t="shared" si="44"/>
        <v>2.7857108593913434E-2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1.8680000000000001E-5</v>
      </c>
      <c r="F686">
        <v>720714.72600000002</v>
      </c>
      <c r="G686">
        <v>3520.300542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3.689732696849559E-2</v>
      </c>
      <c r="N686" s="1">
        <f t="shared" si="44"/>
        <v>3253429.8992214897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 s="1">
        <v>1.9215000000000002E-5</v>
      </c>
      <c r="F687">
        <v>1084773.4720000001</v>
      </c>
      <c r="G687">
        <v>3976.6834520000002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5.572595606777931E-2</v>
      </c>
      <c r="N687" s="1">
        <f t="shared" si="44"/>
        <v>5396122.9899340225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>
        <v>919.05331809999996</v>
      </c>
      <c r="F688">
        <v>1252087.183</v>
      </c>
      <c r="G688">
        <v>4018.103149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791230.16186370328</v>
      </c>
      <c r="N688" s="1">
        <f t="shared" si="44"/>
        <v>1618552.8561521131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-2.9155100000000001E-5</v>
      </c>
      <c r="F689">
        <v>1359188.3929999999</v>
      </c>
      <c r="G689">
        <v>4599.8038999999999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-1.6249305937604125E-2</v>
      </c>
      <c r="N689" s="1">
        <f t="shared" si="44"/>
        <v>1199508.3498313513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2725.8764179999998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7607233.651980442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4.8949999999999997E-5</v>
      </c>
      <c r="F691">
        <v>1286554.51</v>
      </c>
      <c r="G691">
        <v>9177.9570700000004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4.6277212989132392E-2</v>
      </c>
      <c r="N691" s="1">
        <f t="shared" si="44"/>
        <v>4059795.8937332951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2108.3845080000001</v>
      </c>
      <c r="F692">
        <v>1287319.922</v>
      </c>
      <c r="G692">
        <v>2130.1637390000001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1963326.552263034</v>
      </c>
      <c r="N692" s="1">
        <f t="shared" si="44"/>
        <v>928109.86605819489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-3.5630000000000003E-5</v>
      </c>
      <c r="F693">
        <v>1275241.5759999999</v>
      </c>
      <c r="G693">
        <v>13655.188920000001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-2.6291444969925446E-2</v>
      </c>
      <c r="N693" s="1">
        <f t="shared" si="44"/>
        <v>4714547.592933977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1102.9722280000001</v>
      </c>
      <c r="F694">
        <v>1544090.405</v>
      </c>
      <c r="G694">
        <v>3915.5864550000001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647973.44877311133</v>
      </c>
      <c r="N694" s="1">
        <f t="shared" si="44"/>
        <v>1076299.4763056908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 s="1">
        <v>-4.6184999999999999E-5</v>
      </c>
      <c r="F695">
        <v>1177859.8829999999</v>
      </c>
      <c r="G695">
        <v>1819.970431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-0.17351679620976909</v>
      </c>
      <c r="N695" s="1">
        <f t="shared" si="44"/>
        <v>3199252.9759285334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 s="1">
        <v>1.8754999999999999E-5</v>
      </c>
      <c r="F696">
        <v>1377311.9450000001</v>
      </c>
      <c r="G696">
        <v>2287.32233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1.5805611266568709E-2</v>
      </c>
      <c r="N696" s="1">
        <f t="shared" si="44"/>
        <v>901914.30642614304</v>
      </c>
      <c r="O696" s="1"/>
    </row>
    <row r="697" spans="1:15" x14ac:dyDescent="0.25">
      <c r="A697">
        <v>1058</v>
      </c>
      <c r="B697">
        <v>110225.30070000001</v>
      </c>
      <c r="C697" s="1">
        <v>3.4999999999999997E-5</v>
      </c>
      <c r="D697">
        <v>563009.9301</v>
      </c>
      <c r="E697" s="1">
        <v>-3.1714999999999997E-5</v>
      </c>
      <c r="F697">
        <v>1313881.5789999999</v>
      </c>
      <c r="G697">
        <v>2815.7786390000001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0.1248854978951125</v>
      </c>
      <c r="M697" s="1">
        <f t="shared" si="43"/>
        <v>-3.7953498783827755E-2</v>
      </c>
      <c r="N697" s="1">
        <f t="shared" si="44"/>
        <v>1576628.200614576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5649.5572670000001</v>
      </c>
      <c r="F698">
        <v>1457460.057</v>
      </c>
      <c r="G698">
        <v>5081.3458529999998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4672210.8885404207</v>
      </c>
      <c r="N698" s="1">
        <f t="shared" si="44"/>
        <v>1966212.5125356044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-4.172E-5</v>
      </c>
      <c r="F699">
        <v>1006900.492</v>
      </c>
      <c r="G699">
        <v>844.67283659999998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-0.13720054354370295</v>
      </c>
      <c r="N699" s="1">
        <f t="shared" si="44"/>
        <v>1299701.8540387626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-4.85001E-6</v>
      </c>
      <c r="F700">
        <v>968265.29799999995</v>
      </c>
      <c r="G700" s="1">
        <v>1.7419999999999999E-5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-2.0264718633759213E-2</v>
      </c>
      <c r="N700" s="1">
        <f t="shared" si="44"/>
        <v>3.4055696978898431E-2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-1.1765E-5</v>
      </c>
      <c r="F701">
        <v>1189617.3060000001</v>
      </c>
      <c r="G701">
        <v>6159.9541019999997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-1.5396437967179589E-2</v>
      </c>
      <c r="N701" s="1">
        <f t="shared" si="44"/>
        <v>3771807.1498168949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 s="1">
        <v>-3.0405000000000001E-5</v>
      </c>
      <c r="F702">
        <v>947457.81460000004</v>
      </c>
      <c r="G702" s="1">
        <v>9.1189300000000005E-6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-0.10919650261789987</v>
      </c>
      <c r="N702" s="1">
        <f t="shared" si="44"/>
        <v>1.5323263901998776E-2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3.275E-6</v>
      </c>
      <c r="F703">
        <v>913588.90700000001</v>
      </c>
      <c r="G703" s="1">
        <v>2.6628999999999999E-5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5.2739715387015371E-3</v>
      </c>
      <c r="N703" s="1">
        <f t="shared" si="44"/>
        <v>2.0064346223988359E-2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2.1585000000000001E-5</v>
      </c>
      <c r="F704">
        <v>1015040.48</v>
      </c>
      <c r="G704">
        <v>783.43028500000003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3.0525602968565574E-2</v>
      </c>
      <c r="N704" s="1">
        <f t="shared" si="44"/>
        <v>518389.54315729323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 s="1">
        <v>4.4495E-5</v>
      </c>
      <c r="F705">
        <v>774322.48609999998</v>
      </c>
      <c r="G705">
        <v>6974.412002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0.15149195920219052</v>
      </c>
      <c r="N705" s="1">
        <f t="shared" si="44"/>
        <v>11110398.810252642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-2.0650000000000001E-6</v>
      </c>
      <c r="F706">
        <v>514139.63010000001</v>
      </c>
      <c r="G706" s="1">
        <v>-4.9240999999999998E-5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-7.8134346415992938E-3</v>
      </c>
      <c r="N706" s="1">
        <f t="shared" si="44"/>
        <v>-8.7175103158968967E-2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1.9299899999999999E-6</v>
      </c>
      <c r="F707">
        <v>234143.57740000001</v>
      </c>
      <c r="G707" s="1">
        <v>3.2835E-5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2.0679882421153928E-2</v>
      </c>
      <c r="N707" s="1">
        <f t="shared" ref="N707:N770" si="48">$U$4*$K707*G707</f>
        <v>0.16461662944504518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-3.0255000000000001E-5</v>
      </c>
      <c r="F708">
        <v>938367.59849999996</v>
      </c>
      <c r="G708">
        <v>1569.0857129999999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-4.5751585497779135E-2</v>
      </c>
      <c r="N708" s="1">
        <f t="shared" si="48"/>
        <v>1110195.1809420611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-3.2329999999999997E-5</v>
      </c>
      <c r="F709">
        <v>335645.84409999999</v>
      </c>
      <c r="G709" s="1">
        <v>-1.0139999999999999E-5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-9.5781617015347778E-2</v>
      </c>
      <c r="N709" s="1">
        <f t="shared" si="48"/>
        <v>-1.4055881696869428E-2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 s="1">
        <v>3.6729E-5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8.4594962975054297E-2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2.0574999999999999E-5</v>
      </c>
      <c r="F711">
        <v>522728.07040000003</v>
      </c>
      <c r="G711" s="1">
        <v>1.185E-5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6.1484349853728845E-2</v>
      </c>
      <c r="N711" s="1">
        <f t="shared" si="48"/>
        <v>1.65686364872757E-2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-4.5469999999999997E-5</v>
      </c>
      <c r="F712">
        <v>1007351.741</v>
      </c>
      <c r="G712">
        <v>-2.6137000000000003E-4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-1.8323439365909758E-2</v>
      </c>
      <c r="N712" s="1">
        <f t="shared" si="48"/>
        <v>-4.9281220746506829E-2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2.1970000000000001E-5</v>
      </c>
      <c r="F713">
        <v>1253946.916</v>
      </c>
      <c r="G713">
        <v>5264.3124639999996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1.1331569082350045E-2</v>
      </c>
      <c r="N713" s="1">
        <f t="shared" si="48"/>
        <v>1270414.1753773959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2.7654999999999999E-5</v>
      </c>
      <c r="F714">
        <v>279683.3273</v>
      </c>
      <c r="G714" s="1">
        <v>-3.3030000000000001E-5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0.21049072070266719</v>
      </c>
      <c r="N714" s="1">
        <f t="shared" si="48"/>
        <v>-0.11762822514808577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-2.5570000000000001E-5</v>
      </c>
      <c r="F715">
        <v>562664.36800000002</v>
      </c>
      <c r="G715" s="1">
        <v>-3.3884999999999998E-5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-0.31259856764126992</v>
      </c>
      <c r="N715" s="1">
        <f t="shared" si="48"/>
        <v>-0.19382394279805606</v>
      </c>
      <c r="O715" s="1"/>
    </row>
    <row r="716" spans="1:15" x14ac:dyDescent="0.25">
      <c r="A716">
        <v>1077</v>
      </c>
      <c r="B716">
        <v>25795.031200000001</v>
      </c>
      <c r="C716" s="1">
        <v>4.7600000000000002E-6</v>
      </c>
      <c r="D716">
        <v>113909.318</v>
      </c>
      <c r="E716" s="1">
        <v>-5.9750000000000004E-6</v>
      </c>
      <c r="F716">
        <v>264526.60330000002</v>
      </c>
      <c r="G716" s="1">
        <v>-2.6150400000000002E-6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0.18092878168392304</v>
      </c>
      <c r="M716" s="1">
        <f t="shared" si="47"/>
        <v>-7.616961363361148E-2</v>
      </c>
      <c r="N716" s="1">
        <f t="shared" si="48"/>
        <v>-1.5597890151254706E-2</v>
      </c>
      <c r="O716" s="1"/>
    </row>
    <row r="717" spans="1:15" x14ac:dyDescent="0.25">
      <c r="A717">
        <v>1078</v>
      </c>
      <c r="B717">
        <v>10063.02952</v>
      </c>
      <c r="C717" s="1">
        <v>1.1000000000000001E-6</v>
      </c>
      <c r="D717">
        <v>75941.798259999996</v>
      </c>
      <c r="E717" s="1">
        <v>2.6250100000000001E-6</v>
      </c>
      <c r="F717">
        <v>208715.1299</v>
      </c>
      <c r="G717" s="1">
        <v>3.2835E-5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2.3640827162559754E-2</v>
      </c>
      <c r="M717" s="1">
        <f t="shared" si="47"/>
        <v>1.8920999833255989E-2</v>
      </c>
      <c r="N717" s="1">
        <f t="shared" si="48"/>
        <v>0.11073727147976259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4.7250100000000004E-6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2.7807076251224319E-2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2.0845000000000001E-5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7.4324293970463862E-2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-1.7285000000000001E-5</v>
      </c>
      <c r="F720">
        <v>301886.30540000001</v>
      </c>
      <c r="G720" s="1">
        <v>-4.3775E-5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-0.11809919711746789</v>
      </c>
      <c r="N720" s="1">
        <f t="shared" si="48"/>
        <v>-0.13994178016399381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-3.4260000000000001E-5</v>
      </c>
      <c r="F721">
        <v>439069.88179999997</v>
      </c>
      <c r="G721" s="1">
        <v>3.29801E-5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-0.21178840392399134</v>
      </c>
      <c r="N721" s="1">
        <f t="shared" si="48"/>
        <v>9.5391672893452392E-2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4.7695000000000003E-5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0.20089665596742279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-3.2790000000000003E-5</v>
      </c>
      <c r="F723">
        <v>671734.77619999996</v>
      </c>
      <c r="G723">
        <v>7420.4434209999999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-0.19878650258198557</v>
      </c>
      <c r="N723" s="1">
        <f t="shared" si="48"/>
        <v>21048396.31647398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1.698E-5</v>
      </c>
      <c r="F724">
        <v>1149879.649</v>
      </c>
      <c r="G724">
        <v>972.80381769999997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7.7136414253312314E-3</v>
      </c>
      <c r="N724" s="1">
        <f t="shared" si="48"/>
        <v>206771.51272057017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-5.1649999999999997E-6</v>
      </c>
      <c r="F725">
        <v>302046.60139999999</v>
      </c>
      <c r="G725" s="1">
        <v>-1.0757999999999999E-5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-3.7545422611308381E-2</v>
      </c>
      <c r="N725" s="1">
        <f t="shared" si="48"/>
        <v>-3.6589956178362186E-2</v>
      </c>
      <c r="O725" s="1"/>
    </row>
    <row r="726" spans="1:15" x14ac:dyDescent="0.25">
      <c r="A726">
        <v>1088</v>
      </c>
      <c r="B726">
        <v>22888.5128</v>
      </c>
      <c r="C726" s="1">
        <v>4.8600000000000001E-6</v>
      </c>
      <c r="D726">
        <v>162301.40700000001</v>
      </c>
      <c r="E726" s="1">
        <v>4.0525000000000002E-5</v>
      </c>
      <c r="F726">
        <v>516162.69079999998</v>
      </c>
      <c r="G726" s="1">
        <v>3.7320000000000002E-5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0.25369966618003803</v>
      </c>
      <c r="M726" s="1">
        <f t="shared" si="47"/>
        <v>0.70949573152397494</v>
      </c>
      <c r="N726" s="1">
        <f t="shared" si="48"/>
        <v>0.30571171170230454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-2.7464999999999999E-5</v>
      </c>
      <c r="F727">
        <v>395033.10350000003</v>
      </c>
      <c r="G727" s="1">
        <v>3.4652E-5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-0.30656254072006739</v>
      </c>
      <c r="N727" s="1">
        <f t="shared" si="48"/>
        <v>0.18097203386883406</v>
      </c>
      <c r="O727" s="1"/>
    </row>
    <row r="728" spans="1:15" x14ac:dyDescent="0.25">
      <c r="A728">
        <v>1090</v>
      </c>
      <c r="B728">
        <v>4760.0882320000001</v>
      </c>
      <c r="C728" s="1">
        <v>0</v>
      </c>
      <c r="D728">
        <v>66196.156260000003</v>
      </c>
      <c r="E728" s="1">
        <v>1.9E-6</v>
      </c>
      <c r="F728">
        <v>195714.8714</v>
      </c>
      <c r="G728" s="1">
        <v>3.6171999999999999E-5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0.19248747342105518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1.7699899999999999E-6</v>
      </c>
      <c r="F729">
        <v>173450.60380000001</v>
      </c>
      <c r="G729" s="1">
        <v>-5.3000099999999999E-6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8.660199413321237E-3</v>
      </c>
      <c r="N729" s="1">
        <f t="shared" si="48"/>
        <v>-1.2133258401358466E-2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4.4984999999999997E-5</v>
      </c>
      <c r="F731">
        <v>1227401.588</v>
      </c>
      <c r="G731">
        <v>872.74299640000004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2.998761191855543E-2</v>
      </c>
      <c r="N731" s="1">
        <f t="shared" si="48"/>
        <v>272210.08273189975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-3.4375000000000002E-5</v>
      </c>
      <c r="F732">
        <v>1160440.7379999999</v>
      </c>
      <c r="G732">
        <v>2202.913536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-2.4242832667027564E-2</v>
      </c>
      <c r="N732" s="1">
        <f t="shared" si="48"/>
        <v>726911.9134991368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-6.3430099999999999E-6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-5.5450753880906352E-3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-1.4585E-5</v>
      </c>
      <c r="F734">
        <v>1023423.477</v>
      </c>
      <c r="G734">
        <v>2725.8012829999998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-1.5476666901604116E-2</v>
      </c>
      <c r="N734" s="1">
        <f t="shared" si="48"/>
        <v>1353346.0878461676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-3.3525000000000002E-5</v>
      </c>
      <c r="F735">
        <v>1208211.254</v>
      </c>
      <c r="G735">
        <v>5832.2729319999999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-3.489487305648032E-2</v>
      </c>
      <c r="N735" s="1">
        <f t="shared" si="48"/>
        <v>2840366.316588935</v>
      </c>
      <c r="O735" s="1"/>
    </row>
    <row r="736" spans="1:15" x14ac:dyDescent="0.25">
      <c r="A736">
        <v>1100</v>
      </c>
      <c r="B736">
        <v>2858.844047</v>
      </c>
      <c r="C736" s="1">
        <v>4.9999999999999998E-7</v>
      </c>
      <c r="D736">
        <v>20073.29839</v>
      </c>
      <c r="E736" s="1">
        <v>4.8300000000000003E-6</v>
      </c>
      <c r="F736">
        <v>239452.27540000001</v>
      </c>
      <c r="G736" s="1">
        <v>-3.6928000000000003E-5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1.4001161424184999E-2</v>
      </c>
      <c r="M736" s="1">
        <f t="shared" si="47"/>
        <v>4.5361178184558017E-2</v>
      </c>
      <c r="N736" s="1">
        <f t="shared" si="48"/>
        <v>-0.16226941133961531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-3.9437999999999997E-5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-0.29895187402613699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 s="1">
        <v>-3.88001E-6</v>
      </c>
      <c r="F738">
        <v>387467.82439999998</v>
      </c>
      <c r="G738" s="1">
        <v>-4.6947999999999998E-5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-5.1497888618764177E-2</v>
      </c>
      <c r="N738" s="1">
        <f t="shared" si="48"/>
        <v>-0.29155289138822749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-8.8529800000000001E-6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-6.0395099312833045E-2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-4.7833000000000001E-5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-0.10413083923032973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-2.5000199999999999E-7</v>
      </c>
      <c r="F741">
        <v>538656.53570000001</v>
      </c>
      <c r="G741" s="1">
        <v>-9.7879699999999997E-6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-2.4174763155634322E-3</v>
      </c>
      <c r="N741" s="1">
        <f t="shared" si="48"/>
        <v>-4.4284837217622108E-2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-4.2848E-5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-5.7067380753779394E-2</v>
      </c>
      <c r="O742" s="1"/>
    </row>
    <row r="743" spans="1:15" x14ac:dyDescent="0.25">
      <c r="A743">
        <v>1107</v>
      </c>
      <c r="B743">
        <v>8622.8795410000002</v>
      </c>
      <c r="C743" s="1">
        <v>0</v>
      </c>
      <c r="D743">
        <v>71137.64748</v>
      </c>
      <c r="E743" s="1">
        <v>6.1999899999999997E-7</v>
      </c>
      <c r="F743">
        <v>200528.53030000001</v>
      </c>
      <c r="G743" s="1">
        <v>4.4679999999999999E-5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8.4299349381495546E-3</v>
      </c>
      <c r="N743" s="1">
        <f t="shared" si="48"/>
        <v>0.28424319513718405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-1.0720000000000001E-5</v>
      </c>
      <c r="F744">
        <v>341611.02059999999</v>
      </c>
      <c r="G744" s="1">
        <v>-1.5908000000000001E-5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-6.809700116644922E-2</v>
      </c>
      <c r="N744" s="1">
        <f t="shared" si="48"/>
        <v>-4.7281632396232363E-2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4.4870000000000004E-6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1.780167063779068E-2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-2.3203000000000001E-5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-1.965589364577636E-2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2.9349999999999999E-5</v>
      </c>
      <c r="F747">
        <v>278349.62050000002</v>
      </c>
      <c r="G747" s="1">
        <v>3.5809999999999998E-5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8.1479678079170392E-2</v>
      </c>
      <c r="N747" s="1">
        <f t="shared" si="48"/>
        <v>4.6514590085732048E-2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-1.1499899999999999E-6</v>
      </c>
      <c r="F748">
        <v>280567.94069999998</v>
      </c>
      <c r="G748" s="1">
        <v>3.519E-5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-2.0502984103739825E-3</v>
      </c>
      <c r="N748" s="1">
        <f t="shared" si="48"/>
        <v>2.9355261678095827E-2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3.7880000000000003E-5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9.5696728005396775E-2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5.00004E-8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2.4833863783706921E-4</v>
      </c>
      <c r="O750" s="1"/>
    </row>
    <row r="751" spans="1:15" x14ac:dyDescent="0.25">
      <c r="A751">
        <v>1115</v>
      </c>
      <c r="B751">
        <v>3286.2414979999999</v>
      </c>
      <c r="C751" s="1">
        <v>1.8E-7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4.1758751417877004E-3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3.9280000000000003E-5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0.13496824157416168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-1.4599899999999999E-6</v>
      </c>
      <c r="F753">
        <v>251622.32810000001</v>
      </c>
      <c r="G753" s="1">
        <v>4.905E-5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-3.5134258229912135E-3</v>
      </c>
      <c r="N753" s="1">
        <f t="shared" si="48"/>
        <v>5.5228544467871947E-2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-4.85001E-6</v>
      </c>
      <c r="F754">
        <v>305816.83419999998</v>
      </c>
      <c r="G754" s="1">
        <v>-3.2230000000000001E-5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-4.4832813487726719E-2</v>
      </c>
      <c r="N754" s="1">
        <f t="shared" si="48"/>
        <v>-0.13939825701329975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-3.0660000000000001E-5</v>
      </c>
      <c r="F755">
        <v>271951.80339999998</v>
      </c>
      <c r="G755" s="1">
        <v>3.8550000000000002E-5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-8.6414342826933416E-2</v>
      </c>
      <c r="N755" s="1">
        <f t="shared" si="48"/>
        <v>5.0837213928105369E-2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 s="1">
        <v>-4.4499999999999997E-6</v>
      </c>
      <c r="F756">
        <v>242043.36840000001</v>
      </c>
      <c r="G756" s="1">
        <v>2.2240000000000001E-5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-2.9827103650037753E-2</v>
      </c>
      <c r="N756" s="1">
        <f t="shared" si="48"/>
        <v>6.9747642601832444E-2</v>
      </c>
      <c r="O756" s="1"/>
    </row>
    <row r="757" spans="1:15" x14ac:dyDescent="0.25">
      <c r="A757">
        <v>1121</v>
      </c>
      <c r="B757">
        <v>7611.5158000000001</v>
      </c>
      <c r="C757" s="1">
        <v>2.9999999999999999E-7</v>
      </c>
      <c r="D757">
        <v>75258.763860000006</v>
      </c>
      <c r="E757" s="1">
        <v>3.7399899999999999E-6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8.0688576726029998E-3</v>
      </c>
      <c r="M757" s="1">
        <f t="shared" si="47"/>
        <v>3.3736838192394619E-2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-4.8760000000000001E-5</v>
      </c>
      <c r="F758">
        <v>293318.91970000003</v>
      </c>
      <c r="G758" s="1">
        <v>4.5689999999999998E-5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-0.67214092457961361</v>
      </c>
      <c r="N758" s="1">
        <f t="shared" si="48"/>
        <v>0.29468733979690265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3.2549999999999998E-5</v>
      </c>
      <c r="F759">
        <v>287088.64299999998</v>
      </c>
      <c r="G759" s="1">
        <v>-4.7460000000000003E-5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0.38085546272256099</v>
      </c>
      <c r="N759" s="1">
        <f t="shared" si="48"/>
        <v>-0.25982480398580876</v>
      </c>
      <c r="O759" s="1"/>
    </row>
    <row r="760" spans="1:15" x14ac:dyDescent="0.25">
      <c r="A760">
        <v>1124</v>
      </c>
      <c r="B760">
        <v>14467.78724</v>
      </c>
      <c r="C760" s="1">
        <v>1.5999999999999999E-6</v>
      </c>
      <c r="D760">
        <v>103710.4455</v>
      </c>
      <c r="E760" s="1">
        <v>-3.1040000000000001E-5</v>
      </c>
      <c r="F760">
        <v>225589.7727</v>
      </c>
      <c r="G760" s="1">
        <v>3.0340000000000001E-5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3.3501399812555996E-2</v>
      </c>
      <c r="M760" s="1">
        <f t="shared" si="47"/>
        <v>-0.21797556936501822</v>
      </c>
      <c r="N760" s="1">
        <f t="shared" si="48"/>
        <v>9.9688569203770006E-2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1.224E-5</v>
      </c>
      <c r="F761">
        <v>376716.48300000001</v>
      </c>
      <c r="G761" s="1">
        <v>-3.9629999999999998E-5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7.7939405080606289E-2</v>
      </c>
      <c r="N761" s="1">
        <f t="shared" si="48"/>
        <v>-0.11807104829298269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3.8630000000000001E-5</v>
      </c>
      <c r="F762">
        <v>355246.44189999998</v>
      </c>
      <c r="G762" s="1">
        <v>-3.9774999999999998E-5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9.9698442614520946E-2</v>
      </c>
      <c r="N762" s="1">
        <f t="shared" si="48"/>
        <v>-4.8030546992431394E-2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-1.3349999999999999E-5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-4.1518566790389094E-2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4.829E-5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0.15574269866341633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3.4749999999999998E-5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8.9986494832066055E-2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 s="1">
        <v>-3.2301000000000001E-5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-0.10327938154195676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4.5599899999999997E-6</v>
      </c>
      <c r="F767">
        <v>259031.54689999999</v>
      </c>
      <c r="G767" s="1">
        <v>-3.9690000000000001E-5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2.5164746069954506E-2</v>
      </c>
      <c r="N767" s="1">
        <f t="shared" si="48"/>
        <v>-0.10248337971637114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2.8719999999999999E-5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0.18427061383193016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2.0100299999999998E-6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2.8878440329833579E-3</v>
      </c>
      <c r="O769" s="1"/>
    </row>
    <row r="770" spans="1:15" x14ac:dyDescent="0.25">
      <c r="A770">
        <v>1134</v>
      </c>
      <c r="B770">
        <v>5896.8148899999997</v>
      </c>
      <c r="C770" s="1">
        <v>2.7000000000000001E-7</v>
      </c>
      <c r="D770">
        <v>70110.756880000001</v>
      </c>
      <c r="E770" s="1">
        <v>3.45E-6</v>
      </c>
      <c r="F770">
        <v>166058.68369999999</v>
      </c>
      <c r="G770" s="1">
        <v>-1.2819999999999999E-5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1.0589045294148749E-2</v>
      </c>
      <c r="M770" s="1">
        <f t="shared" si="47"/>
        <v>4.5379036841762248E-2</v>
      </c>
      <c r="N770" s="1">
        <f t="shared" si="48"/>
        <v>-7.8898342954077896E-2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-2.2520000000000001E-5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-5.0020701877731347E-2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-3.7200099999999998E-6</v>
      </c>
      <c r="F772">
        <v>244201.37849999999</v>
      </c>
      <c r="G772" s="1">
        <v>-1.7493E-5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-1.2322831441297796E-2</v>
      </c>
      <c r="N772" s="1">
        <f t="shared" si="52"/>
        <v>-2.7112800280115996E-2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2.0874999999999999E-5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0.13959198809061077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-2.8849999999999999E-6</v>
      </c>
      <c r="F774">
        <v>202901.5183</v>
      </c>
      <c r="G774" s="1">
        <v>-6.827E-6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-1.8901438425425146E-2</v>
      </c>
      <c r="N774" s="1">
        <f t="shared" si="52"/>
        <v>-2.0927753888824677E-2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-2.9450000000000002E-6</v>
      </c>
      <c r="F775">
        <v>177797.47409999999</v>
      </c>
      <c r="G775" s="1">
        <v>-4.0995999999999998E-5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-2.5461260924545828E-2</v>
      </c>
      <c r="N775" s="1">
        <f t="shared" si="52"/>
        <v>-0.16583636546470218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1.215E-6</v>
      </c>
      <c r="F776">
        <v>238309.9797</v>
      </c>
      <c r="G776" s="1">
        <v>-2.8705999999999999E-5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9.4126785384521256E-3</v>
      </c>
      <c r="N776" s="1">
        <f t="shared" si="52"/>
        <v>-0.10405268891429865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2.8650000000000001E-6</v>
      </c>
      <c r="F777">
        <v>219133.5765</v>
      </c>
      <c r="G777" s="1">
        <v>-2.8155999999999999E-5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2.063875129062585E-2</v>
      </c>
      <c r="N777" s="1">
        <f t="shared" si="52"/>
        <v>-9.490157627898213E-2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-3.7450000000000001E-6</v>
      </c>
      <c r="F778">
        <v>142472.96960000001</v>
      </c>
      <c r="G778" s="1">
        <v>-3.8516000000000002E-5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-4.5389149227235102E-2</v>
      </c>
      <c r="N778" s="1">
        <f t="shared" si="52"/>
        <v>-0.21841631546268553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-8.8499700000000002E-7</v>
      </c>
      <c r="F779">
        <v>198553.22940000001</v>
      </c>
      <c r="G779" s="1">
        <v>-2.0305999999999998E-5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-8.6251602377905787E-3</v>
      </c>
      <c r="N779" s="1">
        <f t="shared" si="52"/>
        <v>-9.2596257421795752E-2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-3.4115000000000001E-5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-0.20370573298916816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1.8700099999999999E-6</v>
      </c>
      <c r="F781">
        <v>369100.51130000001</v>
      </c>
      <c r="G781" s="1">
        <v>-2.1165000000000001E-5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4.9300759267639398E-3</v>
      </c>
      <c r="N781" s="1">
        <f t="shared" si="52"/>
        <v>-2.6107881317260769E-2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1.9649999999999998E-6</v>
      </c>
      <c r="F782">
        <v>206194.0336</v>
      </c>
      <c r="G782" s="1">
        <v>3.0224000000000001E-5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3.1993491978441674E-2</v>
      </c>
      <c r="N782" s="1">
        <f t="shared" si="52"/>
        <v>0.23024738604186795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-4.8749999999999999E-6</v>
      </c>
      <c r="F783">
        <v>165776.20970000001</v>
      </c>
      <c r="G783" s="1">
        <v>1.9964000000000001E-5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-5.2309031491826849E-2</v>
      </c>
      <c r="N783" s="1">
        <f t="shared" si="52"/>
        <v>0.10022897716272763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5.2499699999999997E-7</v>
      </c>
      <c r="F784">
        <v>166904.55290000001</v>
      </c>
      <c r="G784" s="1">
        <v>-4.2355999999999999E-5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4.2899488172448699E-3</v>
      </c>
      <c r="N784" s="1">
        <f t="shared" si="52"/>
        <v>-0.16193991492558482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-1.5850000000000001E-6</v>
      </c>
      <c r="F785">
        <v>192940.5975</v>
      </c>
      <c r="G785" s="1">
        <v>-1.7496E-5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-5.9925304294156613E-3</v>
      </c>
      <c r="N785" s="1">
        <f t="shared" si="52"/>
        <v>-3.095019785283985E-2</v>
      </c>
      <c r="O785" s="1"/>
    </row>
    <row r="786" spans="1:15" x14ac:dyDescent="0.25">
      <c r="A786">
        <v>1214</v>
      </c>
      <c r="B786">
        <v>9005.5731589999996</v>
      </c>
      <c r="C786" s="1">
        <v>-9.9999999999999995E-8</v>
      </c>
      <c r="D786">
        <v>45152.071380000001</v>
      </c>
      <c r="E786" s="1">
        <v>-2.745E-6</v>
      </c>
      <c r="F786">
        <v>189498.0791</v>
      </c>
      <c r="G786" s="1">
        <v>-1.1616E-5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-1.5679387637679999E-3</v>
      </c>
      <c r="M786" s="1">
        <f t="shared" si="51"/>
        <v>-1.4434926701944751E-2</v>
      </c>
      <c r="N786" s="1">
        <f t="shared" si="52"/>
        <v>-2.8580677251581033E-2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-1.5149999999999999E-6</v>
      </c>
      <c r="F787">
        <v>203135.5147</v>
      </c>
      <c r="G787" s="1">
        <v>3.8343999999999997E-5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-2.3591358667891483E-3</v>
      </c>
      <c r="N787" s="1">
        <f t="shared" si="52"/>
        <v>2.7937105940499099E-2</v>
      </c>
      <c r="O787" s="1"/>
    </row>
    <row r="788" spans="1:15" x14ac:dyDescent="0.25">
      <c r="A788">
        <v>1216</v>
      </c>
      <c r="B788">
        <v>7462.5406739999999</v>
      </c>
      <c r="C788" s="1">
        <v>-1.4999999999999999E-8</v>
      </c>
      <c r="D788">
        <v>61736.46385</v>
      </c>
      <c r="E788" s="1">
        <v>-7.7499899999999996E-7</v>
      </c>
      <c r="F788">
        <v>212063.16579999999</v>
      </c>
      <c r="G788" s="1">
        <v>-2.1186E-5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-4.9506713459775001E-4</v>
      </c>
      <c r="M788" s="1">
        <f t="shared" si="51"/>
        <v>-8.5786137913491812E-3</v>
      </c>
      <c r="N788" s="1">
        <f t="shared" si="52"/>
        <v>-0.10972576574215068</v>
      </c>
      <c r="O788" s="1"/>
    </row>
    <row r="789" spans="1:15" x14ac:dyDescent="0.25">
      <c r="A789">
        <v>1217</v>
      </c>
      <c r="B789">
        <v>2952.130525</v>
      </c>
      <c r="C789" s="1">
        <v>-9.9999999999999995E-8</v>
      </c>
      <c r="D789">
        <v>37239.22539</v>
      </c>
      <c r="E789" s="1">
        <v>4.8500100000000004E-7</v>
      </c>
      <c r="F789">
        <v>126087.8688</v>
      </c>
      <c r="G789" s="1">
        <v>1.9814999999999999E-5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-1.57897283016525E-3</v>
      </c>
      <c r="M789" s="1">
        <f t="shared" si="51"/>
        <v>2.5683867930684444E-3</v>
      </c>
      <c r="N789" s="1">
        <f t="shared" si="52"/>
        <v>4.9097067018952188E-2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-1.9704999999999999E-5</v>
      </c>
      <c r="F790">
        <v>481627.06839999999</v>
      </c>
      <c r="G790" s="1">
        <v>-5.7559799999999999E-6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-8.0734017909798395E-2</v>
      </c>
      <c r="N790" s="1">
        <f t="shared" si="52"/>
        <v>-1.1034256667883631E-2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-1.0505E-5</v>
      </c>
      <c r="F791">
        <v>516858.76</v>
      </c>
      <c r="G791" s="1">
        <v>-1.7356000000000001E-5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-2.3967118699748886E-2</v>
      </c>
      <c r="N791" s="1">
        <f t="shared" si="52"/>
        <v>-1.8527340776820934E-2</v>
      </c>
      <c r="O791" s="1"/>
    </row>
    <row r="792" spans="1:15" x14ac:dyDescent="0.25">
      <c r="A792">
        <v>1220</v>
      </c>
      <c r="B792">
        <v>83899.611170000004</v>
      </c>
      <c r="C792" s="1">
        <v>1.9400000000000001E-6</v>
      </c>
      <c r="D792">
        <v>281654.40759999998</v>
      </c>
      <c r="E792" s="1">
        <v>-1.9845000000000001E-5</v>
      </c>
      <c r="F792">
        <v>1076215.3189999999</v>
      </c>
      <c r="G792">
        <v>3447.0465239999999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9.1078890378593E-3</v>
      </c>
      <c r="M792" s="1">
        <f t="shared" si="51"/>
        <v>-3.1247137695858272E-2</v>
      </c>
      <c r="N792" s="1">
        <f t="shared" si="52"/>
        <v>2539510.1977723408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-3.4675000000000003E-5</v>
      </c>
      <c r="F793">
        <v>411558.51909999998</v>
      </c>
      <c r="G793" s="1">
        <v>-4.7435999999999998E-5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-8.840158498562968E-2</v>
      </c>
      <c r="N793" s="1">
        <f t="shared" si="52"/>
        <v>-5.6584218292875473E-2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-3.0445000000000001E-5</v>
      </c>
      <c r="F794">
        <v>831388.85600000003</v>
      </c>
      <c r="G794">
        <v>350.36876619999998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-0.14222600478691744</v>
      </c>
      <c r="N794" s="1">
        <f t="shared" si="52"/>
        <v>765829.5047788464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3.6835000000000002E-5</v>
      </c>
      <c r="F795">
        <v>330086.8615</v>
      </c>
      <c r="G795" s="1">
        <v>-1.9276E-5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0.17327753716033001</v>
      </c>
      <c r="N795" s="1">
        <f t="shared" si="52"/>
        <v>-4.2426986728923442E-2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-4.6045099999999997E-5</v>
      </c>
      <c r="F796">
        <v>1054049.699</v>
      </c>
      <c r="G796">
        <v>6562.4567790000001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-0.14973812901656119</v>
      </c>
      <c r="N796" s="1">
        <f t="shared" si="52"/>
        <v>9985253.9851912949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4.2650099999999997E-6</v>
      </c>
      <c r="F797">
        <v>301592.23499999999</v>
      </c>
      <c r="G797" s="1">
        <v>-8.0959899999999994E-6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1.4052435879099018E-2</v>
      </c>
      <c r="N797" s="1">
        <f t="shared" si="52"/>
        <v>-1.2480879774213442E-2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1.0195E-5</v>
      </c>
      <c r="F798">
        <v>593971.34080000001</v>
      </c>
      <c r="G798">
        <v>128.01883509999999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5.5338197607119319E-2</v>
      </c>
      <c r="N798" s="1">
        <f t="shared" si="52"/>
        <v>325128.71600492072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-4.0534999999999997E-5</v>
      </c>
      <c r="F799">
        <v>863222.88199999998</v>
      </c>
      <c r="G799">
        <v>4190.3495339999999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-7.0546407949002771E-2</v>
      </c>
      <c r="N799" s="1">
        <f t="shared" si="52"/>
        <v>3412232.828894807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1.9555000000000002E-5</v>
      </c>
      <c r="F800">
        <v>509231.19380000001</v>
      </c>
      <c r="G800">
        <v>1036.5783690000001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9.012670570056748E-2</v>
      </c>
      <c r="N800" s="1">
        <f t="shared" si="52"/>
        <v>2235329.228321108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6.5003399999999998E-8</v>
      </c>
      <c r="F801">
        <v>248645.3731</v>
      </c>
      <c r="G801" s="1">
        <v>2.7784E-5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2.9431691432675773E-4</v>
      </c>
      <c r="N801" s="1">
        <f t="shared" si="52"/>
        <v>5.8859639399862371E-2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4.1659999999999998E-5</v>
      </c>
      <c r="F802">
        <v>346418.43859999999</v>
      </c>
      <c r="G802" s="1">
        <v>-3.4065E-5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0.22753002085673726</v>
      </c>
      <c r="N802" s="1">
        <f t="shared" si="52"/>
        <v>-8.7050548605513964E-2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-4.2184999999999997E-5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-0.20121260521802048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4.0507E-6</v>
      </c>
      <c r="F804">
        <v>169442.6195</v>
      </c>
      <c r="G804" s="1">
        <v>-8.6500099999999992E-6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2.6803491760938609E-2</v>
      </c>
      <c r="N804" s="1">
        <f t="shared" si="52"/>
        <v>-2.6780678886215534E-2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-3.4593000000000001E-6</v>
      </c>
      <c r="F805">
        <v>168622.40979999999</v>
      </c>
      <c r="G805" s="1">
        <v>3.6269999999999997E-5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-2.3014033565225352E-2</v>
      </c>
      <c r="N805" s="1">
        <f t="shared" si="52"/>
        <v>0.11290046978255106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-4.1593000000000001E-6</v>
      </c>
      <c r="F806">
        <v>156636.46309999999</v>
      </c>
      <c r="G806" s="1">
        <v>-1.346E-5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-3.0873033177056735E-2</v>
      </c>
      <c r="N806" s="1">
        <f t="shared" si="52"/>
        <v>-4.6746359169740251E-2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1.6306999999999999E-6</v>
      </c>
      <c r="F807">
        <v>215540.4762</v>
      </c>
      <c r="G807" s="1">
        <v>3.2539999999999997E-5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6.0152609892546918E-3</v>
      </c>
      <c r="N807" s="1">
        <f t="shared" si="52"/>
        <v>5.6161879162085128E-2</v>
      </c>
      <c r="O807" s="1"/>
    </row>
    <row r="808" spans="1:15" x14ac:dyDescent="0.25">
      <c r="A808">
        <v>1238</v>
      </c>
      <c r="B808">
        <v>3681.5503119999998</v>
      </c>
      <c r="C808" s="1">
        <v>0</v>
      </c>
      <c r="D808">
        <v>13513.78225</v>
      </c>
      <c r="E808" s="1">
        <v>5.1069900000000001E-7</v>
      </c>
      <c r="F808">
        <v>41897.065580000002</v>
      </c>
      <c r="G808" s="1">
        <v>-4.2892999999999997E-6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1.2661004210310113E-2</v>
      </c>
      <c r="N808" s="1">
        <f t="shared" si="52"/>
        <v>-4.9754600837040239E-2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4.9407E-6</v>
      </c>
      <c r="F809">
        <v>157281.76620000001</v>
      </c>
      <c r="G809" s="1">
        <v>4.08999E-6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3.1036509334775069E-2</v>
      </c>
      <c r="N809" s="1">
        <f t="shared" si="52"/>
        <v>1.2021268860652422E-2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-3.8693000000000004E-6</v>
      </c>
      <c r="F810">
        <v>162611.1483</v>
      </c>
      <c r="G810" s="1">
        <v>1.77999E-6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-3.117341653987863E-2</v>
      </c>
      <c r="N810" s="1">
        <f t="shared" si="52"/>
        <v>6.7098566178500551E-3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-3.6592999999999998E-6</v>
      </c>
      <c r="F811">
        <v>148869.27499999999</v>
      </c>
      <c r="G811" s="1">
        <v>2.2180000000000001E-5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-4.0011371340823908E-2</v>
      </c>
      <c r="N811" s="1">
        <f t="shared" si="52"/>
        <v>0.11347250460072751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1.6407E-6</v>
      </c>
      <c r="F812">
        <v>152359.09450000001</v>
      </c>
      <c r="G812" s="1">
        <v>-2.8160000000000001E-5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1.5193797914193823E-2</v>
      </c>
      <c r="N812" s="1">
        <f t="shared" si="52"/>
        <v>-0.12201507642714932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1.5507E-6</v>
      </c>
      <c r="F813">
        <v>135273.6452</v>
      </c>
      <c r="G813" s="1">
        <v>5.2799900000000004E-6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2.1419873865332218E-2</v>
      </c>
      <c r="N813" s="1">
        <f t="shared" si="52"/>
        <v>3.4124468856745895E-2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4.5507000000000003E-6</v>
      </c>
      <c r="F814">
        <v>140260.74359999999</v>
      </c>
      <c r="G814" s="1">
        <v>3.8980000000000003E-5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4.9034078940865831E-2</v>
      </c>
      <c r="N814" s="1">
        <f t="shared" si="52"/>
        <v>0.19651935442306681</v>
      </c>
      <c r="O814" s="1"/>
    </row>
    <row r="815" spans="1:15" x14ac:dyDescent="0.25">
      <c r="A815">
        <v>1245</v>
      </c>
      <c r="B815">
        <v>6068.5516740000003</v>
      </c>
      <c r="C815" s="1">
        <v>-1.9999999999999999E-7</v>
      </c>
      <c r="D815">
        <v>16883.362499999999</v>
      </c>
      <c r="E815" s="1">
        <v>8.5070099999999999E-7</v>
      </c>
      <c r="F815">
        <v>109643.4547</v>
      </c>
      <c r="G815" s="1">
        <v>-1.272E-5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-5.1532484729830009E-3</v>
      </c>
      <c r="M815" s="1">
        <f t="shared" si="51"/>
        <v>7.351418855145341E-3</v>
      </c>
      <c r="N815" s="1">
        <f t="shared" si="52"/>
        <v>-5.143100537528511E-2</v>
      </c>
      <c r="O815" s="1"/>
    </row>
    <row r="816" spans="1:15" x14ac:dyDescent="0.25">
      <c r="A816">
        <v>1246</v>
      </c>
      <c r="B816">
        <v>20108.659149999999</v>
      </c>
      <c r="C816" s="1">
        <v>-4.8899999999999998E-6</v>
      </c>
      <c r="D816">
        <v>94746.760389999996</v>
      </c>
      <c r="E816" s="1">
        <v>-4.1929899999999997E-7</v>
      </c>
      <c r="F816">
        <v>181921.86249999999</v>
      </c>
      <c r="G816" s="1">
        <v>-1.8510999999999999E-5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-0.17475425254305524</v>
      </c>
      <c r="M816" s="1">
        <f t="shared" si="51"/>
        <v>-5.0255761420409037E-3</v>
      </c>
      <c r="N816" s="1">
        <f t="shared" si="52"/>
        <v>-0.10380913916001214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-2.6384999999999999E-5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-6.2032462721252533E-2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3.095E-6</v>
      </c>
      <c r="F818">
        <v>206772.1232</v>
      </c>
      <c r="G818" s="1">
        <v>-2.266E-6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1.2948878205296579E-2</v>
      </c>
      <c r="N818" s="1">
        <f t="shared" si="52"/>
        <v>-4.4358318645738304E-3</v>
      </c>
      <c r="O818" s="1"/>
    </row>
    <row r="819" spans="1:15" x14ac:dyDescent="0.25">
      <c r="A819">
        <v>1251</v>
      </c>
      <c r="B819">
        <v>6259.944904</v>
      </c>
      <c r="C819" s="1">
        <v>4.5999999999999999E-7</v>
      </c>
      <c r="D819">
        <v>84271.035080000001</v>
      </c>
      <c r="E819" s="1">
        <v>1.09998E-7</v>
      </c>
      <c r="F819">
        <v>253618.68429999999</v>
      </c>
      <c r="G819" s="1">
        <v>-4.2114999999999999E-5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8.3344003284697987E-3</v>
      </c>
      <c r="M819" s="1">
        <f t="shared" si="51"/>
        <v>6.6841232802061063E-4</v>
      </c>
      <c r="N819" s="1">
        <f t="shared" si="52"/>
        <v>-0.11974024589637985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-4.3875000000000003E-5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-0.17876207920880646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-2.4615999999999999E-5</v>
      </c>
      <c r="F821">
        <v>447965.1323</v>
      </c>
      <c r="G821" s="1">
        <v>-2.0336E-5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-9.6073229418080733E-2</v>
      </c>
      <c r="N821" s="1">
        <f t="shared" si="52"/>
        <v>-3.7135914011976461E-2</v>
      </c>
      <c r="O821" s="1"/>
    </row>
    <row r="822" spans="1:15" x14ac:dyDescent="0.25">
      <c r="A822">
        <v>1254</v>
      </c>
      <c r="B822">
        <v>9601.5373920000002</v>
      </c>
      <c r="C822" s="1">
        <v>-3.3000000000000002E-7</v>
      </c>
      <c r="D822">
        <v>89568.245209999994</v>
      </c>
      <c r="E822" s="1">
        <v>-1.65499E-6</v>
      </c>
      <c r="F822">
        <v>271252.99129999999</v>
      </c>
      <c r="G822" s="1">
        <v>-2.7206E-5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-8.3669501095966509E-3</v>
      </c>
      <c r="M822" s="1">
        <f t="shared" si="51"/>
        <v>-1.4073164056364272E-2</v>
      </c>
      <c r="N822" s="1">
        <f t="shared" si="52"/>
        <v>-0.10824422824024252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-4.4749899999999997E-6</v>
      </c>
      <c r="F823">
        <v>274581.69160000002</v>
      </c>
      <c r="G823" s="1">
        <v>-2.0315000000000001E-5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-3.3473944439431851E-2</v>
      </c>
      <c r="N823" s="1">
        <f t="shared" si="52"/>
        <v>-7.110093741102301E-2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-1.6750000000000001E-6</v>
      </c>
      <c r="F824">
        <v>247080.8873</v>
      </c>
      <c r="G824" s="1">
        <v>-3.6164999999999997E-5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-2.9037555730418451E-2</v>
      </c>
      <c r="N824" s="1">
        <f t="shared" si="52"/>
        <v>-0.29334412352468703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 s="1">
        <v>-2.9226000000000001E-5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-0.17414009061407362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-3.00931E-6</v>
      </c>
      <c r="F826">
        <v>210922.65359999999</v>
      </c>
      <c r="G826" s="1">
        <v>2.9944999999999999E-5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-2.6215003061008445E-2</v>
      </c>
      <c r="N826" s="1">
        <f t="shared" si="52"/>
        <v>0.12205370861404388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 s="1">
        <v>1.8479999999999999E-5</v>
      </c>
      <c r="F827">
        <v>299237.63819999999</v>
      </c>
      <c r="G827" s="1">
        <v>-1.7484999999999999E-5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0.11148288755052742</v>
      </c>
      <c r="N827" s="1">
        <f t="shared" si="52"/>
        <v>-4.935322725776916E-2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-2.1092999999999999E-6</v>
      </c>
      <c r="F828">
        <v>203471.42939999999</v>
      </c>
      <c r="G828" s="1">
        <v>-3.9675000000000002E-5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-1.3739104215627046E-2</v>
      </c>
      <c r="N828" s="1">
        <f t="shared" si="52"/>
        <v>-0.12091513879992867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 s="1">
        <v>1.3335E-5</v>
      </c>
      <c r="F829">
        <v>310602.46100000001</v>
      </c>
      <c r="G829" s="1">
        <v>1.1274000000000001E-5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0.21759741045542566</v>
      </c>
      <c r="N829" s="1">
        <f t="shared" si="52"/>
        <v>8.6076066280153921E-2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8.4997700000000001E-8</v>
      </c>
      <c r="F830">
        <v>217454.56450000001</v>
      </c>
      <c r="G830" s="1">
        <v>-1.4666E-5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3.3000551173430583E-4</v>
      </c>
      <c r="N830" s="1">
        <f t="shared" si="52"/>
        <v>-2.6642156694932025E-2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-4.1649900000000001E-6</v>
      </c>
      <c r="F831">
        <v>304312.31270000001</v>
      </c>
      <c r="G831" s="1">
        <v>-3.7166000000000003E-5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-1.8291984746083113E-2</v>
      </c>
      <c r="N831" s="1">
        <f t="shared" si="52"/>
        <v>-7.6372387644132983E-2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2.8657099999999998E-6</v>
      </c>
      <c r="F832">
        <v>253573.34830000001</v>
      </c>
      <c r="G832" s="1">
        <v>-4.0246000000000001E-5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2.745884387251487E-2</v>
      </c>
      <c r="N832" s="1">
        <f t="shared" si="52"/>
        <v>-0.18043318260932409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 s="1">
        <v>7.9429899999999993E-6</v>
      </c>
      <c r="F833">
        <v>470534.64159999997</v>
      </c>
      <c r="G833" s="1">
        <v>-4.7059699999999999E-6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3.2073020190907568E-2</v>
      </c>
      <c r="N833" s="1">
        <f t="shared" si="52"/>
        <v>-8.8909603671167049E-3</v>
      </c>
      <c r="O833" s="1"/>
    </row>
    <row r="834" spans="1:15" x14ac:dyDescent="0.25">
      <c r="A834">
        <v>1270</v>
      </c>
      <c r="B834">
        <v>5264.1664899999996</v>
      </c>
      <c r="C834" s="1">
        <v>-1.6999999999999999E-7</v>
      </c>
      <c r="D834">
        <v>102220.8447</v>
      </c>
      <c r="E834" s="1">
        <v>-2.0619999999999999E-5</v>
      </c>
      <c r="F834">
        <v>272491.08260000002</v>
      </c>
      <c r="G834" s="1">
        <v>-4.2265000000000003E-5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-3.8979479836115001E-3</v>
      </c>
      <c r="M834" s="1">
        <f t="shared" si="51"/>
        <v>-0.15856922948426308</v>
      </c>
      <c r="N834" s="1">
        <f t="shared" si="52"/>
        <v>-0.15207394294831392</v>
      </c>
      <c r="O834" s="1"/>
    </row>
    <row r="835" spans="1:15" x14ac:dyDescent="0.25">
      <c r="A835">
        <v>1271</v>
      </c>
      <c r="B835">
        <v>25623.535650000002</v>
      </c>
      <c r="C835" s="1">
        <v>-3.0699999999999998E-6</v>
      </c>
      <c r="D835">
        <v>110671.757</v>
      </c>
      <c r="E835" s="1">
        <v>-2.372E-5</v>
      </c>
      <c r="F835">
        <v>320394.62560000003</v>
      </c>
      <c r="G835" s="1">
        <v>3.1214999999999998E-5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-6.3022705464870779E-2</v>
      </c>
      <c r="M835" s="1">
        <f t="shared" ref="M835:M898" si="55">$U$3*$K835*E835</f>
        <v>-0.16331139516443405</v>
      </c>
      <c r="N835" s="1">
        <f t="shared" ref="N835:N898" si="56">$U$4*$K835*G835</f>
        <v>0.10055619273904585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 s="1">
        <v>4.2379999999999997E-5</v>
      </c>
      <c r="F836">
        <v>283637.66619999998</v>
      </c>
      <c r="G836" s="1">
        <v>-2.5684999999999999E-5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0.4921357855237099</v>
      </c>
      <c r="N836" s="1">
        <f t="shared" si="56"/>
        <v>-0.13955559144005114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9.9500200000000006E-7</v>
      </c>
      <c r="F837">
        <v>341936.05979999999</v>
      </c>
      <c r="G837" s="1">
        <v>-4.5036E-5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3.9731526320198763E-3</v>
      </c>
      <c r="N837" s="1">
        <f t="shared" si="56"/>
        <v>-8.4142378458157766E-2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2.0625E-5</v>
      </c>
      <c r="F838">
        <v>322560.92070000002</v>
      </c>
      <c r="G838" s="1">
        <v>2.4063999999999999E-5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9.8360910350500888E-2</v>
      </c>
      <c r="N838" s="1">
        <f t="shared" si="56"/>
        <v>5.369577060012104E-2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-3.8093000000000001E-6</v>
      </c>
      <c r="F839">
        <v>236422.44010000001</v>
      </c>
      <c r="G839" s="1">
        <v>1.6905000000000002E-5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-4.0847376190657439E-2</v>
      </c>
      <c r="N839" s="1">
        <f t="shared" si="56"/>
        <v>8.4816010694387642E-2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 s="1">
        <v>-3.1995000000000001E-5</v>
      </c>
      <c r="F840">
        <v>336856.49829999998</v>
      </c>
      <c r="G840" s="1">
        <v>-4.9746000000000001E-5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-0.14955656515193227</v>
      </c>
      <c r="N840" s="1">
        <f t="shared" si="56"/>
        <v>-0.10879907708986905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 s="1">
        <v>-4.8055E-5</v>
      </c>
      <c r="F841">
        <v>818773.65289999999</v>
      </c>
      <c r="G841">
        <v>1165.728955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-8.5681580685880679E-2</v>
      </c>
      <c r="N841" s="1">
        <f t="shared" si="56"/>
        <v>972501.20996692311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2.0956899999999998E-6</v>
      </c>
      <c r="F842">
        <v>273381.53379999998</v>
      </c>
      <c r="G842" s="1">
        <v>6.24405E-6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1.4490551404705539E-2</v>
      </c>
      <c r="N842" s="1">
        <f t="shared" si="56"/>
        <v>2.0200769865010997E-2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3.585E-6</v>
      </c>
      <c r="F843">
        <v>271961.32750000001</v>
      </c>
      <c r="G843" s="1">
        <v>2.7444E-5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1.876088675165689E-2</v>
      </c>
      <c r="N843" s="1">
        <f t="shared" si="56"/>
        <v>6.7197836491589724E-2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-2.46501E-6</v>
      </c>
      <c r="F844">
        <v>313284.36739999999</v>
      </c>
      <c r="G844" s="1">
        <v>-2.6346000000000002E-5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-1.3878798944146783E-2</v>
      </c>
      <c r="N844" s="1">
        <f t="shared" si="56"/>
        <v>-6.940512881075106E-2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 s="1">
        <v>-3.6665000000000002E-5</v>
      </c>
      <c r="F845">
        <v>518717.25660000002</v>
      </c>
      <c r="G845">
        <v>1036.5783779999999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-0.1173016376705215</v>
      </c>
      <c r="N845" s="1">
        <f t="shared" si="56"/>
        <v>1551665.8781343848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-1.8592999999999999E-6</v>
      </c>
      <c r="F846">
        <v>139042.4051</v>
      </c>
      <c r="G846" s="1">
        <v>2.6985E-5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-1.9979539978974198E-2</v>
      </c>
      <c r="N846" s="1">
        <f t="shared" si="56"/>
        <v>0.13567571401767342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-1.8493E-6</v>
      </c>
      <c r="F847">
        <v>159787.5</v>
      </c>
      <c r="G847" s="1">
        <v>-2.0615000000000002E-5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-2.1053459701487767E-2</v>
      </c>
      <c r="N847" s="1">
        <f t="shared" si="56"/>
        <v>-0.10981031086423819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-3.5993E-6</v>
      </c>
      <c r="F848">
        <v>123670.7518</v>
      </c>
      <c r="G848" s="1">
        <v>2.3900099999999998E-6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-4.8675124202711487E-2</v>
      </c>
      <c r="N848" s="1">
        <f t="shared" si="56"/>
        <v>1.5122807297601053E-2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-3.3492999999999998E-6</v>
      </c>
      <c r="F849">
        <v>172844.63440000001</v>
      </c>
      <c r="G849" s="1">
        <v>-6.9150099999999997E-6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-3.734678071655554E-2</v>
      </c>
      <c r="N849" s="1">
        <f t="shared" si="56"/>
        <v>-3.6077431675473268E-2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3.8850000000000001E-6</v>
      </c>
      <c r="F850">
        <v>249720.9382</v>
      </c>
      <c r="G850" s="1">
        <v>5.5040000000000002E-6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8.7875482008237416E-2</v>
      </c>
      <c r="N850" s="1">
        <f t="shared" si="56"/>
        <v>5.8250385041597956E-2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5.7000100000000003E-6</v>
      </c>
      <c r="F851">
        <v>410275.17570000002</v>
      </c>
      <c r="G851" s="1">
        <v>-3.8964999999999997E-5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4.4584092501357316E-2</v>
      </c>
      <c r="N851" s="1">
        <f t="shared" si="56"/>
        <v>-0.14260103322864728</v>
      </c>
      <c r="O851" s="1"/>
    </row>
    <row r="852" spans="1:15" x14ac:dyDescent="0.25">
      <c r="A852">
        <v>1301</v>
      </c>
      <c r="B852">
        <v>25970.665929999999</v>
      </c>
      <c r="C852" s="1">
        <v>-3.32E-6</v>
      </c>
      <c r="D852">
        <v>116800.7081</v>
      </c>
      <c r="E852" s="1">
        <v>-4.4990999999999997E-5</v>
      </c>
      <c r="F852">
        <v>335142.74609999999</v>
      </c>
      <c r="G852" s="1">
        <v>4.3285000000000003E-5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-4.1434585318846202E-2</v>
      </c>
      <c r="M852" s="1">
        <f t="shared" si="55"/>
        <v>-0.18831880784128155</v>
      </c>
      <c r="N852" s="1">
        <f t="shared" si="56"/>
        <v>8.4771359871954721E-2</v>
      </c>
      <c r="O852" s="1"/>
    </row>
    <row r="853" spans="1:15" x14ac:dyDescent="0.25">
      <c r="A853">
        <v>1302</v>
      </c>
      <c r="B853">
        <v>1126.215183</v>
      </c>
      <c r="C853" s="1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4.6879999999999998E-5</v>
      </c>
      <c r="F854">
        <v>637112.21860000002</v>
      </c>
      <c r="G854">
        <v>1593.383671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0.20207097861209358</v>
      </c>
      <c r="N854" s="1">
        <f t="shared" si="56"/>
        <v>3213515.3745809151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2.3779999999999999E-5</v>
      </c>
      <c r="F855">
        <v>709471.74410000001</v>
      </c>
      <c r="G855">
        <v>380.98255110000002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4.3268834359284955E-2</v>
      </c>
      <c r="N855" s="1">
        <f t="shared" si="56"/>
        <v>324348.66079872445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-3.2675000000000001E-5</v>
      </c>
      <c r="F856">
        <v>903616.62840000005</v>
      </c>
      <c r="G856">
        <v>5464.1201499999997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-5.8248888660999351E-2</v>
      </c>
      <c r="N856" s="1">
        <f t="shared" si="56"/>
        <v>4557597.4782592887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-1.7065E-5</v>
      </c>
      <c r="F857">
        <v>1044577.502</v>
      </c>
      <c r="G857">
        <v>4860.1837409999998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-4.9359410818516705E-2</v>
      </c>
      <c r="N857" s="1">
        <f t="shared" si="56"/>
        <v>6577487.6428766502</v>
      </c>
      <c r="O857" s="1"/>
    </row>
    <row r="858" spans="1:15" x14ac:dyDescent="0.25">
      <c r="A858">
        <v>1307</v>
      </c>
      <c r="B858">
        <v>6366.2359539999998</v>
      </c>
      <c r="C858" s="1">
        <v>-2.2000000000000001E-7</v>
      </c>
      <c r="D858">
        <v>50250.74826</v>
      </c>
      <c r="E858" s="1">
        <v>6.4000100000000004E-7</v>
      </c>
      <c r="F858">
        <v>225138.75229999999</v>
      </c>
      <c r="G858" s="1">
        <v>-2.2075000000000001E-5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-5.7002241170732004E-3</v>
      </c>
      <c r="M858" s="1">
        <f t="shared" si="55"/>
        <v>5.561514066174199E-3</v>
      </c>
      <c r="N858" s="1">
        <f t="shared" si="56"/>
        <v>-8.9754612819635468E-2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-1.1270000000000001E-5</v>
      </c>
      <c r="F859">
        <v>692039.90529999998</v>
      </c>
      <c r="G859">
        <v>716.37805000000003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-5.0237318569903516E-2</v>
      </c>
      <c r="N859" s="1">
        <f t="shared" si="56"/>
        <v>1494130.3354942079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>
        <v>1036.5783409999999</v>
      </c>
      <c r="F860">
        <v>1264088.392</v>
      </c>
      <c r="G860">
        <v>3.1681999999999999E-4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1528563.8401325347</v>
      </c>
      <c r="N860" s="1">
        <f t="shared" si="56"/>
        <v>0.21859373932640128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-1.2105E-5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-4.5245311484158626E-2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9.8050199999999998E-6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3.2469636939828295E-2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3.3395000000000001E-5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3.2403778379570418E-2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-2.5200099999999999E-6</v>
      </c>
      <c r="F864">
        <v>269704.25670000003</v>
      </c>
      <c r="G864" s="1">
        <v>2.0525000000000001E-5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-1.587425169009641E-2</v>
      </c>
      <c r="N864" s="1">
        <f t="shared" si="56"/>
        <v>6.0494771638268482E-2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-2.0001600000000001E-8</v>
      </c>
      <c r="F865">
        <v>173671.0888</v>
      </c>
      <c r="G865" s="1">
        <v>4.6224999999999999E-5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-1.251857996026432E-4</v>
      </c>
      <c r="N865" s="1">
        <f t="shared" si="56"/>
        <v>0.13536641514469724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-1.6405E-5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-7.6160529781742439E-2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-1.4600199999999999E-6</v>
      </c>
      <c r="F867">
        <v>794602.90020000003</v>
      </c>
      <c r="G867" s="1">
        <v>-4.8225E-5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-2.1972767775758862E-3</v>
      </c>
      <c r="N867" s="1">
        <f t="shared" si="56"/>
        <v>-3.3957982117176308E-2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-5.6000099999999996E-7</v>
      </c>
      <c r="F868">
        <v>243252.5338</v>
      </c>
      <c r="G868" s="1">
        <v>-4.7834999999999999E-5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-2.2242900072948447E-3</v>
      </c>
      <c r="N868" s="1">
        <f t="shared" si="56"/>
        <v>-8.8898015195981936E-2</v>
      </c>
      <c r="O868" s="1"/>
    </row>
    <row r="869" spans="1:15" x14ac:dyDescent="0.25">
      <c r="A869">
        <v>1318</v>
      </c>
      <c r="B869">
        <v>21605.36506</v>
      </c>
      <c r="C869" s="1">
        <v>3.5999999999999998E-6</v>
      </c>
      <c r="D869">
        <v>119504.2291</v>
      </c>
      <c r="E869" s="1">
        <v>-1.0380000000000001E-5</v>
      </c>
      <c r="F869">
        <v>940817.32429999998</v>
      </c>
      <c r="G869">
        <v>80.725497739999994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2.6938281842081999E-2</v>
      </c>
      <c r="M869" s="1">
        <f t="shared" si="55"/>
        <v>-2.6050009266468731E-2</v>
      </c>
      <c r="N869" s="1">
        <f t="shared" si="56"/>
        <v>94790.527100928346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-4.0000300000000001E-7</v>
      </c>
      <c r="F870">
        <v>184593.8198</v>
      </c>
      <c r="G870" s="1">
        <v>-1.61002E-7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-2.0335604590216157E-3</v>
      </c>
      <c r="N870" s="1">
        <f t="shared" si="56"/>
        <v>-3.8297355779449331E-4</v>
      </c>
      <c r="O870" s="1"/>
    </row>
    <row r="871" spans="1:15" x14ac:dyDescent="0.25">
      <c r="A871">
        <v>1320</v>
      </c>
      <c r="B871">
        <v>13889.336590000001</v>
      </c>
      <c r="C871" s="1">
        <v>-2.3999999999999999E-6</v>
      </c>
      <c r="D871">
        <v>74319.872300000003</v>
      </c>
      <c r="E871" s="1">
        <v>-1.3999999999999999E-6</v>
      </c>
      <c r="F871">
        <v>353771.58590000001</v>
      </c>
      <c r="G871" s="1">
        <v>3.5490000000000001E-5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-0.1142354749302</v>
      </c>
      <c r="M871" s="1">
        <f t="shared" si="55"/>
        <v>-2.2349145479934E-2</v>
      </c>
      <c r="N871" s="1">
        <f t="shared" si="56"/>
        <v>0.26508341957552911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7.1400100000000001E-6</v>
      </c>
      <c r="F872">
        <v>348762.78220000002</v>
      </c>
      <c r="G872" s="1">
        <v>-2.2560000000000001E-5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4.1531491061409832E-2</v>
      </c>
      <c r="N872" s="1">
        <f t="shared" si="56"/>
        <v>-6.1399025300899586E-2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-1.24999E-6</v>
      </c>
      <c r="F873">
        <v>198837.5399</v>
      </c>
      <c r="G873" s="1">
        <v>-2.8880000000000001E-5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-9.9876196667517039E-3</v>
      </c>
      <c r="N873" s="1">
        <f t="shared" si="56"/>
        <v>-0.10796831515764237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1.155E-5</v>
      </c>
      <c r="F874">
        <v>331484.37459999998</v>
      </c>
      <c r="G874" s="1">
        <v>-2.1175E-5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0.10473364820146767</v>
      </c>
      <c r="N874" s="1">
        <f t="shared" si="56"/>
        <v>-8.9840331255387415E-2</v>
      </c>
      <c r="O874" s="1"/>
    </row>
    <row r="875" spans="1:15" x14ac:dyDescent="0.25">
      <c r="A875">
        <v>1324</v>
      </c>
      <c r="B875">
        <v>18441.45895</v>
      </c>
      <c r="C875" s="1">
        <v>5.9999999999999997E-7</v>
      </c>
      <c r="D875">
        <v>74437.942850000007</v>
      </c>
      <c r="E875" s="1">
        <v>-2.7500100000000002E-6</v>
      </c>
      <c r="F875">
        <v>225661.8867</v>
      </c>
      <c r="G875" s="1">
        <v>-4.9079999999999998E-5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7.5832068079754993E-3</v>
      </c>
      <c r="M875" s="1">
        <f t="shared" si="55"/>
        <v>-1.1656792340441421E-2</v>
      </c>
      <c r="N875" s="1">
        <f t="shared" si="56"/>
        <v>-9.7340375881575972E-2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-1.836E-5</v>
      </c>
      <c r="F876">
        <v>770798.18680000002</v>
      </c>
      <c r="G876">
        <v>4001.3855020000001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-9.2439900620304161E-2</v>
      </c>
      <c r="N876" s="1">
        <f t="shared" si="56"/>
        <v>9426291.4920592755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>
        <v>4161.714156</v>
      </c>
      <c r="F877">
        <v>1322404.5660000001</v>
      </c>
      <c r="G877">
        <v>2691.0094779999999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83084212.917340785</v>
      </c>
      <c r="N877" s="1">
        <f t="shared" si="56"/>
        <v>25136520.913443591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7.5000599999999997E-7</v>
      </c>
      <c r="F878">
        <v>643592.33259999997</v>
      </c>
      <c r="G878">
        <v>12912.727440000001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4.0444267562761088E-3</v>
      </c>
      <c r="N878" s="1">
        <f t="shared" si="56"/>
        <v>32580211.506279476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-7.5199900000000001E-6</v>
      </c>
      <c r="F879">
        <v>727364.96860000002</v>
      </c>
      <c r="G879">
        <v>3697.9773369999998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-7.5629249197204665E-2</v>
      </c>
      <c r="N879" s="1">
        <f t="shared" si="56"/>
        <v>17401250.114907801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3.0000099999999999E-6</v>
      </c>
      <c r="F880">
        <v>780567.22019999998</v>
      </c>
      <c r="G880">
        <v>10472.105680000001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4.1944159373607541E-3</v>
      </c>
      <c r="N880" s="1">
        <f t="shared" si="56"/>
        <v>6850566.5074627791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>
        <v>2839.0871090000001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3377353.1484728516</v>
      </c>
      <c r="O881" s="1"/>
    </row>
    <row r="882" spans="1:15" x14ac:dyDescent="0.25">
      <c r="A882">
        <v>1331</v>
      </c>
      <c r="B882">
        <v>13683.415290000001</v>
      </c>
      <c r="C882" s="1">
        <v>-4.6999999999999999E-6</v>
      </c>
      <c r="D882">
        <v>74167.809949999995</v>
      </c>
      <c r="E882" s="1">
        <v>4.8000099999999996E-6</v>
      </c>
      <c r="F882">
        <v>539267.82490000001</v>
      </c>
      <c r="G882" s="1">
        <v>-3.7459999999999997E-5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-0.35196813419469003</v>
      </c>
      <c r="M882" s="1">
        <f t="shared" si="55"/>
        <v>0.12055653777802164</v>
      </c>
      <c r="N882" s="1">
        <f t="shared" si="56"/>
        <v>-0.44021017456863337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-1.8219999999999998E-5</v>
      </c>
      <c r="F883">
        <v>843882.82189999998</v>
      </c>
      <c r="G883">
        <v>6773.9298269999999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-4.2956018634709096E-2</v>
      </c>
      <c r="N883" s="1">
        <f t="shared" si="56"/>
        <v>7472398.4379601069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 s="1">
        <v>-2.1050999999999999E-5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-6.0598582269092545E-2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3.5649999999999999E-5</v>
      </c>
      <c r="F885">
        <v>748540.201</v>
      </c>
      <c r="G885">
        <v>1188.103159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0.23901666099785274</v>
      </c>
      <c r="N885" s="1">
        <f t="shared" si="56"/>
        <v>3727060.7329784292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1.2480000000000001E-5</v>
      </c>
      <c r="F886">
        <v>531481.11010000005</v>
      </c>
      <c r="G886" s="1">
        <v>-1.99451E-5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5.2083145041983331E-2</v>
      </c>
      <c r="N886" s="1">
        <f t="shared" si="56"/>
        <v>-3.8945968849256024E-2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3.004E-5</v>
      </c>
      <c r="F887">
        <v>918453.9791</v>
      </c>
      <c r="G887" s="1">
        <v>1.9145000000000001E-5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0.24884086165692312</v>
      </c>
      <c r="N887" s="1">
        <f t="shared" si="56"/>
        <v>7.4202889455500146E-2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1.366E-5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4.1126299082182981E-2</v>
      </c>
      <c r="O888" s="1"/>
    </row>
    <row r="889" spans="1:15" x14ac:dyDescent="0.25">
      <c r="A889">
        <v>1338</v>
      </c>
      <c r="B889">
        <v>9340.3843629999992</v>
      </c>
      <c r="C889" s="1">
        <v>1.9999999999999999E-7</v>
      </c>
      <c r="D889">
        <v>146758.50580000001</v>
      </c>
      <c r="E889" s="1">
        <v>-1.9749999999999999E-5</v>
      </c>
      <c r="F889">
        <v>737018.46030000004</v>
      </c>
      <c r="G889">
        <v>6088.8343009999999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2.8499422156789997E-3</v>
      </c>
      <c r="M889" s="1">
        <f t="shared" si="55"/>
        <v>-9.4387893920045637E-2</v>
      </c>
      <c r="N889" s="1">
        <f t="shared" si="56"/>
        <v>13615294.182360094</v>
      </c>
      <c r="O889" s="1"/>
    </row>
    <row r="890" spans="1:15" x14ac:dyDescent="0.25">
      <c r="A890">
        <v>1339</v>
      </c>
      <c r="B890">
        <v>7909.1470980000004</v>
      </c>
      <c r="C890" s="1">
        <v>7.0000000000000005E-8</v>
      </c>
      <c r="D890">
        <v>132754.35800000001</v>
      </c>
      <c r="E890" s="1">
        <v>-3.0920000000000002E-5</v>
      </c>
      <c r="F890">
        <v>709404.103</v>
      </c>
      <c r="G890">
        <v>5659.7627979999997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9.9623095031687518E-4</v>
      </c>
      <c r="M890" s="1">
        <f t="shared" si="55"/>
        <v>-0.14758581306522892</v>
      </c>
      <c r="N890" s="1">
        <f t="shared" si="56"/>
        <v>12639998.875244018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1.9755E-5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2.5076483834449929E-2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-2.5249900000000001E-6</v>
      </c>
      <c r="F892">
        <v>1185046.892</v>
      </c>
      <c r="G892">
        <v>6444.3131949999997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-9.4962180781849106E-3</v>
      </c>
      <c r="N892" s="1">
        <f t="shared" si="56"/>
        <v>11339955.081141287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4.248E-5</v>
      </c>
      <c r="F893">
        <v>677456.32700000005</v>
      </c>
      <c r="G893">
        <v>380.98250869999998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0.30434374483233745</v>
      </c>
      <c r="N893" s="1">
        <f t="shared" si="56"/>
        <v>1277110.8290749248</v>
      </c>
      <c r="O893" s="1"/>
    </row>
    <row r="894" spans="1:15" x14ac:dyDescent="0.25">
      <c r="A894">
        <v>1343</v>
      </c>
      <c r="B894">
        <v>12113.651750000001</v>
      </c>
      <c r="C894" s="1">
        <v>2.3999999999999999E-6</v>
      </c>
      <c r="D894">
        <v>110508.9734</v>
      </c>
      <c r="E894" s="1">
        <v>1.5840000000000001E-5</v>
      </c>
      <c r="F894">
        <v>644389.95880000002</v>
      </c>
      <c r="G894">
        <v>143.08553689999999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3.7010800571862006E-2</v>
      </c>
      <c r="M894" s="1">
        <f t="shared" si="55"/>
        <v>8.1924830558146242E-2</v>
      </c>
      <c r="N894" s="1">
        <f t="shared" si="56"/>
        <v>346257.9792527036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-2.3555000000000001E-5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-0.16329975534666119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-2.5735E-5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-5.6892889199439772E-2</v>
      </c>
      <c r="O896" s="1"/>
    </row>
    <row r="897" spans="1:15" x14ac:dyDescent="0.25">
      <c r="A897">
        <v>1346</v>
      </c>
      <c r="B897">
        <v>1281.652971</v>
      </c>
      <c r="C897" s="1">
        <v>0</v>
      </c>
      <c r="D897">
        <v>29097.460490000001</v>
      </c>
      <c r="E897" s="1">
        <v>-1.5E-6</v>
      </c>
      <c r="F897">
        <v>184870.59239999999</v>
      </c>
      <c r="G897" s="1">
        <v>-1.133E-5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-7.3251312253543047E-2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1.5515E-5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8.0166401481372204E-2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2.2195E-5</v>
      </c>
      <c r="F899">
        <v>614294.72369999997</v>
      </c>
      <c r="G899">
        <v>271.10445329999999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0.14085320463409098</v>
      </c>
      <c r="N899" s="1">
        <f t="shared" ref="N899:N962" si="60">$U$4*$K899*G899</f>
        <v>804992.64564165054</v>
      </c>
      <c r="O899" s="1"/>
    </row>
    <row r="900" spans="1:15" x14ac:dyDescent="0.25">
      <c r="A900">
        <v>1349</v>
      </c>
      <c r="B900">
        <v>25027.602770000001</v>
      </c>
      <c r="C900" s="1">
        <v>3.0800000000000002E-6</v>
      </c>
      <c r="D900">
        <v>130664.8425</v>
      </c>
      <c r="E900" s="1">
        <v>-7.5209999999999997E-6</v>
      </c>
      <c r="F900">
        <v>475324.11489999999</v>
      </c>
      <c r="G900" s="1">
        <v>7.09499E-6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3.3382562426012806E-2</v>
      </c>
      <c r="M900" s="1">
        <f t="shared" si="59"/>
        <v>-2.73393181505081E-2</v>
      </c>
      <c r="N900" s="1">
        <f t="shared" si="60"/>
        <v>1.206722904688688E-2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-1.965E-5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-0.30161521418430287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2.2112000000000001E-5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0.14907474784321806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-4.1007999999999998E-5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-0.21059960707510825</v>
      </c>
      <c r="O903" s="1"/>
    </row>
    <row r="904" spans="1:15" x14ac:dyDescent="0.25">
      <c r="A904">
        <v>1402</v>
      </c>
      <c r="B904">
        <v>18363.577829999998</v>
      </c>
      <c r="C904" s="1">
        <v>3.6200000000000001E-6</v>
      </c>
      <c r="D904">
        <v>241920.91870000001</v>
      </c>
      <c r="E904" s="1">
        <v>1.5271E-5</v>
      </c>
      <c r="F904">
        <v>933897.37719999999</v>
      </c>
      <c r="G904">
        <v>19805.78025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3.0643422217815554E-2</v>
      </c>
      <c r="M904" s="1">
        <f t="shared" si="59"/>
        <v>4.3355011793472564E-2</v>
      </c>
      <c r="N904" s="1">
        <f t="shared" si="60"/>
        <v>26309189.302384309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-9.2730000000000008E-6</v>
      </c>
      <c r="F905">
        <v>567581.43359999999</v>
      </c>
      <c r="G905">
        <v>34514.196360000002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-0.10447941382511168</v>
      </c>
      <c r="N905" s="1">
        <f t="shared" si="60"/>
        <v>181949937.74093845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4.9569900000000003E-6</v>
      </c>
      <c r="F906">
        <v>694246.91689999995</v>
      </c>
      <c r="G906">
        <v>57856.982259999997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4.7223849103875337E-2</v>
      </c>
      <c r="N906" s="1">
        <f t="shared" si="60"/>
        <v>257894924.78972647</v>
      </c>
      <c r="O906" s="1"/>
    </row>
    <row r="907" spans="1:15" x14ac:dyDescent="0.25">
      <c r="A907">
        <v>1405</v>
      </c>
      <c r="B907">
        <v>5160.3794660000003</v>
      </c>
      <c r="C907" s="1">
        <v>-1.8E-7</v>
      </c>
      <c r="D907">
        <v>27082.32159</v>
      </c>
      <c r="E907" s="1">
        <v>-4.69998E-7</v>
      </c>
      <c r="F907">
        <v>315113.25229999999</v>
      </c>
      <c r="G907" s="1">
        <v>-4.1668000000000002E-5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-5.9026591061100003E-3</v>
      </c>
      <c r="M907" s="1">
        <f t="shared" si="59"/>
        <v>-5.169092978227866E-3</v>
      </c>
      <c r="N907" s="1">
        <f t="shared" si="60"/>
        <v>-0.21441969198808492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>
        <v>68546.064880000005</v>
      </c>
      <c r="F908">
        <v>1328372.199</v>
      </c>
      <c r="G908">
        <v>6715.3665000000001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178060871.33850339</v>
      </c>
      <c r="N908" s="1">
        <f t="shared" si="60"/>
        <v>8162052.1364662424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>
        <v>53353.605349999998</v>
      </c>
      <c r="F909">
        <v>1370158.5220000001</v>
      </c>
      <c r="G909">
        <v>7859.090357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51984244.914233729</v>
      </c>
      <c r="N909" s="1">
        <f t="shared" si="60"/>
        <v>3582811.2412479422</v>
      </c>
      <c r="O909" s="1"/>
    </row>
    <row r="910" spans="1:15" x14ac:dyDescent="0.25">
      <c r="A910">
        <v>1408</v>
      </c>
      <c r="B910">
        <v>12303.379430000001</v>
      </c>
      <c r="C910" s="1">
        <v>-1.3799999999999999E-6</v>
      </c>
      <c r="D910">
        <v>211004.0068</v>
      </c>
      <c r="E910" s="1">
        <v>-9.9980100000000005E-6</v>
      </c>
      <c r="F910">
        <v>814471.30229999998</v>
      </c>
      <c r="G910">
        <v>40454.646079999999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-4.2286209568911749E-2</v>
      </c>
      <c r="M910" s="1">
        <f t="shared" si="59"/>
        <v>-0.10274870931637953</v>
      </c>
      <c r="N910" s="1">
        <f t="shared" si="60"/>
        <v>194524761.98645875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-4.4407999999999999E-5</v>
      </c>
      <c r="F911">
        <v>854028.26170000003</v>
      </c>
      <c r="G911">
        <v>38692.061220000003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-0.5220471422289753</v>
      </c>
      <c r="N911" s="1">
        <f t="shared" si="60"/>
        <v>212820790.89174107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-2.9179999999999998E-5</v>
      </c>
      <c r="F912">
        <v>499306.76530000003</v>
      </c>
      <c r="G912" s="1">
        <v>3.1612000000000002E-5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-0.32086747959219464</v>
      </c>
      <c r="N912" s="1">
        <f t="shared" si="60"/>
        <v>0.16264325854968256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1.5069999999999999E-6</v>
      </c>
      <c r="F913">
        <v>110340.32709999999</v>
      </c>
      <c r="G913" s="1">
        <v>2.0687E-5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2.4298044907413628E-2</v>
      </c>
      <c r="N913" s="1">
        <f t="shared" si="60"/>
        <v>0.1560627554895683</v>
      </c>
      <c r="O913" s="1"/>
    </row>
    <row r="914" spans="1:15" x14ac:dyDescent="0.25">
      <c r="A914">
        <v>1414</v>
      </c>
      <c r="B914">
        <v>9260.1392230000001</v>
      </c>
      <c r="C914" s="1">
        <v>9.9999999999999995E-8</v>
      </c>
      <c r="D914">
        <v>84128.722959999999</v>
      </c>
      <c r="E914" s="1">
        <v>-4.9030100000000002E-6</v>
      </c>
      <c r="F914">
        <v>337598.30310000002</v>
      </c>
      <c r="G914" s="1">
        <v>-3.9697999999999998E-5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3.0184906000665004E-3</v>
      </c>
      <c r="M914" s="1">
        <f t="shared" si="59"/>
        <v>-4.9635882033122879E-2</v>
      </c>
      <c r="N914" s="1">
        <f t="shared" si="60"/>
        <v>-0.18803784713579805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-3.6679999999999999E-6</v>
      </c>
      <c r="F915">
        <v>524740.83810000005</v>
      </c>
      <c r="G915">
        <v>3340.5580190000001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-5.5063707272689326E-2</v>
      </c>
      <c r="N915" s="1">
        <f t="shared" si="60"/>
        <v>23463825.380849499</v>
      </c>
      <c r="O915" s="1"/>
    </row>
    <row r="916" spans="1:15" x14ac:dyDescent="0.25">
      <c r="A916">
        <v>1416</v>
      </c>
      <c r="B916">
        <v>4791.3035339999997</v>
      </c>
      <c r="C916" s="1">
        <v>0</v>
      </c>
      <c r="D916">
        <v>62655.400179999997</v>
      </c>
      <c r="E916" s="1">
        <v>-1.113E-6</v>
      </c>
      <c r="F916">
        <v>282564.40549999999</v>
      </c>
      <c r="G916" s="1">
        <v>2.2342000000000001E-5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-9.4075659425660527E-3</v>
      </c>
      <c r="N916" s="1">
        <f t="shared" si="60"/>
        <v>8.8358397856272003E-2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-1.81302E-6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-3.0393089494211083E-2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2.6397000000000002E-5</v>
      </c>
      <c r="F918">
        <v>430516.70020000002</v>
      </c>
      <c r="G918" s="1">
        <v>4.9301000000000001E-5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0.27161015648120473</v>
      </c>
      <c r="N918" s="1">
        <f t="shared" si="60"/>
        <v>0.23735087652741801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3.1070000000000001E-6</v>
      </c>
      <c r="F919">
        <v>417968.91480000003</v>
      </c>
      <c r="G919" s="1">
        <v>-1.0798000000000001E-5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4.1194024939403051E-2</v>
      </c>
      <c r="N919" s="1">
        <f t="shared" si="60"/>
        <v>-6.6985372320210318E-2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5.5970199999999996E-6</v>
      </c>
      <c r="F920">
        <v>538222.56059999997</v>
      </c>
      <c r="G920">
        <v>13510.58288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0.10013103354670341</v>
      </c>
      <c r="N920" s="1">
        <f t="shared" si="60"/>
        <v>113091406.22182439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-2.6302999999999999E-5</v>
      </c>
      <c r="F921">
        <v>585456.31889999995</v>
      </c>
      <c r="G921">
        <v>20618.654709999999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-0.22033092966722467</v>
      </c>
      <c r="N921" s="1">
        <f t="shared" si="60"/>
        <v>80811689.390379608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1.1406999999999999E-5</v>
      </c>
      <c r="F922">
        <v>660488.32510000002</v>
      </c>
      <c r="G922">
        <v>55114.133849999998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0.10589486603576792</v>
      </c>
      <c r="N922" s="1">
        <f t="shared" si="60"/>
        <v>239392273.09874895</v>
      </c>
      <c r="O922" s="1"/>
    </row>
    <row r="923" spans="1:15" x14ac:dyDescent="0.25">
      <c r="A923">
        <v>1500</v>
      </c>
      <c r="B923">
        <v>3847.1113639999999</v>
      </c>
      <c r="C923" s="1">
        <v>-3.8000000000000001E-7</v>
      </c>
      <c r="D923">
        <v>87946.623649999994</v>
      </c>
      <c r="E923" s="1">
        <v>-4.3599999999999998E-6</v>
      </c>
      <c r="F923">
        <v>376841.57079999999</v>
      </c>
      <c r="G923" s="1">
        <v>4.7540999999999998E-5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-4.4122080781753012E-3</v>
      </c>
      <c r="M923" s="1">
        <f t="shared" si="59"/>
        <v>-1.6978605401392951E-2</v>
      </c>
      <c r="N923" s="1">
        <f t="shared" si="60"/>
        <v>8.6621862319604281E-2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3.2030000000000003E-5</v>
      </c>
      <c r="F924">
        <v>721095.04500000004</v>
      </c>
      <c r="G924">
        <v>11583.40904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0.1737983815726207</v>
      </c>
      <c r="N924" s="1">
        <f t="shared" si="60"/>
        <v>29408228.22541048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-3.9857999999999997E-5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-0.12803153663855893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-3.8869999999999999E-5</v>
      </c>
      <c r="F926">
        <v>778650.66709999996</v>
      </c>
      <c r="G926">
        <v>15961.07662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-0.27390224400747137</v>
      </c>
      <c r="N926" s="1">
        <f t="shared" si="60"/>
        <v>52624370.0721182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-3.7800100000000001E-6</v>
      </c>
      <c r="F927">
        <v>383550.54729999998</v>
      </c>
      <c r="G927" s="1">
        <v>-1.4467999999999999E-5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-1.8693703587715525E-2</v>
      </c>
      <c r="N927" s="1">
        <f t="shared" si="60"/>
        <v>-3.3477620475351098E-2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-2.1800100000000002E-6</v>
      </c>
      <c r="F928">
        <v>333037.11229999998</v>
      </c>
      <c r="G928" s="1">
        <v>9.5220199999999993E-6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-1.6155701123734555E-2</v>
      </c>
      <c r="N928" s="1">
        <f t="shared" si="60"/>
        <v>3.3017188709661117E-2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5.3719899999999997E-6</v>
      </c>
      <c r="F929">
        <v>1159103.6340000001</v>
      </c>
      <c r="G929">
        <v>2778.0038319999999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2.9569247793590075E-2</v>
      </c>
      <c r="N929" s="1">
        <f t="shared" si="60"/>
        <v>7154538.0841946369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 s="1">
        <v>-1.5749000000000001E-5</v>
      </c>
      <c r="F930">
        <v>1062485.0330000001</v>
      </c>
      <c r="G930">
        <v>925.39881639999999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-0.10109643698933582</v>
      </c>
      <c r="N930" s="1">
        <f t="shared" si="60"/>
        <v>2779428.3602346769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-3.0667999999999998E-5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-0.14447468620281703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3.2119600000000001E-6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7.9507560954153785E-3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-2.588E-5</v>
      </c>
      <c r="F933">
        <v>1003305.371</v>
      </c>
      <c r="G933">
        <v>1428.7084010000001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-0.14565790822738103</v>
      </c>
      <c r="N933" s="1">
        <f t="shared" si="60"/>
        <v>3762331.6276193098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4.5369999999999999E-6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1.46054500045104E-2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-4.1799899999999999E-6</v>
      </c>
      <c r="F935">
        <v>594693.61289999995</v>
      </c>
      <c r="G935">
        <v>19725.512460000002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-4.0552223049424914E-2</v>
      </c>
      <c r="N935" s="1">
        <f t="shared" si="60"/>
        <v>89538826.281702518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-2.1999899999999998E-6</v>
      </c>
      <c r="F936">
        <v>673138.97420000006</v>
      </c>
      <c r="G936">
        <v>9301.7004130000005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-9.943487810433348E-3</v>
      </c>
      <c r="N936" s="1">
        <f t="shared" si="60"/>
        <v>19670892.492052555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-1.9999799999999999E-7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-8.8230162657464324E-4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6368.2755079999997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18719117.092675626</v>
      </c>
      <c r="O938" s="1"/>
    </row>
    <row r="939" spans="1:15" x14ac:dyDescent="0.25">
      <c r="A939">
        <v>1518</v>
      </c>
      <c r="B939">
        <v>12520.07303</v>
      </c>
      <c r="C939" s="1">
        <v>1.9999999999999999E-7</v>
      </c>
      <c r="D939">
        <v>55329.487410000002</v>
      </c>
      <c r="E939" s="1">
        <v>-3.8999999999999999E-6</v>
      </c>
      <c r="F939">
        <v>666563.71239999996</v>
      </c>
      <c r="G939">
        <v>4546.0458049999997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5.2618689365059998E-3</v>
      </c>
      <c r="M939" s="1">
        <f t="shared" si="59"/>
        <v>-3.441262284474924E-2</v>
      </c>
      <c r="N939" s="1">
        <f t="shared" si="60"/>
        <v>18768547.037975512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>
        <v>4181.6426549999996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11781082.575038549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 s="1">
        <v>4.07E-5</v>
      </c>
      <c r="F941">
        <v>780317.56030000001</v>
      </c>
      <c r="G941">
        <v>5539.7138610000002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0.41658938101690979</v>
      </c>
      <c r="N941" s="1">
        <f t="shared" si="60"/>
        <v>26530461.056872636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>
        <v>17738.506089999999</v>
      </c>
      <c r="F942">
        <v>890798.45460000006</v>
      </c>
      <c r="G942">
        <v>4487.3345289999997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94099192.137665719</v>
      </c>
      <c r="N942" s="1">
        <f t="shared" si="60"/>
        <v>11137840.105807457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4543.8230430000003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12137048.109636005</v>
      </c>
      <c r="O943" s="1"/>
    </row>
    <row r="944" spans="1:15" x14ac:dyDescent="0.25">
      <c r="A944">
        <v>1525</v>
      </c>
      <c r="B944">
        <v>17237.505730000001</v>
      </c>
      <c r="C944" s="1">
        <v>-3.1999999999999999E-6</v>
      </c>
      <c r="D944">
        <v>292069.42749999999</v>
      </c>
      <c r="E944">
        <v>2442.2421589999999</v>
      </c>
      <c r="F944">
        <v>885090.15419999999</v>
      </c>
      <c r="G944">
        <v>1693.0444130000001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-0.13741621472695997</v>
      </c>
      <c r="M944" s="1">
        <f t="shared" si="59"/>
        <v>35173846.49044735</v>
      </c>
      <c r="N944" s="1">
        <f t="shared" si="60"/>
        <v>11408884.119762966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>
        <v>2983.4186490000002</v>
      </c>
      <c r="F945">
        <v>864960.78139999998</v>
      </c>
      <c r="G945">
        <v>7764.0080719999996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29230834.941343807</v>
      </c>
      <c r="N945" s="1">
        <f t="shared" si="60"/>
        <v>35592351.101782061</v>
      </c>
      <c r="O945" s="1"/>
    </row>
    <row r="946" spans="1:15" x14ac:dyDescent="0.25">
      <c r="A946">
        <v>1527</v>
      </c>
      <c r="B946">
        <v>9638.5344320000004</v>
      </c>
      <c r="C946" s="1">
        <v>0</v>
      </c>
      <c r="D946">
        <v>153070.17430000001</v>
      </c>
      <c r="E946">
        <v>3997.2046570000002</v>
      </c>
      <c r="F946">
        <v>759688.80889999995</v>
      </c>
      <c r="G946">
        <v>6950.3214029999999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29284371.122400824</v>
      </c>
      <c r="N946" s="1">
        <f t="shared" si="60"/>
        <v>23824735.266317051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>
        <v>327.68135899999999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1224979.9449967202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>
        <v>2968.5535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7851930.4816910168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-9.7999899999999991E-7</v>
      </c>
      <c r="F949">
        <v>375063.00900000002</v>
      </c>
      <c r="G949" s="1">
        <v>2.2242000000000002E-5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-9.1196937262139344E-3</v>
      </c>
      <c r="N949" s="1">
        <f t="shared" si="60"/>
        <v>9.6843869844249975E-2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3.3426999999999997E-5</v>
      </c>
      <c r="F950">
        <v>848328.59660000005</v>
      </c>
      <c r="G950">
        <v>4149.5694759999997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0.27417269592226928</v>
      </c>
      <c r="N950" s="1">
        <f t="shared" si="60"/>
        <v>15924782.871434646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2.686E-5</v>
      </c>
      <c r="F951">
        <v>637389.02619999996</v>
      </c>
      <c r="G951">
        <v>32628.582780000001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0.25831605059262192</v>
      </c>
      <c r="N951" s="1">
        <f t="shared" si="60"/>
        <v>146820693.99890894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2.533E-5</v>
      </c>
      <c r="F952">
        <v>649534.38740000001</v>
      </c>
      <c r="G952">
        <v>33041.28398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0.40795109843946281</v>
      </c>
      <c r="N952" s="1">
        <f t="shared" si="60"/>
        <v>248985187.36822662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34514.196380000001</v>
      </c>
      <c r="F953">
        <v>1061200.473</v>
      </c>
      <c r="G953">
        <v>3934.712943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59898194.236005798</v>
      </c>
      <c r="N953" s="1">
        <f t="shared" si="60"/>
        <v>3195013.4889163724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2.0407E-5</v>
      </c>
      <c r="F954">
        <v>702900.43160000001</v>
      </c>
      <c r="G954">
        <v>50011.895530000002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0.15931209595875706</v>
      </c>
      <c r="N954" s="1">
        <f t="shared" si="60"/>
        <v>182678139.71347728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>
        <v>53586.09648</v>
      </c>
      <c r="F955">
        <v>1191782.9110000001</v>
      </c>
      <c r="G955">
        <v>8908.8380940000006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135028758.64912385</v>
      </c>
      <c r="N955" s="1">
        <f t="shared" si="60"/>
        <v>10503617.494809585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2.1132E-5</v>
      </c>
      <c r="F956">
        <v>1010444.912</v>
      </c>
      <c r="G956">
        <v>2612.5501909999998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0.11349363736951312</v>
      </c>
      <c r="N956" s="1">
        <f t="shared" si="60"/>
        <v>6565068.0750864893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1.9131999999999999E-5</v>
      </c>
      <c r="F957">
        <v>996586.51280000003</v>
      </c>
      <c r="G957">
        <v>6114.1852200000003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3.5490052080598397E-2</v>
      </c>
      <c r="N957" s="1">
        <f t="shared" si="60"/>
        <v>5306748.8382495139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5.5000400000000003E-7</v>
      </c>
      <c r="F958">
        <v>333844.68119999999</v>
      </c>
      <c r="G958">
        <v>2866.0859009999999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2.8730227630471136E-3</v>
      </c>
      <c r="N958" s="1">
        <f t="shared" si="60"/>
        <v>7004967.0990798324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>
        <v>34514.19644</v>
      </c>
      <c r="F959">
        <v>1077658.871</v>
      </c>
      <c r="G959">
        <v>3934.7123860000002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56712523.893049069</v>
      </c>
      <c r="N959" s="1">
        <f t="shared" si="60"/>
        <v>3025087.0693942653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>
        <v>38484.293700000002</v>
      </c>
      <c r="F960">
        <v>1096769.0630000001</v>
      </c>
      <c r="G960">
        <v>5460.2973039999997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90776604.581936583</v>
      </c>
      <c r="N960" s="1">
        <f t="shared" si="60"/>
        <v>6026294.9241693309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>
        <v>67573.964000000007</v>
      </c>
      <c r="F961">
        <v>1077233.0090000001</v>
      </c>
      <c r="G961">
        <v>3032.0215250000001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288776684.81502116</v>
      </c>
      <c r="N961" s="1">
        <f t="shared" si="60"/>
        <v>6062596.8361116461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2.7690000000000001E-5</v>
      </c>
      <c r="F962">
        <v>563240.16639999999</v>
      </c>
      <c r="G962">
        <v>57722.538959999998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8.3660682184090049E-2</v>
      </c>
      <c r="N962" s="1">
        <f t="shared" si="60"/>
        <v>81599509.751262218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4.1207E-5</v>
      </c>
      <c r="F963">
        <v>957335.06909999996</v>
      </c>
      <c r="G963">
        <v>8004.317301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0.11354415428793589</v>
      </c>
      <c r="N963" s="1">
        <f t="shared" ref="N963:N1026" si="64">$U$4*$K963*G963</f>
        <v>10319573.691454682</v>
      </c>
      <c r="O963" s="1"/>
    </row>
    <row r="964" spans="1:15" x14ac:dyDescent="0.25">
      <c r="A964">
        <v>1548</v>
      </c>
      <c r="B964">
        <v>73843.330520000003</v>
      </c>
      <c r="C964" s="1">
        <v>2.7499999999999999E-6</v>
      </c>
      <c r="D964">
        <v>392977.07679999998</v>
      </c>
      <c r="E964">
        <v>34514.196380000001</v>
      </c>
      <c r="F964">
        <v>1004964.289</v>
      </c>
      <c r="G964">
        <v>12462.39999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2.3719892680770002E-2</v>
      </c>
      <c r="M964" s="1">
        <f t="shared" si="63"/>
        <v>99843760.242273152</v>
      </c>
      <c r="N964" s="1">
        <f t="shared" si="64"/>
        <v>16868191.670701075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3.4616999999999997E-5</v>
      </c>
      <c r="F965">
        <v>877716.75950000004</v>
      </c>
      <c r="G965">
        <v>455.70024849999999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0.35621995429604386</v>
      </c>
      <c r="N965" s="1">
        <f t="shared" si="64"/>
        <v>2194076.4656813787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>
        <v>41237.052129999996</v>
      </c>
      <c r="F966">
        <v>1009864.672</v>
      </c>
      <c r="G966">
        <v>7795.8806729999997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100225335.22105205</v>
      </c>
      <c r="N966" s="1">
        <f t="shared" si="64"/>
        <v>8865408.8080184702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>
        <v>408.40689939999999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2998807.4010067284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>
        <v>20909.493920000001</v>
      </c>
      <c r="F968">
        <v>1128799.469</v>
      </c>
      <c r="G968">
        <v>5994.1093559999999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47158345.410123073</v>
      </c>
      <c r="N968" s="1">
        <f t="shared" si="64"/>
        <v>6325332.7602399001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>
        <v>18424.77447</v>
      </c>
      <c r="F969">
        <v>1313754.5349999999</v>
      </c>
      <c r="G969">
        <v>4975.4674429999995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14023334.765814088</v>
      </c>
      <c r="N969" s="1">
        <f t="shared" si="64"/>
        <v>1771848.9193750806</v>
      </c>
      <c r="O969" s="1"/>
    </row>
    <row r="970" spans="1:15" x14ac:dyDescent="0.25">
      <c r="A970">
        <v>1554</v>
      </c>
      <c r="B970">
        <v>27384.856670000001</v>
      </c>
      <c r="C970" s="1">
        <v>4.5900000000000001E-6</v>
      </c>
      <c r="D970">
        <v>333176.54340000002</v>
      </c>
      <c r="E970" s="1">
        <v>4.7290000000000003E-5</v>
      </c>
      <c r="F970">
        <v>869431.27980000002</v>
      </c>
      <c r="G970">
        <v>4977.3186660000001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9.9397651068834303E-2</v>
      </c>
      <c r="M970" s="1">
        <f t="shared" si="63"/>
        <v>0.34345977957159313</v>
      </c>
      <c r="N970" s="1">
        <f t="shared" si="64"/>
        <v>16913975.522101328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>
        <v>1703.1088950000001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5583000.9136503059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3.8309999999999997E-5</v>
      </c>
      <c r="F972">
        <v>771257.54810000001</v>
      </c>
      <c r="G972">
        <v>844.67324989999997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0.17689821610865591</v>
      </c>
      <c r="N972" s="1">
        <f t="shared" si="64"/>
        <v>1824919.5352741773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2.141E-5</v>
      </c>
      <c r="F973">
        <v>855054.99540000001</v>
      </c>
      <c r="G973">
        <v>1453.382006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0.20599383014491554</v>
      </c>
      <c r="N973" s="1">
        <f t="shared" si="64"/>
        <v>6542760.1909686681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4.4820000000000001E-5</v>
      </c>
      <c r="F974">
        <v>721466.87730000005</v>
      </c>
      <c r="G974">
        <v>2324.8015099999998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0.4599272761802089</v>
      </c>
      <c r="N974" s="1">
        <f t="shared" si="64"/>
        <v>11162124.734176414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3.222E-5</v>
      </c>
      <c r="F975">
        <v>709686.321</v>
      </c>
      <c r="G975">
        <v>7604.664581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0.16175331557332703</v>
      </c>
      <c r="N975" s="1">
        <f t="shared" si="64"/>
        <v>17862876.553906795</v>
      </c>
      <c r="O975" s="1"/>
    </row>
    <row r="976" spans="1:15" x14ac:dyDescent="0.25">
      <c r="A976">
        <v>1560</v>
      </c>
      <c r="B976">
        <v>2902.181196</v>
      </c>
      <c r="C976" s="1">
        <v>-1.9999999999999999E-7</v>
      </c>
      <c r="D976">
        <v>131730.45370000001</v>
      </c>
      <c r="E976" s="1">
        <v>2.3199800000000001E-6</v>
      </c>
      <c r="F976">
        <v>657042.16960000002</v>
      </c>
      <c r="G976">
        <v>2509.6827400000002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-8.3824421076500004E-3</v>
      </c>
      <c r="M976" s="1">
        <f t="shared" si="63"/>
        <v>3.2611287483980574E-2</v>
      </c>
      <c r="N976" s="1">
        <f t="shared" si="64"/>
        <v>16506165.909346767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-3.646E-5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-0.160609041172592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>
        <v>7158.4811920000002</v>
      </c>
      <c r="F978">
        <v>1387757.9210000001</v>
      </c>
      <c r="G978">
        <v>9648.8111140000001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3176036.5513064354</v>
      </c>
      <c r="N978" s="1">
        <f t="shared" si="64"/>
        <v>2003005.2446991189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1.042E-5</v>
      </c>
      <c r="F980">
        <v>423011.45159999997</v>
      </c>
      <c r="G980" s="1">
        <v>-4.7008000000000001E-5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4.143642275575992E-2</v>
      </c>
      <c r="N980" s="1">
        <f t="shared" si="64"/>
        <v>-8.7464131615313606E-2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3.4910000000000003E-5</v>
      </c>
      <c r="F981">
        <v>543147.97790000006</v>
      </c>
      <c r="G981">
        <v>23484.74063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0.41050424233453819</v>
      </c>
      <c r="N981" s="1">
        <f t="shared" si="64"/>
        <v>129210333.41194686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-3.3850000000000003E-5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-3.1357545388355994E-2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-2.59001E-6</v>
      </c>
      <c r="F983">
        <v>522725.82679999998</v>
      </c>
      <c r="G983" s="1">
        <v>-4.1223000000000002E-5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-1.9312051490807201E-2</v>
      </c>
      <c r="N983" s="1">
        <f t="shared" si="64"/>
        <v>-0.14381700566167208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4.5689999999999998E-5</v>
      </c>
      <c r="F984">
        <v>838852.59250000003</v>
      </c>
      <c r="G984">
        <v>17683.239850000002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0.11127927891483312</v>
      </c>
      <c r="N984" s="1">
        <f t="shared" si="64"/>
        <v>20151095.46559044</v>
      </c>
      <c r="O984" s="1"/>
    </row>
    <row r="985" spans="1:15" x14ac:dyDescent="0.25">
      <c r="A985">
        <v>1569</v>
      </c>
      <c r="B985">
        <v>19217.238799999999</v>
      </c>
      <c r="C985" s="1">
        <v>1.3E-6</v>
      </c>
      <c r="D985">
        <v>128190.92479999999</v>
      </c>
      <c r="E985" s="1">
        <v>2.124E-5</v>
      </c>
      <c r="F985">
        <v>657674.98389999999</v>
      </c>
      <c r="G985">
        <v>13056.71601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3.699759975462525E-2</v>
      </c>
      <c r="M985" s="1">
        <f t="shared" si="63"/>
        <v>0.20273458709566439</v>
      </c>
      <c r="N985" s="1">
        <f t="shared" si="64"/>
        <v>58311064.628253654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>
        <v>14235.771779999999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23738271.41308447</v>
      </c>
      <c r="O986" s="1"/>
    </row>
    <row r="987" spans="1:15" x14ac:dyDescent="0.25">
      <c r="A987">
        <v>1571</v>
      </c>
      <c r="B987">
        <v>37705.080470000001</v>
      </c>
      <c r="C987" s="1">
        <v>4.1999999999999996E-6</v>
      </c>
      <c r="D987">
        <v>159400.51459999999</v>
      </c>
      <c r="E987" s="1">
        <v>-3.9860000000000001E-5</v>
      </c>
      <c r="F987">
        <v>949003.41760000004</v>
      </c>
      <c r="G987">
        <v>3840.8337489999999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6.9814827610573491E-2</v>
      </c>
      <c r="M987" s="1">
        <f t="shared" si="63"/>
        <v>-0.22221778323279348</v>
      </c>
      <c r="N987" s="1">
        <f t="shared" si="64"/>
        <v>10018684.578338969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-2.6060000000000001E-5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-0.1236288994323296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1.9910000000000001E-5</v>
      </c>
      <c r="F989">
        <v>952018.26950000005</v>
      </c>
      <c r="G989" s="1">
        <v>4.4221999999999998E-5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7.5062977108093704E-2</v>
      </c>
      <c r="N989" s="1">
        <f t="shared" si="64"/>
        <v>7.8007540195734054E-2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>
        <v>7710.2031779999998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20531777.280433349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>
        <v>20148.565910000001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48375904.826821834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-3.964E-5</v>
      </c>
      <c r="F992">
        <v>1049052.7549999999</v>
      </c>
      <c r="G992">
        <v>7041.6395979999998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-3.6210885430049383E-2</v>
      </c>
      <c r="N992" s="1">
        <f t="shared" si="64"/>
        <v>3009698.3495650603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>
        <v>3691.5278490000001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10209012.829466183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4.5999900000000002E-6</v>
      </c>
      <c r="F994">
        <v>500880.37040000001</v>
      </c>
      <c r="G994">
        <v>972.10086160000003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3.2304586980124977E-2</v>
      </c>
      <c r="N994" s="1">
        <f t="shared" si="64"/>
        <v>3194201.5164883249</v>
      </c>
      <c r="O994" s="1"/>
    </row>
    <row r="995" spans="1:15" x14ac:dyDescent="0.25">
      <c r="A995">
        <v>1581</v>
      </c>
      <c r="B995">
        <v>33150.360670000002</v>
      </c>
      <c r="C995" s="1">
        <v>1.1999999999999999E-6</v>
      </c>
      <c r="D995">
        <v>155194.50520000001</v>
      </c>
      <c r="E995" s="1">
        <v>-1.189E-5</v>
      </c>
      <c r="F995">
        <v>941399.94</v>
      </c>
      <c r="G995">
        <v>1453.341034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4.3955628364049995E-3</v>
      </c>
      <c r="M995" s="1">
        <f t="shared" si="63"/>
        <v>-1.4606906132331395E-2</v>
      </c>
      <c r="N995" s="1">
        <f t="shared" si="64"/>
        <v>835386.77877259906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-1.1212999999999999E-5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-4.7504032858826331E-2</v>
      </c>
      <c r="O996" s="1"/>
    </row>
    <row r="997" spans="1:15" x14ac:dyDescent="0.25">
      <c r="A997">
        <v>1583</v>
      </c>
      <c r="B997">
        <v>35079.252999999997</v>
      </c>
      <c r="C997" s="1">
        <v>-9.9999999999999995E-8</v>
      </c>
      <c r="D997">
        <v>242819.57130000001</v>
      </c>
      <c r="E997" s="1">
        <v>4.4190000000000002E-5</v>
      </c>
      <c r="F997">
        <v>1127227.304</v>
      </c>
      <c r="G997">
        <v>4793.6491550000001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-1.3256237986029999E-3</v>
      </c>
      <c r="M997" s="1">
        <f t="shared" si="63"/>
        <v>0.19646601252212481</v>
      </c>
      <c r="N997" s="1">
        <f t="shared" si="64"/>
        <v>9971795.2462485898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640.04836309999996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1012844.2306087753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-3.3259999999999997E-5</v>
      </c>
      <c r="F999">
        <v>917592.15720000002</v>
      </c>
      <c r="G999">
        <v>7115.9628039999998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-0.18136433337520561</v>
      </c>
      <c r="N999" s="1">
        <f t="shared" si="64"/>
        <v>18155448.692751903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3.379E-5</v>
      </c>
      <c r="F1000">
        <v>1016039.441</v>
      </c>
      <c r="G1000">
        <v>80.725613629999998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0.14432449299573508</v>
      </c>
      <c r="N1000" s="1">
        <f t="shared" si="64"/>
        <v>161326.93462994235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-2.7010000000000001E-5</v>
      </c>
      <c r="F1001">
        <v>1033084.339</v>
      </c>
      <c r="G1001">
        <v>1688.1928290000001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-5.3516636649629697E-2</v>
      </c>
      <c r="N1001" s="1">
        <f t="shared" si="64"/>
        <v>1565056.2698250653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-5.1000100000000002E-7</v>
      </c>
      <c r="F1002">
        <v>355590.23509999999</v>
      </c>
      <c r="G1002" s="1">
        <v>4.6319999999999997E-5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-6.9602118604415661E-3</v>
      </c>
      <c r="N1002" s="1">
        <f t="shared" si="64"/>
        <v>0.29577649653751031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>
        <v>9608.4246050000002</v>
      </c>
      <c r="F1003">
        <v>1325242.1499999999</v>
      </c>
      <c r="G1003">
        <v>10000.96637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23452609.134146173</v>
      </c>
      <c r="N1003" s="1">
        <f t="shared" si="64"/>
        <v>11421538.918419329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-2.455E-5</v>
      </c>
      <c r="F1004">
        <v>1044378.0209999999</v>
      </c>
      <c r="G1004">
        <v>640.04773550000004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-0.15567307554730608</v>
      </c>
      <c r="N1004" s="1">
        <f t="shared" si="64"/>
        <v>1898969.7765657275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2.993E-5</v>
      </c>
      <c r="F1005">
        <v>1175877.879</v>
      </c>
      <c r="G1005">
        <v>1440.3951099999999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3.3501865242040657E-2</v>
      </c>
      <c r="N1005" s="1">
        <f t="shared" si="64"/>
        <v>754375.52037207014</v>
      </c>
      <c r="O1005" s="1"/>
    </row>
    <row r="1006" spans="1:15" x14ac:dyDescent="0.25">
      <c r="A1006">
        <v>1600</v>
      </c>
      <c r="B1006">
        <v>354.38495139999998</v>
      </c>
      <c r="C1006" s="1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 s="1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 s="1">
        <v>0</v>
      </c>
      <c r="D1008">
        <v>205.24545979999999</v>
      </c>
      <c r="E1008">
        <v>0</v>
      </c>
      <c r="F1008">
        <v>13662.43108</v>
      </c>
      <c r="G1008" s="1">
        <v>-2.10001E-7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-2.4954815687726795E-3</v>
      </c>
      <c r="O1008" s="1"/>
    </row>
    <row r="1009" spans="1:15" x14ac:dyDescent="0.25">
      <c r="A1009">
        <v>1603</v>
      </c>
      <c r="B1009">
        <v>394.77280630000001</v>
      </c>
      <c r="C1009" s="1">
        <v>-1.0200000000000001E-12</v>
      </c>
      <c r="D1009">
        <v>10222.09246</v>
      </c>
      <c r="E1009" s="1">
        <v>-3.3000000000000002E-6</v>
      </c>
      <c r="F1009">
        <v>33298.237710000001</v>
      </c>
      <c r="G1009" s="1">
        <v>-2.2000299999999999E-7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-1.0968300712939052E-7</v>
      </c>
      <c r="M1009" s="1">
        <f t="shared" si="63"/>
        <v>-0.11901350728338392</v>
      </c>
      <c r="N1009" s="1">
        <f t="shared" si="64"/>
        <v>-3.7123985565365074E-3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-8.0000099999999999E-7</v>
      </c>
      <c r="F1010">
        <v>30849.654589999998</v>
      </c>
      <c r="G1010" s="1">
        <v>3.9798999999999998E-6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-2.0118432789583151E-2</v>
      </c>
      <c r="N1010" s="1">
        <f t="shared" si="64"/>
        <v>4.682949288082152E-2</v>
      </c>
      <c r="O1010" s="1"/>
    </row>
    <row r="1011" spans="1:15" x14ac:dyDescent="0.25">
      <c r="A1011">
        <v>1605</v>
      </c>
      <c r="B1011">
        <v>179.89538049999999</v>
      </c>
      <c r="C1011" s="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 s="1">
        <v>0</v>
      </c>
      <c r="D1012">
        <v>12086.26908</v>
      </c>
      <c r="E1012" s="1">
        <v>-1.31E-6</v>
      </c>
      <c r="F1012">
        <v>41308.473010000002</v>
      </c>
      <c r="G1012" s="1">
        <v>2.9199000000000002E-6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3.0703994220309491E-2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 s="1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 s="1">
        <v>3.0485999999999999E-5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7.3459884549740923E-2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 s="1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 s="1">
        <v>0</v>
      </c>
      <c r="D1019">
        <v>322.9601346</v>
      </c>
      <c r="E1019">
        <v>0</v>
      </c>
      <c r="F1019">
        <v>1175.776288</v>
      </c>
      <c r="G1019" s="1">
        <v>3.9999000000000002E-7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1.0300541078522638E-2</v>
      </c>
      <c r="O1019" s="1"/>
    </row>
    <row r="1020" spans="1:15" x14ac:dyDescent="0.25">
      <c r="A1020">
        <v>1616</v>
      </c>
      <c r="B1020">
        <v>463.46325150000001</v>
      </c>
      <c r="C1020" s="1">
        <v>0</v>
      </c>
      <c r="D1020">
        <v>1175.776288</v>
      </c>
      <c r="E1020" s="1">
        <v>3.9999000000000002E-7</v>
      </c>
      <c r="F1020">
        <v>10093.031569999999</v>
      </c>
      <c r="G1020" s="1">
        <v>1.3998999999999999E-6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1.9851254766423899E-2</v>
      </c>
      <c r="N1020" s="1">
        <f t="shared" si="64"/>
        <v>3.250719682953903E-2</v>
      </c>
      <c r="O1020" s="1"/>
    </row>
    <row r="1021" spans="1:15" x14ac:dyDescent="0.25">
      <c r="A1021">
        <v>1617</v>
      </c>
      <c r="B1021">
        <v>852.81615380000005</v>
      </c>
      <c r="C1021" s="1">
        <v>-1.0200000000000001E-12</v>
      </c>
      <c r="D1021">
        <v>1091.7974180000001</v>
      </c>
      <c r="E1021">
        <v>0</v>
      </c>
      <c r="F1021">
        <v>11306.136780000001</v>
      </c>
      <c r="G1021" s="1">
        <v>-1.1000199999999999E-7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-4.5530621630013009E-8</v>
      </c>
      <c r="M1021" s="1">
        <f t="shared" si="63"/>
        <v>0</v>
      </c>
      <c r="N1021" s="1">
        <f t="shared" si="64"/>
        <v>-7.7053222162226003E-4</v>
      </c>
      <c r="O1021" s="1"/>
    </row>
    <row r="1022" spans="1:15" x14ac:dyDescent="0.25">
      <c r="A1022">
        <v>1618</v>
      </c>
      <c r="B1022">
        <v>238.9812642</v>
      </c>
      <c r="C1022" s="1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3.9469999999999996E-6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1.0772035083847503E-2</v>
      </c>
      <c r="O1023" s="1"/>
    </row>
    <row r="1024" spans="1:15" x14ac:dyDescent="0.25">
      <c r="A1024">
        <v>1620</v>
      </c>
      <c r="B1024">
        <v>13629.850899999999</v>
      </c>
      <c r="C1024" s="1">
        <v>-1.6199999999999999E-6</v>
      </c>
      <c r="D1024">
        <v>43394.743190000001</v>
      </c>
      <c r="E1024" s="1">
        <v>4.5199999999999999E-6</v>
      </c>
      <c r="F1024">
        <v>265101.59659999999</v>
      </c>
      <c r="G1024" s="1">
        <v>3.2687000000000001E-5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-1.4783957111482648E-2</v>
      </c>
      <c r="M1024" s="1">
        <f t="shared" si="63"/>
        <v>1.3834301974710868E-2</v>
      </c>
      <c r="N1024" s="1">
        <f t="shared" si="64"/>
        <v>4.6809883212259644E-2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 s="1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-2.9199900000000001E-6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-1.0140695940547938E-2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-2.1103000000000001E-5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-4.9254979866869802E-2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>
        <v>2866.0859059999998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3278935.3378586597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1.7197000000000002E-5</v>
      </c>
      <c r="F1031">
        <v>672268.06889999995</v>
      </c>
      <c r="G1031">
        <v>41873.499510000001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5.2930725082227438E-2</v>
      </c>
      <c r="N1031" s="1">
        <f t="shared" si="68"/>
        <v>60302884.720411748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-2.3102999999999999E-5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-3.981540011992963E-2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1.7570000000000001E-6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6.1713378931861117E-3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-1.5030099999999999E-6</v>
      </c>
      <c r="F1034">
        <v>458677.16190000001</v>
      </c>
      <c r="G1034" s="1">
        <v>-3.7598000000000002E-5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-2.0339839909818201E-3</v>
      </c>
      <c r="N1034" s="1">
        <f t="shared" si="68"/>
        <v>-2.3806419489720346E-2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-4.7500100000000001E-6</v>
      </c>
      <c r="F1035">
        <v>622913.54599999997</v>
      </c>
      <c r="G1035">
        <v>43734.454729999998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-6.2510912906520609E-3</v>
      </c>
      <c r="N1035" s="1">
        <f t="shared" si="68"/>
        <v>26929526.159510568</v>
      </c>
      <c r="O1035" s="1"/>
    </row>
    <row r="1036" spans="1:15" x14ac:dyDescent="0.25">
      <c r="A1036">
        <v>1632</v>
      </c>
      <c r="B1036">
        <v>10530.420029999999</v>
      </c>
      <c r="C1036" s="1">
        <v>-1.2100000000000001E-6</v>
      </c>
      <c r="D1036">
        <v>32956.377439999997</v>
      </c>
      <c r="E1036" s="1">
        <v>3.2000400000000001E-7</v>
      </c>
      <c r="F1036">
        <v>190069.6347</v>
      </c>
      <c r="G1036" s="1">
        <v>3.6996999999999998E-5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-5.3677302134134255E-2</v>
      </c>
      <c r="M1036" s="1">
        <f t="shared" si="67"/>
        <v>4.7610621786200458E-3</v>
      </c>
      <c r="N1036" s="1">
        <f t="shared" si="68"/>
        <v>0.25754826827688443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1.8087000000000001E-5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4.0825374946067111E-2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 s="1">
        <v>-4.9930999999999997E-6</v>
      </c>
      <c r="F1038">
        <v>259052.20120000001</v>
      </c>
      <c r="G1038" s="1">
        <v>1.8876999999999999E-5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-4.6213677189971283E-2</v>
      </c>
      <c r="N1038" s="1">
        <f t="shared" si="68"/>
        <v>8.1747958605020779E-2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-4.4249999999999998E-5</v>
      </c>
      <c r="F1039">
        <v>557121.48580000002</v>
      </c>
      <c r="G1039">
        <v>52175.93735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-7.7619901831799329E-2</v>
      </c>
      <c r="N1039" s="1">
        <f t="shared" si="68"/>
        <v>42822670.99767682</v>
      </c>
      <c r="O1039" s="1"/>
    </row>
    <row r="1040" spans="1:15" x14ac:dyDescent="0.25">
      <c r="A1040">
        <v>1637</v>
      </c>
      <c r="B1040">
        <v>379.3032164</v>
      </c>
      <c r="C1040" s="1">
        <v>0</v>
      </c>
      <c r="D1040">
        <v>8803.8201659999995</v>
      </c>
      <c r="E1040" s="1">
        <v>-2.1001000000000001E-7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-4.5549391579638365E-3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 s="1">
        <v>1.9999999999999999E-7</v>
      </c>
      <c r="D1041">
        <v>14090.55912</v>
      </c>
      <c r="E1041" s="1">
        <v>-3.6101E-6</v>
      </c>
      <c r="F1041">
        <v>37205.376080000002</v>
      </c>
      <c r="G1041" s="1">
        <v>1.2699500000000001E-7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9.3927480143250006E-3</v>
      </c>
      <c r="M1041" s="1">
        <f t="shared" si="67"/>
        <v>-5.6862381494001552E-2</v>
      </c>
      <c r="N1041" s="1">
        <f t="shared" si="68"/>
        <v>9.3591436520060591E-4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4.3970100000000003E-6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3.6271258203422044E-2</v>
      </c>
      <c r="O1042" s="1"/>
    </row>
    <row r="1043" spans="1:15" x14ac:dyDescent="0.25">
      <c r="A1043">
        <v>1640</v>
      </c>
      <c r="B1043">
        <v>10334.02087</v>
      </c>
      <c r="C1043" s="1">
        <v>4.3900000000000003E-6</v>
      </c>
      <c r="D1043">
        <v>36688.142390000001</v>
      </c>
      <c r="E1043" s="1">
        <v>1.22E-6</v>
      </c>
      <c r="F1043">
        <v>250726.23860000001</v>
      </c>
      <c r="G1043" s="1">
        <v>3.2886999999999999E-5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6.494329439856375E-2</v>
      </c>
      <c r="M1043" s="1">
        <f t="shared" si="67"/>
        <v>6.0530291145056998E-3</v>
      </c>
      <c r="N1043" s="1">
        <f t="shared" si="68"/>
        <v>7.6345047322350715E-2</v>
      </c>
      <c r="O1043" s="1"/>
    </row>
    <row r="1044" spans="1:15" x14ac:dyDescent="0.25">
      <c r="A1044">
        <v>1641</v>
      </c>
      <c r="B1044">
        <v>2541.525838</v>
      </c>
      <c r="C1044" s="1">
        <v>-4.0999999999999999E-7</v>
      </c>
      <c r="D1044">
        <v>21187.978139999999</v>
      </c>
      <c r="E1044" s="1">
        <v>-4.2200000000000003E-6</v>
      </c>
      <c r="F1044">
        <v>69596.962939999998</v>
      </c>
      <c r="G1044" s="1">
        <v>7.9700799999999996E-7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-7.5793671590636998E-3</v>
      </c>
      <c r="M1044" s="1">
        <f t="shared" si="67"/>
        <v>-2.6164032313892093E-2</v>
      </c>
      <c r="N1044" s="1">
        <f t="shared" si="68"/>
        <v>2.3120572555066655E-3</v>
      </c>
      <c r="O1044" s="1"/>
    </row>
    <row r="1045" spans="1:15" x14ac:dyDescent="0.25">
      <c r="A1045">
        <v>1642</v>
      </c>
      <c r="B1045">
        <v>3275.1727999999998</v>
      </c>
      <c r="C1045" s="1">
        <v>0</v>
      </c>
      <c r="D1045">
        <v>28289.406139999999</v>
      </c>
      <c r="E1045" s="1">
        <v>-2.3199999999999998E-6</v>
      </c>
      <c r="F1045">
        <v>89832.328179999997</v>
      </c>
      <c r="G1045" s="1">
        <v>8.9700899999999998E-7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4.9355568653384977E-3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4.5197000000000001E-5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0.20445717868911209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-1.373E-6</v>
      </c>
      <c r="F1047">
        <v>137673.23050000001</v>
      </c>
      <c r="G1047" s="1">
        <v>-4.0612999999999999E-5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-1.4410345634692307E-2</v>
      </c>
      <c r="N1047" s="1">
        <f t="shared" si="68"/>
        <v>-0.19944015803036072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3.6969999999999999E-6</v>
      </c>
      <c r="F1048">
        <v>276533.22169999999</v>
      </c>
      <c r="G1048" s="1">
        <v>-3.3658000000000002E-5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3.8899957752708839E-2</v>
      </c>
      <c r="N1048" s="1">
        <f t="shared" si="68"/>
        <v>-0.16570349298854861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>
        <v>2866.0858659999999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11959577.812892077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-4.2419999999999997E-5</v>
      </c>
      <c r="F1050">
        <v>696389.76789999998</v>
      </c>
      <c r="G1050">
        <v>327.68136829999997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-0.32984137856768497</v>
      </c>
      <c r="N1050" s="1">
        <f t="shared" si="68"/>
        <v>1192147.2446357489</v>
      </c>
      <c r="O1050" s="1"/>
    </row>
    <row r="1051" spans="1:15" x14ac:dyDescent="0.25">
      <c r="A1051">
        <v>1702</v>
      </c>
      <c r="B1051">
        <v>299.0684531</v>
      </c>
      <c r="C1051" s="1">
        <v>0</v>
      </c>
      <c r="D1051">
        <v>7523.2415019999999</v>
      </c>
      <c r="E1051" s="1">
        <v>9.9999900000000003E-8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3.4711254777842508E-3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4.0059999999999999E-5</v>
      </c>
      <c r="F1052">
        <v>821054.53040000005</v>
      </c>
      <c r="G1052">
        <v>5792.6925000000001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0.58735159430182815</v>
      </c>
      <c r="N1052" s="1">
        <f t="shared" si="68"/>
        <v>39738489.956335545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3.2900100000000001E-6</v>
      </c>
      <c r="F1053">
        <v>320964.54460000002</v>
      </c>
      <c r="G1053">
        <v>2866.0859399999999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4.6588808916560268E-2</v>
      </c>
      <c r="N1053" s="1">
        <f t="shared" si="68"/>
        <v>18989663.816732775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5.6800200000000004E-6</v>
      </c>
      <c r="F1054">
        <v>785874.84400000004</v>
      </c>
      <c r="G1054">
        <v>3834.019554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8.8280218364190324E-2</v>
      </c>
      <c r="N1054" s="1">
        <f t="shared" si="68"/>
        <v>27881204.733166683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-4.1019999999999997E-5</v>
      </c>
      <c r="F1055">
        <v>672143.15610000002</v>
      </c>
      <c r="G1055">
        <v>192.80951529999999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-0.41422102635245373</v>
      </c>
      <c r="N1055" s="1">
        <f t="shared" si="68"/>
        <v>910979.54482314328</v>
      </c>
      <c r="O1055" s="1"/>
    </row>
    <row r="1056" spans="1:15" x14ac:dyDescent="0.25">
      <c r="A1056">
        <v>1707</v>
      </c>
      <c r="B1056">
        <v>1073.2375179999999</v>
      </c>
      <c r="C1056" s="1">
        <v>0</v>
      </c>
      <c r="D1056">
        <v>61792.086060000001</v>
      </c>
      <c r="E1056" s="1">
        <v>3.05E-6</v>
      </c>
      <c r="F1056">
        <v>275086.64140000002</v>
      </c>
      <c r="G1056" s="1">
        <v>-4.7209999999999997E-5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-0.24474485434200124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-1.9409999999999999E-5</v>
      </c>
      <c r="F1057">
        <v>638715.76309999998</v>
      </c>
      <c r="G1057">
        <v>7821.6496660000003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-0.19477505292002653</v>
      </c>
      <c r="N1057" s="1">
        <f t="shared" si="68"/>
        <v>36723987.733774781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3.3699900000000001E-6</v>
      </c>
      <c r="F1058">
        <v>702542.80090000003</v>
      </c>
      <c r="G1058">
        <v>5497.6601110000001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9.1372189800379464E-2</v>
      </c>
      <c r="N1058" s="1">
        <f t="shared" si="68"/>
        <v>69744021.506865963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>
        <v>30516.991720000002</v>
      </c>
      <c r="F1059">
        <v>879359.16520000005</v>
      </c>
      <c r="G1059">
        <v>4661.7951030000004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500205002.74503583</v>
      </c>
      <c r="N1059" s="1">
        <f t="shared" si="68"/>
        <v>35752232.885097764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3972.931313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41080972.888628259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2.9580000000000001E-5</v>
      </c>
      <c r="F1061">
        <v>715708.29590000003</v>
      </c>
      <c r="G1061">
        <v>4446.4149260000004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0.50635077551996488</v>
      </c>
      <c r="N1061" s="1">
        <f t="shared" si="68"/>
        <v>35612870.073768549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>
        <v>20549.676520000001</v>
      </c>
      <c r="F1062">
        <v>1028993.802</v>
      </c>
      <c r="G1062">
        <v>5527.004379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210797122.49903697</v>
      </c>
      <c r="N1062" s="1">
        <f t="shared" si="68"/>
        <v>26527307.712494917</v>
      </c>
      <c r="O1062" s="1"/>
    </row>
    <row r="1063" spans="1:15" x14ac:dyDescent="0.25">
      <c r="A1063">
        <v>1715</v>
      </c>
      <c r="B1063">
        <v>778.39056559999995</v>
      </c>
      <c r="C1063" s="1">
        <v>0</v>
      </c>
      <c r="D1063">
        <v>56603.185949999999</v>
      </c>
      <c r="E1063" s="1">
        <v>-2.5000000000000002E-6</v>
      </c>
      <c r="F1063">
        <v>220652.48329999999</v>
      </c>
      <c r="G1063" s="1">
        <v>-1.4929999999999999E-5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-0.1134821106531409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>
        <v>44788.383880000001</v>
      </c>
      <c r="F1064">
        <v>883977.50159999996</v>
      </c>
      <c r="G1064">
        <v>3406.8946580000002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477507222.78398305</v>
      </c>
      <c r="N1064" s="1">
        <f t="shared" si="68"/>
        <v>16994834.383046992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>
        <v>27113.766029999999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118418660.60126662</v>
      </c>
      <c r="O1065" s="1"/>
    </row>
    <row r="1066" spans="1:15" x14ac:dyDescent="0.25">
      <c r="A1066">
        <v>1720</v>
      </c>
      <c r="B1066">
        <v>3700.7550900000001</v>
      </c>
      <c r="C1066" s="1">
        <v>0</v>
      </c>
      <c r="D1066">
        <v>38422.107360000002</v>
      </c>
      <c r="E1066" s="1">
        <v>2.4899999999999999E-6</v>
      </c>
      <c r="F1066">
        <v>270048.43109999999</v>
      </c>
      <c r="G1066" s="1">
        <v>2.2220000000000001E-5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0.16529995932616914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>
        <v>14136.81813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64904975.590992264</v>
      </c>
      <c r="O1067" s="1"/>
    </row>
    <row r="1068" spans="1:15" x14ac:dyDescent="0.25">
      <c r="A1068">
        <v>1722</v>
      </c>
      <c r="B1068">
        <v>7421.6540779999996</v>
      </c>
      <c r="C1068" s="1">
        <v>8.9999999999999999E-8</v>
      </c>
      <c r="D1068">
        <v>54564.457269999999</v>
      </c>
      <c r="E1068" s="1">
        <v>1.9800000000000001E-6</v>
      </c>
      <c r="F1068">
        <v>422345.58159999998</v>
      </c>
      <c r="G1068">
        <v>41859.291429999997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2.2159399089554999E-3</v>
      </c>
      <c r="M1068" s="1">
        <f t="shared" si="67"/>
        <v>1.6350227389770121E-2</v>
      </c>
      <c r="N1068" s="1">
        <f t="shared" si="68"/>
        <v>161731329.79340625</v>
      </c>
      <c r="O1068" s="1"/>
    </row>
    <row r="1069" spans="1:15" x14ac:dyDescent="0.25">
      <c r="A1069">
        <v>1723</v>
      </c>
      <c r="B1069">
        <v>824.15597309999998</v>
      </c>
      <c r="C1069" s="1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-4.3700100000000004E-6</v>
      </c>
      <c r="F1070">
        <v>413412.79119999998</v>
      </c>
      <c r="G1070">
        <v>12088.935310000001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-7.4000673194159025E-2</v>
      </c>
      <c r="N1070" s="1">
        <f t="shared" si="68"/>
        <v>95782236.066456661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4.5500100000000003E-6</v>
      </c>
      <c r="F1071">
        <v>243948.69839999999</v>
      </c>
      <c r="G1071" s="1">
        <v>-2.7834000000000002E-5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9.8703102768172096E-2</v>
      </c>
      <c r="N1071" s="1">
        <f t="shared" si="68"/>
        <v>-0.28251255639929007</v>
      </c>
      <c r="O1071" s="1"/>
    </row>
    <row r="1072" spans="1:15" x14ac:dyDescent="0.25">
      <c r="A1072">
        <v>1726</v>
      </c>
      <c r="B1072">
        <v>33336.419479999997</v>
      </c>
      <c r="C1072" s="1">
        <v>-4.7500000000000003E-6</v>
      </c>
      <c r="D1072">
        <v>121289.9178</v>
      </c>
      <c r="E1072" s="1">
        <v>4.125E-5</v>
      </c>
      <c r="F1072">
        <v>585690.09080000001</v>
      </c>
      <c r="G1072">
        <v>58023.949540000001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-0.26039260331589376</v>
      </c>
      <c r="M1072" s="1">
        <f t="shared" si="67"/>
        <v>0.75840663492086613</v>
      </c>
      <c r="N1072" s="1">
        <f t="shared" si="68"/>
        <v>499147770.71735936</v>
      </c>
      <c r="O1072" s="1"/>
    </row>
    <row r="1073" spans="1:15" x14ac:dyDescent="0.25">
      <c r="A1073">
        <v>1729</v>
      </c>
      <c r="B1073">
        <v>272.491153</v>
      </c>
      <c r="C1073" s="1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 s="1">
        <v>2.0879000000000001E-5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0.22884449786673802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1.98001E-6</v>
      </c>
      <c r="F1076">
        <v>363306.2757</v>
      </c>
      <c r="G1076">
        <v>20968.01973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1.3906337889915793E-2</v>
      </c>
      <c r="N1076" s="1">
        <f t="shared" si="68"/>
        <v>68904325.937923163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2.68001E-6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1.1468673870936943E-2</v>
      </c>
      <c r="O1078" s="1"/>
    </row>
    <row r="1079" spans="1:15" x14ac:dyDescent="0.25">
      <c r="A1079">
        <v>1735</v>
      </c>
      <c r="B1079">
        <v>542.55276990000004</v>
      </c>
      <c r="C1079" s="1">
        <v>-1.0200000000000001E-12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-5.7944778358603511E-8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 s="1">
        <v>-1.9999999999999999E-7</v>
      </c>
      <c r="D1080">
        <v>16786.81553</v>
      </c>
      <c r="E1080" s="1">
        <v>-3.9099999999999998E-6</v>
      </c>
      <c r="F1080">
        <v>481020.7745</v>
      </c>
      <c r="G1080">
        <v>15676.85679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-8.5897481948200016E-3</v>
      </c>
      <c r="M1080" s="1">
        <f t="shared" si="67"/>
        <v>-5.6320996663851319E-2</v>
      </c>
      <c r="N1080" s="1">
        <f t="shared" si="68"/>
        <v>105656505.6604625</v>
      </c>
      <c r="O1080" s="1"/>
    </row>
    <row r="1081" spans="1:15" x14ac:dyDescent="0.25">
      <c r="A1081">
        <v>1739</v>
      </c>
      <c r="B1081">
        <v>1494.326468</v>
      </c>
      <c r="C1081" s="1">
        <v>0</v>
      </c>
      <c r="D1081">
        <v>1494.326468</v>
      </c>
      <c r="E1081">
        <v>0</v>
      </c>
      <c r="F1081">
        <v>2995.8956389999998</v>
      </c>
      <c r="G1081" s="1">
        <v>-9.9999900000000003E-8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-5.8926187356023721E-3</v>
      </c>
      <c r="O1081" s="1"/>
    </row>
    <row r="1082" spans="1:15" x14ac:dyDescent="0.25">
      <c r="A1082">
        <v>1740</v>
      </c>
      <c r="B1082">
        <v>2013.0735910000001</v>
      </c>
      <c r="C1082" s="1">
        <v>9.9999999999999995E-8</v>
      </c>
      <c r="D1082">
        <v>16859.702519999999</v>
      </c>
      <c r="E1082" s="1">
        <v>4.0899999999999998E-6</v>
      </c>
      <c r="F1082">
        <v>148288.36480000001</v>
      </c>
      <c r="G1082" s="1">
        <v>4.6869999999999997E-5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3.9748878151775E-3</v>
      </c>
      <c r="M1082" s="1">
        <f t="shared" si="67"/>
        <v>5.4524453442593275E-2</v>
      </c>
      <c r="N1082" s="1">
        <f t="shared" si="68"/>
        <v>0.29235238728510277</v>
      </c>
      <c r="O1082" s="1"/>
    </row>
    <row r="1083" spans="1:15" x14ac:dyDescent="0.25">
      <c r="A1083">
        <v>1741</v>
      </c>
      <c r="B1083">
        <v>1730.913933</v>
      </c>
      <c r="C1083" s="1">
        <v>-2.9999999999999999E-7</v>
      </c>
      <c r="D1083">
        <v>8586.5029040000009</v>
      </c>
      <c r="E1083" s="1">
        <v>-2.10001E-7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-9.4712872289099987E-3</v>
      </c>
      <c r="M1083" s="1">
        <f t="shared" si="67"/>
        <v>-2.223577405539055E-3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 s="1">
        <v>1.39E-6</v>
      </c>
      <c r="D1084">
        <v>145800.94010000001</v>
      </c>
      <c r="E1084" s="1">
        <v>3.5699899999999998E-6</v>
      </c>
      <c r="F1084">
        <v>649220.39390000002</v>
      </c>
      <c r="G1084">
        <v>11640.79817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4.0103342084969157E-2</v>
      </c>
      <c r="M1084" s="1">
        <f t="shared" si="67"/>
        <v>3.4544260747938399E-2</v>
      </c>
      <c r="N1084" s="1">
        <f t="shared" si="68"/>
        <v>52703000.48441226</v>
      </c>
      <c r="O1084" s="1"/>
    </row>
    <row r="1085" spans="1:15" x14ac:dyDescent="0.25">
      <c r="A1085">
        <v>1743</v>
      </c>
      <c r="B1085">
        <v>2260.3449690000002</v>
      </c>
      <c r="C1085" s="1">
        <v>2.9999999999999999E-7</v>
      </c>
      <c r="D1085">
        <v>29551.63912</v>
      </c>
      <c r="E1085" s="1">
        <v>-4.3100000000000002E-6</v>
      </c>
      <c r="F1085">
        <v>213325.0264</v>
      </c>
      <c r="G1085" s="1">
        <v>4.3770000000000003E-5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1.3045663752614999E-2</v>
      </c>
      <c r="M1085" s="1">
        <f t="shared" si="67"/>
        <v>-6.2858691018882071E-2</v>
      </c>
      <c r="N1085" s="1">
        <f t="shared" si="68"/>
        <v>0.29868147512871684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4.5219999999999997E-5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0.32965711219641985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 s="1">
        <v>-6.9999999999999997E-7</v>
      </c>
      <c r="F1087">
        <v>135253.24559999999</v>
      </c>
      <c r="G1087" s="1">
        <v>3.328E-5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-2.4427034166236098E-2</v>
      </c>
      <c r="N1087" s="1">
        <f t="shared" si="68"/>
        <v>0.54337505307561218</v>
      </c>
      <c r="O1087" s="1"/>
    </row>
    <row r="1088" spans="1:15" x14ac:dyDescent="0.25">
      <c r="A1088">
        <v>1748</v>
      </c>
      <c r="B1088">
        <v>556.61594200000002</v>
      </c>
      <c r="C1088" s="1">
        <v>0</v>
      </c>
      <c r="D1088">
        <v>3101.999957</v>
      </c>
      <c r="E1088">
        <v>0</v>
      </c>
      <c r="F1088">
        <v>21025.734639999999</v>
      </c>
      <c r="G1088" s="1">
        <v>8.8990099999999997E-7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1.8587794560676E-2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1.221E-5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0.10593253181783845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4.8999900000000005E-7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3.3105032415211922E-3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>
        <v>43734.454790000003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275361375.56460762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-2.09999E-7</v>
      </c>
      <c r="F1092">
        <v>149611.08720000001</v>
      </c>
      <c r="G1092" s="1">
        <v>-3.8322999999999999E-5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-2.2363338734700698E-3</v>
      </c>
      <c r="N1092" s="1">
        <f t="shared" si="72"/>
        <v>-0.19095128826444252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2.0069999999999999E-5</v>
      </c>
      <c r="F1093">
        <v>641818.4828</v>
      </c>
      <c r="G1093">
        <v>21612.64933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0.2099623902349137</v>
      </c>
      <c r="N1093" s="1">
        <f t="shared" si="72"/>
        <v>105790293.21431236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-3.1999699999999998E-7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-2.565213818223314E-3</v>
      </c>
      <c r="O1094" s="1"/>
    </row>
    <row r="1095" spans="1:15" x14ac:dyDescent="0.25">
      <c r="A1095">
        <v>1755</v>
      </c>
      <c r="B1095">
        <v>3203.1988839999999</v>
      </c>
      <c r="C1095" s="1">
        <v>0</v>
      </c>
      <c r="D1095">
        <v>8521.0578210000003</v>
      </c>
      <c r="E1095" s="1">
        <v>9.9998900000000002E-8</v>
      </c>
      <c r="F1095">
        <v>35189.477610000002</v>
      </c>
      <c r="G1095" s="1">
        <v>-4.6500999999999997E-6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2.3349779618792839E-3</v>
      </c>
      <c r="N1095" s="1">
        <f t="shared" si="72"/>
        <v>-5.0803488383994039E-2</v>
      </c>
      <c r="O1095" s="1"/>
    </row>
    <row r="1096" spans="1:15" x14ac:dyDescent="0.25">
      <c r="A1096">
        <v>1800</v>
      </c>
      <c r="B1096">
        <v>35268.378140000001</v>
      </c>
      <c r="C1096" s="1">
        <v>-3.5999999999999998E-6</v>
      </c>
      <c r="D1096">
        <v>342007.40389999998</v>
      </c>
      <c r="E1096" s="1">
        <v>1.4499E-5</v>
      </c>
      <c r="F1096">
        <v>761669.98670000001</v>
      </c>
      <c r="G1096">
        <v>4118.7335620000003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-7.6103498618081994E-2</v>
      </c>
      <c r="M1096" s="1">
        <f t="shared" si="71"/>
        <v>0.102797678875666</v>
      </c>
      <c r="N1096" s="1">
        <f t="shared" si="72"/>
        <v>13663206.60781168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1.2279999999999999E-5</v>
      </c>
      <c r="F1097">
        <v>830617.76500000001</v>
      </c>
      <c r="G1097">
        <v>1837.553388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5.2507778057998222E-2</v>
      </c>
      <c r="N1097" s="1">
        <f t="shared" si="72"/>
        <v>3676282.8488241956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>
        <v>52996.217490000003</v>
      </c>
      <c r="F1098">
        <v>983667.96640000003</v>
      </c>
      <c r="G1098">
        <v>2570.1670359999998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285445018.92869169</v>
      </c>
      <c r="N1098" s="1">
        <f t="shared" si="72"/>
        <v>6477130.1314733746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>
        <v>1895.9184600000001</v>
      </c>
      <c r="F1099">
        <v>1072255.8149999999</v>
      </c>
      <c r="G1099">
        <v>4195.6367440000004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4027231.9023538143</v>
      </c>
      <c r="N1099" s="1">
        <f t="shared" si="72"/>
        <v>4169927.859653281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>
        <v>421.39520649999997</v>
      </c>
      <c r="F1100">
        <v>983472.22140000004</v>
      </c>
      <c r="G1100">
        <v>10173.66383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3344940.4770076429</v>
      </c>
      <c r="N1100" s="1">
        <f t="shared" si="72"/>
        <v>37785038.067242727</v>
      </c>
      <c r="O1100" s="1"/>
    </row>
    <row r="1101" spans="1:15" x14ac:dyDescent="0.25">
      <c r="A1101">
        <v>1805</v>
      </c>
      <c r="B1101">
        <v>277350.30180000002</v>
      </c>
      <c r="C1101" s="1">
        <v>11000</v>
      </c>
      <c r="D1101">
        <v>826712.95090000005</v>
      </c>
      <c r="E1101">
        <v>7183.691527</v>
      </c>
      <c r="F1101">
        <v>1266958.1669999999</v>
      </c>
      <c r="G1101">
        <v>6433.5672329999998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43471530.298625</v>
      </c>
      <c r="M1101" s="1">
        <f t="shared" si="71"/>
        <v>9521449.2201519515</v>
      </c>
      <c r="N1101" s="1">
        <f t="shared" si="72"/>
        <v>3989797.946231504</v>
      </c>
      <c r="O1101" s="1"/>
    </row>
    <row r="1102" spans="1:15" x14ac:dyDescent="0.25">
      <c r="A1102">
        <v>1806</v>
      </c>
      <c r="B1102">
        <v>365299.82900000003</v>
      </c>
      <c r="C1102" s="1">
        <v>72300</v>
      </c>
      <c r="D1102">
        <v>913659.21950000001</v>
      </c>
      <c r="E1102">
        <v>7943.8894019999998</v>
      </c>
      <c r="F1102">
        <v>1338934.3</v>
      </c>
      <c r="G1102">
        <v>9782.9432539999998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219074436.47801206</v>
      </c>
      <c r="M1102" s="1">
        <f t="shared" si="71"/>
        <v>8072902.9584577689</v>
      </c>
      <c r="N1102" s="1">
        <f t="shared" si="72"/>
        <v>4651679.1915645236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>
        <v>7994.9043739999997</v>
      </c>
      <c r="F1103">
        <v>1142420.5009999999</v>
      </c>
      <c r="G1103">
        <v>2516.6481979999999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50007638.006310605</v>
      </c>
      <c r="N1103" s="1">
        <f t="shared" si="72"/>
        <v>7365279.9121603677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>
        <v>4943.6313360000004</v>
      </c>
      <c r="F1104">
        <v>1064046.8740000001</v>
      </c>
      <c r="G1104">
        <v>2655.8822279999999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50411547.618701309</v>
      </c>
      <c r="N1104" s="1">
        <f t="shared" si="72"/>
        <v>12671745.587126199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>
        <v>6708.5661719999998</v>
      </c>
      <c r="F1105">
        <v>1121986.2690000001</v>
      </c>
      <c r="G1105">
        <v>3758.420521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21572670.239106823</v>
      </c>
      <c r="N1105" s="1">
        <f t="shared" si="72"/>
        <v>5654878.0785162011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>
        <v>6708.5661289999998</v>
      </c>
      <c r="F1106">
        <v>1115925.9839999999</v>
      </c>
      <c r="G1106">
        <v>3426.6743630000001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31102015.453596484</v>
      </c>
      <c r="N1106" s="1">
        <f t="shared" si="72"/>
        <v>7433191.8355198279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>
        <v>7068.0195210000002</v>
      </c>
      <c r="F1107">
        <v>1252113.926</v>
      </c>
      <c r="G1107">
        <v>4600.3751499999998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6417300.165073609</v>
      </c>
      <c r="N1107" s="1">
        <f t="shared" si="72"/>
        <v>1954301.387236021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6295.4427050000004</v>
      </c>
      <c r="F1108">
        <v>1227221.128</v>
      </c>
      <c r="G1108">
        <v>9648.8115230000003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4914028.3056117808</v>
      </c>
      <c r="N1108" s="1">
        <f t="shared" si="72"/>
        <v>3523943.0341415415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>
        <v>2866.0858880000001</v>
      </c>
      <c r="F1109">
        <v>810801.76890000002</v>
      </c>
      <c r="G1109">
        <v>6033.4597720000002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23062753.294666376</v>
      </c>
      <c r="N1109" s="1">
        <f t="shared" si="72"/>
        <v>22716010.049553704</v>
      </c>
      <c r="O1109" s="1"/>
    </row>
    <row r="1110" spans="1:15" x14ac:dyDescent="0.25">
      <c r="A1110">
        <v>1814</v>
      </c>
      <c r="B1110">
        <v>1758.3371500000001</v>
      </c>
      <c r="C1110" s="1">
        <v>9.9999999999999995E-8</v>
      </c>
      <c r="D1110">
        <v>46001.759870000002</v>
      </c>
      <c r="E1110" s="1">
        <v>1.78999E-6</v>
      </c>
      <c r="F1110">
        <v>357654.30910000001</v>
      </c>
      <c r="G1110">
        <v>34938.040130000001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3.5694899222450003E-3</v>
      </c>
      <c r="M1110" s="1">
        <f t="shared" si="71"/>
        <v>2.1428901168775591E-2</v>
      </c>
      <c r="N1110" s="1">
        <f t="shared" si="72"/>
        <v>195700310.44610298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>
        <v>46743.921450000002</v>
      </c>
      <c r="F1111">
        <v>880828.54839999997</v>
      </c>
      <c r="G1111">
        <v>10355.73309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357250623.39525628</v>
      </c>
      <c r="N1111" s="1">
        <f t="shared" si="72"/>
        <v>37031591.607032001</v>
      </c>
      <c r="O1111" s="1"/>
    </row>
    <row r="1112" spans="1:15" x14ac:dyDescent="0.25">
      <c r="A1112">
        <v>1816</v>
      </c>
      <c r="B1112">
        <v>19165.577389999999</v>
      </c>
      <c r="C1112" s="1">
        <v>-4.7099999999999998E-6</v>
      </c>
      <c r="D1112">
        <v>400822.06530000002</v>
      </c>
      <c r="E1112" s="1">
        <v>-2.8379999999999999E-5</v>
      </c>
      <c r="F1112">
        <v>794543.35389999999</v>
      </c>
      <c r="G1112">
        <v>9551.7283939999998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-0.16837344513615601</v>
      </c>
      <c r="M1112" s="1">
        <f t="shared" si="71"/>
        <v>-0.34025790145555301</v>
      </c>
      <c r="N1112" s="1">
        <f t="shared" si="72"/>
        <v>53582314.716206931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4.8789999999999999E-5</v>
      </c>
      <c r="F1113">
        <v>761876.19660000002</v>
      </c>
      <c r="G1113">
        <v>7671.1495439999999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0.33551755295962538</v>
      </c>
      <c r="N1113" s="1">
        <f t="shared" si="72"/>
        <v>24682466.420006648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-3.218E-5</v>
      </c>
      <c r="F1114">
        <v>839123.76269999996</v>
      </c>
      <c r="G1114">
        <v>4843.576924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-9.1192185743593029E-2</v>
      </c>
      <c r="N1114" s="1">
        <f t="shared" si="72"/>
        <v>6422165.0841186447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>
        <v>2866.0859190000001</v>
      </c>
      <c r="F1115">
        <v>879176.70860000001</v>
      </c>
      <c r="G1115">
        <v>3123.827976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8046887.4144749865</v>
      </c>
      <c r="N1115" s="1">
        <f t="shared" si="72"/>
        <v>4103642.393788876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4238.316554</v>
      </c>
      <c r="F1116">
        <v>991880.97420000006</v>
      </c>
      <c r="G1116">
        <v>3300.898565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25669660.48620424</v>
      </c>
      <c r="N1116" s="1">
        <f t="shared" si="72"/>
        <v>9354112.5524420645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3.7920000000000003E-5</v>
      </c>
      <c r="F1117">
        <v>860512.82609999995</v>
      </c>
      <c r="G1117">
        <v>3043.1024790000001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7.6635948166536377E-2</v>
      </c>
      <c r="N1117" s="1">
        <f t="shared" si="72"/>
        <v>2877560.4933977909</v>
      </c>
      <c r="O1117" s="1"/>
    </row>
    <row r="1118" spans="1:15" x14ac:dyDescent="0.25">
      <c r="A1118">
        <v>1823</v>
      </c>
      <c r="B1118">
        <v>17460.833879999998</v>
      </c>
      <c r="C1118" s="1">
        <v>-7.0999999999999998E-7</v>
      </c>
      <c r="D1118">
        <v>345257.7708</v>
      </c>
      <c r="E1118" s="1">
        <v>2.2390000000000001E-5</v>
      </c>
      <c r="F1118">
        <v>777270.67249999999</v>
      </c>
      <c r="G1118">
        <v>2740.8561949999998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-2.1051924387676973E-2</v>
      </c>
      <c r="M1118" s="1">
        <f t="shared" si="71"/>
        <v>0.22265409311969464</v>
      </c>
      <c r="N1118" s="1">
        <f t="shared" si="72"/>
        <v>12752828.455499183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-2.3479999999999999E-5</v>
      </c>
      <c r="F1119">
        <v>822168.95030000003</v>
      </c>
      <c r="G1119">
        <v>2400.8645150000002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-0.1385601977342972</v>
      </c>
      <c r="N1119" s="1">
        <f t="shared" si="72"/>
        <v>6629056.6863520537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>
        <v>6666.0659750000004</v>
      </c>
      <c r="F1120">
        <v>968225.46219999995</v>
      </c>
      <c r="G1120">
        <v>4125.5227649999997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10028207.65063303</v>
      </c>
      <c r="N1120" s="1">
        <f t="shared" si="72"/>
        <v>2903864.6950111557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-5.0099899999999996E-6</v>
      </c>
      <c r="F1121">
        <v>725902.35439999995</v>
      </c>
      <c r="G1121">
        <v>3701.3725570000001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-4.7475196479379804E-2</v>
      </c>
      <c r="N1121" s="1">
        <f t="shared" si="72"/>
        <v>16411050.828215741</v>
      </c>
      <c r="O1121" s="1"/>
    </row>
    <row r="1122" spans="1:15" x14ac:dyDescent="0.25">
      <c r="A1122">
        <v>1827</v>
      </c>
      <c r="B1122">
        <v>13892.71925</v>
      </c>
      <c r="C1122" s="1">
        <v>-4.9999999999999998E-7</v>
      </c>
      <c r="D1122">
        <v>138169.57199999999</v>
      </c>
      <c r="E1122" s="1">
        <v>8.9002399999999998E-7</v>
      </c>
      <c r="F1122">
        <v>706600.6679</v>
      </c>
      <c r="G1122">
        <v>2522.8130190000002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-1.094208916224125E-2</v>
      </c>
      <c r="M1122" s="1">
        <f t="shared" si="71"/>
        <v>6.5324350408262899E-3</v>
      </c>
      <c r="N1122" s="1">
        <f t="shared" si="72"/>
        <v>8663674.428748386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1.329E-5</v>
      </c>
      <c r="F1123">
        <v>796029.72690000001</v>
      </c>
      <c r="G1123">
        <v>613.24003809999999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0.10005407448386584</v>
      </c>
      <c r="N1123" s="1">
        <f t="shared" si="72"/>
        <v>2160150.3419663352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1.129E-5</v>
      </c>
      <c r="F1124">
        <v>764166.63049999997</v>
      </c>
      <c r="G1124">
        <v>2221.210458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7.8336316151497387E-2</v>
      </c>
      <c r="N1124" s="1">
        <f t="shared" si="72"/>
        <v>7211117.8021647129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-2.5850000000000002E-5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-0.18052585298433349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>
        <v>3986.677072</v>
      </c>
      <c r="F1126">
        <v>870536.10719999997</v>
      </c>
      <c r="G1126">
        <v>10353.270930000001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34063884.289816692</v>
      </c>
      <c r="N1126" s="1">
        <f t="shared" si="72"/>
        <v>41390852.138506614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>
        <v>4988.7086099999997</v>
      </c>
      <c r="F1127">
        <v>1087603.3189999999</v>
      </c>
      <c r="G1127">
        <v>2215.043388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12976414.004260624</v>
      </c>
      <c r="N1127" s="1">
        <f t="shared" si="72"/>
        <v>2695829.8084591846</v>
      </c>
      <c r="O1127" s="1"/>
    </row>
    <row r="1128" spans="1:15" x14ac:dyDescent="0.25">
      <c r="A1128">
        <v>1833</v>
      </c>
      <c r="B1128">
        <v>4754.1761749999996</v>
      </c>
      <c r="C1128" s="1">
        <v>0</v>
      </c>
      <c r="D1128">
        <v>61549.897550000002</v>
      </c>
      <c r="E1128" s="1">
        <v>-8.1000299999999995E-7</v>
      </c>
      <c r="F1128">
        <v>543445.98069999996</v>
      </c>
      <c r="G1128" s="1">
        <v>7.0700199999999998E-6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-3.3663125423909401E-3</v>
      </c>
      <c r="N1128" s="1">
        <f t="shared" si="72"/>
        <v>1.3747765902471905E-2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-3.6810000000000002E-5</v>
      </c>
      <c r="F1129">
        <v>637040.67169999995</v>
      </c>
      <c r="G1129" s="1">
        <v>1.70083E-7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-0.39773866527047003</v>
      </c>
      <c r="N1129" s="1">
        <f t="shared" si="72"/>
        <v>8.5987749032723595E-4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4.4690000000000001E-5</v>
      </c>
      <c r="F1130">
        <v>757654.33700000006</v>
      </c>
      <c r="G1130">
        <v>2516.6121539999999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0.33251705121278108</v>
      </c>
      <c r="N1130" s="1">
        <f t="shared" si="72"/>
        <v>8761198.7734486088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>
        <v>4022.2009779999998</v>
      </c>
      <c r="F1131">
        <v>1097325.3729999999</v>
      </c>
      <c r="G1131">
        <v>3488.0477759999999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10705919.000280386</v>
      </c>
      <c r="N1131" s="1">
        <f t="shared" si="72"/>
        <v>4343964.7156260842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9919.1400780000004</v>
      </c>
      <c r="F1132">
        <v>1144468.5460000001</v>
      </c>
      <c r="G1132">
        <v>4434.1252770000001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6324931.290321379</v>
      </c>
      <c r="N1132" s="1">
        <f t="shared" si="72"/>
        <v>1322919.5235493956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3651.8222759999999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5052003.9836907238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>
        <v>7530.5890140000001</v>
      </c>
      <c r="F1134">
        <v>1015590.349</v>
      </c>
      <c r="G1134">
        <v>1574.225087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32644014.453150388</v>
      </c>
      <c r="N1134" s="1">
        <f t="shared" si="72"/>
        <v>3192898.5695945355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>
        <v>4652.0622130000002</v>
      </c>
      <c r="F1135">
        <v>881380.74380000005</v>
      </c>
      <c r="G1135">
        <v>3436.6827239999998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28461273.994543262</v>
      </c>
      <c r="N1135" s="1">
        <f t="shared" si="72"/>
        <v>9837662.974821005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4.189E-5</v>
      </c>
      <c r="F1136">
        <v>843022.72580000001</v>
      </c>
      <c r="G1136">
        <v>2982.344137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0.25002282202803566</v>
      </c>
      <c r="N1136" s="1">
        <f t="shared" si="72"/>
        <v>8328575.4886578964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>
        <v>4130.2730119999997</v>
      </c>
      <c r="F1137">
        <v>1076810.389</v>
      </c>
      <c r="G1137">
        <v>2609.9975260000001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12841477.229878191</v>
      </c>
      <c r="N1137" s="1">
        <f t="shared" si="72"/>
        <v>3796819.9277422042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>
        <v>5098.133777</v>
      </c>
      <c r="F1138">
        <v>1056097.8770000001</v>
      </c>
      <c r="G1138">
        <v>2625.9639160000002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12910856.389586652</v>
      </c>
      <c r="N1138" s="1">
        <f t="shared" si="72"/>
        <v>3111546.210922325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8986.2794900000008</v>
      </c>
      <c r="F1139">
        <v>1337335.9539999999</v>
      </c>
      <c r="G1139">
        <v>5855.4106620000002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7836157.9947464839</v>
      </c>
      <c r="N1139" s="1">
        <f t="shared" si="72"/>
        <v>2389044.8299884438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8707.7278370000004</v>
      </c>
      <c r="F1140">
        <v>1174570.3049999999</v>
      </c>
      <c r="G1140">
        <v>15167.43332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7425443.5671846876</v>
      </c>
      <c r="N1140" s="1">
        <f t="shared" si="72"/>
        <v>6051643.3856605319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5932.0989239999999</v>
      </c>
      <c r="F1141">
        <v>1202796.99</v>
      </c>
      <c r="G1141">
        <v>1326.7589889999999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8477985.1690711901</v>
      </c>
      <c r="N1141" s="1">
        <f t="shared" si="72"/>
        <v>887196.83666236058</v>
      </c>
      <c r="O1141" s="1"/>
    </row>
    <row r="1142" spans="1:15" x14ac:dyDescent="0.25">
      <c r="A1142">
        <v>1847</v>
      </c>
      <c r="B1142">
        <v>452.38708459999998</v>
      </c>
      <c r="C1142" s="1">
        <v>0</v>
      </c>
      <c r="D1142">
        <v>15371.356470000001</v>
      </c>
      <c r="E1142" s="1">
        <v>-1.5999999999999999E-6</v>
      </c>
      <c r="F1142">
        <v>311800.60950000002</v>
      </c>
      <c r="G1142">
        <v>2442.242178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29128548.471467469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>
        <v>14017.781349999999</v>
      </c>
      <c r="F1143">
        <v>699970.56149999995</v>
      </c>
      <c r="G1143">
        <v>9607.6809840000005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103351050.92509279</v>
      </c>
      <c r="N1143" s="1">
        <f t="shared" si="72"/>
        <v>33143461.789150663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>
        <v>3447.6544610000001</v>
      </c>
      <c r="F1144">
        <v>549143.3138</v>
      </c>
      <c r="G1144">
        <v>6700.6840579999998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34215832.02921325</v>
      </c>
      <c r="N1144" s="1">
        <f t="shared" si="72"/>
        <v>31114741.130450502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5181.5182379999997</v>
      </c>
      <c r="F1145">
        <v>1077350.463</v>
      </c>
      <c r="G1145">
        <v>2546.7902600000002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43714127.219504446</v>
      </c>
      <c r="N1145" s="1">
        <f t="shared" si="72"/>
        <v>10053137.883319443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>
        <v>10190.14661</v>
      </c>
      <c r="F1146">
        <v>733384.70770000003</v>
      </c>
      <c r="G1146">
        <v>6313.5932240000002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79064357.02673842</v>
      </c>
      <c r="N1146" s="1">
        <f t="shared" si="72"/>
        <v>22920315.248905588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>
        <v>19617.3963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140866500.65703052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>
        <v>5663.2819900000004</v>
      </c>
      <c r="F1148">
        <v>963410.88219999999</v>
      </c>
      <c r="G1148">
        <v>1404.0161069999999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35854914.577658527</v>
      </c>
      <c r="N1148" s="1">
        <f t="shared" si="72"/>
        <v>4159070.4180137659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>
        <v>7015.3180089999996</v>
      </c>
      <c r="F1149">
        <v>981907.60789999994</v>
      </c>
      <c r="G1149">
        <v>2370.9323370000002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42023945.140955687</v>
      </c>
      <c r="N1149" s="1">
        <f t="shared" si="72"/>
        <v>6645264.8766053636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>
        <v>8547.1602789999997</v>
      </c>
      <c r="F1150">
        <v>886451.59169999999</v>
      </c>
      <c r="G1150">
        <v>16470.620060000001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57132905.608733743</v>
      </c>
      <c r="N1150" s="1">
        <f t="shared" si="72"/>
        <v>51513148.006868169</v>
      </c>
      <c r="O1150" s="1"/>
    </row>
    <row r="1151" spans="1:15" x14ac:dyDescent="0.25">
      <c r="A1151">
        <v>1856</v>
      </c>
      <c r="B1151">
        <v>14196.551369999999</v>
      </c>
      <c r="C1151" s="1">
        <v>-3.8E-6</v>
      </c>
      <c r="D1151">
        <v>406963.92950000003</v>
      </c>
      <c r="E1151">
        <v>2039.125648</v>
      </c>
      <c r="F1151">
        <v>712183.70129999996</v>
      </c>
      <c r="G1151">
        <v>15056.576139999999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-0.17880885632798499</v>
      </c>
      <c r="M1151" s="1">
        <f t="shared" si="71"/>
        <v>32180482.613802105</v>
      </c>
      <c r="N1151" s="1">
        <f t="shared" si="72"/>
        <v>111177900.5265101</v>
      </c>
      <c r="O1151" s="1"/>
    </row>
    <row r="1152" spans="1:15" x14ac:dyDescent="0.25">
      <c r="A1152">
        <v>1857</v>
      </c>
      <c r="B1152">
        <v>243984.27350000001</v>
      </c>
      <c r="C1152" s="1">
        <v>8950</v>
      </c>
      <c r="D1152">
        <v>652655.75029999996</v>
      </c>
      <c r="E1152">
        <v>19140.566780000001</v>
      </c>
      <c r="F1152">
        <v>1068878.2169999999</v>
      </c>
      <c r="G1152">
        <v>21636.99422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209811784.4061054</v>
      </c>
      <c r="M1152" s="1">
        <f t="shared" si="71"/>
        <v>150489005.69024718</v>
      </c>
      <c r="N1152" s="1">
        <f t="shared" si="72"/>
        <v>79595879.567038164</v>
      </c>
      <c r="O1152" s="1"/>
    </row>
    <row r="1153" spans="1:15" x14ac:dyDescent="0.25">
      <c r="A1153">
        <v>1900</v>
      </c>
      <c r="B1153">
        <v>221769.0013</v>
      </c>
      <c r="C1153" s="1">
        <v>9400</v>
      </c>
      <c r="D1153">
        <v>639054.72609999997</v>
      </c>
      <c r="E1153">
        <v>10456.83358</v>
      </c>
      <c r="F1153">
        <v>1040347.374</v>
      </c>
      <c r="G1153">
        <v>20322.26181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77195284.088038996</v>
      </c>
      <c r="M1153" s="1">
        <f t="shared" si="71"/>
        <v>28800912.614327203</v>
      </c>
      <c r="N1153" s="1">
        <f t="shared" si="72"/>
        <v>26189172.327481911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>
        <v>7215.3238700000002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14128501.2933835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>
        <v>17569.08466</v>
      </c>
      <c r="F1155">
        <v>902760.99230000004</v>
      </c>
      <c r="G1155">
        <v>8697.0253410000005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180186932.23865065</v>
      </c>
      <c r="N1155" s="1">
        <f t="shared" ref="N1155:N1218" si="76">$U$4*$K1155*G1155</f>
        <v>41733861.397894524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>
        <v>8893.2120169999998</v>
      </c>
      <c r="F1156">
        <v>1008634.988</v>
      </c>
      <c r="G1156">
        <v>4963.5323070000004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42797377.683009222</v>
      </c>
      <c r="N1156" s="1">
        <f t="shared" si="76"/>
        <v>11176171.162698504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>
        <v>6765.2649359999996</v>
      </c>
      <c r="F1157">
        <v>926311.81980000006</v>
      </c>
      <c r="G1157" s="1">
        <v>-3.6680100000000001E-6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29216520.670499105</v>
      </c>
      <c r="N1157" s="1">
        <f t="shared" si="76"/>
        <v>-7.4117007451229289E-3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>
        <v>9919.1401000000005</v>
      </c>
      <c r="F1158">
        <v>1078270.976</v>
      </c>
      <c r="G1158">
        <v>2940.271221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32553532.39501055</v>
      </c>
      <c r="N1158" s="1">
        <f t="shared" si="76"/>
        <v>4514973.1068324614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>
        <v>7549.5821489999998</v>
      </c>
      <c r="F1159">
        <v>948456.81140000001</v>
      </c>
      <c r="G1159">
        <v>3023.4439870000001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15930983.903155636</v>
      </c>
      <c r="N1159" s="1">
        <f t="shared" si="76"/>
        <v>2985144.0216157283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>
        <v>4414.9251450000002</v>
      </c>
      <c r="F1160">
        <v>697307.28749999998</v>
      </c>
      <c r="G1160">
        <v>10328.944079999999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15553398.026273228</v>
      </c>
      <c r="N1160" s="1">
        <f t="shared" si="76"/>
        <v>17025565.506964874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>
        <v>6836.585032</v>
      </c>
      <c r="F1161">
        <v>1068173.5630000001</v>
      </c>
      <c r="G1161">
        <v>4515.9876199999999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8876832.0139897037</v>
      </c>
      <c r="N1161" s="1">
        <f t="shared" si="76"/>
        <v>2743564.6744821449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>
        <v>6045.6142790000004</v>
      </c>
      <c r="F1162">
        <v>946225.47600000002</v>
      </c>
      <c r="G1162">
        <v>7513.8888639999996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16669742.464384975</v>
      </c>
      <c r="N1162" s="1">
        <f t="shared" si="76"/>
        <v>9693863.5150798764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>
        <v>5142.081768</v>
      </c>
      <c r="F1163">
        <v>1047559.023</v>
      </c>
      <c r="G1163">
        <v>1868.129261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5432883.4795175856</v>
      </c>
      <c r="N1163" s="1">
        <f t="shared" si="76"/>
        <v>923510.87392860546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5657.3209800000004</v>
      </c>
      <c r="F1164">
        <v>1053737.2139999999</v>
      </c>
      <c r="G1164">
        <v>4138.645622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10886900.065425582</v>
      </c>
      <c r="N1164" s="1">
        <f t="shared" si="76"/>
        <v>3726450.3169616954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>
        <v>6311.2727670000004</v>
      </c>
      <c r="F1165">
        <v>1159791.1299999999</v>
      </c>
      <c r="G1165">
        <v>10375.41106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25681464.628570735</v>
      </c>
      <c r="N1165" s="1">
        <f t="shared" si="76"/>
        <v>19753853.466321178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>
        <v>9910.3107959999998</v>
      </c>
      <c r="F1166">
        <v>1114619.8459999999</v>
      </c>
      <c r="G1166">
        <v>5661.4065419999997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12532146.858505219</v>
      </c>
      <c r="N1166" s="1">
        <f t="shared" si="76"/>
        <v>3349702.3779477952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6268.4276280000004</v>
      </c>
      <c r="F1167">
        <v>1082876.497</v>
      </c>
      <c r="G1167">
        <v>5653.000736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11728155.452114725</v>
      </c>
      <c r="N1167" s="1">
        <f t="shared" si="76"/>
        <v>4948730.6634211577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5003.7071759999999</v>
      </c>
      <c r="F1168">
        <v>1231100.067</v>
      </c>
      <c r="G1168">
        <v>2477.0248849999998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23533741.186663829</v>
      </c>
      <c r="N1168" s="1">
        <f t="shared" si="76"/>
        <v>5450961.7501896992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5003.7071420000002</v>
      </c>
      <c r="F1169">
        <v>1238182.557</v>
      </c>
      <c r="G1169">
        <v>2477.0250000000001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22150844.051206488</v>
      </c>
      <c r="N1169" s="1">
        <f t="shared" si="76"/>
        <v>5130650.8865716197</v>
      </c>
      <c r="O1169" s="1"/>
    </row>
    <row r="1170" spans="1:15" x14ac:dyDescent="0.25">
      <c r="A1170">
        <v>1918</v>
      </c>
      <c r="B1170">
        <v>388447.33010000002</v>
      </c>
      <c r="C1170" s="1">
        <v>9410</v>
      </c>
      <c r="D1170">
        <v>767041.00970000005</v>
      </c>
      <c r="E1170">
        <v>10807.273520000001</v>
      </c>
      <c r="F1170">
        <v>1246894.149</v>
      </c>
      <c r="G1170">
        <v>6376.1239539999997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79629558.238722697</v>
      </c>
      <c r="M1170" s="1">
        <f t="shared" si="75"/>
        <v>30672131.892987289</v>
      </c>
      <c r="N1170" s="1">
        <f t="shared" si="76"/>
        <v>8466974.4528244101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5099.9185020000004</v>
      </c>
      <c r="F1171">
        <v>1228771.6089999999</v>
      </c>
      <c r="G1171">
        <v>4912.3189819999998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30662730.36428041</v>
      </c>
      <c r="N1171" s="1">
        <f t="shared" si="76"/>
        <v>13819038.480381928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>
        <v>380.98256809999998</v>
      </c>
      <c r="F1172">
        <v>835523.58790000004</v>
      </c>
      <c r="G1172">
        <v>3391.0201820000002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3811498.0016132682</v>
      </c>
      <c r="N1172" s="1">
        <f t="shared" si="76"/>
        <v>15873205.695247455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 s="1">
        <v>-2.2419999999999999E-5</v>
      </c>
      <c r="F1173">
        <v>812611.6152</v>
      </c>
      <c r="G1173">
        <v>4212.1755469999998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-0.16811503088125909</v>
      </c>
      <c r="N1173" s="1">
        <f t="shared" si="76"/>
        <v>14778184.259720867</v>
      </c>
      <c r="O1173" s="1"/>
    </row>
    <row r="1174" spans="1:15" x14ac:dyDescent="0.25">
      <c r="A1174">
        <v>1924</v>
      </c>
      <c r="B1174">
        <v>16461.750489999999</v>
      </c>
      <c r="C1174" s="1">
        <v>-2.9000000000000002E-6</v>
      </c>
      <c r="D1174">
        <v>423309.13699999999</v>
      </c>
      <c r="E1174" s="1">
        <v>-2.7019999999999999E-5</v>
      </c>
      <c r="F1174">
        <v>758196.98910000001</v>
      </c>
      <c r="G1174">
        <v>7790.6244749999996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-6.5357422600385504E-2</v>
      </c>
      <c r="M1174" s="1">
        <f t="shared" si="75"/>
        <v>-0.20423275744743064</v>
      </c>
      <c r="N1174" s="1">
        <f t="shared" si="76"/>
        <v>27552182.432687063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>
        <v>4486.9097519999996</v>
      </c>
      <c r="F1175">
        <v>926522.57649999997</v>
      </c>
      <c r="G1175">
        <v>8466.8398529999995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16062447.975459788</v>
      </c>
      <c r="N1175" s="1">
        <f t="shared" si="76"/>
        <v>14181736.870066788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>
        <v>5256.3713479999997</v>
      </c>
      <c r="F1176">
        <v>1019127.36</v>
      </c>
      <c r="G1176">
        <v>5457.9884039999997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2955802.9119050046</v>
      </c>
      <c r="N1176" s="1">
        <f t="shared" si="76"/>
        <v>1436037.2986014225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>
        <v>5256.3714140000002</v>
      </c>
      <c r="F1177">
        <v>1015212.3419999999</v>
      </c>
      <c r="G1177">
        <v>4739.6347070000002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15810882.933918146</v>
      </c>
      <c r="N1177" s="1">
        <f t="shared" si="76"/>
        <v>6670503.6709229425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5657.5162549999995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7424712.9479668597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>
        <v>3726.291475</v>
      </c>
      <c r="F1179">
        <v>938302.85739999998</v>
      </c>
      <c r="G1179">
        <v>1731.8915059999999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12737106.37757184</v>
      </c>
      <c r="N1179" s="1">
        <f t="shared" si="76"/>
        <v>2769863.1559140151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1.1579999999999999E-5</v>
      </c>
      <c r="F1180">
        <v>819871.09620000003</v>
      </c>
      <c r="G1180">
        <v>1946.5918790000001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3.0766062562863312E-2</v>
      </c>
      <c r="N1180" s="1">
        <f t="shared" si="76"/>
        <v>2419813.7759007611</v>
      </c>
      <c r="O1180" s="1"/>
    </row>
    <row r="1181" spans="1:15" x14ac:dyDescent="0.25">
      <c r="A1181">
        <v>1931</v>
      </c>
      <c r="B1181">
        <v>17545.855879999999</v>
      </c>
      <c r="C1181" s="1">
        <v>0</v>
      </c>
      <c r="D1181">
        <v>444523.26919999998</v>
      </c>
      <c r="E1181" s="1">
        <v>9.0800499999999996E-6</v>
      </c>
      <c r="F1181">
        <v>795773.66830000002</v>
      </c>
      <c r="G1181">
        <v>1523.5417769999999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2.3161689636313564E-2</v>
      </c>
      <c r="N1181" s="1">
        <f t="shared" si="76"/>
        <v>1818360.7293602629</v>
      </c>
      <c r="O1181" s="1"/>
    </row>
    <row r="1182" spans="1:15" x14ac:dyDescent="0.25">
      <c r="A1182">
        <v>1932</v>
      </c>
      <c r="B1182">
        <v>5304.8497729999999</v>
      </c>
      <c r="C1182" s="1">
        <v>1.9999999999999999E-7</v>
      </c>
      <c r="D1182">
        <v>17545.855879999999</v>
      </c>
      <c r="E1182">
        <v>0</v>
      </c>
      <c r="F1182">
        <v>450600.3737</v>
      </c>
      <c r="G1182">
        <v>1322.2792400000001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9.5513074193549988E-3</v>
      </c>
      <c r="M1182" s="1">
        <f t="shared" si="75"/>
        <v>0</v>
      </c>
      <c r="N1182" s="1">
        <f t="shared" si="76"/>
        <v>9909296.4813696258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-1.382E-5</v>
      </c>
      <c r="F1183">
        <v>792956.56299999997</v>
      </c>
      <c r="G1183">
        <v>3947.5474800000002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-7.6701336632455042E-2</v>
      </c>
      <c r="N1183" s="1">
        <f t="shared" si="76"/>
        <v>10250992.827135293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4.5580000000000001E-5</v>
      </c>
      <c r="F1184">
        <v>806057.06480000005</v>
      </c>
      <c r="G1184">
        <v>3397.2099760000001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0.16831774933426705</v>
      </c>
      <c r="N1184" s="1">
        <f t="shared" si="76"/>
        <v>5869777.8270664774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-2.8999899999999999E-6</v>
      </c>
      <c r="F1185">
        <v>536179.5882</v>
      </c>
      <c r="G1185">
        <v>16321.134120000001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-1.8233241877959119E-2</v>
      </c>
      <c r="N1185" s="1">
        <f t="shared" si="76"/>
        <v>48013283.224422216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5318.8255360000003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29077286.276961301</v>
      </c>
      <c r="O1186" s="1"/>
    </row>
    <row r="1187" spans="1:15" x14ac:dyDescent="0.25">
      <c r="A1187">
        <v>1937</v>
      </c>
      <c r="B1187">
        <v>5071.3331310000003</v>
      </c>
      <c r="C1187" s="1">
        <v>-9.9999999999999995E-8</v>
      </c>
      <c r="D1187">
        <v>28836.07329</v>
      </c>
      <c r="E1187" s="1">
        <v>-3.8999999999999999E-6</v>
      </c>
      <c r="F1187">
        <v>518662.3946</v>
      </c>
      <c r="G1187" s="1">
        <v>1.118E-5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-2.1625915989372498E-3</v>
      </c>
      <c r="M1187" s="1">
        <f t="shared" si="75"/>
        <v>-2.8286698114099229E-2</v>
      </c>
      <c r="N1187" s="1">
        <f t="shared" si="76"/>
        <v>3.7940507011755116E-2</v>
      </c>
      <c r="O1187" s="1"/>
    </row>
    <row r="1188" spans="1:15" x14ac:dyDescent="0.25">
      <c r="A1188">
        <v>1940</v>
      </c>
      <c r="B1188">
        <v>400095.93150000001</v>
      </c>
      <c r="C1188" s="1">
        <v>-1.98E-5</v>
      </c>
      <c r="D1188">
        <v>738755.72620000003</v>
      </c>
      <c r="E1188">
        <v>5627.1590630000001</v>
      </c>
      <c r="F1188">
        <v>1229026.149</v>
      </c>
      <c r="G1188">
        <v>2580.3808349999999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-9.7691896229499017E-2</v>
      </c>
      <c r="M1188" s="1">
        <f t="shared" si="75"/>
        <v>9311629.289540546</v>
      </c>
      <c r="N1188" s="1">
        <f t="shared" si="76"/>
        <v>1997855.0326395973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6808.6528500000004</v>
      </c>
      <c r="F1189">
        <v>1160795.0619999999</v>
      </c>
      <c r="G1189">
        <v>2004.669283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32327658.686095957</v>
      </c>
      <c r="N1189" s="1">
        <f t="shared" si="76"/>
        <v>4453479.6755801104</v>
      </c>
      <c r="O1189" s="1"/>
    </row>
    <row r="1190" spans="1:15" x14ac:dyDescent="0.25">
      <c r="A1190">
        <v>1942</v>
      </c>
      <c r="B1190">
        <v>167045.00949999999</v>
      </c>
      <c r="C1190" s="1">
        <v>2.7100000000000001E-5</v>
      </c>
      <c r="D1190">
        <v>556292.272</v>
      </c>
      <c r="E1190">
        <v>18670.72234</v>
      </c>
      <c r="F1190">
        <v>930250.10629999998</v>
      </c>
      <c r="G1190">
        <v>22270.941360000001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0.47825220570545612</v>
      </c>
      <c r="M1190" s="1">
        <f t="shared" si="75"/>
        <v>110507549.40594783</v>
      </c>
      <c r="N1190" s="1">
        <f t="shared" si="76"/>
        <v>61675556.997604363</v>
      </c>
      <c r="O1190" s="1"/>
    </row>
    <row r="1191" spans="1:15" x14ac:dyDescent="0.25">
      <c r="A1191">
        <v>1943</v>
      </c>
      <c r="B1191">
        <v>380319.97149999999</v>
      </c>
      <c r="C1191" s="1">
        <v>9720</v>
      </c>
      <c r="D1191">
        <v>735310.23250000004</v>
      </c>
      <c r="E1191">
        <v>4959.0516660000003</v>
      </c>
      <c r="F1191">
        <v>1205344.74</v>
      </c>
      <c r="G1191">
        <v>11334.78549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50419009.644155107</v>
      </c>
      <c r="M1191" s="1">
        <f t="shared" si="75"/>
        <v>8627199.0001130104</v>
      </c>
      <c r="N1191" s="1">
        <f t="shared" si="76"/>
        <v>9226312.6323747095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3885.0694039999998</v>
      </c>
      <c r="F1192">
        <v>859946.40350000001</v>
      </c>
      <c r="G1192">
        <v>2965.0658800000001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16445988.555885006</v>
      </c>
      <c r="N1192" s="1">
        <f t="shared" si="76"/>
        <v>5872719.0882241987</v>
      </c>
      <c r="O1192" s="1"/>
    </row>
    <row r="1193" spans="1:15" x14ac:dyDescent="0.25">
      <c r="A1193">
        <v>1945</v>
      </c>
      <c r="B1193">
        <v>519230.30839999998</v>
      </c>
      <c r="C1193" s="1">
        <v>10100</v>
      </c>
      <c r="D1193">
        <v>913221.14599999995</v>
      </c>
      <c r="E1193">
        <v>2941.7442799999999</v>
      </c>
      <c r="F1193">
        <v>1345850.9709999999</v>
      </c>
      <c r="G1193">
        <v>1277.687729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100052892.74845475</v>
      </c>
      <c r="M1193" s="1">
        <f t="shared" si="75"/>
        <v>9773639.8228435647</v>
      </c>
      <c r="N1193" s="1">
        <f t="shared" si="76"/>
        <v>1986185.5351403931</v>
      </c>
      <c r="O1193" s="1"/>
    </row>
    <row r="1194" spans="1:15" x14ac:dyDescent="0.25">
      <c r="A1194">
        <v>1946</v>
      </c>
      <c r="B1194">
        <v>281867.30800000002</v>
      </c>
      <c r="C1194" s="1">
        <v>11500</v>
      </c>
      <c r="D1194">
        <v>674127.41540000006</v>
      </c>
      <c r="E1194">
        <v>7246.0463909999999</v>
      </c>
      <c r="F1194">
        <v>1121695.422</v>
      </c>
      <c r="G1194">
        <v>3719.462462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83269628.312325001</v>
      </c>
      <c r="M1194" s="1">
        <f t="shared" si="75"/>
        <v>17596773.051145233</v>
      </c>
      <c r="N1194" s="1">
        <f t="shared" si="76"/>
        <v>4226255.8109302074</v>
      </c>
      <c r="O1194" s="1"/>
    </row>
    <row r="1195" spans="1:15" x14ac:dyDescent="0.25">
      <c r="A1195">
        <v>1947</v>
      </c>
      <c r="B1195">
        <v>538819.43770000001</v>
      </c>
      <c r="C1195" s="1">
        <v>12100</v>
      </c>
      <c r="D1195">
        <v>974262.90830000001</v>
      </c>
      <c r="E1195">
        <v>4096.8504300000004</v>
      </c>
      <c r="F1195">
        <v>1425049.8060000001</v>
      </c>
      <c r="G1195">
        <v>1945.463164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38688249.131835878</v>
      </c>
      <c r="M1195" s="1">
        <f t="shared" si="75"/>
        <v>4393260.4551802352</v>
      </c>
      <c r="N1195" s="1">
        <f t="shared" si="76"/>
        <v>976120.72265676432</v>
      </c>
      <c r="O1195" s="1"/>
    </row>
    <row r="1196" spans="1:15" x14ac:dyDescent="0.25">
      <c r="A1196">
        <v>1948</v>
      </c>
      <c r="B1196">
        <v>463682.00199999998</v>
      </c>
      <c r="C1196" s="1">
        <v>20900</v>
      </c>
      <c r="D1196">
        <v>873374.10419999994</v>
      </c>
      <c r="E1196">
        <v>8779.7057339999992</v>
      </c>
      <c r="F1196">
        <v>1335064.415</v>
      </c>
      <c r="G1196">
        <v>15263.203579999999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81493963.163577259</v>
      </c>
      <c r="M1196" s="1">
        <f t="shared" si="75"/>
        <v>11481595.687659506</v>
      </c>
      <c r="N1196" s="1">
        <f t="shared" si="76"/>
        <v>9339242.7627002914</v>
      </c>
      <c r="O1196" s="1"/>
    </row>
    <row r="1197" spans="1:15" x14ac:dyDescent="0.25">
      <c r="A1197">
        <v>1949</v>
      </c>
      <c r="B1197">
        <v>315545.78970000002</v>
      </c>
      <c r="C1197" s="1">
        <v>15900</v>
      </c>
      <c r="D1197">
        <v>741515.55599999998</v>
      </c>
      <c r="E1197">
        <v>5260.278558</v>
      </c>
      <c r="F1197">
        <v>1210524.4550000001</v>
      </c>
      <c r="G1197">
        <v>3344.4324510000001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32447308.017393753</v>
      </c>
      <c r="M1197" s="1">
        <f t="shared" si="75"/>
        <v>3600256.3658500714</v>
      </c>
      <c r="N1197" s="1">
        <f t="shared" si="76"/>
        <v>1071003.2557192398</v>
      </c>
      <c r="O1197" s="1"/>
    </row>
    <row r="1198" spans="1:15" x14ac:dyDescent="0.25">
      <c r="A1198">
        <v>1950</v>
      </c>
      <c r="B1198">
        <v>395326.16100000002</v>
      </c>
      <c r="C1198" s="1">
        <v>33400</v>
      </c>
      <c r="D1198">
        <v>783042.96100000001</v>
      </c>
      <c r="E1198">
        <v>7084.29025</v>
      </c>
      <c r="F1198">
        <v>1263959.1159999999</v>
      </c>
      <c r="G1198">
        <v>3634.0550020000001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332387861.04602653</v>
      </c>
      <c r="M1198" s="1">
        <f t="shared" si="75"/>
        <v>23644937.546910409</v>
      </c>
      <c r="N1198" s="1">
        <f t="shared" si="76"/>
        <v>5675145.483275733</v>
      </c>
      <c r="O1198" s="1"/>
    </row>
    <row r="1199" spans="1:15" x14ac:dyDescent="0.25">
      <c r="A1199">
        <v>1951</v>
      </c>
      <c r="B1199">
        <v>573376.3811</v>
      </c>
      <c r="C1199" s="1">
        <v>10700</v>
      </c>
      <c r="D1199">
        <v>1026006.527</v>
      </c>
      <c r="E1199">
        <v>6551.4288610000003</v>
      </c>
      <c r="F1199">
        <v>1441035.5390000001</v>
      </c>
      <c r="G1199">
        <v>4177.7750319999996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30111138.274904706</v>
      </c>
      <c r="M1199" s="1">
        <f t="shared" si="75"/>
        <v>6183331.9500109833</v>
      </c>
      <c r="N1199" s="1">
        <f t="shared" si="76"/>
        <v>1844910.3221192861</v>
      </c>
      <c r="O1199" s="1"/>
    </row>
    <row r="1200" spans="1:15" x14ac:dyDescent="0.25">
      <c r="A1200">
        <v>1952</v>
      </c>
      <c r="B1200">
        <v>491741.96990000003</v>
      </c>
      <c r="C1200" s="1">
        <v>13000</v>
      </c>
      <c r="D1200">
        <v>897905.74650000001</v>
      </c>
      <c r="E1200">
        <v>5090.4704400000001</v>
      </c>
      <c r="F1200">
        <v>1355897.716</v>
      </c>
      <c r="G1200">
        <v>12809.893169999999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21801051.257995751</v>
      </c>
      <c r="M1200" s="1">
        <f t="shared" si="75"/>
        <v>2863090.9258894646</v>
      </c>
      <c r="N1200" s="1">
        <f t="shared" si="76"/>
        <v>3371059.4125537518</v>
      </c>
      <c r="O1200" s="1"/>
    </row>
    <row r="1201" spans="1:15" x14ac:dyDescent="0.25">
      <c r="A1201">
        <v>1953</v>
      </c>
      <c r="B1201">
        <v>510026.8469</v>
      </c>
      <c r="C1201" s="1">
        <v>13000</v>
      </c>
      <c r="D1201">
        <v>917272.58669999999</v>
      </c>
      <c r="E1201">
        <v>3630.3149520000002</v>
      </c>
      <c r="F1201">
        <v>1375388.037</v>
      </c>
      <c r="G1201">
        <v>9112.9580979999992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19208695.703755997</v>
      </c>
      <c r="M1201" s="1">
        <f t="shared" si="75"/>
        <v>1799044.7477330719</v>
      </c>
      <c r="N1201" s="1">
        <f t="shared" si="76"/>
        <v>2113005.9153476008</v>
      </c>
      <c r="O1201" s="1"/>
    </row>
    <row r="1202" spans="1:15" x14ac:dyDescent="0.25">
      <c r="A1202">
        <v>1954</v>
      </c>
      <c r="B1202">
        <v>396288.97499999998</v>
      </c>
      <c r="C1202" s="1">
        <v>10800</v>
      </c>
      <c r="D1202">
        <v>782510.67709999997</v>
      </c>
      <c r="E1202">
        <v>7434.0778129999999</v>
      </c>
      <c r="F1202">
        <v>1261973.69</v>
      </c>
      <c r="G1202">
        <v>4542.4306390000002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63182481.319035001</v>
      </c>
      <c r="M1202" s="1">
        <f t="shared" si="75"/>
        <v>14586233.503507018</v>
      </c>
      <c r="N1202" s="1">
        <f t="shared" si="76"/>
        <v>4170115.0964595773</v>
      </c>
      <c r="O1202" s="1"/>
    </row>
    <row r="1203" spans="1:15" x14ac:dyDescent="0.25">
      <c r="A1203">
        <v>1955</v>
      </c>
      <c r="B1203">
        <v>580875.98620000004</v>
      </c>
      <c r="C1203" s="1">
        <v>11600</v>
      </c>
      <c r="D1203">
        <v>999974.48219999997</v>
      </c>
      <c r="E1203">
        <v>2916.6731169999998</v>
      </c>
      <c r="F1203">
        <v>1416672.784</v>
      </c>
      <c r="G1203">
        <v>3148.6325489999999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9498764.800991701</v>
      </c>
      <c r="M1203" s="1">
        <f t="shared" si="75"/>
        <v>801013.87836436601</v>
      </c>
      <c r="N1203" s="1">
        <f t="shared" si="76"/>
        <v>404592.60514922987</v>
      </c>
      <c r="O1203" s="1"/>
    </row>
    <row r="1204" spans="1:15" x14ac:dyDescent="0.25">
      <c r="A1204">
        <v>1956</v>
      </c>
      <c r="B1204">
        <v>490418.26929999999</v>
      </c>
      <c r="C1204" s="1">
        <v>7430</v>
      </c>
      <c r="D1204">
        <v>882053.29119999998</v>
      </c>
      <c r="E1204">
        <v>1442.4425739999999</v>
      </c>
      <c r="F1204">
        <v>1327578.591</v>
      </c>
      <c r="G1204">
        <v>4747.7722039999999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22368032.30999792</v>
      </c>
      <c r="M1204" s="1">
        <f t="shared" si="75"/>
        <v>1456399.887756411</v>
      </c>
      <c r="N1204" s="1">
        <f t="shared" si="76"/>
        <v>2242929.6718246955</v>
      </c>
      <c r="O1204" s="1"/>
    </row>
    <row r="1205" spans="1:15" x14ac:dyDescent="0.25">
      <c r="A1205">
        <v>1957</v>
      </c>
      <c r="B1205">
        <v>540194.6237</v>
      </c>
      <c r="C1205" s="1">
        <v>10100</v>
      </c>
      <c r="D1205">
        <v>940906.2463</v>
      </c>
      <c r="E1205">
        <v>2941.7443109999999</v>
      </c>
      <c r="F1205">
        <v>1377150.0560000001</v>
      </c>
      <c r="G1205">
        <v>1277.687052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34712429.870813504</v>
      </c>
      <c r="M1205" s="1">
        <f t="shared" si="75"/>
        <v>3390874.3784268931</v>
      </c>
      <c r="N1205" s="1">
        <f t="shared" si="76"/>
        <v>689088.41787028755</v>
      </c>
      <c r="O1205" s="1"/>
    </row>
    <row r="1206" spans="1:15" x14ac:dyDescent="0.25">
      <c r="A1206">
        <v>1958</v>
      </c>
      <c r="B1206">
        <v>440354.11109999998</v>
      </c>
      <c r="C1206" s="1">
        <v>2870</v>
      </c>
      <c r="D1206">
        <v>794380.27159999998</v>
      </c>
      <c r="E1206">
        <v>6294.7229390000002</v>
      </c>
      <c r="F1206">
        <v>1246931.5190000001</v>
      </c>
      <c r="G1206">
        <v>5299.2324090000002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23007467.389235877</v>
      </c>
      <c r="M1206" s="1">
        <f t="shared" si="75"/>
        <v>16924142.555906307</v>
      </c>
      <c r="N1206" s="1">
        <f t="shared" si="76"/>
        <v>6666328.339577077</v>
      </c>
      <c r="O1206" s="1"/>
    </row>
    <row r="1207" spans="1:15" x14ac:dyDescent="0.25">
      <c r="A1207">
        <v>1959</v>
      </c>
      <c r="B1207">
        <v>300112.31099999999</v>
      </c>
      <c r="C1207" s="1">
        <v>47400</v>
      </c>
      <c r="D1207">
        <v>688492.47719999996</v>
      </c>
      <c r="E1207">
        <v>11576.43649</v>
      </c>
      <c r="F1207">
        <v>1147216.709</v>
      </c>
      <c r="G1207">
        <v>11223.615970000001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253111869.7027635</v>
      </c>
      <c r="M1207" s="1">
        <f t="shared" si="75"/>
        <v>20732525.141722325</v>
      </c>
      <c r="N1207" s="1">
        <f t="shared" si="76"/>
        <v>9404891.3711533453</v>
      </c>
      <c r="O1207" s="1"/>
    </row>
    <row r="1208" spans="1:15" x14ac:dyDescent="0.25">
      <c r="A1208">
        <v>1960</v>
      </c>
      <c r="B1208">
        <v>575404.92590000003</v>
      </c>
      <c r="C1208" s="1">
        <v>10200</v>
      </c>
      <c r="D1208">
        <v>992720.52339999995</v>
      </c>
      <c r="E1208">
        <v>10778.716909999999</v>
      </c>
      <c r="F1208">
        <v>1410977.077</v>
      </c>
      <c r="G1208">
        <v>3148.6329999999998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66932889.425376005</v>
      </c>
      <c r="M1208" s="1">
        <f t="shared" si="75"/>
        <v>23721907.303832937</v>
      </c>
      <c r="N1208" s="1">
        <f t="shared" si="76"/>
        <v>3242263.1450783066</v>
      </c>
      <c r="O1208" s="1"/>
    </row>
    <row r="1209" spans="1:15" x14ac:dyDescent="0.25">
      <c r="A1209">
        <v>1961</v>
      </c>
      <c r="B1209">
        <v>450520.28149999998</v>
      </c>
      <c r="C1209" s="1">
        <v>23700</v>
      </c>
      <c r="D1209">
        <v>866446.40060000005</v>
      </c>
      <c r="E1209">
        <v>10798.652260000001</v>
      </c>
      <c r="F1209">
        <v>1301455.496</v>
      </c>
      <c r="G1209">
        <v>16014.72516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49945435.882194445</v>
      </c>
      <c r="M1209" s="1">
        <f t="shared" si="75"/>
        <v>7632382.986457373</v>
      </c>
      <c r="N1209" s="1">
        <f t="shared" si="76"/>
        <v>5296070.6083916984</v>
      </c>
      <c r="O1209" s="1"/>
    </row>
    <row r="1210" spans="1:15" x14ac:dyDescent="0.25">
      <c r="A1210">
        <v>1962</v>
      </c>
      <c r="B1210">
        <v>583195.08609999996</v>
      </c>
      <c r="C1210" s="1">
        <v>9890</v>
      </c>
      <c r="D1210">
        <v>1031766.632</v>
      </c>
      <c r="E1210">
        <v>6233.6395389999998</v>
      </c>
      <c r="F1210">
        <v>1440112.9950000001</v>
      </c>
      <c r="G1210">
        <v>4310.0898829999996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12964232.062583685</v>
      </c>
      <c r="M1210" s="1">
        <f t="shared" si="75"/>
        <v>2740534.8383019855</v>
      </c>
      <c r="N1210" s="1">
        <f t="shared" si="76"/>
        <v>886591.6708856232</v>
      </c>
      <c r="O1210" s="1"/>
    </row>
    <row r="1211" spans="1:15" x14ac:dyDescent="0.25">
      <c r="A1211">
        <v>1963</v>
      </c>
      <c r="B1211">
        <v>584528.87049999996</v>
      </c>
      <c r="C1211" s="1">
        <v>12700</v>
      </c>
      <c r="D1211">
        <v>995534.37670000002</v>
      </c>
      <c r="E1211">
        <v>5414.3922050000001</v>
      </c>
      <c r="F1211">
        <v>1426713.8859999999</v>
      </c>
      <c r="G1211">
        <v>1718.874564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7527203.1363815004</v>
      </c>
      <c r="M1211" s="1">
        <f t="shared" si="75"/>
        <v>1076273.7900887304</v>
      </c>
      <c r="N1211" s="1">
        <f t="shared" si="76"/>
        <v>159867.76946542616</v>
      </c>
      <c r="O1211" s="1"/>
    </row>
    <row r="1212" spans="1:15" x14ac:dyDescent="0.25">
      <c r="A1212">
        <v>2000</v>
      </c>
      <c r="B1212">
        <v>1425.9722469999999</v>
      </c>
      <c r="C1212" s="1">
        <v>4.9999999999999998E-7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5.0975369279249998E-2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-9.9999900000000003E-8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-2.1223700149794627E-3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 s="1">
        <v>-1.9999999999999999E-7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-4.9614282444284995E-3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 s="1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 s="1">
        <v>0</v>
      </c>
      <c r="D1220">
        <v>10181.261549999999</v>
      </c>
      <c r="E1220" s="1">
        <v>1.5600000000000001E-6</v>
      </c>
      <c r="F1220">
        <v>21286.19785</v>
      </c>
      <c r="G1220" s="1">
        <v>3.01E-6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4.1859144817389123E-2</v>
      </c>
      <c r="N1220" s="1">
        <f t="shared" si="80"/>
        <v>3.7789916025155287E-2</v>
      </c>
      <c r="O1220" s="1"/>
    </row>
    <row r="1221" spans="1:15" x14ac:dyDescent="0.25">
      <c r="A1221">
        <v>2011</v>
      </c>
      <c r="B1221">
        <v>89.713294050000002</v>
      </c>
      <c r="C1221" s="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 s="1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 s="1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 s="1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1.00001E-7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2.9014715992267477E-3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 s="1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 s="1">
        <v>1.9999999999999999E-7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8.3994961400350003E-3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 s="1">
        <v>0</v>
      </c>
      <c r="D1229">
        <v>15114.56424</v>
      </c>
      <c r="E1229">
        <v>0</v>
      </c>
      <c r="F1229">
        <v>31371.355189999998</v>
      </c>
      <c r="G1229" s="1">
        <v>-9.3999899999999997E-7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-4.8491698559280363E-3</v>
      </c>
      <c r="O1229" s="1"/>
    </row>
    <row r="1230" spans="1:15" x14ac:dyDescent="0.25">
      <c r="A1230">
        <v>2022</v>
      </c>
      <c r="B1230">
        <v>11382.07584</v>
      </c>
      <c r="C1230" s="1">
        <v>-2.2000000000000001E-6</v>
      </c>
      <c r="D1230">
        <v>30050.20522</v>
      </c>
      <c r="E1230" s="1">
        <v>1.9599999999999999E-6</v>
      </c>
      <c r="F1230">
        <v>54428.795169999998</v>
      </c>
      <c r="G1230" s="1">
        <v>-3.3799700000000001E-7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-8.5458910227405011E-2</v>
      </c>
      <c r="M1230" s="1">
        <f t="shared" si="79"/>
        <v>2.5534883330045877E-2</v>
      </c>
      <c r="N1230" s="1">
        <f t="shared" si="80"/>
        <v>-2.060318348652787E-3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 s="1">
        <v>-1.9400999999999999E-6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-1.3116115312933503E-2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6.0004800000000003E-8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4.4041345150191958E-4</v>
      </c>
      <c r="O1232" s="1"/>
    </row>
    <row r="1233" spans="1:15" x14ac:dyDescent="0.25">
      <c r="A1233">
        <v>2026</v>
      </c>
      <c r="B1233">
        <v>7375.9561329999997</v>
      </c>
      <c r="C1233" s="1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-4.3791100000000001E-7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-8.2771454769515118E-4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-7.4000100000000004E-7</v>
      </c>
      <c r="F1236">
        <v>93860.664539999998</v>
      </c>
      <c r="G1236" s="1">
        <v>-1.9379900000000001E-6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-1.3280156229627975E-3</v>
      </c>
      <c r="N1236" s="1">
        <f t="shared" si="80"/>
        <v>-1.6272942410036823E-3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 s="1">
        <v>2.2619899999999998E-6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1.4738545065851054E-2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 s="1">
        <v>4.8620000000000002E-6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8.171640245089035E-3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 s="1">
        <v>-3.5001000000000002E-6</v>
      </c>
      <c r="F1241">
        <v>76449.012560000003</v>
      </c>
      <c r="G1241" s="1">
        <v>-4.5379999999999996E-6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-4.4084246905126967E-2</v>
      </c>
      <c r="N1241" s="1">
        <f t="shared" si="80"/>
        <v>-2.674306274140208E-2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 s="1">
        <v>9.9898899999999995E-8</v>
      </c>
      <c r="F1242">
        <v>81403.781950000004</v>
      </c>
      <c r="G1242" s="1">
        <v>1.76209E-6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1.2620876713165697E-3</v>
      </c>
      <c r="N1242" s="1">
        <f t="shared" si="80"/>
        <v>1.0415990686057084E-2</v>
      </c>
      <c r="O1242" s="1"/>
    </row>
    <row r="1243" spans="1:15" x14ac:dyDescent="0.25">
      <c r="A1243">
        <v>2036</v>
      </c>
      <c r="B1243">
        <v>3197.0280720000001</v>
      </c>
      <c r="C1243" s="1">
        <v>-2.9999999999999999E-7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-8.0114451904890003E-3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 s="1">
        <v>-3.0379900000000001E-6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-1.6859231777704171E-2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 s="1">
        <v>-3.5980000000000001E-6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-1.2578915424724271E-2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 s="1">
        <v>2.5019999999999999E-6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1.2502175660487466E-2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 s="1">
        <v>-3.9979999999999997E-6</v>
      </c>
      <c r="F1247">
        <v>108450.25410000001</v>
      </c>
      <c r="G1247" s="1">
        <v>-1.9497999999999999E-5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-3.4438155871589111E-2</v>
      </c>
      <c r="N1247" s="1">
        <f t="shared" si="80"/>
        <v>-7.8583404827176143E-2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 s="1">
        <v>-2.2979999999999999E-6</v>
      </c>
      <c r="F1248">
        <v>148546.1329</v>
      </c>
      <c r="G1248" s="1">
        <v>2.2802E-5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-1.9609577202280497E-2</v>
      </c>
      <c r="N1248" s="1">
        <f t="shared" si="80"/>
        <v>9.1040540029568587E-2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-3.0000199999999999E-7</v>
      </c>
      <c r="F1249">
        <v>100122.6882</v>
      </c>
      <c r="G1249" s="1">
        <v>1.9202E-5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-1.8557008952799169E-3</v>
      </c>
      <c r="N1249" s="1">
        <f t="shared" si="80"/>
        <v>5.5574296114766372E-2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 s="1">
        <v>2.9019900000000001E-6</v>
      </c>
      <c r="F1250">
        <v>112124.894</v>
      </c>
      <c r="G1250" s="1">
        <v>-2.9697999999999999E-5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1.6665595562596267E-2</v>
      </c>
      <c r="N1250" s="1">
        <f t="shared" si="80"/>
        <v>-7.9798698425313966E-2</v>
      </c>
      <c r="O1250" s="1"/>
    </row>
    <row r="1251" spans="1:15" x14ac:dyDescent="0.25">
      <c r="A1251">
        <v>2107</v>
      </c>
      <c r="B1251">
        <v>47391.728419999999</v>
      </c>
      <c r="C1251" s="1">
        <v>-3.4999999999999999E-6</v>
      </c>
      <c r="D1251">
        <v>81292.258919999993</v>
      </c>
      <c r="E1251" s="1">
        <v>2.0081599999999998E-9</v>
      </c>
      <c r="F1251">
        <v>508111.6986</v>
      </c>
      <c r="G1251" s="1">
        <v>3.8081999999999999E-5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-2.3600092113324998E-2</v>
      </c>
      <c r="M1251" s="1">
        <f t="shared" si="79"/>
        <v>4.5413722607772535E-6</v>
      </c>
      <c r="N1251" s="1">
        <f t="shared" si="80"/>
        <v>4.0295098110630138E-2</v>
      </c>
      <c r="O1251" s="1"/>
    </row>
    <row r="1252" spans="1:15" x14ac:dyDescent="0.25">
      <c r="A1252">
        <v>2108</v>
      </c>
      <c r="B1252">
        <v>908.30495510000003</v>
      </c>
      <c r="C1252" s="1">
        <v>0</v>
      </c>
      <c r="D1252">
        <v>9242.1799219999994</v>
      </c>
      <c r="E1252" s="1">
        <v>-3.9999900000000001E-7</v>
      </c>
      <c r="F1252">
        <v>51401.776169999997</v>
      </c>
      <c r="G1252" s="1">
        <v>-1.198E-6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-2.523925832639044E-2</v>
      </c>
      <c r="N1252" s="1">
        <f t="shared" si="80"/>
        <v>-3.5368625238668676E-2</v>
      </c>
      <c r="O1252" s="1"/>
    </row>
    <row r="1253" spans="1:15" x14ac:dyDescent="0.25">
      <c r="A1253">
        <v>2109</v>
      </c>
      <c r="B1253">
        <v>8112.0103349999999</v>
      </c>
      <c r="C1253" s="1">
        <v>0</v>
      </c>
      <c r="D1253">
        <v>35623.359770000003</v>
      </c>
      <c r="E1253" s="1">
        <v>-1.198E-6</v>
      </c>
      <c r="F1253">
        <v>78887.107210000002</v>
      </c>
      <c r="G1253" s="1">
        <v>1.40209E-6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-9.3891582544158216E-3</v>
      </c>
      <c r="N1253" s="1">
        <f t="shared" si="80"/>
        <v>5.1414949207672419E-3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 s="1">
        <v>-3.09799E-6</v>
      </c>
      <c r="F1254">
        <v>75126.700060000003</v>
      </c>
      <c r="G1254" s="1">
        <v>-2.59791E-6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-3.2758457042928131E-2</v>
      </c>
      <c r="N1254" s="1">
        <f t="shared" si="80"/>
        <v>-1.2853198245515462E-2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 s="1">
        <v>4.5020100000000001E-6</v>
      </c>
      <c r="F1255">
        <v>259162.52439999999</v>
      </c>
      <c r="G1255" s="1">
        <v>4.8001999999999999E-5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3.2991535852559484E-2</v>
      </c>
      <c r="N1255" s="1">
        <f t="shared" si="80"/>
        <v>0.16458834911786815</v>
      </c>
      <c r="O1255" s="1"/>
    </row>
    <row r="1256" spans="1:15" x14ac:dyDescent="0.25">
      <c r="A1256">
        <v>2114</v>
      </c>
      <c r="B1256">
        <v>17217.36161</v>
      </c>
      <c r="C1256" s="1">
        <v>-3.5999999999999998E-6</v>
      </c>
      <c r="D1256">
        <v>53029.575510000002</v>
      </c>
      <c r="E1256" s="1">
        <v>2.01995E-7</v>
      </c>
      <c r="F1256">
        <v>119857.29090000001</v>
      </c>
      <c r="G1256" s="1">
        <v>-4.6298000000000003E-5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-4.9149297298646991E-2</v>
      </c>
      <c r="M1256" s="1">
        <f t="shared" si="79"/>
        <v>9.2490806970477082E-4</v>
      </c>
      <c r="N1256" s="1">
        <f t="shared" si="80"/>
        <v>-9.9189079045274117E-2</v>
      </c>
      <c r="O1256" s="1"/>
    </row>
    <row r="1257" spans="1:15" x14ac:dyDescent="0.25">
      <c r="A1257">
        <v>2115</v>
      </c>
      <c r="B1257">
        <v>35266.504300000001</v>
      </c>
      <c r="C1257" s="1">
        <v>-6.9800000000000003E-7</v>
      </c>
      <c r="D1257">
        <v>79451.054189999995</v>
      </c>
      <c r="E1257" s="1">
        <v>7.0199899999999999E-7</v>
      </c>
      <c r="F1257">
        <v>482660.99209999997</v>
      </c>
      <c r="G1257" s="1">
        <v>-3.7197999999999999E-5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-4.4602834651125403E-3</v>
      </c>
      <c r="M1257" s="1">
        <f t="shared" si="79"/>
        <v>1.5044808640625243E-3</v>
      </c>
      <c r="N1257" s="1">
        <f t="shared" si="80"/>
        <v>-3.7300396037461186E-2</v>
      </c>
      <c r="O1257" s="1"/>
    </row>
    <row r="1258" spans="1:15" x14ac:dyDescent="0.25">
      <c r="A1258">
        <v>2116</v>
      </c>
      <c r="B1258">
        <v>17681.73054</v>
      </c>
      <c r="C1258" s="1">
        <v>3.0000000000000001E-6</v>
      </c>
      <c r="D1258">
        <v>62501.239629999996</v>
      </c>
      <c r="E1258" s="1">
        <v>4.5020100000000001E-6</v>
      </c>
      <c r="F1258">
        <v>192124.4798</v>
      </c>
      <c r="G1258" s="1">
        <v>2.7202000000000001E-5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3.3926367946477499E-2</v>
      </c>
      <c r="M1258" s="1">
        <f t="shared" si="79"/>
        <v>1.7075196313539084E-2</v>
      </c>
      <c r="N1258" s="1">
        <f t="shared" si="80"/>
        <v>4.827294164603501E-2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 s="1">
        <v>-3.1980000000000001E-6</v>
      </c>
      <c r="F1259">
        <v>106725.3523</v>
      </c>
      <c r="G1259" s="1">
        <v>-2.4397999999999999E-5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-1.9559458541838493E-2</v>
      </c>
      <c r="N1259" s="1">
        <f t="shared" si="80"/>
        <v>-6.9819425973494206E-2</v>
      </c>
      <c r="O1259" s="1"/>
    </row>
    <row r="1260" spans="1:15" x14ac:dyDescent="0.25">
      <c r="A1260">
        <v>2118</v>
      </c>
      <c r="B1260">
        <v>19316.271929999999</v>
      </c>
      <c r="C1260" s="1">
        <v>-2.5000000000000002E-6</v>
      </c>
      <c r="D1260">
        <v>62424.019039999999</v>
      </c>
      <c r="E1260" s="1">
        <v>-4.7979999999999996E-6</v>
      </c>
      <c r="F1260">
        <v>238714.63759999999</v>
      </c>
      <c r="G1260" s="1">
        <v>-1.4798E-5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-4.1852612524937507E-2</v>
      </c>
      <c r="M1260" s="1">
        <f t="shared" si="79"/>
        <v>-2.6939277542789981E-2</v>
      </c>
      <c r="N1260" s="1">
        <f t="shared" si="80"/>
        <v>-3.8875179036732654E-2</v>
      </c>
      <c r="O1260" s="1"/>
    </row>
    <row r="1261" spans="1:15" x14ac:dyDescent="0.25">
      <c r="A1261">
        <v>2119</v>
      </c>
      <c r="B1261">
        <v>17014.594730000001</v>
      </c>
      <c r="C1261" s="1">
        <v>5.9999999999999997E-7</v>
      </c>
      <c r="D1261">
        <v>57050.602709999999</v>
      </c>
      <c r="E1261" s="1">
        <v>-2.4980000000000001E-6</v>
      </c>
      <c r="F1261">
        <v>187561.62349999999</v>
      </c>
      <c r="G1261" s="1">
        <v>1.1602E-5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1.09150528136325E-2</v>
      </c>
      <c r="M1261" s="1">
        <f t="shared" si="79"/>
        <v>-1.5240884154879409E-2</v>
      </c>
      <c r="N1261" s="1">
        <f t="shared" si="80"/>
        <v>3.3120300409907578E-2</v>
      </c>
      <c r="O1261" s="1"/>
    </row>
    <row r="1262" spans="1:15" x14ac:dyDescent="0.25">
      <c r="A1262">
        <v>2120</v>
      </c>
      <c r="B1262">
        <v>18777.545259999999</v>
      </c>
      <c r="C1262" s="1">
        <v>-3.8999999999999999E-6</v>
      </c>
      <c r="D1262">
        <v>58688.870569999999</v>
      </c>
      <c r="E1262" s="1">
        <v>-1.198E-6</v>
      </c>
      <c r="F1262">
        <v>174379.0723</v>
      </c>
      <c r="G1262" s="1">
        <v>4.4002000000000003E-5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-7.4208045723249752E-2</v>
      </c>
      <c r="M1262" s="1">
        <f t="shared" si="79"/>
        <v>-7.6451558395529773E-3</v>
      </c>
      <c r="N1262" s="1">
        <f t="shared" si="80"/>
        <v>0.13138494976223766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 s="1">
        <v>4.9999999999999998E-7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3.2595017135200001E-2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 s="1">
        <v>0</v>
      </c>
      <c r="D1265">
        <v>8355.0321449999992</v>
      </c>
      <c r="E1265" s="1">
        <v>4.0000100000000001E-7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1.411901760146456E-2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 s="1">
        <v>-2.5001E-6</v>
      </c>
      <c r="F1266">
        <v>264750.01520000002</v>
      </c>
      <c r="G1266" s="1">
        <v>3.1399899999999997E-5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-7.3172926786404455E-2</v>
      </c>
      <c r="N1266" s="1">
        <f t="shared" si="80"/>
        <v>0.42999656811460196</v>
      </c>
      <c r="O1266" s="1"/>
    </row>
    <row r="1267" spans="1:15" x14ac:dyDescent="0.25">
      <c r="A1267">
        <v>2127</v>
      </c>
      <c r="B1267">
        <v>608.86246510000001</v>
      </c>
      <c r="C1267" s="1">
        <v>0</v>
      </c>
      <c r="D1267">
        <v>11890.54232</v>
      </c>
      <c r="E1267" s="1">
        <v>-2.3999999999999999E-6</v>
      </c>
      <c r="F1267">
        <v>36056.993020000002</v>
      </c>
      <c r="G1267" s="1">
        <v>2.1999899999999998E-6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6.6535963092665008E-3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2.6999900000000001E-6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7.6176510731092535E-3</v>
      </c>
      <c r="O1268" s="1"/>
    </row>
    <row r="1269" spans="1:15" x14ac:dyDescent="0.25">
      <c r="A1269">
        <v>2129</v>
      </c>
      <c r="B1269">
        <v>4099.7210869999999</v>
      </c>
      <c r="C1269" s="1">
        <v>0</v>
      </c>
      <c r="D1269">
        <v>8994.5018999999993</v>
      </c>
      <c r="E1269" s="1">
        <v>-3.9999900000000001E-7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-9.7611398423445867E-3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 s="1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 s="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 s="1">
        <v>-1.0200000000000001E-12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-7.3791695039516994E-8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 s="1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 s="1">
        <v>2.9502E-5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7.6198851386099983E-2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 s="1">
        <v>2.0008900000000001E-9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7.0497270628265108E-6</v>
      </c>
      <c r="O1276" s="1"/>
    </row>
    <row r="1277" spans="1:15" x14ac:dyDescent="0.25">
      <c r="A1277">
        <v>2137</v>
      </c>
      <c r="B1277">
        <v>2675.49325</v>
      </c>
      <c r="C1277" s="1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 s="1">
        <v>2.7E-6</v>
      </c>
      <c r="D1278">
        <v>66445.111600000004</v>
      </c>
      <c r="E1278" s="1">
        <v>2.9989999999999998E-7</v>
      </c>
      <c r="F1278">
        <v>413242.13140000001</v>
      </c>
      <c r="G1278" s="1">
        <v>4.2701999999999999E-5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3.6909162005595748E-2</v>
      </c>
      <c r="M1278" s="1">
        <f t="shared" si="79"/>
        <v>1.3749598720423019E-3</v>
      </c>
      <c r="N1278" s="1">
        <f t="shared" si="80"/>
        <v>9.1602104654256902E-2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 s="1">
        <v>9.9898899999999995E-8</v>
      </c>
      <c r="F1279">
        <v>292877.96279999998</v>
      </c>
      <c r="G1279" s="1">
        <v>-1.0597999999999999E-5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8.0130390010778047E-4</v>
      </c>
      <c r="N1279" s="1">
        <f t="shared" si="80"/>
        <v>-3.9774446405724917E-2</v>
      </c>
      <c r="O1279" s="1"/>
    </row>
    <row r="1280" spans="1:15" x14ac:dyDescent="0.25">
      <c r="A1280">
        <v>2140</v>
      </c>
      <c r="B1280">
        <v>14981.85881</v>
      </c>
      <c r="C1280" s="1">
        <v>5.9999999999999997E-7</v>
      </c>
      <c r="D1280">
        <v>71049.681100000002</v>
      </c>
      <c r="E1280" s="1">
        <v>-1.00001E-7</v>
      </c>
      <c r="F1280">
        <v>421777.10110000003</v>
      </c>
      <c r="G1280" s="1">
        <v>-3.8597999999999999E-5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3.0137715167039996E-3</v>
      </c>
      <c r="M1280" s="1">
        <f t="shared" si="79"/>
        <v>-1.6846378478548163E-4</v>
      </c>
      <c r="N1280" s="1">
        <f t="shared" si="80"/>
        <v>-3.0423606169686108E-2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6.9999800000000002E-7</v>
      </c>
      <c r="F1281">
        <v>137145.94709999999</v>
      </c>
      <c r="G1281" s="1">
        <v>4.0201100000000001E-7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7.3173116907413157E-3</v>
      </c>
      <c r="N1281" s="1">
        <f t="shared" si="80"/>
        <v>1.9662392914233618E-3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 s="1">
        <v>-3.0000000000000001E-6</v>
      </c>
      <c r="D1283">
        <v>65383.430509999998</v>
      </c>
      <c r="E1283" s="1">
        <v>2.6019999999999998E-6</v>
      </c>
      <c r="F1283">
        <v>338185.60749999998</v>
      </c>
      <c r="G1283" s="1">
        <v>4.7202E-5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-5.4037667765347512E-2</v>
      </c>
      <c r="M1283" s="1">
        <f t="shared" ref="M1283:M1346" si="83">$U$3*$K1283*E1283</f>
        <v>1.5719031032074181E-2</v>
      </c>
      <c r="N1283" s="1">
        <f t="shared" ref="N1283:N1346" si="84">$U$4*$K1283*G1283</f>
        <v>0.13342049814036575</v>
      </c>
      <c r="O1283" s="1"/>
    </row>
    <row r="1284" spans="1:15" x14ac:dyDescent="0.25">
      <c r="A1284">
        <v>2144</v>
      </c>
      <c r="B1284">
        <v>30510.54336</v>
      </c>
      <c r="C1284" s="1">
        <v>-4.3000000000000003E-6</v>
      </c>
      <c r="D1284">
        <v>67270.365950000007</v>
      </c>
      <c r="E1284" s="1">
        <v>3.4019899999999999E-6</v>
      </c>
      <c r="F1284">
        <v>453507.38030000002</v>
      </c>
      <c r="G1284" s="1">
        <v>6.70197E-6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-0.10025699483340453</v>
      </c>
      <c r="M1284" s="1">
        <f t="shared" si="83"/>
        <v>2.6602496622546708E-2</v>
      </c>
      <c r="N1284" s="1">
        <f t="shared" si="84"/>
        <v>2.4520850057134336E-2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 s="1">
        <v>3.7019999999999999E-6</v>
      </c>
      <c r="F1285">
        <v>246388.61319999999</v>
      </c>
      <c r="G1285" s="1">
        <v>-2.9498000000000001E-5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3.7680411045600257E-2</v>
      </c>
      <c r="N1285" s="1">
        <f t="shared" si="84"/>
        <v>-0.14048031318597667</v>
      </c>
      <c r="O1285" s="1"/>
    </row>
    <row r="1286" spans="1:15" x14ac:dyDescent="0.25">
      <c r="A1286">
        <v>2146</v>
      </c>
      <c r="B1286">
        <v>15684.537899999999</v>
      </c>
      <c r="C1286" s="1">
        <v>-1.9999999999999999E-6</v>
      </c>
      <c r="D1286">
        <v>49764.66315</v>
      </c>
      <c r="E1286" s="1">
        <v>-1.98001E-7</v>
      </c>
      <c r="F1286">
        <v>85229.572010000004</v>
      </c>
      <c r="G1286" s="1">
        <v>-3.9980100000000004E-6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-5.0953434246454994E-2</v>
      </c>
      <c r="M1286" s="1">
        <f t="shared" si="83"/>
        <v>-1.691819341278961E-3</v>
      </c>
      <c r="N1286" s="1">
        <f t="shared" si="84"/>
        <v>-1.598358357266946E-2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 s="1">
        <v>2.0008900000000001E-9</v>
      </c>
      <c r="F1287">
        <v>81793.72292</v>
      </c>
      <c r="G1287" s="1">
        <v>-2.898E-6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2.7420678573540621E-5</v>
      </c>
      <c r="N1287" s="1">
        <f t="shared" si="84"/>
        <v>-1.8582196297932542E-2</v>
      </c>
      <c r="O1287" s="1"/>
    </row>
    <row r="1288" spans="1:15" x14ac:dyDescent="0.25">
      <c r="A1288">
        <v>2148</v>
      </c>
      <c r="B1288">
        <v>36980.90885</v>
      </c>
      <c r="C1288" s="1">
        <v>-3.3000000000000002E-6</v>
      </c>
      <c r="D1288">
        <v>70126.418350000007</v>
      </c>
      <c r="E1288" s="1">
        <v>-4.6980099999999996E-6</v>
      </c>
      <c r="F1288">
        <v>460845.9325</v>
      </c>
      <c r="G1288" s="1">
        <v>2.0820300000000001E-6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-8.7768421301847019E-2</v>
      </c>
      <c r="M1288" s="1">
        <f t="shared" si="83"/>
        <v>-4.1906502922770754E-2</v>
      </c>
      <c r="N1288" s="1">
        <f t="shared" si="84"/>
        <v>8.6895671760907327E-3</v>
      </c>
      <c r="O1288" s="1"/>
    </row>
    <row r="1289" spans="1:15" x14ac:dyDescent="0.25">
      <c r="A1289">
        <v>2149</v>
      </c>
      <c r="B1289">
        <v>10874.0555</v>
      </c>
      <c r="C1289" s="1">
        <v>-3.8999999999999999E-6</v>
      </c>
      <c r="D1289">
        <v>41940.197379999998</v>
      </c>
      <c r="E1289" s="1">
        <v>-9.7999899999999999E-8</v>
      </c>
      <c r="F1289">
        <v>313148.32569999999</v>
      </c>
      <c r="G1289" s="1">
        <v>-1.2398000000000001E-5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-7.117554212249326E-2</v>
      </c>
      <c r="M1289" s="1">
        <f t="shared" si="83"/>
        <v>-5.9983934133259469E-4</v>
      </c>
      <c r="N1289" s="1">
        <f t="shared" si="84"/>
        <v>-3.550623505559624E-2</v>
      </c>
      <c r="O1289" s="1"/>
    </row>
    <row r="1290" spans="1:15" x14ac:dyDescent="0.25">
      <c r="A1290">
        <v>2150</v>
      </c>
      <c r="B1290">
        <v>16842.851490000001</v>
      </c>
      <c r="C1290" s="1">
        <v>-1.1999999999999999E-6</v>
      </c>
      <c r="D1290">
        <v>61945.453459999997</v>
      </c>
      <c r="E1290" s="1">
        <v>-4.7979999999999996E-6</v>
      </c>
      <c r="F1290">
        <v>447734.54470000003</v>
      </c>
      <c r="G1290" s="1">
        <v>9.6819699999999994E-6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-2.3514643445630999E-2</v>
      </c>
      <c r="M1290" s="1">
        <f t="shared" si="83"/>
        <v>-3.1532654508930745E-2</v>
      </c>
      <c r="N1290" s="1">
        <f t="shared" si="84"/>
        <v>2.9771978698631015E-2</v>
      </c>
      <c r="O1290" s="1"/>
    </row>
    <row r="1291" spans="1:15" x14ac:dyDescent="0.25">
      <c r="A1291">
        <v>2151</v>
      </c>
      <c r="B1291">
        <v>28163.459940000001</v>
      </c>
      <c r="C1291" s="1">
        <v>-1.1000000000000001E-6</v>
      </c>
      <c r="D1291">
        <v>62459.156329999998</v>
      </c>
      <c r="E1291" s="1">
        <v>2.402E-6</v>
      </c>
      <c r="F1291">
        <v>424467.98940000002</v>
      </c>
      <c r="G1291" s="1">
        <v>2.5001999999999999E-5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-3.3631206872513253E-2</v>
      </c>
      <c r="M1291" s="1">
        <f t="shared" si="83"/>
        <v>2.4630084813839652E-2</v>
      </c>
      <c r="N1291" s="1">
        <f t="shared" si="84"/>
        <v>0.11995306054700808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 s="1">
        <v>4.6020000000000002E-6</v>
      </c>
      <c r="F1292">
        <v>303658.6838</v>
      </c>
      <c r="G1292" s="1">
        <v>-1.9298000000000001E-5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2.2107706236085337E-2</v>
      </c>
      <c r="N1292" s="1">
        <f t="shared" si="84"/>
        <v>-4.3376354640668233E-2</v>
      </c>
      <c r="O1292" s="1"/>
    </row>
    <row r="1293" spans="1:15" x14ac:dyDescent="0.25">
      <c r="A1293">
        <v>2154</v>
      </c>
      <c r="B1293">
        <v>1949.4445209999999</v>
      </c>
      <c r="C1293" s="1">
        <v>0</v>
      </c>
      <c r="D1293">
        <v>13789.641320000001</v>
      </c>
      <c r="E1293" s="1">
        <v>4.0999999999999997E-6</v>
      </c>
      <c r="F1293">
        <v>59282.510020000002</v>
      </c>
      <c r="G1293" s="1">
        <v>4.702E-6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0.23692648854580048</v>
      </c>
      <c r="N1293" s="1">
        <f t="shared" si="84"/>
        <v>0.12713234684775129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 s="1">
        <v>-2.5979999999999999E-6</v>
      </c>
      <c r="F1294">
        <v>565159.98199999996</v>
      </c>
      <c r="G1294">
        <v>1263.9552650000001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-2.7184559004184441E-2</v>
      </c>
      <c r="N1294" s="1">
        <f t="shared" si="84"/>
        <v>6188117.1489789123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 s="1">
        <v>-6.9799700000000005E-7</v>
      </c>
      <c r="F1295">
        <v>510035.8798</v>
      </c>
      <c r="G1295" s="1">
        <v>1.562E-6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-9.5149230998861582E-3</v>
      </c>
      <c r="N1295" s="1">
        <f t="shared" si="84"/>
        <v>9.9626858098024618E-3</v>
      </c>
      <c r="O1295" s="1"/>
    </row>
    <row r="1296" spans="1:15" x14ac:dyDescent="0.25">
      <c r="A1296">
        <v>2157</v>
      </c>
      <c r="B1296">
        <v>11592.313529999999</v>
      </c>
      <c r="C1296" s="1">
        <v>-4.9800000000000004E-7</v>
      </c>
      <c r="D1296">
        <v>110717.1716</v>
      </c>
      <c r="E1296" s="1">
        <v>2.9601999999999999E-5</v>
      </c>
      <c r="F1296">
        <v>576916.07519999996</v>
      </c>
      <c r="G1296">
        <v>421.39529090000002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-8.1200174192884514E-3</v>
      </c>
      <c r="M1296" s="1">
        <f t="shared" si="83"/>
        <v>0.16187948325850887</v>
      </c>
      <c r="N1296" s="1">
        <f t="shared" si="84"/>
        <v>1078211.8766031531</v>
      </c>
      <c r="O1296" s="1"/>
    </row>
    <row r="1297" spans="1:15" x14ac:dyDescent="0.25">
      <c r="A1297">
        <v>2158</v>
      </c>
      <c r="B1297">
        <v>7952.8562780000002</v>
      </c>
      <c r="C1297" s="1">
        <v>3.9999999999999998E-7</v>
      </c>
      <c r="D1297">
        <v>65484.998760000002</v>
      </c>
      <c r="E1297" s="1">
        <v>-1.598E-6</v>
      </c>
      <c r="F1297">
        <v>533913.60179999995</v>
      </c>
      <c r="G1297">
        <v>1251.4190329999999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1.1473269249325001E-2</v>
      </c>
      <c r="M1297" s="1">
        <f t="shared" si="83"/>
        <v>-1.5372592187584055E-2</v>
      </c>
      <c r="N1297" s="1">
        <f t="shared" si="84"/>
        <v>5632701.8690483486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 s="1">
        <v>7.6199599999999996E-7</v>
      </c>
      <c r="F1298">
        <v>102077.1689</v>
      </c>
      <c r="G1298" s="1">
        <v>-4.2038E-5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7.8399121306361019E-3</v>
      </c>
      <c r="N1298" s="1">
        <f t="shared" si="84"/>
        <v>-0.20236911274609146</v>
      </c>
      <c r="O1298" s="1"/>
    </row>
    <row r="1299" spans="1:15" x14ac:dyDescent="0.25">
      <c r="A1299">
        <v>2162</v>
      </c>
      <c r="B1299">
        <v>6395.3288309999998</v>
      </c>
      <c r="C1299" s="1">
        <v>-4.9999999999999998E-7</v>
      </c>
      <c r="D1299">
        <v>23845.624349999998</v>
      </c>
      <c r="E1299" s="1">
        <v>-3.0000000000000001E-6</v>
      </c>
      <c r="F1299">
        <v>66302.358259999994</v>
      </c>
      <c r="G1299" s="1">
        <v>-2.5979999999999999E-6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-2.7046712533912502E-2</v>
      </c>
      <c r="M1299" s="1">
        <f t="shared" si="83"/>
        <v>-5.4426307683627009E-2</v>
      </c>
      <c r="N1299" s="1">
        <f t="shared" si="84"/>
        <v>-2.20531404142667E-2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 s="1">
        <v>-7.9799799999999997E-7</v>
      </c>
      <c r="F1300">
        <v>86570.833549999996</v>
      </c>
      <c r="G1300" s="1">
        <v>-1.9979899999999999E-6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-6.505737835857504E-3</v>
      </c>
      <c r="N1300" s="1">
        <f t="shared" si="84"/>
        <v>-7.6213471468302612E-3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 s="1">
        <v>-7.9799799999999997E-7</v>
      </c>
      <c r="F1301">
        <v>97528.993300000002</v>
      </c>
      <c r="G1301" s="1">
        <v>-3.1379999999999999E-6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-2.7618524477825241E-3</v>
      </c>
      <c r="N1301" s="1">
        <f t="shared" si="84"/>
        <v>-5.081539281848923E-3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 s="1">
        <v>4.1019999999999999E-6</v>
      </c>
      <c r="F1302">
        <v>79949.571129999997</v>
      </c>
      <c r="G1302" s="1">
        <v>1.50201E-6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3.989966945934488E-2</v>
      </c>
      <c r="N1302" s="1">
        <f t="shared" si="84"/>
        <v>6.8358125344006758E-3</v>
      </c>
      <c r="O1302" s="1"/>
    </row>
    <row r="1303" spans="1:15" x14ac:dyDescent="0.25">
      <c r="A1303">
        <v>2166</v>
      </c>
      <c r="B1303">
        <v>10124.09251</v>
      </c>
      <c r="C1303" s="1">
        <v>-6.9999999999999997E-7</v>
      </c>
      <c r="D1303">
        <v>66178.455230000007</v>
      </c>
      <c r="E1303" s="1">
        <v>3.0020900000000002E-6</v>
      </c>
      <c r="F1303">
        <v>173245.0448</v>
      </c>
      <c r="G1303" s="1">
        <v>1.8619999999999999E-6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-1.0081238212750249E-2</v>
      </c>
      <c r="M1303" s="1">
        <f t="shared" si="83"/>
        <v>1.4500490120644301E-2</v>
      </c>
      <c r="N1303" s="1">
        <f t="shared" si="84"/>
        <v>4.2080639259744583E-3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 s="1">
        <v>-5.9800400000000004E-7</v>
      </c>
      <c r="F1304">
        <v>91414.421159999998</v>
      </c>
      <c r="G1304" s="1">
        <v>-3.3979999999999999E-6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-1.3947126322705521E-2</v>
      </c>
      <c r="N1304" s="1">
        <f t="shared" si="84"/>
        <v>-3.7080680713930683E-2</v>
      </c>
      <c r="O1304" s="1"/>
    </row>
    <row r="1305" spans="1:15" x14ac:dyDescent="0.25">
      <c r="A1305">
        <v>2170</v>
      </c>
      <c r="B1305">
        <v>755.49591750000002</v>
      </c>
      <c r="C1305" s="1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 s="1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 s="1">
        <v>-4.6999999999999999E-6</v>
      </c>
      <c r="F1307">
        <v>459135.7205</v>
      </c>
      <c r="G1307" s="1">
        <v>4.4301999999999997E-5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-8.9099933595515893E-2</v>
      </c>
      <c r="N1307" s="1">
        <f t="shared" si="84"/>
        <v>0.39295836065894163</v>
      </c>
      <c r="O1307" s="1"/>
    </row>
    <row r="1308" spans="1:15" x14ac:dyDescent="0.25">
      <c r="A1308">
        <v>2201</v>
      </c>
      <c r="B1308">
        <v>44495.263720000003</v>
      </c>
      <c r="C1308" s="1">
        <v>1.02E-7</v>
      </c>
      <c r="D1308">
        <v>255443.31719999999</v>
      </c>
      <c r="E1308" s="1">
        <v>-4.6998E-5</v>
      </c>
      <c r="F1308">
        <v>653087.59829999995</v>
      </c>
      <c r="G1308">
        <v>2881.5590619999998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1.238257339397715E-3</v>
      </c>
      <c r="M1308" s="1">
        <f t="shared" si="83"/>
        <v>-0.1913521088879187</v>
      </c>
      <c r="N1308" s="1">
        <f t="shared" si="84"/>
        <v>5489402.5498915305</v>
      </c>
      <c r="O1308" s="1"/>
    </row>
    <row r="1309" spans="1:15" x14ac:dyDescent="0.25">
      <c r="A1309">
        <v>2202</v>
      </c>
      <c r="B1309">
        <v>18610.486250000002</v>
      </c>
      <c r="C1309" s="1">
        <v>-2.3999999999999999E-6</v>
      </c>
      <c r="D1309">
        <v>259622.81880000001</v>
      </c>
      <c r="E1309" s="1">
        <v>-7.5980199999999996E-6</v>
      </c>
      <c r="F1309">
        <v>654712.67119999998</v>
      </c>
      <c r="G1309">
        <v>1453.381989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-3.4044643745813993E-2</v>
      </c>
      <c r="M1309" s="1">
        <f t="shared" si="83"/>
        <v>-3.6147737646178325E-2</v>
      </c>
      <c r="N1309" s="1">
        <f t="shared" si="84"/>
        <v>3235222.4027518793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 s="1">
        <v>-2.8297999999999999E-5</v>
      </c>
      <c r="F1310">
        <v>655861.92009999999</v>
      </c>
      <c r="G1310">
        <v>192.80951930000001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-9.1809686430238846E-2</v>
      </c>
      <c r="N1310" s="1">
        <f t="shared" si="84"/>
        <v>292687.99652343645</v>
      </c>
      <c r="O1310" s="1"/>
    </row>
    <row r="1311" spans="1:15" x14ac:dyDescent="0.25">
      <c r="A1311">
        <v>2204</v>
      </c>
      <c r="B1311">
        <v>10677.236940000001</v>
      </c>
      <c r="C1311" s="1">
        <v>2.2000000000000001E-6</v>
      </c>
      <c r="D1311">
        <v>72705.216369999995</v>
      </c>
      <c r="E1311" s="1">
        <v>1.4020000000000001E-6</v>
      </c>
      <c r="F1311">
        <v>536731.40150000004</v>
      </c>
      <c r="G1311">
        <v>4986.7152370000003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5.7669458879318007E-2</v>
      </c>
      <c r="M1311" s="1">
        <f t="shared" si="83"/>
        <v>1.2325778135691775E-2</v>
      </c>
      <c r="N1311" s="1">
        <f t="shared" si="84"/>
        <v>20512782.705531526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-2.8979100000000001E-6</v>
      </c>
      <c r="F1312">
        <v>546009.17599999998</v>
      </c>
      <c r="G1312">
        <v>2247.609954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-4.304970446873882E-2</v>
      </c>
      <c r="N1312" s="1">
        <f t="shared" si="84"/>
        <v>15622477.427707322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-2.9999900000000001E-7</v>
      </c>
      <c r="F1313">
        <v>441351.7132</v>
      </c>
      <c r="G1313" s="1">
        <v>8.8820200000000004E-6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-3.1378471386881929E-3</v>
      </c>
      <c r="N1313" s="1">
        <f t="shared" si="84"/>
        <v>4.3467774041856484E-2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 s="1">
        <v>-1.9999999999999999E-7</v>
      </c>
      <c r="F1314">
        <v>30638.962100000001</v>
      </c>
      <c r="G1314" s="1">
        <v>-1.798E-6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-3.5326908365096001E-3</v>
      </c>
      <c r="N1314" s="1">
        <f t="shared" si="84"/>
        <v>-1.4859664418635656E-2</v>
      </c>
      <c r="O1314" s="1"/>
    </row>
    <row r="1315" spans="1:15" x14ac:dyDescent="0.25">
      <c r="A1315">
        <v>2208</v>
      </c>
      <c r="B1315">
        <v>26253.823540000001</v>
      </c>
      <c r="C1315" s="1">
        <v>-3.8E-6</v>
      </c>
      <c r="D1315">
        <v>142256.55100000001</v>
      </c>
      <c r="E1315" s="1">
        <v>4.4819899999999998E-6</v>
      </c>
      <c r="F1315">
        <v>621903.51599999995</v>
      </c>
      <c r="G1315" s="1">
        <v>4.6821100000000003E-6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-2.7413181496954504E-2</v>
      </c>
      <c r="M1315" s="1">
        <f t="shared" si="83"/>
        <v>1.0844008892138724E-2</v>
      </c>
      <c r="N1315" s="1">
        <f t="shared" si="84"/>
        <v>5.3003466333230677E-3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 s="1">
        <v>-2.0980000000000001E-6</v>
      </c>
      <c r="F1316">
        <v>296024.47639999999</v>
      </c>
      <c r="G1316" s="1">
        <v>-1.7518000000000001E-5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-8.9065450405200509E-3</v>
      </c>
      <c r="N1316" s="1">
        <f t="shared" si="84"/>
        <v>-3.4796213331225644E-2</v>
      </c>
      <c r="O1316" s="1"/>
    </row>
    <row r="1317" spans="1:15" x14ac:dyDescent="0.25">
      <c r="A1317">
        <v>2210</v>
      </c>
      <c r="B1317">
        <v>22360.577789999999</v>
      </c>
      <c r="C1317" s="1">
        <v>2.6000000000000001E-6</v>
      </c>
      <c r="D1317">
        <v>64936.108090000002</v>
      </c>
      <c r="E1317" s="1">
        <v>3.0199600000000003E-7</v>
      </c>
      <c r="F1317">
        <v>478283.23050000001</v>
      </c>
      <c r="G1317" s="1">
        <v>-4.9418E-5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6.6726233032432997E-2</v>
      </c>
      <c r="M1317" s="1">
        <f t="shared" si="83"/>
        <v>2.5993669187266595E-3</v>
      </c>
      <c r="N1317" s="1">
        <f t="shared" si="84"/>
        <v>-0.19901932092761596</v>
      </c>
      <c r="O1317" s="1"/>
    </row>
    <row r="1318" spans="1:15" x14ac:dyDescent="0.25">
      <c r="A1318">
        <v>2211</v>
      </c>
      <c r="B1318">
        <v>11773.02507</v>
      </c>
      <c r="C1318" s="1">
        <v>-3.0000000000000001E-6</v>
      </c>
      <c r="D1318">
        <v>49555.261449999998</v>
      </c>
      <c r="E1318" s="1">
        <v>4.2019999999999997E-6</v>
      </c>
      <c r="F1318">
        <v>413861.30070000002</v>
      </c>
      <c r="G1318">
        <v>17.618838279999999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-5.2156050644977504E-2</v>
      </c>
      <c r="M1318" s="1">
        <f t="shared" si="83"/>
        <v>2.4500933337755181E-2</v>
      </c>
      <c r="N1318" s="1">
        <f t="shared" si="84"/>
        <v>48067.056516415141</v>
      </c>
      <c r="O1318" s="1"/>
    </row>
    <row r="1319" spans="1:15" x14ac:dyDescent="0.25">
      <c r="A1319">
        <v>2212</v>
      </c>
      <c r="B1319">
        <v>13544.18123</v>
      </c>
      <c r="C1319" s="1">
        <v>4.7999999999999998E-6</v>
      </c>
      <c r="D1319">
        <v>64001.479030000002</v>
      </c>
      <c r="E1319" s="1">
        <v>1.4020000000000001E-6</v>
      </c>
      <c r="F1319">
        <v>530020.35640000005</v>
      </c>
      <c r="G1319">
        <v>201.80949519999999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4.3057887092063998E-2</v>
      </c>
      <c r="M1319" s="1">
        <f t="shared" si="83"/>
        <v>4.2179616600224587E-3</v>
      </c>
      <c r="N1319" s="1">
        <f t="shared" si="84"/>
        <v>284079.49575630098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 s="1">
        <v>-4.2898000000000002E-5</v>
      </c>
      <c r="F1320">
        <v>600328.40020000003</v>
      </c>
      <c r="G1320">
        <v>594.94635129999995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-0.2136886916532395</v>
      </c>
      <c r="N1320" s="1">
        <f t="shared" si="84"/>
        <v>1386647.1989822339</v>
      </c>
      <c r="O1320" s="1"/>
    </row>
    <row r="1321" spans="1:15" x14ac:dyDescent="0.25">
      <c r="A1321">
        <v>2214</v>
      </c>
      <c r="B1321">
        <v>18735.869739999998</v>
      </c>
      <c r="C1321" s="1">
        <v>-2.7999999999999999E-6</v>
      </c>
      <c r="D1321">
        <v>131470.71660000001</v>
      </c>
      <c r="E1321" s="1">
        <v>-2.9198000000000001E-5</v>
      </c>
      <c r="F1321">
        <v>598073.91559999995</v>
      </c>
      <c r="G1321">
        <v>3938.5012579999998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-3.3477944782645999E-2</v>
      </c>
      <c r="M1321" s="1">
        <f t="shared" si="83"/>
        <v>-0.11708385105740998</v>
      </c>
      <c r="N1321" s="1">
        <f t="shared" si="84"/>
        <v>7389559.6810186775</v>
      </c>
      <c r="O1321" s="1"/>
    </row>
    <row r="1322" spans="1:15" x14ac:dyDescent="0.25">
      <c r="A1322">
        <v>2215</v>
      </c>
      <c r="B1322">
        <v>15475.10693</v>
      </c>
      <c r="C1322" s="1">
        <v>1.3E-6</v>
      </c>
      <c r="D1322">
        <v>200036.05170000001</v>
      </c>
      <c r="E1322">
        <v>3997.2047149999999</v>
      </c>
      <c r="F1322">
        <v>626018.21970000002</v>
      </c>
      <c r="G1322">
        <v>2883.656043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1.1056824887277002E-2</v>
      </c>
      <c r="M1322" s="1">
        <f t="shared" si="83"/>
        <v>11402146.24943544</v>
      </c>
      <c r="N1322" s="1">
        <f t="shared" si="84"/>
        <v>3848729.1716734795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 s="1">
        <v>-1.398E-6</v>
      </c>
      <c r="F1323">
        <v>367723.60849999997</v>
      </c>
      <c r="G1323" s="1">
        <v>-4.3517999999999999E-5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-4.5519687620138973E-3</v>
      </c>
      <c r="N1323" s="1">
        <f t="shared" si="84"/>
        <v>-6.6298653422657269E-2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 s="1">
        <v>3.9999900000000001E-7</v>
      </c>
      <c r="F1324">
        <v>15475.10693</v>
      </c>
      <c r="G1324" s="1">
        <v>1.302E-6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1.3547637424094167E-2</v>
      </c>
      <c r="N1324" s="1">
        <f t="shared" si="84"/>
        <v>2.0632854798529221E-2</v>
      </c>
      <c r="O1324" s="1"/>
    </row>
    <row r="1325" spans="1:15" x14ac:dyDescent="0.25">
      <c r="A1325">
        <v>2218</v>
      </c>
      <c r="B1325">
        <v>27320.355879999999</v>
      </c>
      <c r="C1325" s="1">
        <v>-2.9799999999999999E-7</v>
      </c>
      <c r="D1325">
        <v>73293.343729999993</v>
      </c>
      <c r="E1325" s="1">
        <v>-1.0978999999999999E-6</v>
      </c>
      <c r="F1325">
        <v>561047.14619999996</v>
      </c>
      <c r="G1325" s="1">
        <v>-2.7617899999999999E-5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-1.807270238782125E-4</v>
      </c>
      <c r="M1325" s="1">
        <f t="shared" si="83"/>
        <v>-2.2331235670864174E-4</v>
      </c>
      <c r="N1325" s="1">
        <f t="shared" si="84"/>
        <v>-2.6283566805479644E-3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 s="1">
        <v>-4.5741000000000001E-5</v>
      </c>
      <c r="F1326">
        <v>830491.38260000001</v>
      </c>
      <c r="G1326">
        <v>1273.5563059999999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-5.3269365157297119E-2</v>
      </c>
      <c r="N1326" s="1">
        <f t="shared" si="84"/>
        <v>693958.81187983521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>
        <v>4070.2202619999998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3648008.169289914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-3.9295000000000002E-5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-5.3435168925438717E-2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-4.5500100000000003E-6</v>
      </c>
      <c r="F1329">
        <v>292446.21039999998</v>
      </c>
      <c r="G1329" s="1">
        <v>-3.5735000000000003E-5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-1.690975685704461E-2</v>
      </c>
      <c r="N1329" s="1">
        <f t="shared" si="84"/>
        <v>-6.2138744821814897E-2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2.4599899999999999E-6</v>
      </c>
      <c r="F1330">
        <v>331177.43229999999</v>
      </c>
      <c r="G1330">
        <v>1461.8401200000001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7.133064641426586E-3</v>
      </c>
      <c r="N1330" s="1">
        <f t="shared" si="84"/>
        <v>1983290.6892958237</v>
      </c>
      <c r="O1330" s="1"/>
    </row>
    <row r="1331" spans="1:15" x14ac:dyDescent="0.25">
      <c r="A1331">
        <v>2303</v>
      </c>
      <c r="B1331">
        <v>13334.407660000001</v>
      </c>
      <c r="C1331" s="1">
        <v>-3.0299999999999998E-6</v>
      </c>
      <c r="D1331">
        <v>35814.508609999997</v>
      </c>
      <c r="E1331" s="1">
        <v>-4.0899999999999998E-6</v>
      </c>
      <c r="F1331">
        <v>131960.06349999999</v>
      </c>
      <c r="G1331" s="1">
        <v>3.2795E-5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-5.2940683086299768E-2</v>
      </c>
      <c r="M1331" s="1">
        <f t="shared" si="83"/>
        <v>-2.3966982408431887E-2</v>
      </c>
      <c r="N1331" s="1">
        <f t="shared" si="84"/>
        <v>8.9916907633993667E-2</v>
      </c>
      <c r="O1331" s="1"/>
    </row>
    <row r="1332" spans="1:15" x14ac:dyDescent="0.25">
      <c r="A1332">
        <v>2304</v>
      </c>
      <c r="B1332">
        <v>13905.18849</v>
      </c>
      <c r="C1332" s="1">
        <v>-4.6999999999999999E-6</v>
      </c>
      <c r="D1332">
        <v>79390.145770000003</v>
      </c>
      <c r="E1332" s="1">
        <v>-7.9000899999999999E-7</v>
      </c>
      <c r="F1332">
        <v>303305.88540000003</v>
      </c>
      <c r="G1332" s="1">
        <v>3.7103900000000002E-5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-2.7443863406225497E-2</v>
      </c>
      <c r="M1332" s="1">
        <f t="shared" si="83"/>
        <v>-1.547114893839659E-3</v>
      </c>
      <c r="N1332" s="1">
        <f t="shared" si="84"/>
        <v>3.399803111970591E-2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3.3345E-5</v>
      </c>
      <c r="F1333">
        <v>937625.16130000004</v>
      </c>
      <c r="G1333">
        <v>5220.2201429999996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0.10670579705070768</v>
      </c>
      <c r="N1333" s="1">
        <f t="shared" si="84"/>
        <v>7816094.268314627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1.1001200000000001E-7</v>
      </c>
      <c r="F1334">
        <v>233142.41529999999</v>
      </c>
      <c r="G1334" s="1">
        <v>2.9050000000000001E-6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3.6372302080512958E-4</v>
      </c>
      <c r="N1334" s="1">
        <f t="shared" si="84"/>
        <v>4.4938704057458931E-3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-4.9115E-5</v>
      </c>
      <c r="F1335">
        <v>1005080.04</v>
      </c>
      <c r="G1335">
        <v>9591.5838239999994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-7.3196331350320082E-2</v>
      </c>
      <c r="N1335" s="1">
        <f t="shared" si="84"/>
        <v>6688198.7575591793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4.8405000000000002E-5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0.12432016699197203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 s="1">
        <v>-3.0400999999999999E-6</v>
      </c>
      <c r="F1337">
        <v>231788.44889999999</v>
      </c>
      <c r="G1337" s="1">
        <v>-1.5735000000000001E-5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-1.1012016321966502E-2</v>
      </c>
      <c r="N1337" s="1">
        <f t="shared" si="84"/>
        <v>-2.6667935893384991E-2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3.5614999999999997E-5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3.1726338681981971E-2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-3.0150100000000002E-6</v>
      </c>
      <c r="F1339">
        <v>870168.04480000003</v>
      </c>
      <c r="G1339">
        <v>2734.093343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-1.9040729306443106E-2</v>
      </c>
      <c r="N1339" s="1">
        <f t="shared" si="84"/>
        <v>8078892.6541000595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-4.7234999999999998E-5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-7.5890328496117571E-2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-3.3535000000000003E-5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-0.12210887926468338</v>
      </c>
      <c r="O1341" s="1"/>
    </row>
    <row r="1342" spans="1:15" x14ac:dyDescent="0.25">
      <c r="A1342">
        <v>2314</v>
      </c>
      <c r="B1342">
        <v>29634.996569999999</v>
      </c>
      <c r="C1342" s="1">
        <v>-1.46E-6</v>
      </c>
      <c r="D1342">
        <v>63996.1057</v>
      </c>
      <c r="E1342" s="1">
        <v>-1.9599999999999999E-6</v>
      </c>
      <c r="F1342">
        <v>248579.90830000001</v>
      </c>
      <c r="G1342" s="1">
        <v>-1.2265E-5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-3.23268158829291E-2</v>
      </c>
      <c r="M1342" s="1">
        <f t="shared" si="83"/>
        <v>-1.455490188667855E-2</v>
      </c>
      <c r="N1342" s="1">
        <f t="shared" si="84"/>
        <v>-4.2615191226576178E-2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 s="1">
        <v>4.4599000000000003E-6</v>
      </c>
      <c r="F1343">
        <v>207960.13089999999</v>
      </c>
      <c r="G1343" s="1">
        <v>-1.5905000000000001E-5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3.9041349963739674E-2</v>
      </c>
      <c r="N1343" s="1">
        <f t="shared" si="84"/>
        <v>-6.5144395243644654E-2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8.2649900000000006E-6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1.8592153488426293E-2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-2.6450000000000001E-6</v>
      </c>
      <c r="F1345">
        <v>110989.26880000001</v>
      </c>
      <c r="G1345" s="1">
        <v>-3.3195000000000003E-5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-3.4376609427620171E-2</v>
      </c>
      <c r="N1345" s="1">
        <f t="shared" si="84"/>
        <v>-0.20186160159359862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-2.6450000000000001E-6</v>
      </c>
      <c r="F1346">
        <v>137645.0215</v>
      </c>
      <c r="G1346" s="1">
        <v>4.4474000000000001E-5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-2.2239975635257259E-2</v>
      </c>
      <c r="N1346" s="1">
        <f t="shared" si="84"/>
        <v>0.17496794886153205</v>
      </c>
      <c r="O1346" s="1"/>
    </row>
    <row r="1347" spans="1:15" x14ac:dyDescent="0.25">
      <c r="A1347">
        <v>2320</v>
      </c>
      <c r="B1347">
        <v>689.85974529999999</v>
      </c>
      <c r="C1347" s="1">
        <v>0</v>
      </c>
      <c r="D1347">
        <v>20248.83035</v>
      </c>
      <c r="E1347" s="1">
        <v>-3.7299999999999999E-6</v>
      </c>
      <c r="F1347">
        <v>82697.06018</v>
      </c>
      <c r="G1347" s="1">
        <v>-1.705E-6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-1.6520886388211205E-2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-1.44501E-6</v>
      </c>
      <c r="F1348">
        <v>153538.88639999999</v>
      </c>
      <c r="G1348" s="1">
        <v>-3.5404999999999997E-5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-8.4051860672319807E-3</v>
      </c>
      <c r="N1348" s="1">
        <f t="shared" si="88"/>
        <v>-9.6357329727553787E-2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4.5700100000000001E-6</v>
      </c>
      <c r="F1349">
        <v>176308.1</v>
      </c>
      <c r="G1349" s="1">
        <v>3.2744999999999999E-5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3.0875552051393119E-2</v>
      </c>
      <c r="N1349" s="1">
        <f t="shared" si="88"/>
        <v>0.10351094035922602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7.6499400000000003E-7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4.2121279774253026E-3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2.9850100000000001E-6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2.4803856222575957E-2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-2.0825000000000001E-5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-0.12461682120609752</v>
      </c>
      <c r="O1352" s="1"/>
    </row>
    <row r="1353" spans="1:15" x14ac:dyDescent="0.25">
      <c r="A1353">
        <v>2328</v>
      </c>
      <c r="B1353">
        <v>6063.4532300000001</v>
      </c>
      <c r="C1353" s="1">
        <v>0</v>
      </c>
      <c r="D1353">
        <v>27934.044160000001</v>
      </c>
      <c r="E1353" s="1">
        <v>-3.5999999999999998E-6</v>
      </c>
      <c r="F1353">
        <v>106721.20450000001</v>
      </c>
      <c r="G1353" s="1">
        <v>-2.5490000000000002E-5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-0.23563910423826262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-2.5125000000000001E-5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-0.14184339946970065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-1.185E-5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-2.2193645679291107E-2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3.8909999999999998E-5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0.11231739018231542</v>
      </c>
      <c r="O1357" s="1"/>
    </row>
    <row r="1358" spans="1:15" x14ac:dyDescent="0.25">
      <c r="A1358">
        <v>2335</v>
      </c>
      <c r="B1358">
        <v>3452.0228729999999</v>
      </c>
      <c r="C1358" s="1">
        <v>9.9999999999999995E-8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2.0487312563315001E-3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 s="1">
        <v>-3.3000000000000002E-7</v>
      </c>
      <c r="D1359">
        <v>29253.384330000001</v>
      </c>
      <c r="E1359" s="1">
        <v>-3.4000000000000001E-6</v>
      </c>
      <c r="F1359">
        <v>76087.561809999999</v>
      </c>
      <c r="G1359" s="1">
        <v>8.0000600000000002E-7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-6.6175813612301257E-3</v>
      </c>
      <c r="M1359" s="1">
        <f t="shared" si="87"/>
        <v>-2.28669058505537E-2</v>
      </c>
      <c r="N1359" s="1">
        <f t="shared" si="88"/>
        <v>2.5174764057630367E-3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-2.8849999999999999E-6</v>
      </c>
      <c r="F1360">
        <v>89248.7978</v>
      </c>
      <c r="G1360" s="1">
        <v>-4.7250100000000004E-6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-0.11191272112836771</v>
      </c>
      <c r="N1360" s="1">
        <f t="shared" si="88"/>
        <v>-8.5759067143867176E-2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-4.9649999999999999E-6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-1.7270798837271072E-2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3.94997E-7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1.4486419419311807E-3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 s="1">
        <v>9.3490199999999999E-7</v>
      </c>
      <c r="F1363">
        <v>208834.3547</v>
      </c>
      <c r="G1363" s="1">
        <v>-1.7924999999999999E-5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2.966153735637132E-3</v>
      </c>
      <c r="N1363" s="1">
        <f t="shared" si="88"/>
        <v>-2.6609113769605671E-2</v>
      </c>
      <c r="O1363" s="1"/>
    </row>
    <row r="1364" spans="1:15" x14ac:dyDescent="0.25">
      <c r="A1364">
        <v>2341</v>
      </c>
      <c r="B1364">
        <v>14961.305120000001</v>
      </c>
      <c r="C1364" s="1">
        <v>-2.3999999999999999E-6</v>
      </c>
      <c r="D1364">
        <v>43087.212350000002</v>
      </c>
      <c r="E1364" s="1">
        <v>-4.6000100000000002E-7</v>
      </c>
      <c r="F1364">
        <v>155958.39420000001</v>
      </c>
      <c r="G1364" s="1">
        <v>-1.0254999999999999E-5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-7.1437604824325998E-2</v>
      </c>
      <c r="M1364" s="1">
        <f t="shared" si="87"/>
        <v>-4.5921657597315793E-3</v>
      </c>
      <c r="N1364" s="1">
        <f t="shared" si="88"/>
        <v>-4.7900287834803358E-2</v>
      </c>
      <c r="O1364" s="1"/>
    </row>
    <row r="1365" spans="1:15" x14ac:dyDescent="0.25">
      <c r="A1365">
        <v>2342</v>
      </c>
      <c r="B1365">
        <v>22344.64819</v>
      </c>
      <c r="C1365" s="1">
        <v>4.3100000000000002E-6</v>
      </c>
      <c r="D1365">
        <v>75113.985790000006</v>
      </c>
      <c r="E1365" s="1">
        <v>-3.7350100000000001E-6</v>
      </c>
      <c r="F1365">
        <v>204857.07629999999</v>
      </c>
      <c r="G1365" s="1">
        <v>-7.7359699999999997E-6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0.14146726058093201</v>
      </c>
      <c r="M1365" s="1">
        <f t="shared" si="87"/>
        <v>-4.1116257712454161E-2</v>
      </c>
      <c r="N1365" s="1">
        <f t="shared" si="88"/>
        <v>-3.9845590344922292E-2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2.475E-6</v>
      </c>
      <c r="F1366">
        <v>122993.5589</v>
      </c>
      <c r="G1366" s="1">
        <v>4.3544999999999997E-5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2.6891591086398058E-2</v>
      </c>
      <c r="N1366" s="1">
        <f t="shared" si="88"/>
        <v>0.22137229553041379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4.2000499999999998E-7</v>
      </c>
      <c r="F1368">
        <v>225173.36540000001</v>
      </c>
      <c r="G1368" s="1">
        <v>-1.3045E-5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3.4370560385580469E-3</v>
      </c>
      <c r="N1368" s="1">
        <f t="shared" si="88"/>
        <v>-4.9948208287439046E-2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2.4689999999999999E-5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0.14692913672810601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4.6500100000000002E-6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2.4623429035135352E-2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-6.2200099999999996E-6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-3.120892071183156E-2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-6.7999600000000005E-7</v>
      </c>
      <c r="F1372">
        <v>124898.09729999999</v>
      </c>
      <c r="G1372" s="1">
        <v>8.1300100000000008E-6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-3.9652258959575505E-3</v>
      </c>
      <c r="N1372" s="1">
        <f t="shared" si="88"/>
        <v>2.2181776939568697E-2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-1.8070000000000001E-5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-6.7802274772549215E-2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-3.5719999999999997E-5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-0.11702398717228775</v>
      </c>
      <c r="O1374" s="1"/>
    </row>
    <row r="1375" spans="1:15" x14ac:dyDescent="0.25">
      <c r="A1375">
        <v>2356</v>
      </c>
      <c r="B1375">
        <v>22582.803189999999</v>
      </c>
      <c r="C1375" s="1">
        <v>4.8799999999999999E-6</v>
      </c>
      <c r="D1375">
        <v>58794.675060000001</v>
      </c>
      <c r="E1375" s="1">
        <v>-2.88E-6</v>
      </c>
      <c r="F1375">
        <v>267964.56920000003</v>
      </c>
      <c r="G1375" s="1">
        <v>-6.8650100000000002E-6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8.1027234637791004E-2</v>
      </c>
      <c r="M1375" s="1">
        <f t="shared" si="87"/>
        <v>-1.603787484079152E-2</v>
      </c>
      <c r="N1375" s="1">
        <f t="shared" si="88"/>
        <v>-1.7887069091487937E-2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2.3159999999999998E-5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0.10249686453421025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-2.9369999999999998E-5</v>
      </c>
      <c r="F1377">
        <v>744364.68539999996</v>
      </c>
      <c r="G1377">
        <v>2929.6306129999998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-0.21750889534356987</v>
      </c>
      <c r="N1377" s="1">
        <f t="shared" si="88"/>
        <v>10151485.988109665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>
        <v>3173.06176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4537186.7684015073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>
        <v>4268.9070810000003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21332983.139752381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-4.8930000000000001E-5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-0.25285480707222352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-5.6999900000000002E-7</v>
      </c>
      <c r="F1381">
        <v>196842.7248</v>
      </c>
      <c r="G1381" s="1">
        <v>5.4200099999999996E-6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-4.2543765774530106E-3</v>
      </c>
      <c r="N1381" s="1">
        <f t="shared" si="88"/>
        <v>1.8928038088327173E-2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-3.0499900000000002E-6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-4.9229088566877882E-2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3.6849999999999999E-6</v>
      </c>
      <c r="F1383">
        <v>81407.58683</v>
      </c>
      <c r="G1383" s="1">
        <v>-3.7249999999999999E-6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8.6936342650250936E-2</v>
      </c>
      <c r="N1383" s="1">
        <f t="shared" si="88"/>
        <v>-4.1118174834704105E-2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-4.335E-6</v>
      </c>
      <c r="F1384">
        <v>264437.65159999998</v>
      </c>
      <c r="G1384">
        <v>1181.2586670000001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-6.7851596962901814E-2</v>
      </c>
      <c r="N1384" s="1">
        <f t="shared" si="88"/>
        <v>8650867.4562567361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4.7250100000000004E-6</v>
      </c>
      <c r="F1385">
        <v>507183.68890000001</v>
      </c>
      <c r="G1385">
        <v>2382.5342369999998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3.8026898091306285E-2</v>
      </c>
      <c r="N1385" s="1">
        <f t="shared" si="88"/>
        <v>8971622.6183838677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 s="1">
        <v>-4.0999999999999997E-6</v>
      </c>
      <c r="F1386">
        <v>64510.833250000003</v>
      </c>
      <c r="G1386" s="1">
        <v>3.7149900000000002E-6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-8.8691236514263791E-2</v>
      </c>
      <c r="N1386" s="1">
        <f t="shared" si="88"/>
        <v>3.7600894816836809E-2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2.6940099999999998E-6</v>
      </c>
      <c r="F1387">
        <v>750003.62589999998</v>
      </c>
      <c r="G1387">
        <v>8426.8089519999994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2.2539424994894475E-2</v>
      </c>
      <c r="N1387" s="1">
        <f t="shared" si="88"/>
        <v>32987579.901831742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>
        <v>6622.0387119999996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9895506.3481842112</v>
      </c>
      <c r="O1388" s="1"/>
    </row>
    <row r="1389" spans="1:15" x14ac:dyDescent="0.25">
      <c r="A1389">
        <v>2372</v>
      </c>
      <c r="B1389">
        <v>4378.4598100000003</v>
      </c>
      <c r="C1389" s="1">
        <v>-4.4999999999999998E-7</v>
      </c>
      <c r="D1389">
        <v>25227.25361</v>
      </c>
      <c r="E1389" s="1">
        <v>-3.1999999999999999E-6</v>
      </c>
      <c r="F1389">
        <v>442531.53220000002</v>
      </c>
      <c r="G1389">
        <v>271.10445429999999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-1.3283643542846625E-2</v>
      </c>
      <c r="M1389" s="1">
        <f t="shared" si="87"/>
        <v>-3.1680922172614721E-2</v>
      </c>
      <c r="N1389" s="1">
        <f t="shared" si="88"/>
        <v>1255822.233324833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 s="1">
        <v>1.3939900000000001E-6</v>
      </c>
      <c r="F1390">
        <v>634428.8713</v>
      </c>
      <c r="G1390">
        <v>12943.926160000001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1.4137904217683137E-2</v>
      </c>
      <c r="N1390" s="1">
        <f t="shared" si="88"/>
        <v>61423573.851819053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2.6040099999999998E-6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7.4714059044487706E-3</v>
      </c>
      <c r="O1391" s="1"/>
    </row>
    <row r="1392" spans="1:15" x14ac:dyDescent="0.25">
      <c r="A1392">
        <v>2375</v>
      </c>
      <c r="B1392">
        <v>1759.969004</v>
      </c>
      <c r="C1392" s="1">
        <v>3.9999999999999998E-7</v>
      </c>
      <c r="D1392">
        <v>7651.6452069999996</v>
      </c>
      <c r="E1392">
        <v>0</v>
      </c>
      <c r="F1392">
        <v>85065.569310000006</v>
      </c>
      <c r="G1392" s="1">
        <v>4.8940000000000001E-6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1.5308277650639999E-2</v>
      </c>
      <c r="M1392" s="1">
        <f t="shared" si="87"/>
        <v>0</v>
      </c>
      <c r="N1392" s="1">
        <f t="shared" si="88"/>
        <v>2.9391186553337233E-2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9.2000100000000001E-7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2.743909630392634E-3</v>
      </c>
      <c r="O1393" s="1"/>
    </row>
    <row r="1394" spans="1:15" x14ac:dyDescent="0.25">
      <c r="A1394">
        <v>2377</v>
      </c>
      <c r="B1394">
        <v>604.89431279999997</v>
      </c>
      <c r="C1394" s="1">
        <v>0</v>
      </c>
      <c r="D1394">
        <v>4647.2932090000004</v>
      </c>
      <c r="E1394" s="1">
        <v>-2.4999999999999999E-7</v>
      </c>
      <c r="F1394">
        <v>33594.872620000002</v>
      </c>
      <c r="G1394" s="1">
        <v>5.2999499999999998E-7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7.6157000778120099E-3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3.4065E-5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0.11982138470089089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-1.175E-6</v>
      </c>
      <c r="F1396">
        <v>239648.47330000001</v>
      </c>
      <c r="G1396">
        <v>1531.6275350000001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-1.6518339442748425E-2</v>
      </c>
      <c r="N1396" s="1">
        <f t="shared" si="88"/>
        <v>10074543.19478815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-8.7000099999999996E-7</v>
      </c>
      <c r="F1397">
        <v>584187.07339999999</v>
      </c>
      <c r="G1397">
        <v>10508.857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-4.0941048970897526E-3</v>
      </c>
      <c r="N1397" s="1">
        <f t="shared" si="88"/>
        <v>23138669.051116586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2.0150000000000002E-6</v>
      </c>
      <c r="F1398">
        <v>748807.98349999997</v>
      </c>
      <c r="G1398">
        <v>19508.505529999999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1.3006470261265404E-2</v>
      </c>
      <c r="N1398" s="1">
        <f t="shared" si="88"/>
        <v>58918554.18262805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2.2325000000000001E-5</v>
      </c>
      <c r="F1399">
        <v>843246.9497</v>
      </c>
      <c r="G1399">
        <v>2457.0389319999999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8.3285001414339643E-2</v>
      </c>
      <c r="N1399" s="1">
        <f t="shared" si="88"/>
        <v>4288753.110230267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1.9299899999999999E-6</v>
      </c>
      <c r="F1400">
        <v>608604.41159999999</v>
      </c>
      <c r="G1400">
        <v>12943.926170000001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6.9243095289427629E-3</v>
      </c>
      <c r="N1400" s="1">
        <f t="shared" si="88"/>
        <v>21728568.71941768</v>
      </c>
      <c r="O1400" s="1"/>
    </row>
    <row r="1401" spans="1:15" x14ac:dyDescent="0.25">
      <c r="A1401">
        <v>2386</v>
      </c>
      <c r="B1401">
        <v>4390.7856879999999</v>
      </c>
      <c r="C1401" s="1">
        <v>-3.9999999999999998E-7</v>
      </c>
      <c r="D1401">
        <v>40049.552819999997</v>
      </c>
      <c r="E1401" s="1">
        <v>-3.4699999999999998E-6</v>
      </c>
      <c r="F1401">
        <v>156986.27429999999</v>
      </c>
      <c r="G1401" s="1">
        <v>2.2894000000000001E-5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-4.4282285751990006E-3</v>
      </c>
      <c r="M1401" s="1">
        <f t="shared" si="87"/>
        <v>-1.288376072305783E-2</v>
      </c>
      <c r="N1401" s="1">
        <f t="shared" si="88"/>
        <v>3.9772100884853091E-2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-3.6269999999999997E-5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-0.19765798768719547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-2.745E-6</v>
      </c>
      <c r="F1403">
        <v>655484.62080000003</v>
      </c>
      <c r="G1403">
        <v>5466.8662320000003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-3.5718709250372849E-2</v>
      </c>
      <c r="N1403" s="1">
        <f t="shared" si="88"/>
        <v>33284001.530809838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5.6000099999999996E-7</v>
      </c>
      <c r="F1404">
        <v>245420.86420000001</v>
      </c>
      <c r="G1404" s="1">
        <v>-4.1250000000000003E-6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2.3580164463410632E-3</v>
      </c>
      <c r="N1404" s="1">
        <f t="shared" si="88"/>
        <v>-8.1269138936007016E-3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5.64501E-6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1.3210586913604267E-2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4.0544999999999999E-5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0.15923283668006993</v>
      </c>
      <c r="O1406" s="1"/>
    </row>
    <row r="1407" spans="1:15" x14ac:dyDescent="0.25">
      <c r="A1407">
        <v>2394</v>
      </c>
      <c r="B1407">
        <v>17133.586050000002</v>
      </c>
      <c r="C1407" s="1">
        <v>4.3000000000000003E-6</v>
      </c>
      <c r="D1407">
        <v>56987.222540000002</v>
      </c>
      <c r="E1407" s="1">
        <v>-2.12E-6</v>
      </c>
      <c r="F1407">
        <v>226056.63089999999</v>
      </c>
      <c r="G1407" s="1">
        <v>-1.2165E-5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9.8265644045764003E-2</v>
      </c>
      <c r="M1407" s="1">
        <f t="shared" si="87"/>
        <v>-1.6248461557134272E-2</v>
      </c>
      <c r="N1407" s="1">
        <f t="shared" si="88"/>
        <v>-4.3624672308159335E-2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-3.0999900000000002E-7</v>
      </c>
      <c r="F1408">
        <v>412292.49430000002</v>
      </c>
      <c r="G1408">
        <v>1036.5783309999999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-1.6859469133069915E-3</v>
      </c>
      <c r="N1408" s="1">
        <f t="shared" si="88"/>
        <v>2637724.3393613938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-1.6899900000000001E-6</v>
      </c>
      <c r="F1409">
        <v>151285.07070000001</v>
      </c>
      <c r="G1409" s="1">
        <v>-3.4724999999999997E-5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-6.1294817680643118E-3</v>
      </c>
      <c r="N1409" s="1">
        <f t="shared" si="88"/>
        <v>-5.892852291562712E-2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-2.1525000000000001E-5</v>
      </c>
      <c r="F1410">
        <v>592683.04209999996</v>
      </c>
      <c r="G1410">
        <v>128.0188502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-8.7645293457742079E-2</v>
      </c>
      <c r="N1410" s="1">
        <f t="shared" si="88"/>
        <v>243895.0801346793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-3.5884999999999999E-5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-0.15222799350534946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2.1999600000000001E-7</v>
      </c>
      <c r="F1412">
        <v>695204.60900000005</v>
      </c>
      <c r="G1412">
        <v>15364.905049999999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1.3035454329622122E-3</v>
      </c>
      <c r="N1412" s="1">
        <f t="shared" si="92"/>
        <v>42597581.928391285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-9.6000400000000002E-7</v>
      </c>
      <c r="F1413">
        <v>722706.59920000006</v>
      </c>
      <c r="G1413">
        <v>5877.3039859999999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-1.2933220788551898E-2</v>
      </c>
      <c r="N1413" s="1">
        <f t="shared" si="92"/>
        <v>37047207.780279897</v>
      </c>
      <c r="O1413" s="1"/>
    </row>
    <row r="1414" spans="1:15" x14ac:dyDescent="0.25">
      <c r="A1414">
        <v>2502</v>
      </c>
      <c r="B1414">
        <v>9532.2052949999998</v>
      </c>
      <c r="C1414" s="1">
        <v>-9.9999999999999995E-8</v>
      </c>
      <c r="D1414">
        <v>62639.071960000001</v>
      </c>
      <c r="E1414" s="1">
        <v>-1.9599999999999999E-6</v>
      </c>
      <c r="F1414">
        <v>592986.01159999997</v>
      </c>
      <c r="G1414">
        <v>14379.4035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-1.9173019137935002E-3</v>
      </c>
      <c r="M1414" s="1">
        <f t="shared" si="91"/>
        <v>-1.2603457872702872E-2</v>
      </c>
      <c r="N1414" s="1">
        <f t="shared" si="92"/>
        <v>43263155.395006359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>
        <v>6366.7240300000003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5556798.9708985742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>
        <v>1036.5783590000001</v>
      </c>
      <c r="F1416">
        <v>983702.91399999999</v>
      </c>
      <c r="G1416">
        <v>10640.20372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3395006.1572704474</v>
      </c>
      <c r="N1416" s="1">
        <f t="shared" si="92"/>
        <v>16305422.249340944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2.7500100000000002E-6</v>
      </c>
      <c r="F1417">
        <v>759028.58629999997</v>
      </c>
      <c r="G1417">
        <v>7401.3546980000001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1.8940320176426551E-2</v>
      </c>
      <c r="N1417" s="1">
        <f t="shared" si="92"/>
        <v>23851073.948356155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>
        <v>5362.618931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19331626.029124275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4.0979999999999997E-5</v>
      </c>
      <c r="F1419">
        <v>832306.12659999996</v>
      </c>
      <c r="G1419">
        <v>8839.6705660000007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0.14545856208943622</v>
      </c>
      <c r="N1419" s="1">
        <f t="shared" si="92"/>
        <v>14680711.168931887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>
        <v>1322.279258</v>
      </c>
      <c r="F1420">
        <v>1046873.117</v>
      </c>
      <c r="G1420">
        <v>6899.737263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4631908.786014053</v>
      </c>
      <c r="N1420" s="1">
        <f t="shared" si="92"/>
        <v>11308709.412678288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-1.1599900000000001E-6</v>
      </c>
      <c r="F1421">
        <v>930540.84970000002</v>
      </c>
      <c r="G1421">
        <v>8080.2632009999998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-5.2860877790229374E-3</v>
      </c>
      <c r="N1421" s="1">
        <f t="shared" si="92"/>
        <v>17228573.138307169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3.8040000000000002E-5</v>
      </c>
      <c r="F1422">
        <v>922266.57330000005</v>
      </c>
      <c r="G1422">
        <v>500.1995392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0.2383109019828836</v>
      </c>
      <c r="N1422" s="1">
        <f t="shared" si="92"/>
        <v>1466190.3865720562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>
        <v>844.67319210000005</v>
      </c>
      <c r="F1423">
        <v>1194168.173</v>
      </c>
      <c r="G1423">
        <v>8228.2425299999995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1964161.4458491907</v>
      </c>
      <c r="N1423" s="1">
        <f t="shared" si="92"/>
        <v>8952394.9484881293</v>
      </c>
      <c r="O1423" s="1"/>
    </row>
    <row r="1424" spans="1:15" x14ac:dyDescent="0.25">
      <c r="A1424">
        <v>2512</v>
      </c>
      <c r="B1424">
        <v>9873.8320629999998</v>
      </c>
      <c r="C1424" s="1">
        <v>0</v>
      </c>
      <c r="D1424">
        <v>77392.166870000001</v>
      </c>
      <c r="E1424" s="1">
        <v>-4.5600000000000004E-6</v>
      </c>
      <c r="F1424">
        <v>812920.58259999997</v>
      </c>
      <c r="G1424">
        <v>4030.7689180000002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7373280.8162828013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8.4000900000000004E-7</v>
      </c>
      <c r="F1425">
        <v>817784.63029999996</v>
      </c>
      <c r="G1425">
        <v>4701.2641970000004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3.9055098734748009E-3</v>
      </c>
      <c r="N1425" s="1">
        <f t="shared" si="92"/>
        <v>10227091.392774083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>
        <v>327.68137849999999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520332.86676280579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>
        <v>11030.52634</v>
      </c>
      <c r="F1427">
        <v>1102505.2919999999</v>
      </c>
      <c r="G1427">
        <v>2507.678829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18716864.001293708</v>
      </c>
      <c r="N1427" s="1">
        <f t="shared" si="92"/>
        <v>1990913.7239026432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6.1000200000000004E-7</v>
      </c>
      <c r="F1428">
        <v>683553.25719999999</v>
      </c>
      <c r="G1428">
        <v>2145.892781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3.7282859161288317E-3</v>
      </c>
      <c r="N1428" s="1">
        <f t="shared" si="92"/>
        <v>6136625.8940400286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-1.5988E-5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-3.3303515373191844E-2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4.3999200000000001E-7</v>
      </c>
      <c r="F1430">
        <v>519274.24170000001</v>
      </c>
      <c r="G1430">
        <v>11306.312379999999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2.3982686885141119E-3</v>
      </c>
      <c r="N1430" s="1">
        <f t="shared" si="92"/>
        <v>28834851.274593376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8.4000199999999995E-7</v>
      </c>
      <c r="F1431">
        <v>709075.16229999997</v>
      </c>
      <c r="G1431" s="1">
        <v>4.4511999999999997E-5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4.6510713770792902E-3</v>
      </c>
      <c r="N1431" s="1">
        <f t="shared" si="92"/>
        <v>0.11531703589832237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>
        <v>10213.62501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52527699.875521421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9.2000100000000001E-7</v>
      </c>
      <c r="F1433">
        <v>658738.56240000005</v>
      </c>
      <c r="G1433">
        <v>4799.8583120000003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9.8512409178023036E-3</v>
      </c>
      <c r="N1433" s="1">
        <f t="shared" si="92"/>
        <v>24047765.950715341</v>
      </c>
      <c r="O1433" s="1"/>
    </row>
    <row r="1434" spans="1:15" x14ac:dyDescent="0.25">
      <c r="A1434">
        <v>2522</v>
      </c>
      <c r="B1434">
        <v>8756.6526049999993</v>
      </c>
      <c r="C1434" s="1">
        <v>-4.9999999999999998E-7</v>
      </c>
      <c r="D1434">
        <v>64395.104780000001</v>
      </c>
      <c r="E1434" s="1">
        <v>3.32E-6</v>
      </c>
      <c r="F1434">
        <v>562069.15560000006</v>
      </c>
      <c r="G1434">
        <v>10808.03393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-1.100621938576875E-2</v>
      </c>
      <c r="M1434" s="1">
        <f t="shared" si="91"/>
        <v>2.4510342592750738E-2</v>
      </c>
      <c r="N1434" s="1">
        <f t="shared" si="92"/>
        <v>37333755.204203278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>
        <v>6103.2517939999998</v>
      </c>
      <c r="F1435">
        <v>931812.69299999997</v>
      </c>
      <c r="G1435">
        <v>2989.376076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42217411.399767011</v>
      </c>
      <c r="N1435" s="1">
        <f t="shared" si="92"/>
        <v>9675079.579216009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-1.487E-5</v>
      </c>
      <c r="F1436">
        <v>834132.72679999995</v>
      </c>
      <c r="G1436">
        <v>5408.6184039999998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-0.18338629556580097</v>
      </c>
      <c r="N1436" s="1">
        <f t="shared" si="92"/>
        <v>31209436.618996017</v>
      </c>
      <c r="O1436" s="1"/>
    </row>
    <row r="1437" spans="1:15" x14ac:dyDescent="0.25">
      <c r="A1437">
        <v>2525</v>
      </c>
      <c r="B1437">
        <v>7148.1812389999996</v>
      </c>
      <c r="C1437" s="1">
        <v>9.9999999999999995E-8</v>
      </c>
      <c r="D1437">
        <v>100899.8956</v>
      </c>
      <c r="E1437" s="1">
        <v>1.7229999999999999E-5</v>
      </c>
      <c r="F1437">
        <v>692557.83129999996</v>
      </c>
      <c r="G1437">
        <v>706.46611800000005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2.0738134057614998E-3</v>
      </c>
      <c r="M1437" s="1">
        <f t="shared" si="91"/>
        <v>0.11983897670641538</v>
      </c>
      <c r="N1437" s="1">
        <f t="shared" si="92"/>
        <v>2299046.8989987378</v>
      </c>
      <c r="O1437" s="1"/>
    </row>
    <row r="1438" spans="1:15" x14ac:dyDescent="0.25">
      <c r="A1438">
        <v>2526</v>
      </c>
      <c r="B1438">
        <v>11670.531660000001</v>
      </c>
      <c r="C1438" s="1">
        <v>1.5E-6</v>
      </c>
      <c r="D1438">
        <v>61100.532700000003</v>
      </c>
      <c r="E1438" s="1">
        <v>4.2999499999999998E-7</v>
      </c>
      <c r="F1438">
        <v>444762.88170000003</v>
      </c>
      <c r="G1438">
        <v>2708.4880779999999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4.836356584824375E-2</v>
      </c>
      <c r="M1438" s="1">
        <f t="shared" si="91"/>
        <v>4.6497927654641988E-3</v>
      </c>
      <c r="N1438" s="1">
        <f t="shared" si="92"/>
        <v>13703793.265613012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5.1999800000000005E-7</v>
      </c>
      <c r="F1439">
        <v>157449.26730000001</v>
      </c>
      <c r="G1439" s="1">
        <v>8.2899899999999995E-6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6.9226817853150994E-3</v>
      </c>
      <c r="N1439" s="1">
        <f t="shared" si="92"/>
        <v>5.1638115006258492E-2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>
        <v>143.08559779999999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287520.9857856335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-3.1600100000000001E-6</v>
      </c>
      <c r="F1441">
        <v>830276.27040000004</v>
      </c>
      <c r="G1441">
        <v>2851.2018090000001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-6.6037619062459148E-3</v>
      </c>
      <c r="N1441" s="1">
        <f t="shared" si="92"/>
        <v>2787883.2707153955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>
        <v>3968.815165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6655521.6822047522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>
        <v>9787.8659179999995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25673245.992521606</v>
      </c>
      <c r="O1443" s="1"/>
    </row>
    <row r="1444" spans="1:15" x14ac:dyDescent="0.25">
      <c r="A1444">
        <v>2532</v>
      </c>
      <c r="B1444">
        <v>6763.2129850000001</v>
      </c>
      <c r="C1444" s="1">
        <v>-2.8000000000000002E-7</v>
      </c>
      <c r="D1444">
        <v>57342.011169999998</v>
      </c>
      <c r="E1444" s="1">
        <v>4.8000200000000001E-7</v>
      </c>
      <c r="F1444">
        <v>484864.93770000001</v>
      </c>
      <c r="G1444">
        <v>9437.497077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-3.7646309881908002E-3</v>
      </c>
      <c r="M1444" s="1">
        <f t="shared" si="91"/>
        <v>2.1644649889197595E-3</v>
      </c>
      <c r="N1444" s="1">
        <f t="shared" si="92"/>
        <v>19911685.618667573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2.7370000000000001E-5</v>
      </c>
      <c r="F1445">
        <v>963188.60649999999</v>
      </c>
      <c r="G1445">
        <v>1358.07116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8.7710520279032519E-2</v>
      </c>
      <c r="N1445" s="1">
        <f t="shared" si="92"/>
        <v>2036306.2514026307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>
        <v>9437.4970350000003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17588448.760057695</v>
      </c>
      <c r="O1446" s="1"/>
    </row>
    <row r="1447" spans="1:15" x14ac:dyDescent="0.25">
      <c r="A1447">
        <v>2535</v>
      </c>
      <c r="B1447">
        <v>22150.09114</v>
      </c>
      <c r="C1447" s="1">
        <v>-4.7999999999999996E-7</v>
      </c>
      <c r="D1447">
        <v>134670.50529999999</v>
      </c>
      <c r="E1447" s="1">
        <v>-2.883E-5</v>
      </c>
      <c r="F1447">
        <v>913767.14439999999</v>
      </c>
      <c r="G1447">
        <v>2405.3029820000002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-3.9884351013311998E-3</v>
      </c>
      <c r="M1447" s="1">
        <f t="shared" si="91"/>
        <v>-8.0343190082565741E-2</v>
      </c>
      <c r="N1447" s="1">
        <f t="shared" si="92"/>
        <v>3136302.1601283071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>
        <v>1772.5316800000001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4035541.5446033189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 s="1">
        <v>2.0700000000000001E-6</v>
      </c>
      <c r="F1449">
        <v>642830.53449999995</v>
      </c>
      <c r="G1449">
        <v>1681.013543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5.8441415594139186E-3</v>
      </c>
      <c r="N1449" s="1">
        <f t="shared" si="92"/>
        <v>2220574.1104364702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2.5599900000000002E-6</v>
      </c>
      <c r="F1450">
        <v>674898.61699999997</v>
      </c>
      <c r="G1450">
        <v>1252.130461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8.2751096668420825E-3</v>
      </c>
      <c r="N1450" s="1">
        <f t="shared" si="92"/>
        <v>1893776.6097939359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>
        <v>2702.9088470000002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2467922.094818606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>
        <v>7845.1862579999997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8794982.2443730757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-4.2135000000000002E-5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-7.8336915175345537E-2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-5.5999399999999998E-7</v>
      </c>
      <c r="F1454">
        <v>258009.1476</v>
      </c>
      <c r="G1454" s="1">
        <v>1.464E-5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-2.9774002768192631E-3</v>
      </c>
      <c r="N1454" s="1">
        <f t="shared" si="92"/>
        <v>3.6419887963483999E-2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-1.7699899999999999E-6</v>
      </c>
      <c r="F1455">
        <v>812017.7378</v>
      </c>
      <c r="G1455">
        <v>7086.225907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-6.2944579368050873E-3</v>
      </c>
      <c r="N1455" s="1">
        <f t="shared" si="92"/>
        <v>11790879.32450253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9.8750199999999992E-6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2.1991528643032939E-2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-1.11001E-6</v>
      </c>
      <c r="F1457">
        <v>293182.32209999999</v>
      </c>
      <c r="G1457">
        <v>1036.5783289999999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-6.5415862471300016E-3</v>
      </c>
      <c r="N1457" s="1">
        <f t="shared" si="92"/>
        <v>2858261.6587223844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-3.0470000000000001E-5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-7.6404971306037503E-2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2.1209999999999999E-5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3.1436920769820555E-2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1.9349999999999999E-5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7.0015260278226285E-2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5.4799900000000002E-6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2.3933956401641598E-2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-2.9699900000000001E-6</v>
      </c>
      <c r="F1462">
        <v>272646.63929999998</v>
      </c>
      <c r="G1462">
        <v>1036.578368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-1.067587434546876E-2</v>
      </c>
      <c r="N1462" s="1">
        <f t="shared" si="92"/>
        <v>1743388.9383124691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>
        <v>9437.4970410000005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22622967.460275307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4.036E-5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0.12166105946337183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1.029E-5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4.9720097501233053E-2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>
        <v>2784.3098749999999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10861600.402476262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-3.366E-5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-8.4731679038012889E-2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4.7379999999999997E-5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0.20347265025764902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 s="1">
        <v>3.32999E-6</v>
      </c>
      <c r="F1469">
        <v>384662.80570000003</v>
      </c>
      <c r="G1469">
        <v>4204.4295769999999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9.4853908035811996E-3</v>
      </c>
      <c r="N1469" s="1">
        <f t="shared" si="92"/>
        <v>5603547.532054496</v>
      </c>
      <c r="O1469" s="1"/>
    </row>
    <row r="1470" spans="1:15" x14ac:dyDescent="0.25">
      <c r="A1470">
        <v>2600</v>
      </c>
      <c r="B1470">
        <v>14192.98927</v>
      </c>
      <c r="C1470" s="1">
        <v>3.4999999999999999E-6</v>
      </c>
      <c r="D1470">
        <v>51701.863140000001</v>
      </c>
      <c r="E1470" s="1">
        <v>4.9400000000000001E-6</v>
      </c>
      <c r="F1470">
        <v>421192.19770000002</v>
      </c>
      <c r="G1470">
        <v>1324.3442669999999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7.0213827051777505E-2</v>
      </c>
      <c r="M1470" s="1">
        <f t="shared" si="91"/>
        <v>3.3237219616967136E-2</v>
      </c>
      <c r="N1470" s="1">
        <f t="shared" si="92"/>
        <v>4169099.995892487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>
        <v>843.51930600000003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1905559.0819803909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>
        <v>14438.49718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49623079.859244727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 s="1">
        <v>-4.3399599999999997E-6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-1.3585608904598725E-2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>
        <v>6981.2996309999999</v>
      </c>
      <c r="F1474">
        <v>979885.30460000003</v>
      </c>
      <c r="G1474">
        <v>5134.3771360000001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18228209.883576155</v>
      </c>
      <c r="N1474" s="1">
        <f t="shared" si="92"/>
        <v>6272478.5743670603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1.3910000000000001E-5</v>
      </c>
      <c r="F1475">
        <v>840665.19140000001</v>
      </c>
      <c r="G1475">
        <v>2827.3233970000001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5.4621663082327201E-2</v>
      </c>
      <c r="N1475" s="1">
        <f t="shared" ref="N1475:N1538" si="96">$U$4*$K1475*G1475</f>
        <v>5194657.9299437786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>
        <v>6261.9027560000004</v>
      </c>
      <c r="F1476">
        <v>1011263.6580000001</v>
      </c>
      <c r="G1476">
        <v>5381.428887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12714344.559161799</v>
      </c>
      <c r="N1476" s="1">
        <f t="shared" si="96"/>
        <v>5112448.4446380492</v>
      </c>
      <c r="O1476" s="1"/>
    </row>
    <row r="1477" spans="1:15" x14ac:dyDescent="0.25">
      <c r="A1477">
        <v>2607</v>
      </c>
      <c r="B1477">
        <v>15424.37766</v>
      </c>
      <c r="C1477" s="1">
        <v>-3.2899999999999998E-6</v>
      </c>
      <c r="D1477">
        <v>63214.765350000001</v>
      </c>
      <c r="E1477" s="1">
        <v>-4.5600000000000004E-6</v>
      </c>
      <c r="F1477">
        <v>683082.11040000001</v>
      </c>
      <c r="G1477">
        <v>4990.8065049999996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-3.6869908796664123E-2</v>
      </c>
      <c r="M1477" s="1">
        <f t="shared" si="95"/>
        <v>-1.713894736337988E-2</v>
      </c>
      <c r="N1477" s="1">
        <f t="shared" si="96"/>
        <v>8776749.6971882619</v>
      </c>
      <c r="O1477" s="1"/>
    </row>
    <row r="1478" spans="1:15" x14ac:dyDescent="0.25">
      <c r="A1478">
        <v>2608</v>
      </c>
      <c r="B1478">
        <v>30223.917170000001</v>
      </c>
      <c r="C1478" s="1">
        <v>3.9099999999999998E-6</v>
      </c>
      <c r="D1478">
        <v>400220.60680000001</v>
      </c>
      <c r="E1478">
        <v>8638.8610279999994</v>
      </c>
      <c r="F1478">
        <v>983047.76919999998</v>
      </c>
      <c r="G1478">
        <v>4347.2654540000003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1.9725986382364277E-2</v>
      </c>
      <c r="M1478" s="1">
        <f t="shared" si="95"/>
        <v>14617112.724551432</v>
      </c>
      <c r="N1478" s="1">
        <f t="shared" si="96"/>
        <v>3441636.0861321739</v>
      </c>
      <c r="O1478" s="1"/>
    </row>
    <row r="1479" spans="1:15" x14ac:dyDescent="0.25">
      <c r="A1479">
        <v>2609</v>
      </c>
      <c r="B1479">
        <v>8840.2381129999994</v>
      </c>
      <c r="C1479" s="1">
        <v>3.9999999999999998E-7</v>
      </c>
      <c r="D1479">
        <v>57115.294110000003</v>
      </c>
      <c r="E1479" s="1">
        <v>-4.5500100000000003E-6</v>
      </c>
      <c r="F1479">
        <v>601949.51899999997</v>
      </c>
      <c r="G1479">
        <v>12587.846240000001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9.7015714623490002E-3</v>
      </c>
      <c r="M1479" s="1">
        <f t="shared" si="95"/>
        <v>-3.7011576472806777E-2</v>
      </c>
      <c r="N1479" s="1">
        <f t="shared" si="96"/>
        <v>47909356.789042152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9.9999299999999997E-7</v>
      </c>
      <c r="F1480">
        <v>748139.4068</v>
      </c>
      <c r="G1480">
        <v>4333.8819540000004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5.7472022022195691E-3</v>
      </c>
      <c r="N1480" s="1">
        <f t="shared" si="96"/>
        <v>11654141.133296292</v>
      </c>
      <c r="O1480" s="1"/>
    </row>
    <row r="1481" spans="1:15" x14ac:dyDescent="0.25">
      <c r="A1481">
        <v>2611</v>
      </c>
      <c r="B1481">
        <v>10002.34866</v>
      </c>
      <c r="C1481" s="1">
        <v>-4.4000000000000002E-6</v>
      </c>
      <c r="D1481">
        <v>38730.426979999997</v>
      </c>
      <c r="E1481" s="1">
        <v>7.4000100000000004E-7</v>
      </c>
      <c r="F1481">
        <v>218933.10550000001</v>
      </c>
      <c r="G1481">
        <v>1036.5783610000001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-3.7291311445674005E-2</v>
      </c>
      <c r="M1481" s="1">
        <f t="shared" si="95"/>
        <v>2.103441430741967E-3</v>
      </c>
      <c r="N1481" s="1">
        <f t="shared" si="96"/>
        <v>1378617.9660089249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>
        <v>696.36620449999998</v>
      </c>
      <c r="F1482">
        <v>937820.60179999995</v>
      </c>
      <c r="G1482">
        <v>626.17159860000004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3001101.1444749255</v>
      </c>
      <c r="N1482" s="1">
        <f t="shared" si="96"/>
        <v>1262641.2976401185</v>
      </c>
      <c r="O1482" s="1"/>
    </row>
    <row r="1483" spans="1:15" x14ac:dyDescent="0.25">
      <c r="A1483">
        <v>2613</v>
      </c>
      <c r="B1483">
        <v>20821.610349999999</v>
      </c>
      <c r="C1483" s="1">
        <v>-8.9999999999999996E-7</v>
      </c>
      <c r="D1483">
        <v>67682.711649999997</v>
      </c>
      <c r="E1483" s="1">
        <v>1.6100099999999999E-6</v>
      </c>
      <c r="F1483">
        <v>754201.09920000006</v>
      </c>
      <c r="G1483">
        <v>4006.1742899999999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-1.7476499676285E-2</v>
      </c>
      <c r="M1483" s="1">
        <f t="shared" si="95"/>
        <v>1.0485367444703938E-2</v>
      </c>
      <c r="N1483" s="1">
        <f t="shared" si="96"/>
        <v>12207552.436918432</v>
      </c>
      <c r="O1483" s="1"/>
    </row>
    <row r="1484" spans="1:15" x14ac:dyDescent="0.25">
      <c r="A1484">
        <v>2614</v>
      </c>
      <c r="B1484">
        <v>22715.506420000002</v>
      </c>
      <c r="C1484" s="1">
        <v>-2.3E-6</v>
      </c>
      <c r="D1484">
        <v>320494.9179</v>
      </c>
      <c r="E1484">
        <v>7014.9328130000004</v>
      </c>
      <c r="F1484">
        <v>962087.60549999995</v>
      </c>
      <c r="G1484">
        <v>1883.6561079999999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-2.6746189512038752E-2</v>
      </c>
      <c r="M1484" s="1">
        <f t="shared" si="95"/>
        <v>27359032.434713263</v>
      </c>
      <c r="N1484" s="1">
        <f t="shared" si="96"/>
        <v>3437340.1809283528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-4.7999500000000003E-7</v>
      </c>
      <c r="F1486">
        <v>650085.27049999998</v>
      </c>
      <c r="G1486">
        <v>5323.1051010000001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-4.1544858386491331E-3</v>
      </c>
      <c r="N1486" s="1">
        <f t="shared" si="96"/>
        <v>21557047.99958292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-1.859E-5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-0.13392633315433086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>
        <v>14600.281269999999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58685688.406124599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4.155E-5</v>
      </c>
      <c r="F1489">
        <v>722388.48389999999</v>
      </c>
      <c r="G1489">
        <v>2564.022058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0.33330572002978753</v>
      </c>
      <c r="N1489" s="1">
        <f t="shared" si="96"/>
        <v>9623591.3686199524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>
        <v>291.6190292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625562.62524069787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>
        <v>7322.4005639999996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23881083.323677026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>
        <v>9731.4225929999993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39779791.818134703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>
        <v>7014.9328159999995</v>
      </c>
      <c r="F1493">
        <v>947794.16040000005</v>
      </c>
      <c r="G1493">
        <v>1883.656152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35850140.969263822</v>
      </c>
      <c r="N1493" s="1">
        <f t="shared" si="96"/>
        <v>4504148.0602592761</v>
      </c>
      <c r="O1493" s="1"/>
    </row>
    <row r="1494" spans="1:15" x14ac:dyDescent="0.25">
      <c r="A1494">
        <v>2628</v>
      </c>
      <c r="B1494">
        <v>14772.7618</v>
      </c>
      <c r="C1494" s="1">
        <v>4.5000000000000001E-6</v>
      </c>
      <c r="D1494">
        <v>65434.05214</v>
      </c>
      <c r="E1494" s="1">
        <v>-2.1799999999999999E-6</v>
      </c>
      <c r="F1494">
        <v>707657.99789999996</v>
      </c>
      <c r="G1494">
        <v>3739.2186350000002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8.6089555130084996E-2</v>
      </c>
      <c r="M1494" s="1">
        <f t="shared" si="95"/>
        <v>-1.3987418864964648E-2</v>
      </c>
      <c r="N1494" s="1">
        <f t="shared" si="96"/>
        <v>11225498.194793135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>
        <v>1036.5783369999999</v>
      </c>
      <c r="F1495">
        <v>880748.20149999997</v>
      </c>
      <c r="G1495">
        <v>1238.9806100000001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7162585.6427824982</v>
      </c>
      <c r="N1495" s="1">
        <f t="shared" si="96"/>
        <v>4005676.6355473991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>
        <v>350.36877170000002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1402017.0779268497</v>
      </c>
      <c r="O1496" s="1"/>
    </row>
    <row r="1497" spans="1:15" x14ac:dyDescent="0.25">
      <c r="A1497">
        <v>2631</v>
      </c>
      <c r="B1497">
        <v>15889.754300000001</v>
      </c>
      <c r="C1497" s="1">
        <v>-2.39E-6</v>
      </c>
      <c r="D1497">
        <v>109990.99619999999</v>
      </c>
      <c r="E1497" s="1">
        <v>3.9619999999999997E-5</v>
      </c>
      <c r="F1497">
        <v>743836.89450000005</v>
      </c>
      <c r="G1497">
        <v>11145.34843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-4.7432628657217056E-2</v>
      </c>
      <c r="M1497" s="1">
        <f t="shared" si="95"/>
        <v>0.26371625550883088</v>
      </c>
      <c r="N1497" s="1">
        <f t="shared" si="96"/>
        <v>34710411.123411447</v>
      </c>
      <c r="O1497" s="1"/>
    </row>
    <row r="1498" spans="1:15" x14ac:dyDescent="0.25">
      <c r="A1498">
        <v>2632</v>
      </c>
      <c r="B1498">
        <v>955.03515000000004</v>
      </c>
      <c r="C1498" s="1">
        <v>1E-8</v>
      </c>
      <c r="D1498">
        <v>6031.5395390000003</v>
      </c>
      <c r="E1498" s="1">
        <v>-2.90001E-7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2.8010915712812503E-4</v>
      </c>
      <c r="M1498" s="1">
        <f t="shared" si="95"/>
        <v>-2.7243941503748178E-3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-8.8999900000000003E-7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-3.8695159263503059E-3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>
        <v>5521.5383959999999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15211032.237738587</v>
      </c>
      <c r="O1500" s="1"/>
    </row>
    <row r="1501" spans="1:15" x14ac:dyDescent="0.25">
      <c r="A1501">
        <v>2637</v>
      </c>
      <c r="B1501">
        <v>4858.5672619999996</v>
      </c>
      <c r="C1501" s="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3.3999800000000002E-7</v>
      </c>
      <c r="F1502">
        <v>276552.37170000002</v>
      </c>
      <c r="G1502">
        <v>271.10445929999997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1.0909204361287338E-3</v>
      </c>
      <c r="N1502" s="1">
        <f t="shared" si="96"/>
        <v>407002.47896158771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-3.7530000000000002E-5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-0.14769410738992592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-8.9996299999999997E-8</v>
      </c>
      <c r="F1504">
        <v>147273.20129999999</v>
      </c>
      <c r="G1504" s="1">
        <v>-2.5740000000000001E-5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-1.2894375023877202E-3</v>
      </c>
      <c r="N1504" s="1">
        <f t="shared" si="96"/>
        <v>-0.1725551252157447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3.7699900000000001E-6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1.813402862182242E-2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1.6100099999999999E-6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1.4213200086845576E-2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-2.6149999999999999E-5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-0.10201961150828923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-3.0999900000000002E-7</v>
      </c>
      <c r="F1509">
        <v>273979.99609999999</v>
      </c>
      <c r="G1509">
        <v>3405.2382010000001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-2.2374170796406936E-3</v>
      </c>
      <c r="N1509" s="1">
        <f t="shared" si="96"/>
        <v>11499470.171989599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1.502E-5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4.9980788240085866E-2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-2.8500100000000001E-6</v>
      </c>
      <c r="F1511">
        <v>688158.57629999996</v>
      </c>
      <c r="G1511">
        <v>13214.667579999999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-2.1381802997107947E-2</v>
      </c>
      <c r="N1511" s="1">
        <f t="shared" si="96"/>
        <v>46387168.196510404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>
        <v>16619.017749999999</v>
      </c>
      <c r="F1512">
        <v>1076702.3910000001</v>
      </c>
      <c r="G1512">
        <v>4848.8841949999996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74010053.213032514</v>
      </c>
      <c r="N1512" s="1">
        <f t="shared" si="96"/>
        <v>10103476.950159771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>
        <v>6261.9027249999999</v>
      </c>
      <c r="F1513">
        <v>1000574.583</v>
      </c>
      <c r="G1513">
        <v>5381.429247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20516440.770023089</v>
      </c>
      <c r="N1513" s="1">
        <f t="shared" si="96"/>
        <v>8249678.3654207913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2.5709999999999999E-5</v>
      </c>
      <c r="F1514">
        <v>755375.74580000003</v>
      </c>
      <c r="G1514">
        <v>2633.1152200000001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0.15950794233551704</v>
      </c>
      <c r="N1514" s="1">
        <f t="shared" si="96"/>
        <v>7643526.5342800785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>
        <v>8478.2499169999992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42910713.626272455</v>
      </c>
      <c r="O1515" s="1"/>
    </row>
    <row r="1516" spans="1:15" x14ac:dyDescent="0.25">
      <c r="A1516">
        <v>2656</v>
      </c>
      <c r="B1516">
        <v>6972.6067750000002</v>
      </c>
      <c r="C1516" s="1">
        <v>-2.8999999999999998E-7</v>
      </c>
      <c r="D1516">
        <v>51182.243990000003</v>
      </c>
      <c r="E1516" s="1">
        <v>-3.89E-6</v>
      </c>
      <c r="F1516">
        <v>484597.30680000002</v>
      </c>
      <c r="G1516">
        <v>7604.494839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-3.9086906944585499E-3</v>
      </c>
      <c r="M1516" s="1">
        <f t="shared" si="95"/>
        <v>-1.7584338900343444E-2</v>
      </c>
      <c r="N1516" s="1">
        <f t="shared" si="96"/>
        <v>16083867.680383297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>
        <v>13186.27312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41023101.234799176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2.5400100000000001E-6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1.0312549945694405E-2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 s="1">
        <v>1.31E-6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1.4820854923148368E-2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 s="1">
        <v>-2.9999999999999999E-7</v>
      </c>
      <c r="D1520">
        <v>23400.09259</v>
      </c>
      <c r="E1520" s="1">
        <v>2.3099999999999999E-6</v>
      </c>
      <c r="F1520">
        <v>144472.59299999999</v>
      </c>
      <c r="G1520">
        <v>1465.764705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-1.0819056822502499E-2</v>
      </c>
      <c r="M1520" s="1">
        <f t="shared" si="95"/>
        <v>2.7939798126542608E-2</v>
      </c>
      <c r="N1520" s="1">
        <f t="shared" si="96"/>
        <v>8295054.0843332754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7645.9370879999997</v>
      </c>
      <c r="F1521">
        <v>1168832.662</v>
      </c>
      <c r="G1521">
        <v>706.00039790000005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13000719.941888362</v>
      </c>
      <c r="N1521" s="1">
        <f t="shared" si="96"/>
        <v>561675.27505713468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9052.7001409999993</v>
      </c>
      <c r="F1522">
        <v>1122352.827</v>
      </c>
      <c r="G1522">
        <v>2383.7960109999999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15827594.554572754</v>
      </c>
      <c r="N1522" s="1">
        <f t="shared" si="96"/>
        <v>1950067.0689844654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4.922E-5</v>
      </c>
      <c r="F1523">
        <v>985686.48719999997</v>
      </c>
      <c r="G1523" s="1">
        <v>-1.43399E-5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0.27616123277095811</v>
      </c>
      <c r="N1523" s="1">
        <f t="shared" si="96"/>
        <v>-3.7645312294253733E-2</v>
      </c>
      <c r="O1523" s="1"/>
    </row>
    <row r="1524" spans="1:15" x14ac:dyDescent="0.25">
      <c r="A1524">
        <v>2702</v>
      </c>
      <c r="B1524">
        <v>425740.00020000001</v>
      </c>
      <c r="C1524" s="1">
        <v>6210</v>
      </c>
      <c r="D1524">
        <v>941538.07109999994</v>
      </c>
      <c r="E1524">
        <v>3180.722577</v>
      </c>
      <c r="F1524">
        <v>1411547.01</v>
      </c>
      <c r="G1524">
        <v>3324.6578370000002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21390873.735359699</v>
      </c>
      <c r="M1524" s="1">
        <f t="shared" si="95"/>
        <v>3674564.3099060203</v>
      </c>
      <c r="N1524" s="1">
        <f t="shared" si="96"/>
        <v>1797093.5891151223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>
        <v>16199.1206</v>
      </c>
      <c r="F1525">
        <v>918165.39800000004</v>
      </c>
      <c r="G1525" s="1">
        <v>-3.6390000000000002E-5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71576448.661457404</v>
      </c>
      <c r="N1525" s="1">
        <f t="shared" si="96"/>
        <v>-7.5232317742686877E-2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>
        <v>8601.0690460000005</v>
      </c>
      <c r="F1526">
        <v>1083670.6399999999</v>
      </c>
      <c r="G1526">
        <v>3027.183509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18978277.603184216</v>
      </c>
      <c r="N1526" s="1">
        <f t="shared" si="96"/>
        <v>3125264.5656563011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6734.0425939999996</v>
      </c>
      <c r="F1527">
        <v>1061271.909</v>
      </c>
      <c r="G1527">
        <v>5517.8337629999996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22126806.616112299</v>
      </c>
      <c r="N1527" s="1">
        <f t="shared" si="96"/>
        <v>8483111.4273860455</v>
      </c>
      <c r="O1527" s="1"/>
    </row>
    <row r="1528" spans="1:15" x14ac:dyDescent="0.25">
      <c r="A1528">
        <v>2706</v>
      </c>
      <c r="B1528">
        <v>5434.3672429999997</v>
      </c>
      <c r="C1528" s="1">
        <v>0</v>
      </c>
      <c r="D1528">
        <v>159419.90489999999</v>
      </c>
      <c r="E1528">
        <v>425.26177380000001</v>
      </c>
      <c r="F1528">
        <v>828437.98549999995</v>
      </c>
      <c r="G1528">
        <v>4661.9274340000002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762354.43351737724</v>
      </c>
      <c r="N1528" s="1">
        <f t="shared" si="96"/>
        <v>3910297.2389274272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>
        <v>2144.7388310000001</v>
      </c>
      <c r="F1529">
        <v>1031576.595</v>
      </c>
      <c r="G1529">
        <v>5780.2316099999998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7140799.1692540413</v>
      </c>
      <c r="N1529" s="1">
        <f t="shared" si="96"/>
        <v>9004535.6725727934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1156.2593300000001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2698250.8908162913</v>
      </c>
      <c r="O1530" s="1"/>
    </row>
    <row r="1531" spans="1:15" x14ac:dyDescent="0.25">
      <c r="A1531">
        <v>2709</v>
      </c>
      <c r="B1531">
        <v>3819.1996720000002</v>
      </c>
      <c r="C1531" s="1">
        <v>1.9999999999999999E-7</v>
      </c>
      <c r="D1531">
        <v>27562.909820000001</v>
      </c>
      <c r="E1531" s="1">
        <v>-4.3000000000000003E-6</v>
      </c>
      <c r="F1531">
        <v>477632.16590000002</v>
      </c>
      <c r="G1531">
        <v>2799.7151829999998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3.0666820608644999E-3</v>
      </c>
      <c r="M1531" s="1">
        <f t="shared" si="95"/>
        <v>-2.2113136645033712E-2</v>
      </c>
      <c r="N1531" s="1">
        <f t="shared" si="96"/>
        <v>6736579.2721390706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>
        <v>3091.509853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4960976.7011606107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>
        <v>696.36625300000003</v>
      </c>
      <c r="F1533">
        <v>839296.03330000001</v>
      </c>
      <c r="G1533">
        <v>5572.2292189999998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1889183.2124586159</v>
      </c>
      <c r="N1533" s="1">
        <f t="shared" si="96"/>
        <v>7073087.2077167667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>
        <v>2628.938134</v>
      </c>
      <c r="F1534">
        <v>937190.68590000004</v>
      </c>
      <c r="G1534">
        <v>12454.7084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7044216.9553397987</v>
      </c>
      <c r="N1534" s="1">
        <f t="shared" si="96"/>
        <v>15614554.553596735</v>
      </c>
      <c r="O1534" s="1"/>
    </row>
    <row r="1535" spans="1:15" x14ac:dyDescent="0.25">
      <c r="A1535">
        <v>2713</v>
      </c>
      <c r="B1535">
        <v>12380.487789999999</v>
      </c>
      <c r="C1535" s="1">
        <v>-3.1E-6</v>
      </c>
      <c r="D1535">
        <v>106681.13529999999</v>
      </c>
      <c r="E1535" s="1">
        <v>-4.4999900000000003E-6</v>
      </c>
      <c r="F1535">
        <v>762532.4669</v>
      </c>
      <c r="G1535">
        <v>2973.714821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-9.3621079485092254E-2</v>
      </c>
      <c r="M1535" s="1">
        <f t="shared" si="95"/>
        <v>-4.5579193489291424E-2</v>
      </c>
      <c r="N1535" s="1">
        <f t="shared" si="96"/>
        <v>14092825.779419089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 s="1">
        <v>2.9998800000000003E-7</v>
      </c>
      <c r="F1536">
        <v>647476.4118</v>
      </c>
      <c r="G1536">
        <v>1731.2385870000001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1.2320638512356295E-3</v>
      </c>
      <c r="N1536" s="1">
        <f t="shared" si="96"/>
        <v>3326824.8322059619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>
        <v>14372.998579999999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41637164.285892695</v>
      </c>
      <c r="O1537" s="1"/>
    </row>
    <row r="1538" spans="1:15" x14ac:dyDescent="0.25">
      <c r="A1538">
        <v>2718</v>
      </c>
      <c r="B1538">
        <v>20193.95796</v>
      </c>
      <c r="C1538" s="1">
        <v>3.3299999999999999E-6</v>
      </c>
      <c r="D1538">
        <v>62690.958740000002</v>
      </c>
      <c r="E1538" s="1">
        <v>1.4100000000000001E-6</v>
      </c>
      <c r="F1538">
        <v>490734.4877</v>
      </c>
      <c r="G1538">
        <v>9670.7819920000002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7.1591398406690182E-2</v>
      </c>
      <c r="M1538" s="1">
        <f t="shared" si="95"/>
        <v>1.0166673154191928E-2</v>
      </c>
      <c r="N1538" s="1">
        <f t="shared" si="96"/>
        <v>32626089.28728978</v>
      </c>
      <c r="O1538" s="1"/>
    </row>
    <row r="1539" spans="1:15" x14ac:dyDescent="0.25">
      <c r="A1539">
        <v>2719</v>
      </c>
      <c r="B1539">
        <v>13285.99884</v>
      </c>
      <c r="C1539" s="1">
        <v>2.9999999999999999E-7</v>
      </c>
      <c r="D1539">
        <v>80649.985449999993</v>
      </c>
      <c r="E1539" s="1">
        <v>-4.8999199999999996E-7</v>
      </c>
      <c r="F1539">
        <v>709040.32440000004</v>
      </c>
      <c r="G1539">
        <v>3046.432444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3.9727414851247504E-3</v>
      </c>
      <c r="M1539" s="1">
        <f t="shared" ref="M1539:M1602" si="99">$U$3*$K1539*E1539</f>
        <v>-2.1762118819480805E-3</v>
      </c>
      <c r="N1539" s="1">
        <f t="shared" ref="N1539:N1602" si="100">$U$4*$K1539*G1539</f>
        <v>6330637.0886907484</v>
      </c>
      <c r="O1539" s="1"/>
    </row>
    <row r="1540" spans="1:15" x14ac:dyDescent="0.25">
      <c r="A1540">
        <v>2720</v>
      </c>
      <c r="B1540">
        <v>15504.891949999999</v>
      </c>
      <c r="C1540" s="1">
        <v>-1.3999999999999999E-6</v>
      </c>
      <c r="D1540">
        <v>62562.446279999996</v>
      </c>
      <c r="E1540" s="1">
        <v>-4.2899999999999996E-6</v>
      </c>
      <c r="F1540">
        <v>578597.91810000001</v>
      </c>
      <c r="G1540">
        <v>10792.232260000001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-4.4141301564632994E-2</v>
      </c>
      <c r="M1540" s="1">
        <f t="shared" si="99"/>
        <v>-4.5364646207995678E-2</v>
      </c>
      <c r="N1540" s="1">
        <f t="shared" si="100"/>
        <v>53396795.859242328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>
        <v>4962.8905000000004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9938681.0457879193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>
        <v>3432.0748370000001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8150917.2500311323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>
        <v>3835.3314329999998</v>
      </c>
      <c r="F1543">
        <v>946962.74210000003</v>
      </c>
      <c r="G1543">
        <v>4724.0309399999996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16229822.704765448</v>
      </c>
      <c r="N1543" s="1">
        <f t="shared" si="100"/>
        <v>9353352.1858442239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>
        <v>6630.2927069999996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19206441.945068154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>
        <v>2242.3021330000001</v>
      </c>
      <c r="F1545">
        <v>937441.35560000001</v>
      </c>
      <c r="G1545">
        <v>2989.3760550000002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11492542.557487013</v>
      </c>
      <c r="N1545" s="1">
        <f t="shared" si="100"/>
        <v>7168795.9710023748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6955.6481080000003</v>
      </c>
      <c r="F1546">
        <v>916635.02099999995</v>
      </c>
      <c r="G1546">
        <v>2627.6239260000002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56628437.793419443</v>
      </c>
      <c r="N1546" s="1">
        <f t="shared" si="100"/>
        <v>10009303.642647902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>
        <v>3872.2553349999998</v>
      </c>
      <c r="F1547">
        <v>979750.39939999999</v>
      </c>
      <c r="G1547" s="1">
        <v>-2.9130000000000001E-5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24141078.263581134</v>
      </c>
      <c r="N1547" s="1">
        <f t="shared" si="100"/>
        <v>-8.4972195569670908E-2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3.8999099999999999E-7</v>
      </c>
      <c r="F1548">
        <v>601630.18909999996</v>
      </c>
      <c r="G1548">
        <v>14245.799150000001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3.6060606888288823E-3</v>
      </c>
      <c r="N1548" s="1">
        <f t="shared" si="100"/>
        <v>61632380.438704371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-2.08999E-6</v>
      </c>
      <c r="F1549">
        <v>648416.3996</v>
      </c>
      <c r="G1549">
        <v>706.46609809999995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-1.1472857323373454E-2</v>
      </c>
      <c r="N1549" s="1">
        <f t="shared" si="100"/>
        <v>1814522.628251829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2.7319999999999999E-5</v>
      </c>
      <c r="F1550">
        <v>720654.62419999996</v>
      </c>
      <c r="G1550">
        <v>972.80399490000002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0.21222932898428878</v>
      </c>
      <c r="N1550" s="1">
        <f t="shared" si="100"/>
        <v>3535849.1586679071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>
        <v>24202.303090000001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48996455.964474499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>
        <v>6484.2343250000004</v>
      </c>
      <c r="F1552">
        <v>974259.37600000005</v>
      </c>
      <c r="G1552">
        <v>2867.5467640000002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30059483.512181576</v>
      </c>
      <c r="N1552" s="1">
        <f t="shared" si="100"/>
        <v>6219808.3151026024</v>
      </c>
      <c r="O1552" s="1"/>
    </row>
    <row r="1553" spans="1:15" x14ac:dyDescent="0.25">
      <c r="A1553">
        <v>2737</v>
      </c>
      <c r="B1553">
        <v>22221.072069999998</v>
      </c>
      <c r="C1553" s="1">
        <v>-2.3999999999999999E-6</v>
      </c>
      <c r="D1553">
        <v>55785.996019999999</v>
      </c>
      <c r="E1553" s="1">
        <v>-4.7899999999999999E-6</v>
      </c>
      <c r="F1553">
        <v>675373.7426</v>
      </c>
      <c r="G1553">
        <v>5223.519096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-2.0113135741608001E-2</v>
      </c>
      <c r="M1553" s="1">
        <f t="shared" si="99"/>
        <v>-1.3463165771860195E-2</v>
      </c>
      <c r="N1553" s="1">
        <f t="shared" si="100"/>
        <v>6869395.8717476986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757.26425500000005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1466965.2055444198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>
        <v>553.28064830000005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1685921.8042764429</v>
      </c>
      <c r="O1555" s="1"/>
    </row>
    <row r="1556" spans="1:15" x14ac:dyDescent="0.25">
      <c r="A1556">
        <v>2740</v>
      </c>
      <c r="B1556">
        <v>22907.432280000001</v>
      </c>
      <c r="C1556" s="1">
        <v>1.9999999999999999E-7</v>
      </c>
      <c r="D1556">
        <v>68487.655660000004</v>
      </c>
      <c r="E1556" s="1">
        <v>-4.9600099999999998E-6</v>
      </c>
      <c r="F1556">
        <v>676231.48739999998</v>
      </c>
      <c r="G1556">
        <v>4531.1293500000002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6.9829794299199998E-4</v>
      </c>
      <c r="M1556" s="1">
        <f t="shared" si="99"/>
        <v>-5.8081317083685038E-3</v>
      </c>
      <c r="N1556" s="1">
        <f t="shared" si="100"/>
        <v>2482584.5158664552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 s="1">
        <v>-4.5900000000000001E-6</v>
      </c>
      <c r="F1557">
        <v>370071.96169999999</v>
      </c>
      <c r="G1557">
        <v>271.10439969999999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-2.2414797333087183E-2</v>
      </c>
      <c r="N1557" s="1">
        <f t="shared" si="100"/>
        <v>619444.46232250379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-3.4950000000000002E-5</v>
      </c>
      <c r="F1558">
        <v>874448.66870000004</v>
      </c>
      <c r="G1558">
        <v>1088.52206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-0.15155092917290353</v>
      </c>
      <c r="N1558" s="1">
        <f t="shared" si="100"/>
        <v>2208474.2320033484</v>
      </c>
      <c r="O1558" s="1"/>
    </row>
    <row r="1559" spans="1:15" x14ac:dyDescent="0.25">
      <c r="A1559">
        <v>2745</v>
      </c>
      <c r="B1559">
        <v>28609.149140000001</v>
      </c>
      <c r="C1559" s="1">
        <v>-9.9000000000000005E-7</v>
      </c>
      <c r="D1559">
        <v>118532.1306</v>
      </c>
      <c r="E1559" s="1">
        <v>-4.8690000000000003E-5</v>
      </c>
      <c r="F1559">
        <v>798083.47919999994</v>
      </c>
      <c r="G1559">
        <v>2827.3233660000001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-1.9244049681703276E-2</v>
      </c>
      <c r="M1559" s="1">
        <f t="shared" si="99"/>
        <v>-0.3174272351553456</v>
      </c>
      <c r="N1559" s="1">
        <f t="shared" si="100"/>
        <v>8624294.3819697648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-5.9997500000000005E-8</v>
      </c>
      <c r="F1560">
        <v>579726.424</v>
      </c>
      <c r="G1560">
        <v>15943.978719999999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-1.8129382504272588E-4</v>
      </c>
      <c r="N1560" s="1">
        <f t="shared" si="100"/>
        <v>22541885.623824518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2.09999E-7</v>
      </c>
      <c r="F1561">
        <v>396881.88549999997</v>
      </c>
      <c r="G1561">
        <v>3037.5205380000002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1.2748283407562257E-3</v>
      </c>
      <c r="N1561" s="1">
        <f t="shared" si="100"/>
        <v>8627746.6607877892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4.1860000000000002E-5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7.6701251365399209E-2</v>
      </c>
      <c r="O1562" s="1"/>
    </row>
    <row r="1563" spans="1:15" x14ac:dyDescent="0.25">
      <c r="A1563">
        <v>2749</v>
      </c>
      <c r="B1563">
        <v>9643.1724219999996</v>
      </c>
      <c r="C1563" s="1">
        <v>-4.9999999999999998E-7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-1.2670444390353751E-2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-2.179E-5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-5.8703013030479832E-2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43926.84648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132973607.74005453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>
        <v>40141.813139999998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126240587.09638406</v>
      </c>
      <c r="O1566" s="1"/>
    </row>
    <row r="1567" spans="1:15" x14ac:dyDescent="0.25">
      <c r="A1567">
        <v>2755</v>
      </c>
      <c r="B1567">
        <v>14582.757100000001</v>
      </c>
      <c r="C1567" s="1">
        <v>0</v>
      </c>
      <c r="D1567">
        <v>50089.419849999998</v>
      </c>
      <c r="E1567" s="1">
        <v>-3.7900000000000001E-6</v>
      </c>
      <c r="F1567">
        <v>617978.6801</v>
      </c>
      <c r="G1567">
        <v>9187.0815920000005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17064882.436153304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>
        <v>6944.900396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23025650.399189889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>
        <v>16472.883010000001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56607637.527018234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>
        <v>10208.573060000001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24807977.825120252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>
        <v>13224.83351</v>
      </c>
      <c r="F1571">
        <v>981474.29269999999</v>
      </c>
      <c r="G1571">
        <v>5100.9952229999999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36827999.936928228</v>
      </c>
      <c r="N1571" s="1">
        <f t="shared" si="100"/>
        <v>6646400.620352583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 s="1">
        <v>-4.8900099999999996E-6</v>
      </c>
      <c r="F1572">
        <v>714288.50569999998</v>
      </c>
      <c r="G1572">
        <v>4563.2577739999997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-1.3486800913070932E-2</v>
      </c>
      <c r="N1572" s="1">
        <f t="shared" si="100"/>
        <v>5888678.9855742455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-2.069E-5</v>
      </c>
      <c r="F1573">
        <v>789134.57239999995</v>
      </c>
      <c r="G1573">
        <v>1485.98296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-0.17326169746317716</v>
      </c>
      <c r="N1573" s="1">
        <f t="shared" si="100"/>
        <v>5822367.0667471243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>
        <v>2628.9380660000002</v>
      </c>
      <c r="F1574">
        <v>981248.4902</v>
      </c>
      <c r="G1574">
        <v>12376.43045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8334619.3132856004</v>
      </c>
      <c r="N1574" s="1">
        <f t="shared" si="100"/>
        <v>18358808.721073251</v>
      </c>
      <c r="O1574" s="1"/>
    </row>
    <row r="1575" spans="1:15" x14ac:dyDescent="0.25">
      <c r="A1575">
        <v>2765</v>
      </c>
      <c r="B1575">
        <v>15844.888580000001</v>
      </c>
      <c r="C1575" s="1">
        <v>-2.3999999999999999E-6</v>
      </c>
      <c r="D1575">
        <v>209661.09169999999</v>
      </c>
      <c r="E1575" s="1">
        <v>7.3499999999999999E-6</v>
      </c>
      <c r="F1575">
        <v>862586.21589999995</v>
      </c>
      <c r="G1575">
        <v>2567.820451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-2.1770946489473999E-2</v>
      </c>
      <c r="M1575" s="1">
        <f t="shared" si="99"/>
        <v>2.2361274076977043E-2</v>
      </c>
      <c r="N1575" s="1">
        <f t="shared" si="100"/>
        <v>3655253.7991002537</v>
      </c>
      <c r="O1575" s="1"/>
    </row>
    <row r="1576" spans="1:15" x14ac:dyDescent="0.25">
      <c r="A1576">
        <v>2766</v>
      </c>
      <c r="B1576">
        <v>25930.045470000001</v>
      </c>
      <c r="C1576" s="1">
        <v>-1.0699999999999999E-6</v>
      </c>
      <c r="D1576">
        <v>250353.25750000001</v>
      </c>
      <c r="E1576">
        <v>696.36622239999997</v>
      </c>
      <c r="F1576">
        <v>880387.55500000005</v>
      </c>
      <c r="G1576">
        <v>4019.2929210000002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-1.4346462299538523E-2</v>
      </c>
      <c r="M1576" s="1">
        <f t="shared" si="99"/>
        <v>3131424.0156444828</v>
      </c>
      <c r="N1576" s="1">
        <f t="shared" si="100"/>
        <v>8456633.6519291382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>
        <v>850.27837539999996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1904183.3446845543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>
        <v>143.08556100000001</v>
      </c>
      <c r="F1578">
        <v>910878.42260000005</v>
      </c>
      <c r="G1578">
        <v>1883.6561360000001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413570.75793774985</v>
      </c>
      <c r="N1578" s="1">
        <f t="shared" si="100"/>
        <v>2547412.7374149384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9414.8385639999997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29106412.983419918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-7.9488113191290996E-2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 s="1">
        <v>-5.6000099999999996E-7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-2.6688875450611616E-3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3.871E-5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0.1899615979375619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 s="1">
        <v>0</v>
      </c>
      <c r="D1585">
        <v>3940.9732039999999</v>
      </c>
      <c r="E1585" s="1">
        <v>2.9999999999999999E-7</v>
      </c>
      <c r="F1585">
        <v>9788.3988939999999</v>
      </c>
      <c r="G1585" s="1">
        <v>1.00001E-7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1.0241668072884598E-2</v>
      </c>
      <c r="N1585" s="1">
        <f t="shared" si="100"/>
        <v>1.5973403515835835E-3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4.0000100000000001E-7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3.3746049703997352E-3</v>
      </c>
      <c r="O1586" s="1"/>
    </row>
    <row r="1587" spans="1:15" x14ac:dyDescent="0.25">
      <c r="A1587">
        <v>2802</v>
      </c>
      <c r="B1587">
        <v>845.71922380000001</v>
      </c>
      <c r="C1587" s="1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 s="1">
        <v>0</v>
      </c>
      <c r="D1588">
        <v>4635.1169579999996</v>
      </c>
      <c r="E1588" s="1">
        <v>-9.9999900000000003E-8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-1.4591976789920618E-3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 s="1">
        <v>1.9999999999999999E-7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1.2957679694960001E-2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 s="1">
        <v>-2.9999999999999999E-7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-1.84528271763225E-2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 s="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-8.0000099999999999E-7</v>
      </c>
      <c r="F1592">
        <v>59461.475339999997</v>
      </c>
      <c r="G1592" s="1">
        <v>2.6000099999999999E-6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-1.0269425283967959E-2</v>
      </c>
      <c r="N1592" s="1">
        <f t="shared" si="100"/>
        <v>1.5616162017194797E-2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 s="1">
        <v>0</v>
      </c>
      <c r="D1594">
        <v>1076.1398200000001</v>
      </c>
      <c r="E1594">
        <v>0</v>
      </c>
      <c r="F1594">
        <v>1361.867614</v>
      </c>
      <c r="G1594" s="1">
        <v>2.9999999999999999E-7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1.4345225329275001E-2</v>
      </c>
      <c r="O1594" s="1"/>
    </row>
    <row r="1595" spans="1:15" x14ac:dyDescent="0.25">
      <c r="A1595">
        <v>2812</v>
      </c>
      <c r="B1595">
        <v>513.12021519999996</v>
      </c>
      <c r="C1595" s="1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 s="1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 s="1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 s="1">
        <v>0</v>
      </c>
      <c r="D1598">
        <v>8167.6236060000001</v>
      </c>
      <c r="E1598" s="1">
        <v>-5.00004E-8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-5.4330079257537971E-4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 s="1">
        <v>2.9999999999999999E-7</v>
      </c>
      <c r="D1599">
        <v>8167.6236060000001</v>
      </c>
      <c r="E1599" s="1">
        <v>-5.00004E-8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2.0127609766095001E-2</v>
      </c>
      <c r="M1599" s="1">
        <f t="shared" si="99"/>
        <v>-1.1250907773231135E-3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 s="1">
        <v>4.5499000000000003E-6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0.13552772050882486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 s="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 s="1">
        <v>-2.9999999999999999E-7</v>
      </c>
      <c r="D1602">
        <v>28456.847539999999</v>
      </c>
      <c r="E1602" s="1">
        <v>-5.0999700000000001E-7</v>
      </c>
      <c r="F1602">
        <v>117527.1189</v>
      </c>
      <c r="G1602" s="1">
        <v>1.2140000000000001E-5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-1.66776616832475E-2</v>
      </c>
      <c r="M1602" s="1">
        <f t="shared" si="99"/>
        <v>-9.5087770192446991E-3</v>
      </c>
      <c r="N1602" s="1">
        <f t="shared" si="100"/>
        <v>0.10590571748272677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2.9800100000000001E-6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2.1344489757605244E-2</v>
      </c>
      <c r="O1603" s="1"/>
    </row>
    <row r="1604" spans="1:15" x14ac:dyDescent="0.25">
      <c r="A1604">
        <v>2825</v>
      </c>
      <c r="B1604">
        <v>161.85819720000001</v>
      </c>
      <c r="C1604" s="1">
        <v>0</v>
      </c>
      <c r="D1604">
        <v>1359.0623230000001</v>
      </c>
      <c r="E1604" s="1">
        <v>1.9999999999999999E-7</v>
      </c>
      <c r="F1604">
        <v>12122.4437</v>
      </c>
      <c r="G1604" s="1">
        <v>6.00001E-7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7.9612200974804488E-3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-1.132E-5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-0.17145711574688918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-8.4999899999999999E-7</v>
      </c>
      <c r="F1606">
        <v>99617.517860000007</v>
      </c>
      <c r="G1606" s="1">
        <v>-1.9200100000000001E-6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-9.6874875155158555E-3</v>
      </c>
      <c r="N1606" s="1">
        <f t="shared" si="104"/>
        <v>-1.023858428649361E-2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1.367E-5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0.1172247506311586</v>
      </c>
      <c r="O1607" s="1"/>
    </row>
    <row r="1608" spans="1:15" x14ac:dyDescent="0.25">
      <c r="A1608">
        <v>2829</v>
      </c>
      <c r="B1608">
        <v>163.40757769999999</v>
      </c>
      <c r="C1608" s="1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 s="1">
        <v>-3.0001E-7</v>
      </c>
      <c r="F1609">
        <v>16107.839040000001</v>
      </c>
      <c r="G1609" s="1">
        <v>1.3998999999999999E-6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-1.0888387704367506E-2</v>
      </c>
      <c r="N1609" s="1">
        <f t="shared" si="104"/>
        <v>2.3772154118243391E-2</v>
      </c>
      <c r="O1609" s="1"/>
    </row>
    <row r="1610" spans="1:15" x14ac:dyDescent="0.25">
      <c r="A1610">
        <v>2831</v>
      </c>
      <c r="B1610">
        <v>1757.1926900000001</v>
      </c>
      <c r="C1610" s="1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4.8999899999999998E-6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2.580006102981347E-2</v>
      </c>
      <c r="O1611" s="1"/>
    </row>
    <row r="1612" spans="1:15" x14ac:dyDescent="0.25">
      <c r="A1612">
        <v>2835</v>
      </c>
      <c r="B1612">
        <v>954.43470249999996</v>
      </c>
      <c r="C1612" s="1">
        <v>0</v>
      </c>
      <c r="D1612">
        <v>23100.058669999999</v>
      </c>
      <c r="E1612" s="1">
        <v>3.1E-6</v>
      </c>
      <c r="F1612">
        <v>153529.22630000001</v>
      </c>
      <c r="G1612">
        <v>1036.578389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8026312.7088037245</v>
      </c>
      <c r="O1612" s="1"/>
    </row>
    <row r="1613" spans="1:15" x14ac:dyDescent="0.25">
      <c r="A1613">
        <v>2836</v>
      </c>
      <c r="B1613">
        <v>1503.698731</v>
      </c>
      <c r="C1613" s="1">
        <v>0</v>
      </c>
      <c r="D1613">
        <v>17429.04305</v>
      </c>
      <c r="E1613" s="1">
        <v>1.1999999999999999E-6</v>
      </c>
      <c r="F1613">
        <v>55368.948620000003</v>
      </c>
      <c r="G1613" s="1">
        <v>5.0999400000000003E-7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1.2979926296146797E-2</v>
      </c>
      <c r="N1613" s="1">
        <f t="shared" si="104"/>
        <v>2.5810696567685905E-3</v>
      </c>
      <c r="O1613" s="1"/>
    </row>
    <row r="1614" spans="1:15" x14ac:dyDescent="0.25">
      <c r="A1614">
        <v>2837</v>
      </c>
      <c r="B1614">
        <v>701.04009350000001</v>
      </c>
      <c r="C1614" s="1">
        <v>0</v>
      </c>
      <c r="D1614">
        <v>6886.4266079999998</v>
      </c>
      <c r="E1614" s="1">
        <v>1.9999100000000001E-7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3.1586749129355134E-3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 s="1">
        <v>-1.9999999999999999E-7</v>
      </c>
      <c r="D1615">
        <v>26133.8177</v>
      </c>
      <c r="E1615" s="1">
        <v>2.9000000000000002E-6</v>
      </c>
      <c r="F1615">
        <v>65791.762959999993</v>
      </c>
      <c r="G1615" s="1">
        <v>-1.99987E-7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-5.7773454788790004E-3</v>
      </c>
      <c r="M1615" s="1">
        <f t="shared" si="103"/>
        <v>2.8095675474979265E-2</v>
      </c>
      <c r="N1615" s="1">
        <f t="shared" si="104"/>
        <v>-9.0653990006943548E-4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>
        <v>5925.1447239999998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43314399.694046453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>
        <v>1904.0659390000001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8430836.5441141985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-3.8999900000000001E-6</v>
      </c>
      <c r="F1618">
        <v>73124.523350000003</v>
      </c>
      <c r="G1618" s="1">
        <v>1.60999E-6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-3.0113845068357677E-2</v>
      </c>
      <c r="N1618" s="1">
        <f t="shared" si="104"/>
        <v>5.8166050355242371E-3</v>
      </c>
      <c r="O1618" s="1"/>
    </row>
    <row r="1619" spans="1:15" x14ac:dyDescent="0.25">
      <c r="A1619">
        <v>2844</v>
      </c>
      <c r="B1619">
        <v>24.708049020000001</v>
      </c>
      <c r="C1619" s="1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 s="1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1.5099900000000001E-6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4.9171638516464526E-3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-1.328E-5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-4.1493003929147419E-2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2.0000199999999999E-7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4.8780136389879932E-3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-1.007E-5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-4.6455818372764725E-2</v>
      </c>
      <c r="O1624" s="1"/>
    </row>
    <row r="1625" spans="1:15" x14ac:dyDescent="0.25">
      <c r="A1625">
        <v>2852</v>
      </c>
      <c r="B1625">
        <v>19392.47208</v>
      </c>
      <c r="C1625" s="1">
        <v>-3.1E-6</v>
      </c>
      <c r="D1625">
        <v>73758.461169999995</v>
      </c>
      <c r="E1625" s="1">
        <v>-1.5E-6</v>
      </c>
      <c r="F1625">
        <v>580354.11259999999</v>
      </c>
      <c r="G1625">
        <v>12393.29667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-4.3002307354922498E-2</v>
      </c>
      <c r="M1625" s="1">
        <f t="shared" si="103"/>
        <v>-6.9785382159105007E-3</v>
      </c>
      <c r="N1625" s="1">
        <f t="shared" si="104"/>
        <v>26977625.786350328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-2.2899899999999998E-6</v>
      </c>
      <c r="F1627">
        <v>337141.91529999999</v>
      </c>
      <c r="G1627">
        <v>5654.3946850000002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-1.509903001185932E-2</v>
      </c>
      <c r="N1627" s="1">
        <f t="shared" si="104"/>
        <v>17443967.154190753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2.0000199999999999E-7</v>
      </c>
      <c r="F1628">
        <v>134312.37109999999</v>
      </c>
      <c r="G1628" s="1">
        <v>3.163E-5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1.0590333312467302E-3</v>
      </c>
      <c r="N1628" s="1">
        <f t="shared" si="104"/>
        <v>7.8364282303692467E-2</v>
      </c>
      <c r="O1628" s="1"/>
    </row>
    <row r="1629" spans="1:15" x14ac:dyDescent="0.25">
      <c r="A1629">
        <v>2856</v>
      </c>
      <c r="B1629">
        <v>3194.1801099999998</v>
      </c>
      <c r="C1629" s="1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>
        <v>972.10088089999999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3957097.7003555265</v>
      </c>
      <c r="O1630" s="1"/>
    </row>
    <row r="1631" spans="1:15" x14ac:dyDescent="0.25">
      <c r="A1631">
        <v>2895</v>
      </c>
      <c r="B1631">
        <v>1836.1774559999999</v>
      </c>
      <c r="C1631" s="1">
        <v>0</v>
      </c>
      <c r="D1631">
        <v>1836.1774559999999</v>
      </c>
      <c r="E1631">
        <v>0</v>
      </c>
      <c r="F1631">
        <v>3101.8327770000001</v>
      </c>
      <c r="G1631" s="1">
        <v>-4.0000999999999999E-7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-2.065960965287339E-2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2.5845654282317517E-3</v>
      </c>
      <c r="O1632" s="1"/>
    </row>
    <row r="1633" spans="1:15" x14ac:dyDescent="0.25">
      <c r="A1633">
        <v>2897</v>
      </c>
      <c r="B1633">
        <v>4157.9421560000001</v>
      </c>
      <c r="C1633" s="1">
        <v>4.0999999999999999E-7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5.964545890407325E-3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9.0998899999999998E-7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2.8752398863528925E-3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-2.0679999999999999E-5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-5.7313843770072509E-2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-7.9000200000000001E-7</v>
      </c>
      <c r="F1638">
        <v>102257.3187</v>
      </c>
      <c r="G1638" s="1">
        <v>3.9719999999999999E-5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-8.8899629246034055E-3</v>
      </c>
      <c r="N1638" s="1">
        <f t="shared" si="104"/>
        <v>0.20913401584499078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6.0999400000000003E-7</v>
      </c>
      <c r="F1639">
        <v>88898.00288</v>
      </c>
      <c r="G1639" s="1">
        <v>8.1000299999999995E-7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5.3887770600190878E-3</v>
      </c>
      <c r="N1639" s="1">
        <f t="shared" si="104"/>
        <v>3.3480733113584651E-3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-4.1369999999999999E-5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-0.13813168283196364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-9.0003599999999995E-8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-1.2802503449341088E-4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 s="1">
        <v>0</v>
      </c>
      <c r="D1647">
        <v>4618.7826949999999</v>
      </c>
      <c r="E1647" s="1">
        <v>-3.9999999999999998E-7</v>
      </c>
      <c r="F1647">
        <v>25217.743050000001</v>
      </c>
      <c r="G1647" s="1">
        <v>3.4999999999999999E-6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-4.1481267883073596E-2</v>
      </c>
      <c r="N1647" s="1">
        <f t="shared" si="104"/>
        <v>0.16982583296166598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 s="1">
        <v>2.9000000000000002E-6</v>
      </c>
      <c r="D1650">
        <v>39743.357889999999</v>
      </c>
      <c r="E1650" s="1">
        <v>4.8099999999999997E-6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4.1473089435924253E-2</v>
      </c>
      <c r="M1650" s="1">
        <f t="shared" si="103"/>
        <v>2.3070478578632068E-2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-2.1900100000000001E-6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-4.3977121348291737E-3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1.11001E-6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4.8492987327075146E-3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-4.6069999999999998E-5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-0.1850459488885795</v>
      </c>
      <c r="O1653" s="1"/>
    </row>
    <row r="1654" spans="1:15" x14ac:dyDescent="0.25">
      <c r="A1654">
        <v>2920</v>
      </c>
      <c r="B1654">
        <v>5053.5210660000002</v>
      </c>
      <c r="C1654" s="1">
        <v>3.9999999999999998E-7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7.2889405538300008E-3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 s="1">
        <v>3.4999999999999999E-6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3.09213067884931E-2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 s="1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 s="1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-4.8999199999999996E-7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-6.3033128018465312E-3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4.303E-5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0.18056847033880236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 s="1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 s="1">
        <v>0</v>
      </c>
      <c r="D1663">
        <v>10309.574420000001</v>
      </c>
      <c r="E1663" s="1">
        <v>-9.0000099999999999E-7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-1.1885868607821801E-2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4.6000099999999999E-6</v>
      </c>
      <c r="F1665">
        <v>80003.867199999993</v>
      </c>
      <c r="G1665" s="1">
        <v>4.4200099999999999E-6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4.9671693925914633E-2</v>
      </c>
      <c r="N1665" s="1">
        <f t="shared" si="104"/>
        <v>2.2331460383031038E-2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 s="1">
        <v>-1.5E-6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-1.329307437872055E-2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1.523E-5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3.2279090034829823E-2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-2.7970000000000002E-5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-9.0906288281117131E-2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3.2199899999999998E-6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1.3276539602031069E-2</v>
      </c>
      <c r="O1670" s="1"/>
    </row>
    <row r="1671" spans="1:15" x14ac:dyDescent="0.25">
      <c r="A1671">
        <v>2940</v>
      </c>
      <c r="B1671">
        <v>585.50678249999999</v>
      </c>
      <c r="C1671" s="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2.09999E-7</v>
      </c>
      <c r="F1672">
        <v>100571.3746</v>
      </c>
      <c r="G1672" s="1">
        <v>3.341E-5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1.4637286898649853E-3</v>
      </c>
      <c r="N1672" s="1">
        <f t="shared" si="108"/>
        <v>0.10895910128833061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 s="1">
        <v>-1.79E-6</v>
      </c>
      <c r="F1673">
        <v>80806.422460000002</v>
      </c>
      <c r="G1673" s="1">
        <v>-7.9009599999999996E-7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-1.1255967651819567E-2</v>
      </c>
      <c r="N1673" s="1">
        <f t="shared" si="108"/>
        <v>-2.3246273687121811E-3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6.1000200000000004E-7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3.8669680910327071E-3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 s="1">
        <v>-9.9999999999999994E-12</v>
      </c>
      <c r="D1676">
        <v>29730.197499999998</v>
      </c>
      <c r="E1676" s="1">
        <v>4.3000000000000003E-6</v>
      </c>
      <c r="F1676">
        <v>72431.542730000001</v>
      </c>
      <c r="G1676" s="1">
        <v>-1.09999E-6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-3.7586680356549999E-7</v>
      </c>
      <c r="M1676" s="1">
        <f t="shared" si="107"/>
        <v>5.4205775640353802E-2</v>
      </c>
      <c r="N1676" s="1">
        <f t="shared" si="108"/>
        <v>-6.4879803039860715E-3</v>
      </c>
      <c r="O1676" s="1"/>
    </row>
    <row r="1677" spans="1:15" x14ac:dyDescent="0.25">
      <c r="A1677">
        <v>2948</v>
      </c>
      <c r="B1677">
        <v>8895.4673590000002</v>
      </c>
      <c r="C1677" s="1">
        <v>0</v>
      </c>
      <c r="D1677">
        <v>25896.568200000002</v>
      </c>
      <c r="E1677" s="1">
        <v>1.5E-6</v>
      </c>
      <c r="F1677">
        <v>67111.515530000004</v>
      </c>
      <c r="G1677" s="1">
        <v>-2.29001E-6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-7.5730543240139616E-3</v>
      </c>
      <c r="O1677" s="1"/>
    </row>
    <row r="1678" spans="1:15" x14ac:dyDescent="0.25">
      <c r="A1678">
        <v>2949</v>
      </c>
      <c r="B1678">
        <v>16142.787270000001</v>
      </c>
      <c r="C1678" s="1">
        <v>9.9999999999999995E-7</v>
      </c>
      <c r="D1678">
        <v>27160.796259999999</v>
      </c>
      <c r="E1678" s="1">
        <v>1.3E-6</v>
      </c>
      <c r="F1678">
        <v>68365.691829999996</v>
      </c>
      <c r="G1678" s="1">
        <v>4.8000099999999996E-6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2.0426269051434999E-2</v>
      </c>
      <c r="M1678" s="1">
        <f t="shared" si="107"/>
        <v>8.9058533064256609E-3</v>
      </c>
      <c r="N1678" s="1">
        <f t="shared" si="108"/>
        <v>1.5385726403656937E-2</v>
      </c>
      <c r="O1678" s="1"/>
    </row>
    <row r="1679" spans="1:15" x14ac:dyDescent="0.25">
      <c r="A1679">
        <v>3000</v>
      </c>
      <c r="B1679">
        <v>812.11401360000002</v>
      </c>
      <c r="C1679" s="1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 s="1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 s="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 s="1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 s="1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 s="1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 s="1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 s="1">
        <v>0</v>
      </c>
      <c r="D1686">
        <v>641.72251470000003</v>
      </c>
      <c r="E1686">
        <v>0</v>
      </c>
      <c r="F1686">
        <v>2955.7543420000002</v>
      </c>
      <c r="G1686" s="1">
        <v>-3.0001E-7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-4.0893776946960218E-2</v>
      </c>
      <c r="O1686" s="1"/>
    </row>
    <row r="1687" spans="1:15" x14ac:dyDescent="0.25">
      <c r="A1687">
        <v>3008</v>
      </c>
      <c r="B1687">
        <v>226.9551137</v>
      </c>
      <c r="C1687" s="1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 s="1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 s="1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 s="1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 s="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 s="1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 s="1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 s="1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 s="1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 s="1">
        <v>0</v>
      </c>
      <c r="D1696">
        <v>136.88455569999999</v>
      </c>
      <c r="E1696">
        <v>0</v>
      </c>
      <c r="F1696">
        <v>2063.3310660000002</v>
      </c>
      <c r="G1696" s="1">
        <v>-9.9999999999999995E-8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-1.0930987752282E-3</v>
      </c>
      <c r="O1696" s="1"/>
    </row>
    <row r="1697" spans="1:15" x14ac:dyDescent="0.25">
      <c r="A1697">
        <v>3018</v>
      </c>
      <c r="B1697">
        <v>212.08234139999999</v>
      </c>
      <c r="C1697" s="1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 s="1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 s="1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 s="1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 s="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 s="1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 s="1">
        <v>0</v>
      </c>
      <c r="D1703">
        <v>711.77610570000002</v>
      </c>
      <c r="E1703">
        <v>0</v>
      </c>
      <c r="F1703">
        <v>4274.2650199999998</v>
      </c>
      <c r="G1703" s="1">
        <v>1.9999100000000001E-7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5.3971425343174503E-3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 s="1">
        <v>0</v>
      </c>
      <c r="D1707">
        <v>3318.649179</v>
      </c>
      <c r="E1707" s="1">
        <v>-4.9999999999999998E-7</v>
      </c>
      <c r="F1707">
        <v>8755.907792</v>
      </c>
      <c r="G1707" s="1">
        <v>-3.9999900000000001E-7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-2.2658255300212139E-2</v>
      </c>
      <c r="O1707" s="1"/>
    </row>
    <row r="1708" spans="1:15" x14ac:dyDescent="0.25">
      <c r="A1708">
        <v>3105</v>
      </c>
      <c r="B1708">
        <v>4415.8329750000003</v>
      </c>
      <c r="C1708" s="1">
        <v>-9.9999999999999994E-12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-1.3743801177892502E-6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 s="1">
        <v>0</v>
      </c>
      <c r="D1709">
        <v>4588.8278879999998</v>
      </c>
      <c r="E1709" s="1">
        <v>1.9999100000000001E-7</v>
      </c>
      <c r="F1709">
        <v>8431.6628949999995</v>
      </c>
      <c r="G1709" s="1">
        <v>4.0000100000000001E-7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1.9434390392187339E-3</v>
      </c>
      <c r="N1709" s="1">
        <f t="shared" si="108"/>
        <v>1.8187174163870939E-3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3.4000199999999998E-7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1.0812992436908995E-3</v>
      </c>
      <c r="O1710" s="1"/>
    </row>
    <row r="1711" spans="1:15" x14ac:dyDescent="0.25">
      <c r="A1711">
        <v>3109</v>
      </c>
      <c r="B1711">
        <v>1942.3635380000001</v>
      </c>
      <c r="C1711" s="1">
        <v>-1.1000000000000001E-7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-1.0455492416083E-2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 s="1">
        <v>2.9999999999999999E-7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8.9319310943850004E-3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 s="1">
        <v>2.9999999999999999E-7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1.5754888948499999E-2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 s="1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 s="1">
        <v>0</v>
      </c>
      <c r="D1715">
        <v>35524.270770000003</v>
      </c>
      <c r="E1715" s="1">
        <v>3.89999E-7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4.0429276595599613E-3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1.89997E-7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2.7720316551376606E-3</v>
      </c>
      <c r="O1718" s="1"/>
    </row>
    <row r="1719" spans="1:15" x14ac:dyDescent="0.25">
      <c r="A1719">
        <v>3120</v>
      </c>
      <c r="B1719">
        <v>7709.1287419999999</v>
      </c>
      <c r="C1719" s="1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 s="1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2.5999900000000002E-7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4.1873545707777696E-3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 s="1">
        <v>1.6E-7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7.1083821673280003E-3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 s="1">
        <v>-4.4000000000000002E-7</v>
      </c>
      <c r="D1724">
        <v>10357.47752</v>
      </c>
      <c r="E1724" s="1">
        <v>6.4000100000000004E-7</v>
      </c>
      <c r="F1724">
        <v>40885.728909999998</v>
      </c>
      <c r="G1724" s="1">
        <v>4.3000200000000001E-7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-1.7142539851151002E-2</v>
      </c>
      <c r="M1724" s="1">
        <f t="shared" si="107"/>
        <v>8.3626954444275346E-3</v>
      </c>
      <c r="N1724" s="1">
        <f t="shared" si="108"/>
        <v>2.6289345977259177E-3</v>
      </c>
      <c r="O1724" s="1"/>
    </row>
    <row r="1725" spans="1:15" x14ac:dyDescent="0.25">
      <c r="A1725">
        <v>3126</v>
      </c>
      <c r="B1725">
        <v>1867.3068659999999</v>
      </c>
      <c r="C1725" s="1">
        <v>4.0000000000000001E-8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1.8334884773790001E-3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 s="1">
        <v>0</v>
      </c>
      <c r="D1726">
        <v>5284.1097820000005</v>
      </c>
      <c r="E1726" s="1">
        <v>-3.9999999999999998E-7</v>
      </c>
      <c r="F1726">
        <v>15286.311240000001</v>
      </c>
      <c r="G1726" s="1">
        <v>3.3999800000000002E-7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2.4142711038409328E-3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 s="1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 s="1">
        <v>-1.6000999999999999E-7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-2.2308347673553057E-3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 s="1">
        <v>0</v>
      </c>
      <c r="D1730">
        <v>538.10452799999996</v>
      </c>
      <c r="E1730" s="1">
        <v>4.0000000000000001E-8</v>
      </c>
      <c r="F1730">
        <v>5502.8343889999996</v>
      </c>
      <c r="G1730" s="1">
        <v>-1.6000899999999999E-7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-4.8572652369473519E-3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3.439E-6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2.0152611612676789E-2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 s="1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 s="1">
        <v>3.0299999999999998E-6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1.7167834980597332E-2</v>
      </c>
      <c r="O1737" s="1"/>
    </row>
    <row r="1738" spans="1:15" x14ac:dyDescent="0.25">
      <c r="A1738">
        <v>3207</v>
      </c>
      <c r="B1738">
        <v>218.09424290000001</v>
      </c>
      <c r="C1738" s="1">
        <v>-2.9999999999999997E-8</v>
      </c>
      <c r="D1738">
        <v>1223.348168</v>
      </c>
      <c r="E1738" s="1">
        <v>1.6999999999999999E-7</v>
      </c>
      <c r="F1738">
        <v>8361.3827369999999</v>
      </c>
      <c r="G1738" s="1">
        <v>-3.0000600000000003E-8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-2.1449610787994994E-3</v>
      </c>
      <c r="M1738" s="1">
        <f t="shared" si="111"/>
        <v>4.0765260297594592E-3</v>
      </c>
      <c r="N1738" s="1">
        <f t="shared" si="112"/>
        <v>-3.3660062424330738E-4</v>
      </c>
      <c r="O1738" s="1"/>
    </row>
    <row r="1739" spans="1:15" x14ac:dyDescent="0.25">
      <c r="A1739">
        <v>3208</v>
      </c>
      <c r="B1739">
        <v>159.48646120000001</v>
      </c>
      <c r="C1739" s="1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 s="1">
        <v>-9.9999999999999995E-8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-3.0241955079700002E-3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2.4839999999999998E-6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6.6642905686239862E-3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 s="1">
        <v>3.1238999999999999E-6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2.6329737330904122E-2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-1.9910000000000001E-6</v>
      </c>
      <c r="F1743">
        <v>64956.561450000001</v>
      </c>
      <c r="G1743" s="1">
        <v>-4.4259999999999996E-6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-1.668148142616601E-2</v>
      </c>
      <c r="N1743" s="1">
        <f t="shared" si="112"/>
        <v>-1.7350757659019476E-2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2.5390000000000002E-6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2.136718146863404E-2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2.2989999999999999E-6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6.966962195605074E-3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-3.1609999999999999E-6</v>
      </c>
      <c r="F1746">
        <v>82161.809399999998</v>
      </c>
      <c r="G1746" s="1">
        <v>-2.5059999999999998E-6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-2.3214634669806038E-2</v>
      </c>
      <c r="N1746" s="1">
        <f t="shared" si="112"/>
        <v>-8.6111687992396751E-3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6.3900400000000005E-7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2.1161923315915735E-3</v>
      </c>
      <c r="O1747" s="1"/>
    </row>
    <row r="1748" spans="1:15" x14ac:dyDescent="0.25">
      <c r="A1748">
        <v>3217</v>
      </c>
      <c r="B1748">
        <v>3145.6921849999999</v>
      </c>
      <c r="C1748" s="1">
        <v>3.9999999999999998E-7</v>
      </c>
      <c r="D1748">
        <v>17990.17985</v>
      </c>
      <c r="E1748" s="1">
        <v>7.59999E-7</v>
      </c>
      <c r="F1748">
        <v>41730.401299999998</v>
      </c>
      <c r="G1748" s="1">
        <v>-4.9010000000000002E-6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3.6070146122009997E-2</v>
      </c>
      <c r="M1748" s="1">
        <f t="shared" si="111"/>
        <v>2.2984976716164472E-2</v>
      </c>
      <c r="N1748" s="1">
        <f t="shared" si="112"/>
        <v>-6.9352069948788633E-2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-2.6309999999999999E-6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-1.1705625659585835E-2</v>
      </c>
      <c r="O1749" s="1"/>
    </row>
    <row r="1750" spans="1:15" x14ac:dyDescent="0.25">
      <c r="A1750">
        <v>3219</v>
      </c>
      <c r="B1750">
        <v>9407.1229899999998</v>
      </c>
      <c r="C1750" s="1">
        <v>9.9999999999999995E-8</v>
      </c>
      <c r="D1750">
        <v>24772.76395</v>
      </c>
      <c r="E1750" s="1">
        <v>3.9899999999999999E-6</v>
      </c>
      <c r="F1750">
        <v>51508.012390000004</v>
      </c>
      <c r="G1750" s="1">
        <v>2.3389900000000001E-6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3.9096424976050002E-3</v>
      </c>
      <c r="M1750" s="1">
        <f t="shared" si="111"/>
        <v>5.2318234419488935E-2</v>
      </c>
      <c r="N1750" s="1">
        <f t="shared" si="112"/>
        <v>1.4350010768588588E-2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-3.5360000000000001E-6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-5.5648915544691466E-3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-2.0710000000000002E-6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-7.8177901765235005E-3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4.3000200000000001E-7</v>
      </c>
      <c r="F1753">
        <v>71941.736069999999</v>
      </c>
      <c r="G1753" s="1">
        <v>-7.9099799999999997E-7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1.7822318787591685E-3</v>
      </c>
      <c r="N1753" s="1">
        <f t="shared" si="112"/>
        <v>-1.5339556225953972E-3</v>
      </c>
      <c r="O1753" s="1"/>
    </row>
    <row r="1754" spans="1:15" x14ac:dyDescent="0.25">
      <c r="A1754">
        <v>3224</v>
      </c>
      <c r="B1754">
        <v>399.66045930000001</v>
      </c>
      <c r="C1754" s="1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 s="1">
        <v>-4.0000900000000002E-7</v>
      </c>
      <c r="F1755">
        <v>33562.514219999997</v>
      </c>
      <c r="G1755" s="1">
        <v>5.6900200000000003E-7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-6.5117499004438617E-3</v>
      </c>
      <c r="N1755" s="1">
        <f t="shared" si="112"/>
        <v>4.3339652050367918E-3</v>
      </c>
      <c r="O1755" s="1"/>
    </row>
    <row r="1756" spans="1:15" x14ac:dyDescent="0.25">
      <c r="A1756">
        <v>3226</v>
      </c>
      <c r="B1756">
        <v>208.8008821</v>
      </c>
      <c r="C1756" s="1">
        <v>0</v>
      </c>
      <c r="D1756">
        <v>3582.878635</v>
      </c>
      <c r="E1756" s="1">
        <v>-1.0000999999999999E-7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-3.3000887235044626E-3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 s="1">
        <v>-3.9999999999999998E-7</v>
      </c>
      <c r="D1757">
        <v>8990.7181220000002</v>
      </c>
      <c r="E1757">
        <v>0</v>
      </c>
      <c r="F1757">
        <v>40619.19642</v>
      </c>
      <c r="G1757" s="1">
        <v>4.5689999999999998E-6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-1.5093568433839999E-2</v>
      </c>
      <c r="M1757" s="1">
        <f t="shared" si="111"/>
        <v>0</v>
      </c>
      <c r="N1757" s="1">
        <f t="shared" si="112"/>
        <v>2.7054524791422792E-2</v>
      </c>
      <c r="O1757" s="1"/>
    </row>
    <row r="1758" spans="1:15" x14ac:dyDescent="0.25">
      <c r="A1758">
        <v>3228</v>
      </c>
      <c r="B1758">
        <v>3432.3291880000002</v>
      </c>
      <c r="C1758" s="1">
        <v>-1.9999999999999999E-7</v>
      </c>
      <c r="D1758">
        <v>10861.60419</v>
      </c>
      <c r="E1758" s="1">
        <v>-4.34E-6</v>
      </c>
      <c r="F1758">
        <v>41812.495430000003</v>
      </c>
      <c r="G1758" s="1">
        <v>2.9390000000000002E-6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-7.5542710681099998E-3</v>
      </c>
      <c r="M1758" s="1">
        <f t="shared" si="111"/>
        <v>-5.4978822638155629E-2</v>
      </c>
      <c r="N1758" s="1">
        <f t="shared" si="112"/>
        <v>1.7420032863506765E-2</v>
      </c>
      <c r="O1758" s="1"/>
    </row>
    <row r="1759" spans="1:15" x14ac:dyDescent="0.25">
      <c r="A1759">
        <v>3229</v>
      </c>
      <c r="B1759">
        <v>751.05322739999997</v>
      </c>
      <c r="C1759" s="1">
        <v>0</v>
      </c>
      <c r="D1759">
        <v>1215.549107</v>
      </c>
      <c r="E1759" s="1">
        <v>-9.9999999999999995E-8</v>
      </c>
      <c r="F1759">
        <v>4468.2026059999998</v>
      </c>
      <c r="G1759" s="1">
        <v>2.9998999999999998E-7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4.0130644787187333E-3</v>
      </c>
      <c r="O1759" s="1"/>
    </row>
    <row r="1760" spans="1:15" x14ac:dyDescent="0.25">
      <c r="A1760">
        <v>3230</v>
      </c>
      <c r="B1760">
        <v>1014.207363</v>
      </c>
      <c r="C1760" s="1">
        <v>9.9999999999999995E-8</v>
      </c>
      <c r="D1760">
        <v>17245.344659999999</v>
      </c>
      <c r="E1760" s="1">
        <v>3.4599999999999999E-6</v>
      </c>
      <c r="F1760">
        <v>44491.007680000002</v>
      </c>
      <c r="G1760" s="1">
        <v>2.08995E-7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5.2000883840749995E-3</v>
      </c>
      <c r="M1760" s="1">
        <f t="shared" si="111"/>
        <v>6.034342563600139E-2</v>
      </c>
      <c r="N1760" s="1">
        <f t="shared" si="112"/>
        <v>1.705428186563615E-3</v>
      </c>
      <c r="O1760" s="1"/>
    </row>
    <row r="1761" spans="1:15" x14ac:dyDescent="0.25">
      <c r="A1761">
        <v>3231</v>
      </c>
      <c r="B1761">
        <v>632.50098209999999</v>
      </c>
      <c r="C1761" s="1">
        <v>0</v>
      </c>
      <c r="D1761">
        <v>20303.63306</v>
      </c>
      <c r="E1761" s="1">
        <v>1.5599000000000001E-6</v>
      </c>
      <c r="F1761">
        <v>45047.585180000002</v>
      </c>
      <c r="G1761" s="1">
        <v>4.9989999999999999E-6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2.2844545183174417E-2</v>
      </c>
      <c r="N1761" s="1">
        <f t="shared" si="112"/>
        <v>3.4254100915108852E-2</v>
      </c>
      <c r="O1761" s="1"/>
    </row>
    <row r="1762" spans="1:15" x14ac:dyDescent="0.25">
      <c r="A1762">
        <v>3232</v>
      </c>
      <c r="B1762">
        <v>376.80598470000001</v>
      </c>
      <c r="C1762" s="1">
        <v>0</v>
      </c>
      <c r="D1762">
        <v>6014.6415939999997</v>
      </c>
      <c r="E1762" s="1">
        <v>4.6000100000000002E-7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1.9889297378290541E-2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 s="1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1.714E-6</v>
      </c>
      <c r="F1764">
        <v>225310.08309999999</v>
      </c>
      <c r="G1764" s="1">
        <v>1.2514000000000001E-5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2.1543069806450089E-2</v>
      </c>
      <c r="N1764" s="1">
        <f t="shared" si="112"/>
        <v>7.359301571223352E-2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-1.0001000000000001E-9</v>
      </c>
      <c r="F1765">
        <v>26323.37528</v>
      </c>
      <c r="G1765" s="1">
        <v>-1.4959999999999999E-6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-5.5842757168732144E-6</v>
      </c>
      <c r="N1765" s="1">
        <f t="shared" si="112"/>
        <v>-3.9083972345385527E-3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3.2339999999999999E-6</v>
      </c>
      <c r="F1766">
        <v>60538.504439999997</v>
      </c>
      <c r="G1766" s="1">
        <v>-4.5859999999999998E-6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3.5915584684255576E-2</v>
      </c>
      <c r="N1766" s="1">
        <f t="shared" si="112"/>
        <v>-2.38298140725599E-2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2.2340000000000001E-6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8.8636993478314486E-3</v>
      </c>
      <c r="O1767" s="1"/>
    </row>
    <row r="1768" spans="1:15" x14ac:dyDescent="0.25">
      <c r="A1768">
        <v>3243</v>
      </c>
      <c r="B1768">
        <v>42.582987459999998</v>
      </c>
      <c r="C1768" s="1">
        <v>0</v>
      </c>
      <c r="D1768">
        <v>463.48874119999999</v>
      </c>
      <c r="E1768" s="1">
        <v>9.9989799999999993E-9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4.3639322990590132E-4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1.7489999999999999E-6</v>
      </c>
      <c r="F1769">
        <v>27613.23645</v>
      </c>
      <c r="G1769" s="1">
        <v>1.6339999999999999E-6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2.9858367160675345E-2</v>
      </c>
      <c r="N1769" s="1">
        <f t="shared" si="112"/>
        <v>1.30518470264409E-2</v>
      </c>
      <c r="O1769" s="1"/>
    </row>
    <row r="1770" spans="1:15" x14ac:dyDescent="0.25">
      <c r="A1770">
        <v>3245</v>
      </c>
      <c r="B1770">
        <v>98.612018980000002</v>
      </c>
      <c r="C1770" s="1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-7.5099899999999996E-7</v>
      </c>
      <c r="F1771">
        <v>49200.93361</v>
      </c>
      <c r="G1771" s="1">
        <v>3.6400199999999998E-7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-1.0909216724128746E-2</v>
      </c>
      <c r="N1771" s="1">
        <f t="shared" si="112"/>
        <v>2.4740111859911699E-3</v>
      </c>
      <c r="O1771" s="1"/>
    </row>
    <row r="1772" spans="1:15" x14ac:dyDescent="0.25">
      <c r="A1772">
        <v>3247</v>
      </c>
      <c r="B1772">
        <v>14888.392610000001</v>
      </c>
      <c r="C1772" s="1">
        <v>2.3999999999999999E-6</v>
      </c>
      <c r="D1772">
        <v>50042.998639999998</v>
      </c>
      <c r="E1772" s="1">
        <v>6.6400400000000002E-7</v>
      </c>
      <c r="F1772">
        <v>123912.1597</v>
      </c>
      <c r="G1772" s="1">
        <v>-1.5859999999999999E-6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0.14230676477783999</v>
      </c>
      <c r="M1772" s="1">
        <f t="shared" si="111"/>
        <v>1.3204687760654348E-2</v>
      </c>
      <c r="N1772" s="1">
        <f t="shared" si="112"/>
        <v>-1.4757211507462009E-2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-2.4509999999999999E-6</v>
      </c>
      <c r="F1773">
        <v>80968.752909999996</v>
      </c>
      <c r="G1773" s="1">
        <v>-2.6259900000000001E-6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-3.0002993293192837E-2</v>
      </c>
      <c r="N1773" s="1">
        <f t="shared" si="112"/>
        <v>-1.5040352667353768E-2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 s="1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 s="1">
        <v>0</v>
      </c>
      <c r="D1776">
        <v>33373.883470000001</v>
      </c>
      <c r="E1776" s="1">
        <v>-6.2100300000000005E-7</v>
      </c>
      <c r="F1776">
        <v>61227.793109999999</v>
      </c>
      <c r="G1776" s="1">
        <v>2.9739999999999998E-6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-8.8623924228470683E-3</v>
      </c>
      <c r="N1776" s="1">
        <f t="shared" si="112"/>
        <v>1.9858293292573381E-2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-3.5659999999999998E-6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-1.5751877775290652E-2</v>
      </c>
      <c r="O1777" s="1"/>
    </row>
    <row r="1778" spans="1:15" x14ac:dyDescent="0.25">
      <c r="A1778">
        <v>3253</v>
      </c>
      <c r="B1778">
        <v>871.32689909999999</v>
      </c>
      <c r="C1778" s="1">
        <v>0</v>
      </c>
      <c r="D1778">
        <v>11605.78254</v>
      </c>
      <c r="E1778" s="1">
        <v>-1.7E-6</v>
      </c>
      <c r="F1778">
        <v>43178.567730000002</v>
      </c>
      <c r="G1778" s="1">
        <v>-1.3209999999999999E-6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-1.6792045947194519E-2</v>
      </c>
      <c r="O1778" s="1"/>
    </row>
    <row r="1779" spans="1:15" x14ac:dyDescent="0.25">
      <c r="A1779">
        <v>3269</v>
      </c>
      <c r="B1779">
        <v>6946.8977640000003</v>
      </c>
      <c r="C1779" s="1">
        <v>0</v>
      </c>
      <c r="D1779">
        <v>32033.316760000002</v>
      </c>
      <c r="E1779" s="1">
        <v>-1.00008E-8</v>
      </c>
      <c r="F1779">
        <v>56168.757769999997</v>
      </c>
      <c r="G1779" s="1">
        <v>-3.6610000000000002E-6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-2.211576076230644E-4</v>
      </c>
      <c r="N1779" s="1">
        <f t="shared" si="112"/>
        <v>-3.7880050400472529E-2</v>
      </c>
      <c r="O1779" s="1"/>
    </row>
    <row r="1780" spans="1:15" x14ac:dyDescent="0.25">
      <c r="A1780">
        <v>3270</v>
      </c>
      <c r="B1780">
        <v>262.35515220000002</v>
      </c>
      <c r="C1780" s="1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-4.69998E-7</v>
      </c>
      <c r="F1781">
        <v>59064.21529</v>
      </c>
      <c r="G1781" s="1">
        <v>3.664E-6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-4.6678662191555571E-3</v>
      </c>
      <c r="N1781" s="1">
        <f t="shared" si="112"/>
        <v>1.7026349110294554E-2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2.9390000000000002E-6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7.9600935157431319E-3</v>
      </c>
      <c r="O1782" s="1"/>
    </row>
    <row r="1783" spans="1:15" x14ac:dyDescent="0.25">
      <c r="A1783">
        <v>3273</v>
      </c>
      <c r="B1783">
        <v>450.40450370000002</v>
      </c>
      <c r="C1783" s="1">
        <v>-1.0200000000000001E-12</v>
      </c>
      <c r="D1783">
        <v>8603.2801789999994</v>
      </c>
      <c r="E1783" s="1">
        <v>3.7000099999999998E-7</v>
      </c>
      <c r="F1783">
        <v>22520.449110000001</v>
      </c>
      <c r="G1783" s="1">
        <v>-6.1000200000000004E-7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-4.8968646962586009E-8</v>
      </c>
      <c r="M1783" s="1">
        <f t="shared" si="111"/>
        <v>5.9574988524392523E-3</v>
      </c>
      <c r="N1783" s="1">
        <f t="shared" si="112"/>
        <v>-4.5955342437648296E-3</v>
      </c>
      <c r="O1783" s="1"/>
    </row>
    <row r="1784" spans="1:15" x14ac:dyDescent="0.25">
      <c r="A1784">
        <v>3274</v>
      </c>
      <c r="B1784">
        <v>1235.3205009999999</v>
      </c>
      <c r="C1784" s="1">
        <v>0</v>
      </c>
      <c r="D1784">
        <v>12750.09037</v>
      </c>
      <c r="E1784" s="1">
        <v>-7.3E-7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-1.165200886439041E-2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 s="1">
        <v>0</v>
      </c>
      <c r="D1785">
        <v>854.56893179999997</v>
      </c>
      <c r="E1785">
        <v>0</v>
      </c>
      <c r="F1785">
        <v>16423.65006</v>
      </c>
      <c r="G1785" s="1">
        <v>4.6739999999999996E-6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8.5140815713390688E-2</v>
      </c>
      <c r="O1785" s="1"/>
    </row>
    <row r="1786" spans="1:15" x14ac:dyDescent="0.25">
      <c r="A1786">
        <v>3278</v>
      </c>
      <c r="B1786">
        <v>800.69543650000003</v>
      </c>
      <c r="C1786" s="1">
        <v>0</v>
      </c>
      <c r="D1786">
        <v>2285.453086</v>
      </c>
      <c r="E1786" s="1">
        <v>-1.36E-7</v>
      </c>
      <c r="F1786">
        <v>48893.733970000001</v>
      </c>
      <c r="G1786" s="1">
        <v>3.6239999999999999E-6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2.2551486219753697E-2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-1.376E-6</v>
      </c>
      <c r="F1787">
        <v>192016.38620000001</v>
      </c>
      <c r="G1787" s="1">
        <v>4.3603999999999998E-5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-1.7184595156923235E-2</v>
      </c>
      <c r="N1787" s="1">
        <f t="shared" si="112"/>
        <v>0.25479498778767412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2.9340000000000002E-6</v>
      </c>
      <c r="F1788">
        <v>79707.522389999998</v>
      </c>
      <c r="G1788" s="1">
        <v>4.2940099999999997E-6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3.3413550498135741E-2</v>
      </c>
      <c r="N1788" s="1">
        <f t="shared" si="112"/>
        <v>2.2880696793366889E-2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-4.8859899999999996E-6</v>
      </c>
      <c r="F1789">
        <v>111162.73299999999</v>
      </c>
      <c r="G1789" s="1">
        <v>-3.4725999999999999E-5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-6.9637092548016602E-2</v>
      </c>
      <c r="N1789" s="1">
        <f t="shared" si="112"/>
        <v>-0.23157223950227523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3.844E-6</v>
      </c>
      <c r="F1790">
        <v>81075.601240000004</v>
      </c>
      <c r="G1790" s="1">
        <v>2.7939999999999998E-6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9.4334778498343805E-2</v>
      </c>
      <c r="N1790" s="1">
        <f t="shared" si="112"/>
        <v>3.2081785810229697E-2</v>
      </c>
      <c r="O1790" s="1"/>
    </row>
    <row r="1791" spans="1:15" x14ac:dyDescent="0.25">
      <c r="A1791">
        <v>3283</v>
      </c>
      <c r="B1791">
        <v>8803.1411459999999</v>
      </c>
      <c r="C1791" s="1">
        <v>3.9999999999999998E-7</v>
      </c>
      <c r="D1791">
        <v>19189.444299999999</v>
      </c>
      <c r="E1791" s="1">
        <v>-2.4360000000000001E-6</v>
      </c>
      <c r="F1791">
        <v>74933.915120000005</v>
      </c>
      <c r="G1791" s="1">
        <v>4.6240000000000001E-6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2.7097849006670002E-2</v>
      </c>
      <c r="M1791" s="1">
        <f t="shared" si="111"/>
        <v>-5.5347148151131113E-2</v>
      </c>
      <c r="N1791" s="1">
        <f t="shared" si="112"/>
        <v>4.9156331878068824E-2</v>
      </c>
      <c r="O1791" s="1"/>
    </row>
    <row r="1792" spans="1:15" x14ac:dyDescent="0.25">
      <c r="A1792">
        <v>3284</v>
      </c>
      <c r="B1792">
        <v>156.1104119</v>
      </c>
      <c r="C1792" s="1">
        <v>0</v>
      </c>
      <c r="D1792">
        <v>2633.8813260000002</v>
      </c>
      <c r="E1792" s="1">
        <v>1.9999999999999999E-7</v>
      </c>
      <c r="F1792">
        <v>16121.303550000001</v>
      </c>
      <c r="G1792" s="1">
        <v>-3.236E-6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-5.5516061015959212E-2</v>
      </c>
      <c r="O1792" s="1"/>
    </row>
    <row r="1793" spans="1:15" x14ac:dyDescent="0.25">
      <c r="A1793">
        <v>3287</v>
      </c>
      <c r="B1793">
        <v>151.31649250000001</v>
      </c>
      <c r="C1793" s="1">
        <v>0</v>
      </c>
      <c r="D1793">
        <v>4991.5616749999999</v>
      </c>
      <c r="E1793" s="1">
        <v>-4.9999999999999998E-7</v>
      </c>
      <c r="F1793">
        <v>43356.593200000003</v>
      </c>
      <c r="G1793" s="1">
        <v>-1.25101E-6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-8.159471899645214E-3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-3.0359999999999998E-6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-2.6431960502015642E-2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1.1090000000000001E-6</v>
      </c>
      <c r="F1795">
        <v>82618.278219999993</v>
      </c>
      <c r="G1795" s="1">
        <v>4.6400199999999997E-7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8.5448657571660872E-3</v>
      </c>
      <c r="N1795" s="1">
        <f t="shared" ref="N1795:N1858" si="116">$U$4*$K1795*G1795</f>
        <v>1.6727738424887739E-3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3.9389999999999999E-6</v>
      </c>
      <c r="F1796">
        <v>64674.503299999997</v>
      </c>
      <c r="G1796" s="1">
        <v>-1.2599799999999999E-7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4.136741656408742E-2</v>
      </c>
      <c r="N1796" s="1">
        <f t="shared" si="116"/>
        <v>-6.191270064919756E-4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-2.0000199999999999E-7</v>
      </c>
      <c r="F1797">
        <v>48678.488619999996</v>
      </c>
      <c r="G1797" s="1">
        <v>-3.1609999999999999E-6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-3.4056386033894733E-3</v>
      </c>
      <c r="N1797" s="1">
        <f t="shared" si="116"/>
        <v>-2.5184445627608881E-2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4.3089999999999997E-6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3.7749031659066554E-2</v>
      </c>
      <c r="O1798" s="1"/>
    </row>
    <row r="1799" spans="1:15" x14ac:dyDescent="0.25">
      <c r="A1799">
        <v>3293</v>
      </c>
      <c r="B1799">
        <v>5221.4538279999997</v>
      </c>
      <c r="C1799" s="1">
        <v>0</v>
      </c>
      <c r="D1799">
        <v>12939.958060000001</v>
      </c>
      <c r="E1799" s="1">
        <v>-3.4999999999999999E-6</v>
      </c>
      <c r="F1799">
        <v>37649.661319999999</v>
      </c>
      <c r="G1799" s="1">
        <v>1.1090000000000001E-6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1.0886216661081102E-2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3.3390000000000001E-6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2.5749077628885283E-2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-3.5609999999999999E-6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-1.8517653503420509E-2</v>
      </c>
      <c r="O1801" s="1"/>
    </row>
    <row r="1802" spans="1:15" x14ac:dyDescent="0.25">
      <c r="A1802">
        <v>3298</v>
      </c>
      <c r="B1802">
        <v>409.080172</v>
      </c>
      <c r="C1802" s="1">
        <v>-1.0200000000000001E-12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-4.7242160862838508E-8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5.2000500000000003E-7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3.1763022216111311E-3</v>
      </c>
      <c r="O1803" s="1"/>
    </row>
    <row r="1804" spans="1:15" x14ac:dyDescent="0.25">
      <c r="A1804">
        <v>3300</v>
      </c>
      <c r="B1804">
        <v>212.3415914</v>
      </c>
      <c r="C1804" s="1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 s="1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 s="1">
        <v>-2.9999999999999999E-7</v>
      </c>
      <c r="D1806">
        <v>17400.249210000002</v>
      </c>
      <c r="E1806" s="1">
        <v>-3.0299999999999998E-6</v>
      </c>
      <c r="F1806">
        <v>31078.289219999999</v>
      </c>
      <c r="G1806" s="1">
        <v>3.9299000000000003E-6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-1.3831736566439998E-2</v>
      </c>
      <c r="M1806" s="1">
        <f t="shared" si="115"/>
        <v>-4.6853411649211675E-2</v>
      </c>
      <c r="N1806" s="1">
        <f t="shared" si="116"/>
        <v>2.8433070955436728E-2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1.6999900000000001E-7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1.2999560246792535E-3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 s="1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-8.2999899999999997E-7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-1.5419478488043909E-2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 s="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 s="1">
        <v>-2.3644000000000002E-6</v>
      </c>
      <c r="F1812">
        <v>129625.4795</v>
      </c>
      <c r="G1812" s="1">
        <v>1.3705E-5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-1.7386359995754542E-2</v>
      </c>
      <c r="N1812" s="1">
        <f t="shared" si="116"/>
        <v>4.7153120099645576E-2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4.9569599999999997E-7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2.4143634761997607E-3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-7.6429600000000003E-7</v>
      </c>
      <c r="F1814">
        <v>115380.0763</v>
      </c>
      <c r="G1814" s="1">
        <v>3.1949999999999999E-6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-9.9517497932195692E-3</v>
      </c>
      <c r="N1814" s="1">
        <f t="shared" si="116"/>
        <v>1.9464910108511719E-2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-4.6949999999999999E-6</v>
      </c>
      <c r="F1815">
        <v>109939.3401</v>
      </c>
      <c r="G1815" s="1">
        <v>3.3265000000000001E-5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-4.3613611206706399E-2</v>
      </c>
      <c r="N1815" s="1">
        <f t="shared" si="116"/>
        <v>0.14458314157427971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1.7356900000000001E-6</v>
      </c>
      <c r="F1816">
        <v>136709.4417</v>
      </c>
      <c r="G1816" s="1">
        <v>2.7073999999999999E-5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1.2498288818669495E-2</v>
      </c>
      <c r="N1816" s="1">
        <f t="shared" si="116"/>
        <v>9.1216729688653297E-2</v>
      </c>
      <c r="O1816" s="1"/>
    </row>
    <row r="1817" spans="1:15" x14ac:dyDescent="0.25">
      <c r="A1817">
        <v>3405</v>
      </c>
      <c r="B1817">
        <v>3325.034971</v>
      </c>
      <c r="C1817" s="1">
        <v>1.1999999999999999E-7</v>
      </c>
      <c r="D1817">
        <v>36077.549149999999</v>
      </c>
      <c r="E1817" s="1">
        <v>-3.3749999999999999E-6</v>
      </c>
      <c r="F1817">
        <v>100951.6456</v>
      </c>
      <c r="G1817" s="1">
        <v>2.9743999999999998E-5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3.2836610103452999E-3</v>
      </c>
      <c r="M1817" s="1">
        <f t="shared" si="115"/>
        <v>-3.0973763953353262E-2</v>
      </c>
      <c r="N1817" s="1">
        <f t="shared" si="116"/>
        <v>0.12772127865839078</v>
      </c>
      <c r="O1817" s="1"/>
    </row>
    <row r="1818" spans="1:15" x14ac:dyDescent="0.25">
      <c r="A1818">
        <v>3408</v>
      </c>
      <c r="B1818">
        <v>163.77842770000001</v>
      </c>
      <c r="C1818" s="1">
        <v>0</v>
      </c>
      <c r="D1818">
        <v>1848.6714689999999</v>
      </c>
      <c r="E1818" s="1">
        <v>-9.9999900000000003E-8</v>
      </c>
      <c r="F1818">
        <v>33453.032370000001</v>
      </c>
      <c r="G1818" s="1">
        <v>2.5306E-6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-1.7486328631204885E-3</v>
      </c>
      <c r="N1818" s="1">
        <f t="shared" si="116"/>
        <v>2.0704571759071585E-2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2.8306999999999999E-6</v>
      </c>
      <c r="F1819">
        <v>94727.077170000004</v>
      </c>
      <c r="G1819" s="1">
        <v>9.2569099999999995E-7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3.7186640181834332E-2</v>
      </c>
      <c r="N1819" s="1">
        <f t="shared" si="116"/>
        <v>5.6898761870250343E-3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 s="1">
        <v>4.7306000000000001E-6</v>
      </c>
      <c r="F1820">
        <v>152843.17050000001</v>
      </c>
      <c r="G1820" s="1">
        <v>-1.7450100000000001E-6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5.5872328253216141E-2</v>
      </c>
      <c r="N1820" s="1">
        <f t="shared" si="116"/>
        <v>-9.6432214463599286E-3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-1.0693000000000001E-6</v>
      </c>
      <c r="F1821">
        <v>100669.2387</v>
      </c>
      <c r="G1821" s="1">
        <v>-1.5795E-5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-9.663915456070973E-3</v>
      </c>
      <c r="N1821" s="1">
        <f t="shared" si="116"/>
        <v>-6.6790833547632489E-2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1.2000099999999999E-7</v>
      </c>
      <c r="F1822">
        <v>56292.682509999999</v>
      </c>
      <c r="G1822" s="1">
        <v>3.6505999999999998E-6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1.1680335669998416E-3</v>
      </c>
      <c r="N1822" s="1">
        <f t="shared" si="116"/>
        <v>1.6625640529767047E-2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6.2000100000000002E-7</v>
      </c>
      <c r="F1823">
        <v>92234.156900000002</v>
      </c>
      <c r="G1823" s="1">
        <v>2.2357E-6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2.6234693560800146E-2</v>
      </c>
      <c r="N1823" s="1">
        <f t="shared" si="116"/>
        <v>4.4262996440090463E-2</v>
      </c>
      <c r="O1823" s="1"/>
    </row>
    <row r="1824" spans="1:15" x14ac:dyDescent="0.25">
      <c r="A1824">
        <v>3416</v>
      </c>
      <c r="B1824">
        <v>22107.82531</v>
      </c>
      <c r="C1824" s="1">
        <v>-1.1400000000000001E-6</v>
      </c>
      <c r="D1824">
        <v>77992.82733</v>
      </c>
      <c r="E1824" s="1">
        <v>1.0240000000000001E-6</v>
      </c>
      <c r="F1824">
        <v>286877.50719999999</v>
      </c>
      <c r="G1824" s="1">
        <v>2.7073999999999999E-5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-1.0006138495928253E-2</v>
      </c>
      <c r="M1824" s="1">
        <f t="shared" si="115"/>
        <v>3.0144268673725446E-3</v>
      </c>
      <c r="N1824" s="1">
        <f t="shared" si="116"/>
        <v>3.7290731108169592E-2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-2.2676000000000001E-5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-3.6285491741223044E-2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2.5239999999999999E-6</v>
      </c>
      <c r="F1826">
        <v>238079.80609999999</v>
      </c>
      <c r="G1826" s="1">
        <v>9.0030100000000007E-6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1.3342395119488802E-2</v>
      </c>
      <c r="N1826" s="1">
        <f t="shared" si="116"/>
        <v>2.226772543552594E-2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-3.7450000000000001E-6</v>
      </c>
      <c r="F1827">
        <v>131962.5827</v>
      </c>
      <c r="G1827" s="1">
        <v>1.0564000000000001E-5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-2.5283540231593082E-2</v>
      </c>
      <c r="N1827" s="1">
        <f t="shared" si="116"/>
        <v>3.3370148012234084E-2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3.8824E-5</v>
      </c>
      <c r="F1828">
        <v>393577.44270000001</v>
      </c>
      <c r="G1828" s="1">
        <v>-1.5226E-5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6.7763954078576841E-2</v>
      </c>
      <c r="N1828" s="1">
        <f t="shared" si="116"/>
        <v>-1.2434489638684895E-2</v>
      </c>
      <c r="O1828" s="1"/>
    </row>
    <row r="1829" spans="1:15" x14ac:dyDescent="0.25">
      <c r="A1829">
        <v>3421</v>
      </c>
      <c r="B1829">
        <v>2424.961198</v>
      </c>
      <c r="C1829" s="1">
        <v>-1.9999999999999999E-7</v>
      </c>
      <c r="D1829">
        <v>27103.883010000001</v>
      </c>
      <c r="E1829" s="1">
        <v>-4.5449999999999997E-6</v>
      </c>
      <c r="F1829">
        <v>81046.896970000002</v>
      </c>
      <c r="G1829" s="1">
        <v>3.2399799999999999E-7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-2.9973755118255E-3</v>
      </c>
      <c r="M1829" s="1">
        <f t="shared" si="115"/>
        <v>-2.2844843314398639E-2</v>
      </c>
      <c r="N1829" s="1">
        <f t="shared" si="116"/>
        <v>7.6197426500157473E-4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3.7239999999999998E-6</v>
      </c>
      <c r="F1830">
        <v>176913.0575</v>
      </c>
      <c r="G1830" s="1">
        <v>1.3134E-5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3.0927928654231523E-2</v>
      </c>
      <c r="N1830" s="1">
        <f t="shared" si="116"/>
        <v>5.1036613886071308E-2</v>
      </c>
      <c r="O1830" s="1"/>
    </row>
    <row r="1831" spans="1:15" x14ac:dyDescent="0.25">
      <c r="A1831">
        <v>3423</v>
      </c>
      <c r="B1831">
        <v>3244.909564</v>
      </c>
      <c r="C1831" s="1">
        <v>0</v>
      </c>
      <c r="D1831">
        <v>33291.622380000001</v>
      </c>
      <c r="E1831" s="1">
        <v>-2.6450000000000001E-6</v>
      </c>
      <c r="F1831">
        <v>72213.408320000002</v>
      </c>
      <c r="G1831" s="1">
        <v>2.3996100000000001E-8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-2.2887737339615161E-2</v>
      </c>
      <c r="N1831" s="1">
        <f t="shared" si="116"/>
        <v>9.7154187866086645E-5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 s="1">
        <v>-4.5750999999999996E-6</v>
      </c>
      <c r="F1832">
        <v>136703.69279999999</v>
      </c>
      <c r="G1832" s="1">
        <v>-3.6936E-5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-4.5993967836746849E-2</v>
      </c>
      <c r="N1832" s="1">
        <f t="shared" si="116"/>
        <v>-0.17373760316247597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 s="1">
        <v>-3.0149999999999999E-6</v>
      </c>
      <c r="F1833">
        <v>65456.690399999999</v>
      </c>
      <c r="G1833" s="1">
        <v>4.0439999999999997E-6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-2.3064301826538687E-2</v>
      </c>
      <c r="N1833" s="1">
        <f t="shared" si="116"/>
        <v>1.4474641672106273E-2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3.5500100000000002E-7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3.7913894815583267E-3</v>
      </c>
      <c r="O1834" s="1"/>
    </row>
    <row r="1835" spans="1:15" x14ac:dyDescent="0.25">
      <c r="A1835">
        <v>3429</v>
      </c>
      <c r="B1835">
        <v>7539.8056779999997</v>
      </c>
      <c r="C1835" s="1">
        <v>0</v>
      </c>
      <c r="D1835">
        <v>38577.121090000001</v>
      </c>
      <c r="E1835" s="1">
        <v>-3.5250999999999999E-6</v>
      </c>
      <c r="F1835">
        <v>101357.433</v>
      </c>
      <c r="G1835" s="1">
        <v>1.5654E-5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-3.3970808708359251E-2</v>
      </c>
      <c r="N1835" s="1">
        <f t="shared" si="116"/>
        <v>7.0583542598579269E-2</v>
      </c>
      <c r="O1835" s="1"/>
    </row>
    <row r="1836" spans="1:15" x14ac:dyDescent="0.25">
      <c r="A1836">
        <v>3430</v>
      </c>
      <c r="B1836">
        <v>5968.2463180000004</v>
      </c>
      <c r="C1836" s="1">
        <v>0</v>
      </c>
      <c r="D1836">
        <v>36832.250590000003</v>
      </c>
      <c r="E1836" s="1">
        <v>-2.5102100000000001E-8</v>
      </c>
      <c r="F1836">
        <v>90938.625639999998</v>
      </c>
      <c r="G1836" s="1">
        <v>1.8840099999999999E-6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-2.5742558488674335E-4</v>
      </c>
      <c r="N1836" s="1">
        <f t="shared" si="116"/>
        <v>9.040002167041962E-3</v>
      </c>
      <c r="O1836" s="1"/>
    </row>
    <row r="1837" spans="1:15" x14ac:dyDescent="0.25">
      <c r="A1837">
        <v>3431</v>
      </c>
      <c r="B1837">
        <v>3494.073288</v>
      </c>
      <c r="C1837" s="1">
        <v>2E-8</v>
      </c>
      <c r="D1837">
        <v>32211.653490000001</v>
      </c>
      <c r="E1837" s="1">
        <v>-1.575E-6</v>
      </c>
      <c r="F1837">
        <v>91973.360889999996</v>
      </c>
      <c r="G1837" s="1">
        <v>-3.1552899999999998E-6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4.5125266971460004E-4</v>
      </c>
      <c r="M1837" s="1">
        <f t="shared" si="115"/>
        <v>-1.1918277242039069E-2</v>
      </c>
      <c r="N1837" s="1">
        <f t="shared" si="116"/>
        <v>-1.1171613053448123E-2</v>
      </c>
      <c r="O1837" s="1"/>
    </row>
    <row r="1838" spans="1:15" x14ac:dyDescent="0.25">
      <c r="A1838">
        <v>3432</v>
      </c>
      <c r="B1838">
        <v>767.78060540000001</v>
      </c>
      <c r="C1838" s="1">
        <v>0</v>
      </c>
      <c r="D1838">
        <v>26779.670620000001</v>
      </c>
      <c r="E1838" s="1">
        <v>-6.2500099999999997E-7</v>
      </c>
      <c r="F1838">
        <v>61501.269659999998</v>
      </c>
      <c r="G1838" s="1">
        <v>3.9339999999999999E-6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-9.7201723806628008E-3</v>
      </c>
      <c r="N1838" s="1">
        <f t="shared" si="116"/>
        <v>2.8626700111729738E-2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-4.0049999999999998E-6</v>
      </c>
      <c r="F1839">
        <v>81258.623749999999</v>
      </c>
      <c r="G1839" s="1">
        <v>2.96471E-6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-2.1088486609284304E-2</v>
      </c>
      <c r="N1839" s="1">
        <f t="shared" si="116"/>
        <v>7.3041349778510244E-3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-3.3249999999999999E-6</v>
      </c>
      <c r="F1840">
        <v>111162.71060000001</v>
      </c>
      <c r="G1840" s="1">
        <v>6.2539899999999999E-6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-3.2789787507506822E-2</v>
      </c>
      <c r="N1840" s="1">
        <f t="shared" si="116"/>
        <v>2.885677633131738E-2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-2.0250000000000001E-6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-4.2726796698997578E-3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-3.4850000000000001E-6</v>
      </c>
      <c r="F1842">
        <v>173296.1452</v>
      </c>
      <c r="G1842" s="1">
        <v>3.5240099999999999E-6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-2.240662651958469E-2</v>
      </c>
      <c r="N1842" s="1">
        <f t="shared" si="116"/>
        <v>1.0601187190147458E-2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-1.9449900000000002E-6</v>
      </c>
      <c r="F1843">
        <v>171562.5491</v>
      </c>
      <c r="G1843" s="1">
        <v>-2.2065999999999998E-5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-1.2041319167978619E-2</v>
      </c>
      <c r="N1843" s="1">
        <f t="shared" si="116"/>
        <v>-6.3918119183704797E-2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-1.5450100000000001E-6</v>
      </c>
      <c r="F1844">
        <v>161080.2893</v>
      </c>
      <c r="G1844" s="1">
        <v>3.6393999999999997E-5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-1.641571462422943E-2</v>
      </c>
      <c r="N1844" s="1">
        <f t="shared" si="116"/>
        <v>0.18092641079514701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-3.4649999999999999E-6</v>
      </c>
      <c r="F1845">
        <v>192394.73540000001</v>
      </c>
      <c r="G1845" s="1">
        <v>4.8324E-5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-2.9049787828055607E-2</v>
      </c>
      <c r="N1845" s="1">
        <f t="shared" si="116"/>
        <v>0.18955981650621795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-2.9160000000000001E-6</v>
      </c>
      <c r="F1846">
        <v>340117.02549999999</v>
      </c>
      <c r="G1846" s="1">
        <v>-4.8375999999999999E-5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-1.6662521428554095E-2</v>
      </c>
      <c r="N1846" s="1">
        <f t="shared" si="116"/>
        <v>-0.12933820669263657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4.4399300000000002E-7</v>
      </c>
      <c r="F1847">
        <v>307418.65500000003</v>
      </c>
      <c r="G1847" s="1">
        <v>2.8024000000000001E-5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3.089226595451276E-3</v>
      </c>
      <c r="N1847" s="1">
        <f t="shared" si="116"/>
        <v>9.1232052271120287E-2</v>
      </c>
      <c r="O1847" s="1"/>
    </row>
    <row r="1848" spans="1:15" x14ac:dyDescent="0.25">
      <c r="A1848">
        <v>3444</v>
      </c>
      <c r="B1848">
        <v>2193.3580029999998</v>
      </c>
      <c r="C1848" s="1">
        <v>3.9999999999999998E-7</v>
      </c>
      <c r="D1848">
        <v>45313.805740000003</v>
      </c>
      <c r="E1848" s="1">
        <v>-9.4500099999999998E-7</v>
      </c>
      <c r="F1848">
        <v>115976.8977</v>
      </c>
      <c r="G1848" s="1">
        <v>3.8664000000000001E-5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1.206400529906E-2</v>
      </c>
      <c r="M1848" s="1">
        <f t="shared" si="115"/>
        <v>-9.5588783138942524E-3</v>
      </c>
      <c r="N1848" s="1">
        <f t="shared" si="116"/>
        <v>0.18298905957712036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4.3999899999999999E-7</v>
      </c>
      <c r="F1849">
        <v>90327.48014</v>
      </c>
      <c r="G1849" s="1">
        <v>8.1560600000000003E-7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3.9357283442154768E-3</v>
      </c>
      <c r="N1849" s="1">
        <f t="shared" si="116"/>
        <v>3.4134811992696692E-3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-1.68431E-6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-6.1562776106802199E-3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 s="1">
        <v>3.2200000000000001E-6</v>
      </c>
      <c r="F1851">
        <v>80113.91347</v>
      </c>
      <c r="G1851" s="1">
        <v>-2.9843099999999998E-6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1.4354315499937407E-2</v>
      </c>
      <c r="N1851" s="1">
        <f t="shared" si="116"/>
        <v>-6.2246398420722779E-3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 s="1">
        <v>1.8065000000000001E-5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0.10534594009595158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3.9049999999999999E-6</v>
      </c>
      <c r="F1853">
        <v>169485.3279</v>
      </c>
      <c r="G1853" s="1">
        <v>9.7040000000000006E-6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3.0417888282432682E-2</v>
      </c>
      <c r="N1853" s="1">
        <f t="shared" si="116"/>
        <v>3.536734739637272E-2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1.9447000000000002E-6</v>
      </c>
      <c r="F1854">
        <v>267560.40649999998</v>
      </c>
      <c r="G1854" s="1">
        <v>-3.9326000000000003E-5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1.1271251702401397E-2</v>
      </c>
      <c r="N1854" s="1">
        <f t="shared" si="116"/>
        <v>-0.10664561108635658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-3.0450000000000001E-6</v>
      </c>
      <c r="F1855">
        <v>228877.98420000001</v>
      </c>
      <c r="G1855" s="1">
        <v>-4.2595999999999997E-5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-8.6298863456544372E-3</v>
      </c>
      <c r="N1855" s="1">
        <f t="shared" si="116"/>
        <v>-5.6484628365810453E-2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 s="1">
        <v>8.6840000000000002E-6</v>
      </c>
      <c r="F1856">
        <v>414694.20419999998</v>
      </c>
      <c r="G1856" s="1">
        <v>4.7633999999999998E-5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3.680381380980112E-2</v>
      </c>
      <c r="N1856" s="1">
        <f t="shared" si="116"/>
        <v>9.445691139015483E-2</v>
      </c>
      <c r="O1856" s="1"/>
    </row>
    <row r="1857" spans="1:15" x14ac:dyDescent="0.25">
      <c r="A1857">
        <v>3457</v>
      </c>
      <c r="B1857">
        <v>12880.1101</v>
      </c>
      <c r="C1857" s="1">
        <v>4.8500000000000002E-7</v>
      </c>
      <c r="D1857">
        <v>83167.117710000006</v>
      </c>
      <c r="E1857" s="1">
        <v>-4.1459999999999998E-6</v>
      </c>
      <c r="F1857">
        <v>270190.18949999998</v>
      </c>
      <c r="G1857" s="1">
        <v>2.6024E-5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4.4319899280598502E-3</v>
      </c>
      <c r="M1857" s="1">
        <f t="shared" si="115"/>
        <v>-1.2706602990320311E-2</v>
      </c>
      <c r="N1857" s="1">
        <f t="shared" si="116"/>
        <v>3.7317959716284266E-2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-4.9949999999999996E-6</v>
      </c>
      <c r="F1858">
        <v>178960.1825</v>
      </c>
      <c r="G1858" s="1">
        <v>2.0324000000000001E-5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-2.9813828734293796E-2</v>
      </c>
      <c r="N1858" s="1">
        <f t="shared" si="116"/>
        <v>5.6759050821436383E-2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-2.54599E-6</v>
      </c>
      <c r="F1859">
        <v>243036.52009999999</v>
      </c>
      <c r="G1859" s="1">
        <v>3.2873999999999997E-5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-2.7158728992177847E-2</v>
      </c>
      <c r="N1859" s="1">
        <f t="shared" ref="N1859:N1922" si="120">$U$4*$K1859*G1859</f>
        <v>0.16407747985969942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2.5849999999999998E-6</v>
      </c>
      <c r="F1860">
        <v>169277.79810000001</v>
      </c>
      <c r="G1860" s="1">
        <v>4.7024000000000002E-5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1.466880918328904E-2</v>
      </c>
      <c r="N1860" s="1">
        <f t="shared" si="120"/>
        <v>0.12485259075749003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 s="1">
        <v>-4.2000999999999998E-6</v>
      </c>
      <c r="F1861">
        <v>84220.888479999994</v>
      </c>
      <c r="G1861" s="1">
        <v>3.9056999999999997E-6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-4.694212609417836E-2</v>
      </c>
      <c r="N1861" s="1">
        <f t="shared" si="120"/>
        <v>2.0424229646318282E-2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2.96569E-6</v>
      </c>
      <c r="F1862">
        <v>162370.79639999999</v>
      </c>
      <c r="G1862" s="1">
        <v>2.2204E-5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3.3985062205439086E-2</v>
      </c>
      <c r="N1862" s="1">
        <f t="shared" si="120"/>
        <v>0.11905214186951139</v>
      </c>
      <c r="O1862" s="1"/>
    </row>
    <row r="1863" spans="1:15" x14ac:dyDescent="0.25">
      <c r="A1863">
        <v>3465</v>
      </c>
      <c r="B1863">
        <v>6496.8582100000003</v>
      </c>
      <c r="C1863" s="1">
        <v>-9.9999999999999995E-8</v>
      </c>
      <c r="D1863">
        <v>29057.965800000002</v>
      </c>
      <c r="E1863" s="1">
        <v>3.4999999999999999E-6</v>
      </c>
      <c r="F1863">
        <v>98455.541750000004</v>
      </c>
      <c r="G1863" s="1">
        <v>2.0155999999999998E-6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-2.1647565351392496E-3</v>
      </c>
      <c r="M1863" s="1">
        <f t="shared" si="119"/>
        <v>2.5410911327865351E-2</v>
      </c>
      <c r="N1863" s="1">
        <f t="shared" si="120"/>
        <v>6.8469983656480092E-3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-3.3349999999999998E-6</v>
      </c>
      <c r="F1864">
        <v>139112.81409999999</v>
      </c>
      <c r="G1864" s="1">
        <v>-2.1455999999999999E-5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-1.52754747518854E-2</v>
      </c>
      <c r="N1864" s="1">
        <f t="shared" si="120"/>
        <v>-4.598236634003855E-2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 s="1">
        <v>-2.3000999999999998E-6</v>
      </c>
      <c r="F1865">
        <v>118923.0619</v>
      </c>
      <c r="G1865" s="1">
        <v>-6.0650100000000002E-6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-1.867563105923976E-2</v>
      </c>
      <c r="N1865" s="1">
        <f t="shared" si="120"/>
        <v>-2.3041129626436615E-2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2.1849999999999998E-6</v>
      </c>
      <c r="F1866">
        <v>145555.60440000001</v>
      </c>
      <c r="G1866" s="1">
        <v>4.5763999999999998E-5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1.8456723494504373E-2</v>
      </c>
      <c r="N1866" s="1">
        <f t="shared" si="120"/>
        <v>0.18087178298292111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-2.4692999999999998E-6</v>
      </c>
      <c r="F1867">
        <v>164122.42629999999</v>
      </c>
      <c r="G1867" s="1">
        <v>-3.1304999999999999E-5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-1.8873491576671605E-2</v>
      </c>
      <c r="N1867" s="1">
        <f t="shared" si="120"/>
        <v>-0.11195301177057175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8.0000099999999999E-7</v>
      </c>
      <c r="F1868">
        <v>69356.356419999996</v>
      </c>
      <c r="G1868" s="1">
        <v>1.3157E-6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1.2458044861441411E-2</v>
      </c>
      <c r="N1868" s="1">
        <f t="shared" si="120"/>
        <v>9.5864963980047506E-3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3.5306999999999999E-6</v>
      </c>
      <c r="F1869">
        <v>132105.2163</v>
      </c>
      <c r="G1869" s="1">
        <v>-1.7774999999999998E-5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2.9049141235910382E-2</v>
      </c>
      <c r="N1869" s="1">
        <f t="shared" si="120"/>
        <v>-6.8426727134660401E-2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 s="1">
        <v>8.1550000000000007E-6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3.1005828587809106E-2</v>
      </c>
      <c r="O1870" s="1"/>
    </row>
    <row r="1871" spans="1:15" x14ac:dyDescent="0.25">
      <c r="A1871">
        <v>3477</v>
      </c>
      <c r="B1871">
        <v>1581.625937</v>
      </c>
      <c r="C1871" s="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 s="1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 s="1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 s="1">
        <v>0</v>
      </c>
      <c r="D1874">
        <v>16634.632269999998</v>
      </c>
      <c r="E1874" s="1">
        <v>-2.4001000000000001E-6</v>
      </c>
      <c r="F1874">
        <v>53119.692730000002</v>
      </c>
      <c r="G1874" s="1">
        <v>-7.6930200000000004E-7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-0.26564681612377333</v>
      </c>
      <c r="N1874" s="1">
        <f t="shared" si="120"/>
        <v>-3.9839677833837218E-2</v>
      </c>
      <c r="O1874" s="1"/>
    </row>
    <row r="1875" spans="1:15" x14ac:dyDescent="0.25">
      <c r="A1875">
        <v>3481</v>
      </c>
      <c r="B1875">
        <v>245.5219664</v>
      </c>
      <c r="C1875" s="1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 s="1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 s="1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 s="1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 s="1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-1.3893E-6</v>
      </c>
      <c r="F1880">
        <v>127583.5472</v>
      </c>
      <c r="G1880" s="1">
        <v>-4.7135000000000002E-5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-1.6894364660660913E-2</v>
      </c>
      <c r="N1880" s="1">
        <f t="shared" si="120"/>
        <v>-0.26818409503494184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1.2106999999999999E-6</v>
      </c>
      <c r="F1881">
        <v>103640.94070000001</v>
      </c>
      <c r="G1881" s="1">
        <v>2.9425E-5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1.0125111708603397E-2</v>
      </c>
      <c r="N1881" s="1">
        <f t="shared" si="120"/>
        <v>0.11513925913894991</v>
      </c>
      <c r="O1881" s="1"/>
    </row>
    <row r="1882" spans="1:15" x14ac:dyDescent="0.25">
      <c r="A1882">
        <v>3489</v>
      </c>
      <c r="B1882">
        <v>10670.788</v>
      </c>
      <c r="C1882" s="1">
        <v>-2.3E-6</v>
      </c>
      <c r="D1882">
        <v>57049.462489999998</v>
      </c>
      <c r="E1882" s="1">
        <v>-8.8929700000000003E-7</v>
      </c>
      <c r="F1882">
        <v>140601.3591</v>
      </c>
      <c r="G1882" s="1">
        <v>-1.0755E-5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-6.5636769204535747E-2</v>
      </c>
      <c r="M1882" s="1">
        <f t="shared" si="119"/>
        <v>-8.5115631194891996E-3</v>
      </c>
      <c r="N1882" s="1">
        <f t="shared" si="120"/>
        <v>-4.8163339254225931E-2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4.3306999999999999E-6</v>
      </c>
      <c r="F1883">
        <v>135231.6347</v>
      </c>
      <c r="G1883" s="1">
        <v>3.6745000000000001E-5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2.5792254083463705E-2</v>
      </c>
      <c r="N1883" s="1">
        <f t="shared" si="120"/>
        <v>0.10239367450002378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-1.3893E-6</v>
      </c>
      <c r="F1884">
        <v>112989.5834</v>
      </c>
      <c r="G1884" s="1">
        <v>2.6384999999999999E-5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-2.1732690365598328E-2</v>
      </c>
      <c r="N1884" s="1">
        <f t="shared" si="120"/>
        <v>0.19311598937430643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6.9569800000000001E-7</v>
      </c>
      <c r="F1885">
        <v>118468.28049999999</v>
      </c>
      <c r="G1885" s="1">
        <v>-2.0216000000000001E-5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5.3216510553084802E-3</v>
      </c>
      <c r="N1885" s="1">
        <f t="shared" si="120"/>
        <v>-7.2354333338405061E-2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-1.8693E-6</v>
      </c>
      <c r="F1886">
        <v>92762.266759999999</v>
      </c>
      <c r="G1886" s="1">
        <v>-1.4842999999999999E-6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-1.0038891979194836E-2</v>
      </c>
      <c r="N1886" s="1">
        <f t="shared" si="120"/>
        <v>-3.7296848871979432E-3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-4.7043E-6</v>
      </c>
      <c r="F1887">
        <v>121507.3744</v>
      </c>
      <c r="G1887" s="1">
        <v>-5.4360000000000001E-6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-3.4033554413044495E-2</v>
      </c>
      <c r="N1887" s="1">
        <f t="shared" si="120"/>
        <v>-1.8400745777296477E-2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-1.3893E-6</v>
      </c>
      <c r="F1888">
        <v>123008.9311</v>
      </c>
      <c r="G1888" s="1">
        <v>1.8394999999999999E-5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-1.4608341244051862E-2</v>
      </c>
      <c r="N1888" s="1">
        <f t="shared" si="120"/>
        <v>9.0499950119432043E-2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 s="1">
        <v>-1.1144000000000001E-6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-3.7589474387689768E-3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-4.6929900000000003E-7</v>
      </c>
      <c r="F1890">
        <v>132775.52859999999</v>
      </c>
      <c r="G1890" s="1">
        <v>-9.8049899999999994E-6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-3.5917231678133836E-3</v>
      </c>
      <c r="N1890" s="1">
        <f t="shared" si="120"/>
        <v>-3.5111069658865318E-2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 s="1">
        <v>2.1355000000000001E-5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0.13897699968611951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1.7307E-6</v>
      </c>
      <c r="F1892">
        <v>161055.8768</v>
      </c>
      <c r="G1892" s="1">
        <v>1.1215E-5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5.3424988183861551E-2</v>
      </c>
      <c r="N1892" s="1">
        <f t="shared" si="120"/>
        <v>0.16198156744437806</v>
      </c>
      <c r="O1892" s="1"/>
    </row>
    <row r="1893" spans="1:15" x14ac:dyDescent="0.25">
      <c r="A1893">
        <v>3504</v>
      </c>
      <c r="B1893">
        <v>10885.928739999999</v>
      </c>
      <c r="C1893" s="1">
        <v>0</v>
      </c>
      <c r="D1893">
        <v>33580.015290000003</v>
      </c>
      <c r="E1893" s="1">
        <v>4.3049000000000001E-6</v>
      </c>
      <c r="F1893">
        <v>83884.8802</v>
      </c>
      <c r="G1893" s="1">
        <v>2.4849000000000001E-6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0.20981900040824994</v>
      </c>
      <c r="N1893" s="1">
        <f t="shared" si="120"/>
        <v>5.6667537461231994E-2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-1.3893E-6</v>
      </c>
      <c r="F1894">
        <v>152925.11569999999</v>
      </c>
      <c r="G1894" s="1">
        <v>2.2529999999999999E-5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-1.8744679770068232E-2</v>
      </c>
      <c r="N1894" s="1">
        <f t="shared" si="120"/>
        <v>0.14222857525241411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 s="1">
        <v>9.9998899999999999E-9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1.3036058428116912E-4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2.5840000000000002E-6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1.3884479438256986E-2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8.0000099999999994E-8</v>
      </c>
      <c r="F1898">
        <v>10018.050869999999</v>
      </c>
      <c r="G1898" s="1">
        <v>-3.4010000000000001E-6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1.1008796281474951E-3</v>
      </c>
      <c r="N1898" s="1">
        <f t="shared" si="120"/>
        <v>-2.1897756157829022E-2</v>
      </c>
      <c r="O1898" s="1"/>
    </row>
    <row r="1899" spans="1:15" x14ac:dyDescent="0.25">
      <c r="A1899">
        <v>3598</v>
      </c>
      <c r="B1899">
        <v>1.166338235</v>
      </c>
      <c r="C1899" s="1">
        <v>0</v>
      </c>
      <c r="D1899">
        <v>1.8505217009999999</v>
      </c>
      <c r="E1899">
        <v>0</v>
      </c>
      <c r="F1899">
        <v>418.2128816</v>
      </c>
      <c r="G1899" s="1">
        <v>-9.0000199999999993E-9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-1.4699922306320523E-4</v>
      </c>
      <c r="O1899" s="1"/>
    </row>
    <row r="1900" spans="1:15" x14ac:dyDescent="0.25">
      <c r="A1900">
        <v>3599</v>
      </c>
      <c r="B1900">
        <v>123.52614370000001</v>
      </c>
      <c r="C1900" s="1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-5.0500199999999998E-7</v>
      </c>
      <c r="F1901">
        <v>92006.719920000003</v>
      </c>
      <c r="G1901" s="1">
        <v>-3.2553099999999998E-6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-5.1000110032412369E-3</v>
      </c>
      <c r="N1901" s="1">
        <f t="shared" si="120"/>
        <v>-1.5382043863774376E-2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3.3249999999999999E-6</v>
      </c>
      <c r="F1902">
        <v>102155.5042</v>
      </c>
      <c r="G1902" s="1">
        <v>2.0684999999999999E-5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4.3805708737360671E-2</v>
      </c>
      <c r="N1902" s="1">
        <f t="shared" si="120"/>
        <v>0.12750824404179509</v>
      </c>
      <c r="O1902" s="1"/>
    </row>
    <row r="1903" spans="1:15" x14ac:dyDescent="0.25">
      <c r="A1903">
        <v>3602</v>
      </c>
      <c r="B1903">
        <v>20067.122950000001</v>
      </c>
      <c r="C1903" s="1">
        <v>3.18E-6</v>
      </c>
      <c r="D1903">
        <v>38245.012369999997</v>
      </c>
      <c r="E1903" s="1">
        <v>-4.49945E-8</v>
      </c>
      <c r="F1903">
        <v>94926.941330000001</v>
      </c>
      <c r="G1903" s="1">
        <v>3.5540000000000002E-6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0.11904575349322499</v>
      </c>
      <c r="M1903" s="1">
        <f t="shared" si="119"/>
        <v>-5.6492312816163468E-4</v>
      </c>
      <c r="N1903" s="1">
        <f t="shared" si="120"/>
        <v>2.0878102567644902E-2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-4.0550000000000001E-6</v>
      </c>
      <c r="F1904">
        <v>69484.358689999994</v>
      </c>
      <c r="G1904" s="1">
        <v>2.7540100000000001E-6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-3.9672434001184753E-2</v>
      </c>
      <c r="N1904" s="1">
        <f t="shared" si="120"/>
        <v>1.260686722280511E-2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-3.9500399999999998E-7</v>
      </c>
      <c r="F1905">
        <v>94859.986610000007</v>
      </c>
      <c r="G1905" s="1">
        <v>4.4656899999999996E-6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-5.4600228191838285E-3</v>
      </c>
      <c r="N1905" s="1">
        <f t="shared" si="120"/>
        <v>2.8881863708764964E-2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9.9998899999999999E-9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1.530525581041013E-4</v>
      </c>
      <c r="O1906" s="1"/>
    </row>
    <row r="1907" spans="1:15" x14ac:dyDescent="0.25">
      <c r="A1907">
        <v>3608</v>
      </c>
      <c r="B1907">
        <v>68.641368540000002</v>
      </c>
      <c r="C1907" s="1">
        <v>0</v>
      </c>
      <c r="D1907">
        <v>68.641368540000002</v>
      </c>
      <c r="E1907">
        <v>0</v>
      </c>
      <c r="F1907">
        <v>263.49356979999999</v>
      </c>
      <c r="G1907" s="1">
        <v>5.9999900000000001E-9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1.076125113452335E-4</v>
      </c>
      <c r="O1907" s="1"/>
    </row>
    <row r="1908" spans="1:15" x14ac:dyDescent="0.25">
      <c r="A1908">
        <v>3609</v>
      </c>
      <c r="B1908">
        <v>0.68418346600000002</v>
      </c>
      <c r="C1908" s="1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 s="1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 s="1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 s="1">
        <v>9.9999500000000008E-9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1.5874770616041049E-4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 s="1">
        <v>-9.6599999999999992E-13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-9.1361573952749098E-8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 s="1">
        <v>0</v>
      </c>
      <c r="D1914">
        <v>216.881517</v>
      </c>
      <c r="E1914" s="1">
        <v>4.0000000000000001E-8</v>
      </c>
      <c r="F1914">
        <v>312.38750779999998</v>
      </c>
      <c r="G1914" s="1">
        <v>-2.0001000000000002E-8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-3.9216880040532733E-4</v>
      </c>
      <c r="O1914" s="1"/>
    </row>
    <row r="1915" spans="1:15" x14ac:dyDescent="0.25">
      <c r="A1915">
        <v>3616</v>
      </c>
      <c r="B1915">
        <v>95.505990740000001</v>
      </c>
      <c r="C1915" s="1">
        <v>0</v>
      </c>
      <c r="D1915">
        <v>619.08272929999998</v>
      </c>
      <c r="E1915" s="1">
        <v>4.0000000000000001E-8</v>
      </c>
      <c r="F1915">
        <v>3591.2922920000001</v>
      </c>
      <c r="G1915" s="1">
        <v>-4.8001000000000002E-7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-7.3766421543010417E-3</v>
      </c>
      <c r="O1915" s="1"/>
    </row>
    <row r="1916" spans="1:15" x14ac:dyDescent="0.25">
      <c r="A1916">
        <v>3617</v>
      </c>
      <c r="B1916">
        <v>251.11175349999999</v>
      </c>
      <c r="C1916" s="1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 s="1">
        <v>0</v>
      </c>
      <c r="D1917">
        <v>140.85205199999999</v>
      </c>
      <c r="E1917" s="1">
        <v>-9.9999800000000005E-9</v>
      </c>
      <c r="F1917">
        <v>140.85205199999999</v>
      </c>
      <c r="G1917" s="1">
        <v>-9.9999800000000005E-9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-2.4107783729923111E-4</v>
      </c>
      <c r="N1917" s="1">
        <f t="shared" si="120"/>
        <v>-1.1279788717670445E-4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 s="1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 s="1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 s="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 s="1">
        <v>0</v>
      </c>
      <c r="D1922">
        <v>140.85205199999999</v>
      </c>
      <c r="E1922" s="1">
        <v>-9.9999800000000005E-9</v>
      </c>
      <c r="F1922">
        <v>140.85205199999999</v>
      </c>
      <c r="G1922" s="1">
        <v>-9.9999800000000005E-9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-1.5405926529269318E-4</v>
      </c>
      <c r="N1922" s="1">
        <f t="shared" si="120"/>
        <v>-7.2082775503920661E-5</v>
      </c>
      <c r="O1922" s="1"/>
    </row>
    <row r="1923" spans="1:15" x14ac:dyDescent="0.25">
      <c r="A1923">
        <v>3624</v>
      </c>
      <c r="B1923">
        <v>306.20241449999997</v>
      </c>
      <c r="C1923" s="1">
        <v>0</v>
      </c>
      <c r="D1923">
        <v>2955.1645819999999</v>
      </c>
      <c r="E1923" s="1">
        <v>-1.6000999999999999E-7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-2.8919640949592661E-3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 s="1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 s="1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 s="1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 s="1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 s="1">
        <v>0</v>
      </c>
      <c r="D1929">
        <v>1548.766388</v>
      </c>
      <c r="E1929" s="1">
        <v>4.8999900000000003E-8</v>
      </c>
      <c r="F1929">
        <v>10666.243759999999</v>
      </c>
      <c r="G1929" s="1">
        <v>-4.8660999999999999E-6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9.2785314022949346E-4</v>
      </c>
      <c r="N1929" s="1">
        <f t="shared" si="124"/>
        <v>-4.3113050810983239E-2</v>
      </c>
      <c r="O1929" s="1"/>
    </row>
    <row r="1930" spans="1:15" x14ac:dyDescent="0.25">
      <c r="A1930">
        <v>3631</v>
      </c>
      <c r="B1930">
        <v>278.31116960000003</v>
      </c>
      <c r="C1930" s="1">
        <v>-1.0200000000000001E-12</v>
      </c>
      <c r="D1930">
        <v>278.31116960000003</v>
      </c>
      <c r="E1930" s="1">
        <v>-1.0231800000000001E-12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-8.8314641725986012E-8</v>
      </c>
      <c r="M1930" s="1">
        <f t="shared" si="123"/>
        <v>-2.9711714896561647E-8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 s="1">
        <v>-1.0200000000000001E-12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-1.04105130859782E-7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 s="1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2.4000200000000001E-8</v>
      </c>
      <c r="F1933">
        <v>48950.656470000002</v>
      </c>
      <c r="G1933" s="1">
        <v>3.7139999999999999E-6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4.0922819761588978E-4</v>
      </c>
      <c r="N1933" s="1">
        <f t="shared" si="124"/>
        <v>2.9630314939736412E-2</v>
      </c>
      <c r="O1933" s="1"/>
    </row>
    <row r="1934" spans="1:15" x14ac:dyDescent="0.25">
      <c r="A1934">
        <v>3635</v>
      </c>
      <c r="B1934">
        <v>2.8441756640000002</v>
      </c>
      <c r="C1934" s="1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 s="1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 s="1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 s="1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 s="1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-8.6600099999999997E-7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-7.4788753974850807E-3</v>
      </c>
      <c r="O1941" s="1"/>
    </row>
    <row r="1942" spans="1:15" x14ac:dyDescent="0.25">
      <c r="A1942">
        <v>3656</v>
      </c>
      <c r="B1942">
        <v>149.237787</v>
      </c>
      <c r="C1942" s="1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 s="1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3.4000500000000001E-8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3.070402248402777E-4</v>
      </c>
      <c r="O1944" s="1"/>
    </row>
    <row r="1945" spans="1:15" x14ac:dyDescent="0.25">
      <c r="A1945">
        <v>3659</v>
      </c>
      <c r="B1945">
        <v>25.5642034</v>
      </c>
      <c r="C1945" s="1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 s="1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 s="1">
        <v>4.9999999999999998E-8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2.8816776839175003E-3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 s="1">
        <v>-1E-8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-6.9451388164599992E-4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 s="1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 s="1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 s="1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 s="1">
        <v>0</v>
      </c>
      <c r="D1956">
        <v>455.77188949999999</v>
      </c>
      <c r="E1956" s="1">
        <v>2.9999000000000003E-8</v>
      </c>
      <c r="F1956">
        <v>4903.8299209999996</v>
      </c>
      <c r="G1956" s="1">
        <v>-4.4099900000000002E-7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3.7762780780032626E-4</v>
      </c>
      <c r="N1956" s="1">
        <f t="shared" si="124"/>
        <v>-2.597397823419478E-3</v>
      </c>
      <c r="O1956" s="1"/>
    </row>
    <row r="1957" spans="1:15" x14ac:dyDescent="0.25">
      <c r="A1957">
        <v>3671</v>
      </c>
      <c r="B1957">
        <v>41.838780759999999</v>
      </c>
      <c r="C1957" s="1">
        <v>0</v>
      </c>
      <c r="D1957">
        <v>41.838780759999999</v>
      </c>
      <c r="E1957">
        <v>0</v>
      </c>
      <c r="F1957">
        <v>140.3318122</v>
      </c>
      <c r="G1957" s="1">
        <v>4.9999000000000003E-8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6.6892052927059115E-4</v>
      </c>
      <c r="O1957" s="1"/>
    </row>
    <row r="1958" spans="1:15" x14ac:dyDescent="0.25">
      <c r="A1958">
        <v>3672</v>
      </c>
      <c r="B1958">
        <v>26.4531156</v>
      </c>
      <c r="C1958" s="1">
        <v>0</v>
      </c>
      <c r="D1958">
        <v>26.4531156</v>
      </c>
      <c r="E1958">
        <v>0</v>
      </c>
      <c r="F1958">
        <v>313.7208445</v>
      </c>
      <c r="G1958" s="1">
        <v>4.0000000000000001E-8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6.9632505462564008E-4</v>
      </c>
      <c r="O1958" s="1"/>
    </row>
    <row r="1959" spans="1:15" x14ac:dyDescent="0.25">
      <c r="A1959">
        <v>3673</v>
      </c>
      <c r="B1959">
        <v>101.43683</v>
      </c>
      <c r="C1959" s="1">
        <v>0</v>
      </c>
      <c r="D1959">
        <v>500.13272760000001</v>
      </c>
      <c r="E1959" s="1">
        <v>1.9998999999999999E-8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4.0126260096380514E-4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 s="1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 s="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 s="1">
        <v>0</v>
      </c>
      <c r="D1962">
        <v>1756.4995280000001</v>
      </c>
      <c r="E1962" s="1">
        <v>-2.4000999999999999E-7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-6.4723380336054901E-3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 s="1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 s="1">
        <v>4.0000000000000001E-8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1.7172822798046401E-3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-2.8000099999999999E-7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-1.0474756280821854E-3</v>
      </c>
      <c r="O1966" s="1"/>
    </row>
    <row r="1967" spans="1:15" x14ac:dyDescent="0.25">
      <c r="A1967">
        <v>3681</v>
      </c>
      <c r="B1967">
        <v>142.3217357</v>
      </c>
      <c r="C1967" s="1">
        <v>0</v>
      </c>
      <c r="D1967">
        <v>243.75856569999999</v>
      </c>
      <c r="E1967">
        <v>0</v>
      </c>
      <c r="F1967">
        <v>5368.6438840000001</v>
      </c>
      <c r="G1967" s="1">
        <v>-9.9999900000000003E-8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-1.3171337644196186E-3</v>
      </c>
      <c r="O1967" s="1"/>
    </row>
    <row r="1968" spans="1:15" x14ac:dyDescent="0.25">
      <c r="A1968">
        <v>3682</v>
      </c>
      <c r="B1968">
        <v>286.23163579999999</v>
      </c>
      <c r="C1968" s="1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 s="1">
        <v>0</v>
      </c>
      <c r="D1969">
        <v>1356.8416110000001</v>
      </c>
      <c r="E1969" s="1">
        <v>1.2998999999999999E-7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4.2757362716043957E-3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 s="1">
        <v>-3.4201000000000001E-6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-2.8036858169647915E-2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 s="1">
        <v>3.4999000000000003E-7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4.7851006042240133E-3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 s="1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 s="1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 s="1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 s="1">
        <v>2.2098999999999998E-6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2.7978580603467373E-2</v>
      </c>
      <c r="O1975" s="1"/>
    </row>
    <row r="1976" spans="1:15" x14ac:dyDescent="0.25">
      <c r="A1976">
        <v>3690</v>
      </c>
      <c r="B1976">
        <v>118.6287457</v>
      </c>
      <c r="C1976" s="1">
        <v>-4.9999999999999998E-8</v>
      </c>
      <c r="D1976">
        <v>2660.5700040000002</v>
      </c>
      <c r="E1976" s="1">
        <v>-3.3000000000000002E-7</v>
      </c>
      <c r="F1976">
        <v>14699.114670000001</v>
      </c>
      <c r="G1976" s="1">
        <v>-1.2000099999999999E-7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-1.17964353727025E-3</v>
      </c>
      <c r="M1976" s="1">
        <f t="shared" si="123"/>
        <v>-2.6111863406529782E-3</v>
      </c>
      <c r="N1976" s="1">
        <f t="shared" si="124"/>
        <v>-4.4427560676395884E-4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 s="1">
        <v>-2.5901E-6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-5.2055021440471569E-2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 s="1">
        <v>2.7099000000000001E-6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6.9649701784663112E-3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-1.09998E-7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-2.7484295666663352E-4</v>
      </c>
      <c r="O1980" s="1"/>
    </row>
    <row r="1981" spans="1:15" x14ac:dyDescent="0.25">
      <c r="A1981">
        <v>3708</v>
      </c>
      <c r="B1981">
        <v>895.10293360000003</v>
      </c>
      <c r="C1981" s="1">
        <v>0</v>
      </c>
      <c r="D1981">
        <v>4628.1116899999997</v>
      </c>
      <c r="E1981" s="1">
        <v>2.0000099999999999E-7</v>
      </c>
      <c r="F1981">
        <v>19154.720679999999</v>
      </c>
      <c r="G1981" s="1">
        <v>-6.1999899999999997E-7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4.9635066440891331E-3</v>
      </c>
      <c r="N1981" s="1">
        <f t="shared" si="124"/>
        <v>-7.1993138633967176E-3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-3.0543000000000001E-6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-1.068000355849537E-2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3.56958E-8</v>
      </c>
      <c r="F1984">
        <v>120012.5315</v>
      </c>
      <c r="G1984" s="1">
        <v>3.6155000000000002E-5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3.2810881885620411E-4</v>
      </c>
      <c r="N1984" s="1">
        <f t="shared" si="124"/>
        <v>0.1554937107531755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-2.2350000000000002E-6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-2.2637645567319786E-2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 s="1">
        <v>7.4561099999999999E-7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3.2471200981924178E-3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3.9249999999999997E-6</v>
      </c>
      <c r="F1987">
        <v>115039.8009</v>
      </c>
      <c r="G1987" s="1">
        <v>3.6264999999999999E-5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3.5337434188811447E-2</v>
      </c>
      <c r="N1987" s="1">
        <f t="shared" ref="N1987:N2050" si="128">$U$4*$K1987*G1987</f>
        <v>0.15276600150463301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4.5857E-6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1.444800234400216E-2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2.785E-6</v>
      </c>
      <c r="F1989">
        <v>78874.392569999996</v>
      </c>
      <c r="G1989" s="1">
        <v>-2.7143E-6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2.162801033884033E-2</v>
      </c>
      <c r="N1989" s="1">
        <f t="shared" si="128"/>
        <v>-9.8626334775037631E-3</v>
      </c>
      <c r="O1989" s="1"/>
    </row>
    <row r="1990" spans="1:15" x14ac:dyDescent="0.25">
      <c r="A1990">
        <v>3717</v>
      </c>
      <c r="B1990">
        <v>2403.234606</v>
      </c>
      <c r="C1990" s="1">
        <v>0</v>
      </c>
      <c r="D1990">
        <v>6295.1556689999998</v>
      </c>
      <c r="E1990" s="1">
        <v>-1.9999999999999999E-7</v>
      </c>
      <c r="F1990">
        <v>50881.556550000001</v>
      </c>
      <c r="G1990" s="1">
        <v>3.0649999999999999E-6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1.2951829961147734E-2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4.8500100000000004E-7</v>
      </c>
      <c r="F1991">
        <v>96848.039170000004</v>
      </c>
      <c r="G1991" s="1">
        <v>-4.2353099999999998E-6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5.6619902809346848E-3</v>
      </c>
      <c r="N1991" s="1">
        <f t="shared" si="128"/>
        <v>-2.3134246954716758E-2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4.4340000000000002E-6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1.6966496028749063E-2</v>
      </c>
      <c r="O1992" s="1"/>
    </row>
    <row r="1993" spans="1:15" x14ac:dyDescent="0.25">
      <c r="A1993">
        <v>3724</v>
      </c>
      <c r="B1993">
        <v>724.78127189999998</v>
      </c>
      <c r="C1993" s="1">
        <v>0</v>
      </c>
      <c r="D1993">
        <v>4521.2189719999997</v>
      </c>
      <c r="E1993" s="1">
        <v>2.9999999999999999E-7</v>
      </c>
      <c r="F1993">
        <v>7143.3884029999999</v>
      </c>
      <c r="G1993" s="1">
        <v>5.8999800000000001E-8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5.5364079967601073E-4</v>
      </c>
      <c r="O1993" s="1"/>
    </row>
    <row r="1994" spans="1:15" x14ac:dyDescent="0.25">
      <c r="A1994">
        <v>3725</v>
      </c>
      <c r="B1994">
        <v>2527.424035</v>
      </c>
      <c r="C1994" s="1">
        <v>4.9999999999999998E-7</v>
      </c>
      <c r="D1994">
        <v>4763.4380650000003</v>
      </c>
      <c r="E1994" s="1">
        <v>-3.8099999999999998E-7</v>
      </c>
      <c r="F1994">
        <v>41534.405789999997</v>
      </c>
      <c r="G1994" s="1">
        <v>2.4140000000000001E-6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1.8361310862375E-2</v>
      </c>
      <c r="M1994" s="1">
        <f t="shared" si="127"/>
        <v>-4.6924731003296699E-3</v>
      </c>
      <c r="N1994" s="1">
        <f t="shared" si="128"/>
        <v>1.3910981080064222E-2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3.6339999999999999E-6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1.299651174187154E-2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2.5239999999999999E-6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1.132604773448382E-2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-5.6599699999999998E-7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-2.2918821021553275E-3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1.9000300000000001E-8</v>
      </c>
      <c r="F1998">
        <v>40310.130360000003</v>
      </c>
      <c r="G1998" s="1">
        <v>-1.40601E-6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1.7007655851419818E-4</v>
      </c>
      <c r="N1998" s="1">
        <f t="shared" si="128"/>
        <v>-5.8886547005578124E-3</v>
      </c>
      <c r="O1998" s="1"/>
    </row>
    <row r="1999" spans="1:15" x14ac:dyDescent="0.25">
      <c r="A1999">
        <v>3730</v>
      </c>
      <c r="B1999">
        <v>359.9014487</v>
      </c>
      <c r="C1999" s="1">
        <v>0</v>
      </c>
      <c r="D1999">
        <v>1509.539552</v>
      </c>
      <c r="E1999" s="1">
        <v>-1.9999999999999999E-7</v>
      </c>
      <c r="F1999">
        <v>5410.9007899999997</v>
      </c>
      <c r="G1999" s="1">
        <v>1.9000300000000001E-8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2.274779107297682E-4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1.184E-6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3.0502838135724772E-3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-2.756E-6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-6.4889444792889132E-3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-3.1860000000000001E-6</v>
      </c>
      <c r="F2002">
        <v>85200.091790000006</v>
      </c>
      <c r="G2002" s="1">
        <v>-3.5960099999999998E-6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-4.0198156137590847E-2</v>
      </c>
      <c r="N2002" s="1">
        <f t="shared" si="128"/>
        <v>-2.1228774812019447E-2</v>
      </c>
      <c r="O2002" s="1"/>
    </row>
    <row r="2003" spans="1:15" x14ac:dyDescent="0.25">
      <c r="A2003">
        <v>3801</v>
      </c>
      <c r="B2003">
        <v>10046.46372</v>
      </c>
      <c r="C2003" s="1">
        <v>-2.21E-6</v>
      </c>
      <c r="D2003">
        <v>46816.19758</v>
      </c>
      <c r="E2003" s="1">
        <v>-3.7859999999999998E-6</v>
      </c>
      <c r="F2003">
        <v>142324.092</v>
      </c>
      <c r="G2003" s="1">
        <v>-4.2385999999999997E-5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-7.1210723187877981E-2</v>
      </c>
      <c r="M2003" s="1">
        <f t="shared" si="127"/>
        <v>-4.0914464296323498E-2</v>
      </c>
      <c r="N2003" s="1">
        <f t="shared" si="128"/>
        <v>-0.2143198376124068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-8.7500699999999997E-7</v>
      </c>
      <c r="F2004">
        <v>66861.955130000002</v>
      </c>
      <c r="G2004" s="1">
        <v>4.5140000000000003E-6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-8.1737965746328019E-3</v>
      </c>
      <c r="N2004" s="1">
        <f t="shared" si="128"/>
        <v>1.9729565934193536E-2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4.9500199999999997E-7</v>
      </c>
      <c r="F2005">
        <v>63258.768580000004</v>
      </c>
      <c r="G2005" s="1">
        <v>9.1389699999999997E-7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6.4517981537436288E-3</v>
      </c>
      <c r="N2005" s="1">
        <f t="shared" si="128"/>
        <v>5.5733298648316821E-3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4.9740000000000001E-6</v>
      </c>
      <c r="F2006">
        <v>67779.270759999999</v>
      </c>
      <c r="G2006" s="1">
        <v>-6.1599700000000003E-7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0.1235053275991049</v>
      </c>
      <c r="N2006" s="1">
        <f t="shared" si="128"/>
        <v>-7.1565248937380003E-3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-1.855E-6</v>
      </c>
      <c r="F2007">
        <v>58288.568319999998</v>
      </c>
      <c r="G2007" s="1">
        <v>4.9740000000000001E-6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-1.1724322180781916E-2</v>
      </c>
      <c r="N2007" s="1">
        <f t="shared" si="128"/>
        <v>1.4709343479748125E-2</v>
      </c>
      <c r="O2007" s="1"/>
    </row>
    <row r="2008" spans="1:15" x14ac:dyDescent="0.25">
      <c r="A2008">
        <v>3808</v>
      </c>
      <c r="B2008">
        <v>374.5982649</v>
      </c>
      <c r="C2008" s="1">
        <v>0</v>
      </c>
      <c r="D2008">
        <v>6008.627657</v>
      </c>
      <c r="E2008" s="1">
        <v>-2.0001E-7</v>
      </c>
      <c r="F2008">
        <v>31166.141049999998</v>
      </c>
      <c r="G2008" s="1">
        <v>-3.1750000000000001E-6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-5.0052689221255602E-3</v>
      </c>
      <c r="N2008" s="1">
        <f t="shared" si="128"/>
        <v>-3.7176038914347009E-2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3.185E-6</v>
      </c>
      <c r="F2009">
        <v>76043.035759999999</v>
      </c>
      <c r="G2009" s="1">
        <v>1.4649999999999999E-6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2.487827440692271E-2</v>
      </c>
      <c r="N2009" s="1">
        <f t="shared" si="128"/>
        <v>5.3541695514041747E-3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-1.0449999999999999E-6</v>
      </c>
      <c r="F2010">
        <v>87355.914019999997</v>
      </c>
      <c r="G2010" s="1">
        <v>3.2750099999999998E-6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-2.7318843882456551E-2</v>
      </c>
      <c r="N2010" s="1">
        <f t="shared" si="128"/>
        <v>4.0059205759867315E-2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-4.4649999999999996E-6</v>
      </c>
      <c r="F2011">
        <v>135928.36689999999</v>
      </c>
      <c r="G2011" s="1">
        <v>-3.9925999999999997E-5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-4.7299904792718693E-2</v>
      </c>
      <c r="N2011" s="1">
        <f t="shared" si="128"/>
        <v>-0.19789657773808197</v>
      </c>
      <c r="O2011" s="1"/>
    </row>
    <row r="2012" spans="1:15" x14ac:dyDescent="0.25">
      <c r="A2012">
        <v>3812</v>
      </c>
      <c r="B2012">
        <v>6039.6455429999996</v>
      </c>
      <c r="C2012" s="1">
        <v>-2.1500000000000001E-7</v>
      </c>
      <c r="D2012">
        <v>51862.228300000002</v>
      </c>
      <c r="E2012" s="1">
        <v>-3.16501E-6</v>
      </c>
      <c r="F2012">
        <v>123085.13679999999</v>
      </c>
      <c r="G2012" s="1">
        <v>1.9724E-5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-8.2834059265685014E-3</v>
      </c>
      <c r="M2012" s="1">
        <f t="shared" si="127"/>
        <v>-4.0896741645648577E-2</v>
      </c>
      <c r="N2012" s="1">
        <f t="shared" si="128"/>
        <v>0.11924832663008934</v>
      </c>
      <c r="O2012" s="1"/>
    </row>
    <row r="2013" spans="1:15" x14ac:dyDescent="0.25">
      <c r="A2013">
        <v>3813</v>
      </c>
      <c r="B2013">
        <v>25523.710780000001</v>
      </c>
      <c r="C2013" s="1">
        <v>2.2500000000000001E-6</v>
      </c>
      <c r="D2013">
        <v>57415.618240000003</v>
      </c>
      <c r="E2013" s="1">
        <v>1.8139999999999999E-6</v>
      </c>
      <c r="F2013">
        <v>142775.71359999999</v>
      </c>
      <c r="G2013" s="1">
        <v>4.1084000000000002E-5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2.2139430116968124E-2</v>
      </c>
      <c r="M2013" s="1">
        <f t="shared" si="127"/>
        <v>5.9863807990531816E-3</v>
      </c>
      <c r="N2013" s="1">
        <f t="shared" si="128"/>
        <v>6.3437119580446413E-2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-7.6500100000000001E-7</v>
      </c>
      <c r="F2014">
        <v>116601.14509999999</v>
      </c>
      <c r="G2014" s="1">
        <v>3.1674000000000002E-5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-7.3894492927553184E-3</v>
      </c>
      <c r="N2014" s="1">
        <f t="shared" si="128"/>
        <v>0.14315174981465015</v>
      </c>
      <c r="O2014" s="1"/>
    </row>
    <row r="2015" spans="1:15" x14ac:dyDescent="0.25">
      <c r="A2015">
        <v>3815</v>
      </c>
      <c r="B2015">
        <v>12381.820970000001</v>
      </c>
      <c r="C2015" s="1">
        <v>4.2799999999999997E-6</v>
      </c>
      <c r="D2015">
        <v>60479.551160000003</v>
      </c>
      <c r="E2015" s="1">
        <v>4.8350000000000003E-6</v>
      </c>
      <c r="F2015">
        <v>140683.6974</v>
      </c>
      <c r="G2015" s="1">
        <v>-7.0659999999999998E-6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0.1286758222290619</v>
      </c>
      <c r="M2015" s="1">
        <f t="shared" si="127"/>
        <v>4.8752040583787966E-2</v>
      </c>
      <c r="N2015" s="1">
        <f t="shared" si="128"/>
        <v>-3.3336011037669394E-2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-3.6449999999999998E-6</v>
      </c>
      <c r="F2016">
        <v>58738.499669999997</v>
      </c>
      <c r="G2016" s="1">
        <v>-3.6859999999999999E-6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-2.3304660229781785E-2</v>
      </c>
      <c r="N2016" s="1">
        <f t="shared" si="128"/>
        <v>-1.1026666812538877E-2</v>
      </c>
      <c r="O2016" s="1"/>
    </row>
    <row r="2017" spans="1:15" x14ac:dyDescent="0.25">
      <c r="A2017">
        <v>3817</v>
      </c>
      <c r="B2017">
        <v>597.37090420000004</v>
      </c>
      <c r="C2017" s="1">
        <v>0</v>
      </c>
      <c r="D2017">
        <v>597.37090420000004</v>
      </c>
      <c r="E2017">
        <v>0</v>
      </c>
      <c r="F2017">
        <v>44401.157890000002</v>
      </c>
      <c r="G2017" s="1">
        <v>2.7250000000000002E-6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3.7585564071897011E-2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-4.4750000000000004E-6</v>
      </c>
      <c r="F2018">
        <v>65960.947799999994</v>
      </c>
      <c r="G2018" s="1">
        <v>-4.0859899999999997E-6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-3.6898491778991842E-2</v>
      </c>
      <c r="N2018" s="1">
        <f t="shared" si="128"/>
        <v>-1.576364161678271E-2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-3.15002E-7</v>
      </c>
      <c r="F2019">
        <v>61623.177369999998</v>
      </c>
      <c r="G2019" s="1">
        <v>2.914E-6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-2.5237108769147537E-3</v>
      </c>
      <c r="N2019" s="1">
        <f t="shared" si="128"/>
        <v>1.0923442171295058E-2</v>
      </c>
      <c r="O2019" s="1"/>
    </row>
    <row r="2020" spans="1:15" x14ac:dyDescent="0.25">
      <c r="A2020">
        <v>3822</v>
      </c>
      <c r="B2020">
        <v>1383.106663</v>
      </c>
      <c r="C2020" s="1">
        <v>-3.9999999999999998E-7</v>
      </c>
      <c r="D2020">
        <v>27670.32561</v>
      </c>
      <c r="E2020" s="1">
        <v>3.8850000000000001E-6</v>
      </c>
      <c r="F2020">
        <v>64648.230049999998</v>
      </c>
      <c r="G2020" s="1">
        <v>1.8139999999999999E-6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-1.4123289220170001E-2</v>
      </c>
      <c r="M2020" s="1">
        <f t="shared" si="127"/>
        <v>4.6005528227840695E-2</v>
      </c>
      <c r="N2020" s="1">
        <f t="shared" si="128"/>
        <v>1.0050784453190827E-2</v>
      </c>
      <c r="O2020" s="1"/>
    </row>
    <row r="2021" spans="1:15" x14ac:dyDescent="0.25">
      <c r="A2021">
        <v>3823</v>
      </c>
      <c r="B2021">
        <v>1076.062825</v>
      </c>
      <c r="C2021" s="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-9.5998999999999998E-8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-8.8838468390911899E-4</v>
      </c>
      <c r="O2021" s="1"/>
    </row>
    <row r="2022" spans="1:15" x14ac:dyDescent="0.25">
      <c r="A2022">
        <v>3824</v>
      </c>
      <c r="B2022">
        <v>1874.507619</v>
      </c>
      <c r="C2022" s="1">
        <v>0</v>
      </c>
      <c r="D2022">
        <v>4312.4078440000003</v>
      </c>
      <c r="E2022" s="1">
        <v>-3.9999999999999998E-7</v>
      </c>
      <c r="F2022">
        <v>16392.955620000001</v>
      </c>
      <c r="G2022" s="1">
        <v>-1.215E-6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-3.1909770287902532E-2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-1.686E-6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-1.0687660638284396E-2</v>
      </c>
      <c r="O2023" s="1"/>
    </row>
    <row r="2024" spans="1:15" x14ac:dyDescent="0.25">
      <c r="A2024">
        <v>3826</v>
      </c>
      <c r="B2024">
        <v>460.27553219999999</v>
      </c>
      <c r="C2024" s="1">
        <v>0</v>
      </c>
      <c r="D2024">
        <v>5041.3896160000004</v>
      </c>
      <c r="E2024" s="1">
        <v>1.9999999999999999E-7</v>
      </c>
      <c r="F2024">
        <v>64316.909420000004</v>
      </c>
      <c r="G2024" s="1">
        <v>-8.0600100000000002E-7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-7.0993735689592694E-3</v>
      </c>
      <c r="O2024" s="1"/>
    </row>
    <row r="2025" spans="1:15" x14ac:dyDescent="0.25">
      <c r="A2025">
        <v>3827</v>
      </c>
      <c r="B2025">
        <v>1828.342124</v>
      </c>
      <c r="C2025" s="1">
        <v>0</v>
      </c>
      <c r="D2025">
        <v>24944.620080000001</v>
      </c>
      <c r="E2025" s="1">
        <v>-4.7360000000000001E-6</v>
      </c>
      <c r="F2025">
        <v>339867.5833</v>
      </c>
      <c r="G2025">
        <v>6302.8825459999998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-7.7842026767151615E-2</v>
      </c>
      <c r="N2025" s="1">
        <f t="shared" si="128"/>
        <v>48471374.334887922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 s="1">
        <v>-2.1500000000000001E-7</v>
      </c>
      <c r="F2026">
        <v>49101.02923</v>
      </c>
      <c r="G2026" s="1">
        <v>-3.546E-6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-2.0678018635954146E-3</v>
      </c>
      <c r="N2026" s="1">
        <f t="shared" si="128"/>
        <v>-1.5957059774857112E-2</v>
      </c>
      <c r="O2026" s="1"/>
    </row>
    <row r="2027" spans="1:15" x14ac:dyDescent="0.25">
      <c r="A2027">
        <v>3829</v>
      </c>
      <c r="B2027">
        <v>127.0325366</v>
      </c>
      <c r="C2027" s="1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 s="1">
        <v>4.9200000000000003E-6</v>
      </c>
      <c r="D2028">
        <v>67745.768460000007</v>
      </c>
      <c r="E2028" s="1">
        <v>-3.7600700000000001E-7</v>
      </c>
      <c r="F2028">
        <v>223231.94500000001</v>
      </c>
      <c r="G2028" s="1">
        <v>4.8804000000000002E-5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1.9414910496727202E-2</v>
      </c>
      <c r="M2028" s="1">
        <f t="shared" si="127"/>
        <v>-4.9763321161637052E-4</v>
      </c>
      <c r="N2028" s="1">
        <f t="shared" si="128"/>
        <v>3.0221256964350213E-2</v>
      </c>
      <c r="O2028" s="1"/>
    </row>
    <row r="2029" spans="1:15" x14ac:dyDescent="0.25">
      <c r="A2029">
        <v>3832</v>
      </c>
      <c r="B2029">
        <v>25195.28066</v>
      </c>
      <c r="C2029" s="1">
        <v>3.32E-6</v>
      </c>
      <c r="D2029">
        <v>64736.990510000003</v>
      </c>
      <c r="E2029" s="1">
        <v>8.3399899999999995E-7</v>
      </c>
      <c r="F2029">
        <v>208715.54149999999</v>
      </c>
      <c r="G2029" s="1">
        <v>3.7904000000000002E-5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7.6279661847565789E-3</v>
      </c>
      <c r="M2029" s="1">
        <f t="shared" si="127"/>
        <v>6.4265714786206432E-4</v>
      </c>
      <c r="N2029" s="1">
        <f t="shared" si="128"/>
        <v>1.3666035165540021E-2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1.0249999999999999E-6</v>
      </c>
      <c r="F2030">
        <v>86145.088470000002</v>
      </c>
      <c r="G2030" s="1">
        <v>2.5439899999999998E-6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1.5505813076361074E-2</v>
      </c>
      <c r="N2030" s="1">
        <f t="shared" si="128"/>
        <v>1.8006518718413266E-2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-4.6650000000000002E-6</v>
      </c>
      <c r="F2031">
        <v>68717.481849999996</v>
      </c>
      <c r="G2031" s="1">
        <v>-4.7659999999999998E-6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-2.4846558458430579E-2</v>
      </c>
      <c r="N2031" s="1">
        <f t="shared" si="128"/>
        <v>-1.1877151888958154E-2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-1.886E-6</v>
      </c>
      <c r="F2032">
        <v>129539.1505</v>
      </c>
      <c r="G2032" s="1">
        <v>9.9739999999999997E-6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-1.9703208876020926E-2</v>
      </c>
      <c r="N2032" s="1">
        <f t="shared" si="128"/>
        <v>4.8753782442337391E-2</v>
      </c>
      <c r="O2032" s="1"/>
    </row>
    <row r="2033" spans="1:15" x14ac:dyDescent="0.25">
      <c r="A2033">
        <v>3836</v>
      </c>
      <c r="B2033">
        <v>21184.141159999999</v>
      </c>
      <c r="C2033" s="1">
        <v>-1.2100000000000001E-6</v>
      </c>
      <c r="D2033">
        <v>31183.466789999999</v>
      </c>
      <c r="E2033" s="1">
        <v>-1.545E-6</v>
      </c>
      <c r="F2033">
        <v>88142.243220000004</v>
      </c>
      <c r="G2033" s="1">
        <v>1.7540000000000001E-6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-3.8708752453385301E-2</v>
      </c>
      <c r="M2033" s="1">
        <f t="shared" si="127"/>
        <v>-1.6576598746121683E-2</v>
      </c>
      <c r="N2033" s="1">
        <f t="shared" si="128"/>
        <v>8.8052199414243582E-3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-3.5159999999999999E-6</v>
      </c>
      <c r="F2034">
        <v>309867.95860000001</v>
      </c>
      <c r="G2034" s="1">
        <v>1.5324000000000001E-5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-5.8770197676705233E-3</v>
      </c>
      <c r="N2034" s="1">
        <f t="shared" si="128"/>
        <v>1.1984615537122406E-2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-4.3660000000000002E-6</v>
      </c>
      <c r="F2035">
        <v>164695.08559999999</v>
      </c>
      <c r="G2035" s="1">
        <v>-4.2775999999999998E-5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-1.4754771382513739E-2</v>
      </c>
      <c r="N2035" s="1">
        <f t="shared" si="128"/>
        <v>-6.7638287378237155E-2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4.2243999999999997E-5</v>
      </c>
      <c r="F2036">
        <v>249974.97099999999</v>
      </c>
      <c r="G2036" s="1">
        <v>2.0594E-5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0.12790610130720315</v>
      </c>
      <c r="N2036" s="1">
        <f t="shared" si="128"/>
        <v>2.917498316168186E-2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7.1399699999999998E-7</v>
      </c>
      <c r="F2037">
        <v>159424.6827</v>
      </c>
      <c r="G2037" s="1">
        <v>3.1353999999999998E-5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1.054498966041709E-2</v>
      </c>
      <c r="N2037" s="1">
        <f t="shared" si="128"/>
        <v>0.21666382372881751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-2.6216000000000001E-5</v>
      </c>
      <c r="F2038">
        <v>278036.22619999998</v>
      </c>
      <c r="G2038" s="1">
        <v>2.8544E-5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-3.608202642449803E-2</v>
      </c>
      <c r="N2038" s="1">
        <f t="shared" si="128"/>
        <v>1.8381586941549968E-2</v>
      </c>
      <c r="O2038" s="1"/>
    </row>
    <row r="2039" spans="1:15" x14ac:dyDescent="0.25">
      <c r="A2039">
        <v>3842</v>
      </c>
      <c r="B2039">
        <v>24190.272099999998</v>
      </c>
      <c r="C2039" s="1">
        <v>-3.3100000000000001E-6</v>
      </c>
      <c r="D2039">
        <v>53495.309950000003</v>
      </c>
      <c r="E2039" s="1">
        <v>1.934E-6</v>
      </c>
      <c r="F2039">
        <v>136563.3314</v>
      </c>
      <c r="G2039" s="1">
        <v>2.2974000000000001E-5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-0.14385443114909752</v>
      </c>
      <c r="M2039" s="1">
        <f t="shared" si="127"/>
        <v>2.8189985789278778E-2</v>
      </c>
      <c r="N2039" s="1">
        <f t="shared" si="128"/>
        <v>0.15668184686236361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-8.1459900000000006E-6</v>
      </c>
      <c r="F2040">
        <v>323163.52970000001</v>
      </c>
      <c r="G2040" s="1">
        <v>2.5624000000000001E-5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-2.3518742544893823E-2</v>
      </c>
      <c r="N2040" s="1">
        <f t="shared" si="128"/>
        <v>3.4614720499433128E-2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9.1399900000000003E-7</v>
      </c>
      <c r="F2041">
        <v>125953.5812</v>
      </c>
      <c r="G2041" s="1">
        <v>4.5513999999999998E-5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3.5412326855963419E-3</v>
      </c>
      <c r="N2041" s="1">
        <f t="shared" si="128"/>
        <v>8.2508259695904015E-2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-6.6599800000000001E-7</v>
      </c>
      <c r="F2042">
        <v>218913.89139999999</v>
      </c>
      <c r="G2042" s="1">
        <v>-2.9566000000000001E-5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-1.3575060177918145E-3</v>
      </c>
      <c r="N2042" s="1">
        <f t="shared" si="128"/>
        <v>-2.8197141857462013E-2</v>
      </c>
      <c r="O2042" s="1"/>
    </row>
    <row r="2043" spans="1:15" x14ac:dyDescent="0.25">
      <c r="A2043">
        <v>3846</v>
      </c>
      <c r="B2043">
        <v>20964.764090000001</v>
      </c>
      <c r="C2043" s="1">
        <v>2.79E-6</v>
      </c>
      <c r="D2043">
        <v>44939.939259999999</v>
      </c>
      <c r="E2043" s="1">
        <v>1.635E-6</v>
      </c>
      <c r="F2043">
        <v>111723.8995</v>
      </c>
      <c r="G2043" s="1">
        <v>-4.2355999999999999E-5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3.4080572733959702E-2</v>
      </c>
      <c r="M2043" s="1">
        <f t="shared" si="127"/>
        <v>6.6982842787787454E-3</v>
      </c>
      <c r="N2043" s="1">
        <f t="shared" si="128"/>
        <v>-8.1190354204245335E-2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1.874E-6</v>
      </c>
      <c r="F2044">
        <v>123796.58</v>
      </c>
      <c r="G2044" s="1">
        <v>2.3113999999999999E-5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5.9404643689108224E-3</v>
      </c>
      <c r="N2044" s="1">
        <f t="shared" si="128"/>
        <v>3.4282271961918485E-2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4.0944E-5</v>
      </c>
      <c r="F2045">
        <v>412950.94880000001</v>
      </c>
      <c r="G2045" s="1">
        <v>3.1240099999999999E-6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2.9024501619126945E-2</v>
      </c>
      <c r="N2045" s="1">
        <f t="shared" si="128"/>
        <v>1.0361690029213335E-3</v>
      </c>
      <c r="O2045" s="1"/>
    </row>
    <row r="2046" spans="1:15" x14ac:dyDescent="0.25">
      <c r="A2046">
        <v>3849</v>
      </c>
      <c r="B2046">
        <v>1681.759323</v>
      </c>
      <c r="C2046" s="1">
        <v>-3.9999999999999998E-7</v>
      </c>
      <c r="D2046">
        <v>28971.653780000001</v>
      </c>
      <c r="E2046" s="1">
        <v>1.325E-6</v>
      </c>
      <c r="F2046">
        <v>66457.830350000004</v>
      </c>
      <c r="G2046" s="1">
        <v>-8.7601100000000005E-7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-2.1211767990789998E-3</v>
      </c>
      <c r="M2046" s="1">
        <f t="shared" si="127"/>
        <v>2.3565458400537274E-3</v>
      </c>
      <c r="N2046" s="1">
        <f t="shared" si="128"/>
        <v>-7.2897603581413605E-4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-1.5650000000000001E-6</v>
      </c>
      <c r="F2047">
        <v>120002.65029999999</v>
      </c>
      <c r="G2047" s="1">
        <v>4.8004000000000003E-5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-1.6391685126088254E-2</v>
      </c>
      <c r="N2047" s="1">
        <f t="shared" si="128"/>
        <v>0.23525039770454478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 s="1">
        <v>-3.0636000000000003E-5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-0.11313094050061713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-2.2350000000000002E-6</v>
      </c>
      <c r="F2049">
        <v>87710.605490000002</v>
      </c>
      <c r="G2049" s="1">
        <v>2.7046899999999998E-6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-1.8056335923128095E-2</v>
      </c>
      <c r="N2049" s="1">
        <f t="shared" si="128"/>
        <v>1.0223821815586854E-2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1.235E-6</v>
      </c>
      <c r="F2050">
        <v>74260.346980000002</v>
      </c>
      <c r="G2050" s="1">
        <v>1.3540000000000001E-6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1.0629780239641388E-2</v>
      </c>
      <c r="N2050" s="1">
        <f t="shared" si="128"/>
        <v>5.4528012826816959E-3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 s="1">
        <v>3.9288999999999998E-6</v>
      </c>
      <c r="F2051">
        <v>45130.93808</v>
      </c>
      <c r="G2051" s="1">
        <v>-4.16003E-7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8.5410478329262254E-2</v>
      </c>
      <c r="N2051" s="1">
        <f t="shared" ref="N2051:N2114" si="132">$U$4*$K2051*G2051</f>
        <v>-4.2313633459439065E-3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-2.1050000000000002E-6</v>
      </c>
      <c r="F2052">
        <v>63548.783499999998</v>
      </c>
      <c r="G2052" s="1">
        <v>-7.4599699999999995E-7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-4.857330042603826E-2</v>
      </c>
      <c r="N2052" s="1">
        <f t="shared" si="132"/>
        <v>-8.0542716393649308E-3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 s="1">
        <v>-4.7651000000000003E-6</v>
      </c>
      <c r="F2053">
        <v>70730.93763</v>
      </c>
      <c r="G2053" s="1">
        <v>-1.336E-6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-5.1183361536169897E-2</v>
      </c>
      <c r="N2053" s="1">
        <f t="shared" si="132"/>
        <v>-6.7143955538125589E-3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7.1399699999999998E-7</v>
      </c>
      <c r="F2054">
        <v>68297.78903</v>
      </c>
      <c r="G2054" s="1">
        <v>-2.756E-6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4.8735680929940057E-3</v>
      </c>
      <c r="N2054" s="1">
        <f t="shared" si="132"/>
        <v>-8.8018414807523159E-3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-9.2599700000000003E-7</v>
      </c>
      <c r="F2055">
        <v>59423.366670000003</v>
      </c>
      <c r="G2055" s="1">
        <v>2.554E-6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-6.7643377354054722E-3</v>
      </c>
      <c r="N2055" s="1">
        <f t="shared" si="132"/>
        <v>8.7293171961304178E-3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-1.5859999999999999E-6</v>
      </c>
      <c r="F2056">
        <v>70319.059819999995</v>
      </c>
      <c r="G2056" s="1">
        <v>2.9440000000000001E-6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-1.3305606532241424E-2</v>
      </c>
      <c r="N2056" s="1">
        <f t="shared" si="132"/>
        <v>1.1556144863755433E-2</v>
      </c>
      <c r="O2056" s="1"/>
    </row>
    <row r="2057" spans="1:15" x14ac:dyDescent="0.25">
      <c r="A2057">
        <v>3860</v>
      </c>
      <c r="B2057">
        <v>3776.705312</v>
      </c>
      <c r="C2057" s="1">
        <v>0</v>
      </c>
      <c r="D2057">
        <v>31149.011490000001</v>
      </c>
      <c r="E2057" s="1">
        <v>-3.2049999999999998E-6</v>
      </c>
      <c r="F2057">
        <v>48368.768790000002</v>
      </c>
      <c r="G2057" s="1">
        <v>4.4400099999999998E-7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-3.4212532593304985E-2</v>
      </c>
      <c r="N2057" s="1">
        <f t="shared" si="132"/>
        <v>2.2176081892740997E-3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3.614E-6</v>
      </c>
      <c r="F2058">
        <v>66995.771670000002</v>
      </c>
      <c r="G2058" s="1">
        <v>4.8439999999999997E-6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2.2773581957007516E-2</v>
      </c>
      <c r="N2058" s="1">
        <f t="shared" si="132"/>
        <v>1.428206511118069E-2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4.8890000000000001E-6</v>
      </c>
      <c r="F2059">
        <v>48556.532209999998</v>
      </c>
      <c r="G2059" s="1">
        <v>1.7540000000000001E-6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3.9400612822895219E-2</v>
      </c>
      <c r="N2059" s="1">
        <f t="shared" si="132"/>
        <v>6.6138784116735929E-3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 s="1">
        <v>4.9738999999999999E-6</v>
      </c>
      <c r="F2060">
        <v>84277.056890000007</v>
      </c>
      <c r="G2060" s="1">
        <v>-3.8960100000000003E-6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9.7100626135167539E-2</v>
      </c>
      <c r="N2060" s="1">
        <f t="shared" si="132"/>
        <v>-3.5586782328290524E-2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2.0540000000000002E-6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5.3976224146163286E-3</v>
      </c>
      <c r="O2061" s="1"/>
    </row>
    <row r="2062" spans="1:15" x14ac:dyDescent="0.25">
      <c r="A2062">
        <v>3865</v>
      </c>
      <c r="B2062">
        <v>256.10979079999998</v>
      </c>
      <c r="C2062" s="1">
        <v>2.9000000000000002E-8</v>
      </c>
      <c r="D2062">
        <v>6076.6023059999998</v>
      </c>
      <c r="E2062" s="1">
        <v>-1.86E-7</v>
      </c>
      <c r="F2062">
        <v>61280.375220000002</v>
      </c>
      <c r="G2062" s="1">
        <v>2.0040000000000002E-6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8.8131061424428765E-4</v>
      </c>
      <c r="M2062" s="1">
        <f t="shared" si="131"/>
        <v>-1.8957762751393829E-3</v>
      </c>
      <c r="N2062" s="1">
        <f t="shared" si="132"/>
        <v>9.55686684543482E-3</v>
      </c>
      <c r="O2062" s="1"/>
    </row>
    <row r="2063" spans="1:15" x14ac:dyDescent="0.25">
      <c r="A2063">
        <v>3866</v>
      </c>
      <c r="B2063">
        <v>30920.274399999998</v>
      </c>
      <c r="C2063" s="1">
        <v>-4.0600000000000001E-6</v>
      </c>
      <c r="D2063">
        <v>106959.98239999999</v>
      </c>
      <c r="E2063" s="1">
        <v>-2.8155999999999999E-5</v>
      </c>
      <c r="F2063">
        <v>269180.72409999999</v>
      </c>
      <c r="G2063" s="1">
        <v>4.9413999999999998E-5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-2.8404819003051404E-2</v>
      </c>
      <c r="M2063" s="1">
        <f t="shared" si="131"/>
        <v>-6.6066315376764495E-2</v>
      </c>
      <c r="N2063" s="1">
        <f t="shared" si="132"/>
        <v>5.4250384264536475E-2</v>
      </c>
      <c r="O2063" s="1"/>
    </row>
    <row r="2064" spans="1:15" x14ac:dyDescent="0.25">
      <c r="A2064">
        <v>3867</v>
      </c>
      <c r="B2064">
        <v>28247.463919999998</v>
      </c>
      <c r="C2064" s="1">
        <v>-2.5600000000000001E-6</v>
      </c>
      <c r="D2064">
        <v>86370.549440000003</v>
      </c>
      <c r="E2064" s="1">
        <v>3.8339900000000002E-6</v>
      </c>
      <c r="F2064">
        <v>227192.18580000001</v>
      </c>
      <c r="G2064" s="1">
        <v>2.8934000000000001E-5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-2.8536233921728001E-2</v>
      </c>
      <c r="M2064" s="1">
        <f t="shared" si="131"/>
        <v>1.4333452246152267E-2</v>
      </c>
      <c r="N2064" s="1">
        <f t="shared" si="132"/>
        <v>5.061182332554709E-2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 s="1">
        <v>-8.8600799999999998E-7</v>
      </c>
      <c r="F2065">
        <v>216172.69200000001</v>
      </c>
      <c r="G2065" s="1">
        <v>2.9933999999999998E-5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-1.6650769794274059E-3</v>
      </c>
      <c r="N2065" s="1">
        <f t="shared" si="132"/>
        <v>2.6321164882425922E-2</v>
      </c>
      <c r="O2065" s="1"/>
    </row>
    <row r="2066" spans="1:15" x14ac:dyDescent="0.25">
      <c r="A2066">
        <v>3869</v>
      </c>
      <c r="B2066">
        <v>23103.88855</v>
      </c>
      <c r="C2066" s="1">
        <v>-4.6299999999999997E-6</v>
      </c>
      <c r="D2066">
        <v>53968.551319999999</v>
      </c>
      <c r="E2066" s="1">
        <v>-5.8599800000000003E-7</v>
      </c>
      <c r="F2066">
        <v>141640.20420000001</v>
      </c>
      <c r="G2066" s="1">
        <v>4.8233999999999999E-5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-0.10316539884672514</v>
      </c>
      <c r="M2066" s="1">
        <f t="shared" si="131"/>
        <v>-4.3791754084590625E-3</v>
      </c>
      <c r="N2066" s="1">
        <f t="shared" si="132"/>
        <v>0.16865264811205849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-1.5859999999999999E-6</v>
      </c>
      <c r="F2067">
        <v>135336.7617</v>
      </c>
      <c r="G2067" s="1">
        <v>-1.3186E-5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-4.4836403987872789E-3</v>
      </c>
      <c r="N2067" s="1">
        <f t="shared" si="132"/>
        <v>-1.7441520397624064E-2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-3.726E-6</v>
      </c>
      <c r="F2068">
        <v>82990.510250000007</v>
      </c>
      <c r="G2068" s="1">
        <v>-6.9600399999999999E-7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-6.7063565608092096E-2</v>
      </c>
      <c r="N2068" s="1">
        <f t="shared" si="132"/>
        <v>-5.861370891853972E-3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-4.9349900000000003E-6</v>
      </c>
      <c r="F2069">
        <v>241606.24619999999</v>
      </c>
      <c r="G2069" s="1">
        <v>-1.8389999999999998E-5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-7.9813401880235765E-2</v>
      </c>
      <c r="N2069" s="1">
        <f t="shared" si="132"/>
        <v>-0.13916017061067321</v>
      </c>
      <c r="O2069" s="1"/>
    </row>
    <row r="2070" spans="1:15" x14ac:dyDescent="0.25">
      <c r="A2070">
        <v>3901</v>
      </c>
      <c r="B2070">
        <v>2496.658629</v>
      </c>
      <c r="C2070" s="1">
        <v>-9.9999999999999995E-8</v>
      </c>
      <c r="D2070">
        <v>59376.087359999998</v>
      </c>
      <c r="E2070" s="1">
        <v>1.84904E-7</v>
      </c>
      <c r="F2070">
        <v>197720.43220000001</v>
      </c>
      <c r="G2070" s="1">
        <v>-3.8090000000000003E-5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-3.8843278414525E-3</v>
      </c>
      <c r="M2070" s="1">
        <f t="shared" si="131"/>
        <v>2.4088253943494371E-3</v>
      </c>
      <c r="N2070" s="1">
        <f t="shared" si="132"/>
        <v>-0.23217404373929887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1.9284999999999999E-5</v>
      </c>
      <c r="F2071">
        <v>316328.59399999998</v>
      </c>
      <c r="G2071" s="1">
        <v>6.10016E-7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0.22437604758084875</v>
      </c>
      <c r="N2071" s="1">
        <f t="shared" si="132"/>
        <v>3.3207926163534582E-3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 s="1">
        <v>-4.0550899999999997E-6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-6.0242900870111235E-2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-8.6998600000000002E-8</v>
      </c>
      <c r="F2073">
        <v>134357.71549999999</v>
      </c>
      <c r="G2073" s="1">
        <v>2.8985000000000001E-5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-3.3048146119252615E-4</v>
      </c>
      <c r="N2073" s="1">
        <f t="shared" si="132"/>
        <v>5.1517149035418826E-2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-1.6487999999999999E-5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-5.3871176160264621E-2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-4.3270000000000002E-6</v>
      </c>
      <c r="F2075">
        <v>109840.0919</v>
      </c>
      <c r="G2075" s="1">
        <v>4.5575000000000003E-5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-6.3213134069072002E-2</v>
      </c>
      <c r="N2075" s="1">
        <f t="shared" si="132"/>
        <v>0.31152347823480009</v>
      </c>
      <c r="O2075" s="1"/>
    </row>
    <row r="2076" spans="1:15" x14ac:dyDescent="0.25">
      <c r="A2076">
        <v>3908</v>
      </c>
      <c r="B2076">
        <v>2235.5364209999998</v>
      </c>
      <c r="C2076" s="1">
        <v>-2.9999999999999999E-7</v>
      </c>
      <c r="D2076">
        <v>10103.86391</v>
      </c>
      <c r="E2076" s="1">
        <v>2.84999E-7</v>
      </c>
      <c r="F2076">
        <v>80638.705329999997</v>
      </c>
      <c r="G2076" s="1">
        <v>1.2130000000000001E-6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-7.6947346038517498E-3</v>
      </c>
      <c r="M2076" s="1">
        <f t="shared" si="131"/>
        <v>2.451652223000849E-3</v>
      </c>
      <c r="N2076" s="1">
        <f t="shared" si="132"/>
        <v>4.8822499158777529E-3</v>
      </c>
      <c r="O2076" s="1"/>
    </row>
    <row r="2077" spans="1:15" x14ac:dyDescent="0.25">
      <c r="A2077">
        <v>3909</v>
      </c>
      <c r="B2077">
        <v>6305.8558810000004</v>
      </c>
      <c r="C2077" s="1">
        <v>1.9500000000000001E-7</v>
      </c>
      <c r="D2077">
        <v>45849.094720000001</v>
      </c>
      <c r="E2077" s="1">
        <v>-6.2699800000000004E-7</v>
      </c>
      <c r="F2077">
        <v>161747.88860000001</v>
      </c>
      <c r="G2077" s="1">
        <v>-3.858E-5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4.2909525577468875E-3</v>
      </c>
      <c r="M2077" s="1">
        <f t="shared" si="131"/>
        <v>-4.6273078536716045E-3</v>
      </c>
      <c r="N2077" s="1">
        <f t="shared" si="132"/>
        <v>-0.1332196044745029</v>
      </c>
      <c r="O2077" s="1"/>
    </row>
    <row r="2078" spans="1:15" x14ac:dyDescent="0.25">
      <c r="A2078">
        <v>3910</v>
      </c>
      <c r="B2078">
        <v>3600.873623</v>
      </c>
      <c r="C2078" s="1">
        <v>4.9500000000000003E-7</v>
      </c>
      <c r="D2078">
        <v>44944.864860000001</v>
      </c>
      <c r="E2078" s="1">
        <v>3.1030000000000002E-6</v>
      </c>
      <c r="F2078">
        <v>163917.15520000001</v>
      </c>
      <c r="G2078" s="1">
        <v>9.2999799999999993E-6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9.7661610752545133E-3</v>
      </c>
      <c r="M2078" s="1">
        <f t="shared" si="131"/>
        <v>2.053258344677612E-2</v>
      </c>
      <c r="N2078" s="1">
        <f t="shared" si="132"/>
        <v>2.879303954317898E-2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2.1299600000000001E-7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4.3307904531559102E-4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2.4549999999999998E-6</v>
      </c>
      <c r="F2080">
        <v>105384.58100000001</v>
      </c>
      <c r="G2080" s="1">
        <v>-1.0437E-5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2.3976207380207924E-2</v>
      </c>
      <c r="N2080" s="1">
        <f t="shared" si="132"/>
        <v>-4.7692309265078711E-2</v>
      </c>
      <c r="O2080" s="1"/>
    </row>
    <row r="2081" spans="1:15" x14ac:dyDescent="0.25">
      <c r="A2081">
        <v>3913</v>
      </c>
      <c r="B2081">
        <v>16493.051469999999</v>
      </c>
      <c r="C2081" s="1">
        <v>-2.2199999999999999E-6</v>
      </c>
      <c r="D2081">
        <v>92358.822610000003</v>
      </c>
      <c r="E2081" s="1">
        <v>7.1000200000000003E-7</v>
      </c>
      <c r="F2081">
        <v>342134.51059999998</v>
      </c>
      <c r="G2081" s="1">
        <v>2.6934999999999999E-5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-5.7898777921077595E-2</v>
      </c>
      <c r="M2081" s="1">
        <f t="shared" si="131"/>
        <v>6.2103936871043411E-3</v>
      </c>
      <c r="N2081" s="1">
        <f t="shared" si="132"/>
        <v>0.11023518052462299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3.5750099999999999E-6</v>
      </c>
      <c r="F2082">
        <v>164149.1814</v>
      </c>
      <c r="G2082" s="1">
        <v>-1.309E-5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1.7532261984633892E-2</v>
      </c>
      <c r="N2082" s="1">
        <f t="shared" si="132"/>
        <v>-3.0036132774586558E-2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-4.8450000000000002E-6</v>
      </c>
      <c r="F2083">
        <v>136890.73120000001</v>
      </c>
      <c r="G2083" s="1">
        <v>3.7639999999999999E-5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-5.4790302940452826E-2</v>
      </c>
      <c r="N2083" s="1">
        <f t="shared" si="132"/>
        <v>0.19916050243154459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1.9649999999999998E-6</v>
      </c>
      <c r="F2084">
        <v>198070.1336</v>
      </c>
      <c r="G2084" s="1">
        <v>-9.7499900000000008E-6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1.2902554388208779E-2</v>
      </c>
      <c r="N2084" s="1">
        <f t="shared" si="132"/>
        <v>-2.9954425329663976E-2</v>
      </c>
      <c r="O2084" s="1"/>
    </row>
    <row r="2085" spans="1:15" x14ac:dyDescent="0.25">
      <c r="A2085">
        <v>3917</v>
      </c>
      <c r="B2085">
        <v>5584.3897909999996</v>
      </c>
      <c r="C2085" s="1">
        <v>-1.6E-7</v>
      </c>
      <c r="D2085">
        <v>67760.624400000001</v>
      </c>
      <c r="E2085" s="1">
        <v>4.7650000000000001E-6</v>
      </c>
      <c r="F2085">
        <v>198881.29949999999</v>
      </c>
      <c r="G2085" s="1">
        <v>-2.9199900000000001E-6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-1.8075689375692001E-3</v>
      </c>
      <c r="M2085" s="1">
        <f t="shared" si="131"/>
        <v>1.8054311396911132E-2</v>
      </c>
      <c r="N2085" s="1">
        <f t="shared" si="132"/>
        <v>-5.1765816215893672E-3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5.2998100000000001E-8</v>
      </c>
      <c r="F2086">
        <v>84760.938030000005</v>
      </c>
      <c r="G2086" s="1">
        <v>-4.14501E-6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4.6253391259516892E-4</v>
      </c>
      <c r="N2086" s="1">
        <f t="shared" si="132"/>
        <v>-1.6925930016523729E-2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-4.3999899999999999E-7</v>
      </c>
      <c r="F2087">
        <v>58229.515460000002</v>
      </c>
      <c r="G2087" s="1">
        <v>2.588E-6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-4.1140276296196829E-3</v>
      </c>
      <c r="N2087" s="1">
        <f t="shared" si="132"/>
        <v>1.1322008191766798E-2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-2.6699900000000002E-7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-3.3766827588394134E-3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1.89799E-6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8.5304795719009403E-3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1.7000299999999999E-7</v>
      </c>
      <c r="F2090">
        <v>126391.33010000001</v>
      </c>
      <c r="G2090" s="1">
        <v>-4.5620100000000004E-6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1.5320432265020097E-3</v>
      </c>
      <c r="N2090" s="1">
        <f t="shared" si="132"/>
        <v>-1.9235981238024356E-2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-3.9937000000000001E-5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-0.13528579656682488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-3.8249999999999998E-6</v>
      </c>
      <c r="F2092">
        <v>144570.65410000001</v>
      </c>
      <c r="G2092" s="1">
        <v>4.1588000000000002E-5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-3.4429034224565461E-2</v>
      </c>
      <c r="N2092" s="1">
        <f t="shared" si="132"/>
        <v>0.17514797251758149</v>
      </c>
      <c r="O2092" s="1"/>
    </row>
    <row r="2093" spans="1:15" x14ac:dyDescent="0.25">
      <c r="A2093">
        <v>3925</v>
      </c>
      <c r="B2093">
        <v>965.27299419999997</v>
      </c>
      <c r="C2093" s="1">
        <v>0</v>
      </c>
      <c r="D2093">
        <v>9706.2323080000006</v>
      </c>
      <c r="E2093" s="1">
        <v>-1.2000099999999999E-7</v>
      </c>
      <c r="F2093">
        <v>59700.430339999999</v>
      </c>
      <c r="G2093" s="1">
        <v>4.0949999999999998E-6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-1.2389197665330282E-3</v>
      </c>
      <c r="N2093" s="1">
        <f t="shared" si="132"/>
        <v>1.9781348813040497E-2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-4.9072E-5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-0.24746385311403615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3.7749999999999999E-6</v>
      </c>
      <c r="F2095">
        <v>256729.59640000001</v>
      </c>
      <c r="G2095" s="1">
        <v>-4.5352000000000002E-5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2.0669749237707234E-2</v>
      </c>
      <c r="N2095" s="1">
        <f t="shared" si="132"/>
        <v>-0.11618722361954778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 s="1">
        <v>3.0599999999999999E-6</v>
      </c>
      <c r="F2096">
        <v>129244.8848</v>
      </c>
      <c r="G2096" s="1">
        <v>3.2898000000000002E-5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1.4838990443034444E-2</v>
      </c>
      <c r="N2096" s="1">
        <f t="shared" si="132"/>
        <v>7.4644206054273271E-2</v>
      </c>
      <c r="O2096" s="1"/>
    </row>
    <row r="2097" spans="1:15" x14ac:dyDescent="0.25">
      <c r="A2097">
        <v>3929</v>
      </c>
      <c r="B2097">
        <v>1915.2010419999999</v>
      </c>
      <c r="C2097" s="1">
        <v>0</v>
      </c>
      <c r="D2097">
        <v>30667.92254</v>
      </c>
      <c r="E2097" s="1">
        <v>-3.4800000000000001E-6</v>
      </c>
      <c r="F2097">
        <v>104118.9243</v>
      </c>
      <c r="G2097" s="1">
        <v>-2.3717E-5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-6.1904367947690955E-2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-4.245E-6</v>
      </c>
      <c r="F2098">
        <v>147578.92050000001</v>
      </c>
      <c r="G2098" s="1">
        <v>-3.2957000000000003E-5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-4.3720905210263318E-2</v>
      </c>
      <c r="N2098" s="1">
        <f t="shared" si="132"/>
        <v>-0.15881912562809364</v>
      </c>
      <c r="O2098" s="1"/>
    </row>
    <row r="2099" spans="1:15" x14ac:dyDescent="0.25">
      <c r="A2099">
        <v>3931</v>
      </c>
      <c r="B2099">
        <v>17.36583452</v>
      </c>
      <c r="C2099" s="1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-4.9250000000000003E-6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-2.9079173422860229E-2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-1.5549999999999999E-6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-1.1687545171013055E-2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 s="1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-1.4499899999999999E-7</v>
      </c>
      <c r="F2104">
        <v>58105.710010000003</v>
      </c>
      <c r="G2104" s="1">
        <v>2.345E-6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-2.0926225699896559E-3</v>
      </c>
      <c r="N2104" s="1">
        <f t="shared" si="132"/>
        <v>1.5834794194905421E-2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2.7499800000000001E-7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3.5976967611050289E-3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9.2000100000000001E-7</v>
      </c>
      <c r="F2106">
        <v>84560.794250000006</v>
      </c>
      <c r="G2106" s="1">
        <v>-3.6181000000000001E-6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1.6382973422143732E-2</v>
      </c>
      <c r="N2106" s="1">
        <f t="shared" si="132"/>
        <v>-3.0145928970535623E-2</v>
      </c>
      <c r="O2106" s="1"/>
    </row>
    <row r="2107" spans="1:15" x14ac:dyDescent="0.25">
      <c r="A2107">
        <v>3940</v>
      </c>
      <c r="B2107">
        <v>3474.948605</v>
      </c>
      <c r="C2107" s="1">
        <v>-2.35E-7</v>
      </c>
      <c r="D2107">
        <v>9218.2043859999994</v>
      </c>
      <c r="E2107" s="1">
        <v>-2.4499999999999998E-7</v>
      </c>
      <c r="F2107">
        <v>52864.705390000003</v>
      </c>
      <c r="G2107" s="1">
        <v>2.0849999999999999E-6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-8.325848904442875E-3</v>
      </c>
      <c r="M2107" s="1">
        <f t="shared" si="131"/>
        <v>-2.9111855318251644E-3</v>
      </c>
      <c r="N2107" s="1">
        <f t="shared" si="132"/>
        <v>1.1591870942768354E-2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3.6499900000000002E-7</v>
      </c>
      <c r="F2108">
        <v>30725.83884</v>
      </c>
      <c r="G2108" s="1">
        <v>-4.335E-6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5.9414357407695639E-3</v>
      </c>
      <c r="N2108" s="1">
        <f t="shared" si="132"/>
        <v>-3.3016612279974301E-2</v>
      </c>
      <c r="O2108" s="1"/>
    </row>
    <row r="2109" spans="1:15" x14ac:dyDescent="0.25">
      <c r="A2109">
        <v>3942</v>
      </c>
      <c r="B2109">
        <v>75.040568260000001</v>
      </c>
      <c r="C2109" s="1">
        <v>0</v>
      </c>
      <c r="D2109">
        <v>264.23984539999998</v>
      </c>
      <c r="E2109" s="1">
        <v>2.9999999999999997E-8</v>
      </c>
      <c r="F2109">
        <v>1768.6283450000001</v>
      </c>
      <c r="G2109" s="1">
        <v>3.4999899999999997E-8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5.6464306096622218E-4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2.4800100000000002E-7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1.986468549981781E-3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3.6299899999999998E-7</v>
      </c>
      <c r="F2111">
        <v>79683.345409999994</v>
      </c>
      <c r="G2111" s="1">
        <v>3.568E-6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3.684682149950822E-3</v>
      </c>
      <c r="N2111" s="1">
        <f t="shared" si="132"/>
        <v>1.6945840942171858E-2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 s="1">
        <v>5.4999899999999997E-8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3.2669833683890393E-4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1.6080000000000001E-6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1.2566571208858441E-2</v>
      </c>
      <c r="O2113" s="1"/>
    </row>
    <row r="2114" spans="1:15" x14ac:dyDescent="0.25">
      <c r="A2114">
        <v>3947</v>
      </c>
      <c r="B2114">
        <v>26.841836409999999</v>
      </c>
      <c r="C2114" s="1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2.8030000000000001E-6</v>
      </c>
      <c r="F2115">
        <v>201792.12049999999</v>
      </c>
      <c r="G2115" s="1">
        <v>-4.0425E-5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2.3827175561748879E-2</v>
      </c>
      <c r="N2115" s="1">
        <f t="shared" ref="N2115:N2178" si="136">$U$4*$K2115*G2115</f>
        <v>-0.16078412767535641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1.13003E-7</v>
      </c>
      <c r="F2116">
        <v>82052.020860000004</v>
      </c>
      <c r="G2116" s="1">
        <v>8.4190099999999996E-7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9.536272034737194E-4</v>
      </c>
      <c r="N2116" s="1">
        <f t="shared" si="136"/>
        <v>3.3242475829226683E-3</v>
      </c>
      <c r="O2116" s="1"/>
    </row>
    <row r="2117" spans="1:15" x14ac:dyDescent="0.25">
      <c r="A2117">
        <v>3950</v>
      </c>
      <c r="B2117">
        <v>85.549038920000001</v>
      </c>
      <c r="C2117" s="1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3.5499900000000001E-7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3.1143366374395626E-3</v>
      </c>
      <c r="O2118" s="1"/>
    </row>
    <row r="2119" spans="1:15" x14ac:dyDescent="0.25">
      <c r="A2119">
        <v>3952</v>
      </c>
      <c r="B2119">
        <v>1550.737224</v>
      </c>
      <c r="C2119" s="1">
        <v>-4.5999999999999999E-7</v>
      </c>
      <c r="D2119">
        <v>20491.808000000001</v>
      </c>
      <c r="E2119" s="1">
        <v>1.268E-6</v>
      </c>
      <c r="F2119">
        <v>118583.8839</v>
      </c>
      <c r="G2119" s="1">
        <v>2.2935E-5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-9.6548065958519495E-3</v>
      </c>
      <c r="M2119" s="1">
        <f t="shared" si="135"/>
        <v>8.9258202623805332E-3</v>
      </c>
      <c r="N2119" s="1">
        <f t="shared" si="136"/>
        <v>7.5539013064007288E-2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-2.3020000000000002E-6</v>
      </c>
      <c r="F2120">
        <v>96245.828030000004</v>
      </c>
      <c r="G2120" s="1">
        <v>-3.0200999999999999E-7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-3.7144399494166591E-2</v>
      </c>
      <c r="N2120" s="1">
        <f t="shared" si="136"/>
        <v>-2.2800954281992358E-3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-4.4120000000000003E-6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-2.6485582073419504E-2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-2.4250000000000001E-6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-5.1531839744278725E-2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-3.2720000000000002E-6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-2.057234994551518E-2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-3.9020000000000001E-6</v>
      </c>
      <c r="F2125">
        <v>155045.432</v>
      </c>
      <c r="G2125" s="1">
        <v>-2.4912000000000001E-5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-5.9805833461866457E-2</v>
      </c>
      <c r="N2125" s="1">
        <f t="shared" si="136"/>
        <v>-0.17865227684533191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3.7179999999999998E-6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2.1490627036596432E-2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-7.5199900000000004E-7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-2.6117566369928996E-3</v>
      </c>
      <c r="O2127" s="1"/>
    </row>
    <row r="2128" spans="1:15" x14ac:dyDescent="0.25">
      <c r="A2128">
        <v>3961</v>
      </c>
      <c r="B2128">
        <v>24.380832699999999</v>
      </c>
      <c r="C2128" s="1">
        <v>0</v>
      </c>
      <c r="D2128">
        <v>1551.5722639999999</v>
      </c>
      <c r="E2128" s="1">
        <v>-4.9999899999999999E-8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-1.1035177697269465E-3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-1.00008E-8</v>
      </c>
      <c r="F2129">
        <v>74335.334359999993</v>
      </c>
      <c r="G2129" s="1">
        <v>-2.7919899999999998E-6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-2.0194166716838016E-4</v>
      </c>
      <c r="N2129" s="1">
        <f t="shared" si="136"/>
        <v>-2.6378417140564291E-2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-4.6532000000000001E-5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-0.22703559164899517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1.9879999999999999E-6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2.3896573410901047E-2</v>
      </c>
      <c r="O2131" s="1"/>
    </row>
    <row r="2132" spans="1:15" x14ac:dyDescent="0.25">
      <c r="A2132">
        <v>3965</v>
      </c>
      <c r="B2132">
        <v>213.0340305</v>
      </c>
      <c r="C2132" s="1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 s="1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 s="1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 s="1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 s="1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 s="1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 s="1">
        <v>0</v>
      </c>
      <c r="D2138">
        <v>4511.1040540000004</v>
      </c>
      <c r="E2138" s="1">
        <v>-1.5700099999999999E-7</v>
      </c>
      <c r="F2138">
        <v>52977.594340000003</v>
      </c>
      <c r="G2138" s="1">
        <v>-2.8020999999999998E-6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-1.2236401017153091E-3</v>
      </c>
      <c r="N2138" s="1">
        <f t="shared" si="136"/>
        <v>-1.0218298637602314E-2</v>
      </c>
      <c r="O2138" s="1"/>
    </row>
    <row r="2139" spans="1:15" x14ac:dyDescent="0.25">
      <c r="A2139">
        <v>3972</v>
      </c>
      <c r="B2139">
        <v>1805.2592910000001</v>
      </c>
      <c r="C2139" s="1">
        <v>-4.5999999999999999E-7</v>
      </c>
      <c r="D2139">
        <v>38759.070879999999</v>
      </c>
      <c r="E2139" s="1">
        <v>-1.9570000000000001E-6</v>
      </c>
      <c r="F2139">
        <v>132692.69630000001</v>
      </c>
      <c r="G2139" s="1">
        <v>3.4245000000000002E-5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-1.0166998573888E-2</v>
      </c>
      <c r="M2139" s="1">
        <f t="shared" si="135"/>
        <v>-1.4506708807971712E-2</v>
      </c>
      <c r="N2139" s="1">
        <f t="shared" si="136"/>
        <v>0.11877332558061889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2.1299600000000001E-7</v>
      </c>
      <c r="F2140">
        <v>142251.177</v>
      </c>
      <c r="G2140" s="1">
        <v>-1.2965E-5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7.1906937900381945E-4</v>
      </c>
      <c r="N2140" s="1">
        <f t="shared" si="136"/>
        <v>-2.0479320688367601E-2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 s="1">
        <v>2.6799000000000001E-7</v>
      </c>
      <c r="F2141">
        <v>42440.181470000003</v>
      </c>
      <c r="G2141" s="1">
        <v>4.5379999999999996E-6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1.9445064781407715E-3</v>
      </c>
      <c r="N2141" s="1">
        <f t="shared" si="136"/>
        <v>1.5406322168256445E-2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6.59995E-7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3.5721543558236823E-3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7.6000300000000001E-7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2.5998656328061957E-3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4.3700100000000004E-6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1.9926036448791609E-2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4.6000100000000002E-7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4.7126900441731559E-3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 s="1">
        <v>-1.4000000000000001E-7</v>
      </c>
      <c r="D2147">
        <v>14341.67396</v>
      </c>
      <c r="E2147" s="1">
        <v>1.46E-6</v>
      </c>
      <c r="F2147">
        <v>75051.411389999994</v>
      </c>
      <c r="G2147" s="1">
        <v>3.5600100000000001E-6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-4.582888406733E-3</v>
      </c>
      <c r="M2147" s="1">
        <f t="shared" si="135"/>
        <v>1.602902991313164E-2</v>
      </c>
      <c r="N2147" s="1">
        <f t="shared" si="136"/>
        <v>1.8287286953835847E-2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-2.0999899999999999E-6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-1.6794146844934247E-2</v>
      </c>
      <c r="O2148" s="1"/>
    </row>
    <row r="2149" spans="1:15" x14ac:dyDescent="0.25">
      <c r="A2149">
        <v>4009</v>
      </c>
      <c r="B2149">
        <v>4018.7303590000001</v>
      </c>
      <c r="C2149" s="1">
        <v>3.9999999999999998E-7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9.2589275843219989E-3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 s="1">
        <v>3.9999999999999998E-7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9.3160948000120015E-3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 s="1">
        <v>0</v>
      </c>
      <c r="D2151">
        <v>16553.700949999999</v>
      </c>
      <c r="E2151" s="1">
        <v>-4.2400000000000001E-6</v>
      </c>
      <c r="F2151">
        <v>39646.805220000002</v>
      </c>
      <c r="G2151" s="1">
        <v>4.2999499999999998E-7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2.7278985946830809E-3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 s="1">
        <v>4.5999999999999999E-7</v>
      </c>
      <c r="D2153">
        <v>10821.65403</v>
      </c>
      <c r="E2153" s="1">
        <v>-2.6400000000000001E-6</v>
      </c>
      <c r="F2153">
        <v>47212.271760000003</v>
      </c>
      <c r="G2153" s="1">
        <v>4.4599899999999998E-6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1.8213495333039502E-2</v>
      </c>
      <c r="M2153" s="1">
        <f t="shared" si="135"/>
        <v>-3.5057628207594962E-2</v>
      </c>
      <c r="N2153" s="1">
        <f t="shared" si="136"/>
        <v>2.7711253241274551E-2</v>
      </c>
      <c r="O2153" s="1"/>
    </row>
    <row r="2154" spans="1:15" x14ac:dyDescent="0.25">
      <c r="A2154">
        <v>4016</v>
      </c>
      <c r="B2154">
        <v>1788.7954649999999</v>
      </c>
      <c r="C2154" s="1">
        <v>1.6E-7</v>
      </c>
      <c r="D2154">
        <v>14649.63089</v>
      </c>
      <c r="E2154" s="1">
        <v>3.36E-6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4.3511270609924001E-3</v>
      </c>
      <c r="M2154" s="1">
        <f t="shared" si="135"/>
        <v>3.0645322592651091E-2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 s="1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8.5999600000000002E-7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1.6715527654271554E-3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-1.6999500000000001E-7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-7.6429225431681768E-4</v>
      </c>
      <c r="O2158" s="1"/>
    </row>
    <row r="2159" spans="1:15" x14ac:dyDescent="0.25">
      <c r="A2159">
        <v>4021</v>
      </c>
      <c r="B2159">
        <v>3524.9282929999999</v>
      </c>
      <c r="C2159" s="1">
        <v>-1.9999999999999999E-7</v>
      </c>
      <c r="D2159">
        <v>16047.30141</v>
      </c>
      <c r="E2159" s="1">
        <v>4.1999999999999996E-6</v>
      </c>
      <c r="F2159">
        <v>62970.393519999998</v>
      </c>
      <c r="G2159" s="1">
        <v>-4.3999899999999999E-7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-5.0111582226744994E-3</v>
      </c>
      <c r="M2159" s="1">
        <f t="shared" si="135"/>
        <v>3.5293972836005931E-2</v>
      </c>
      <c r="N2159" s="1">
        <f t="shared" si="136"/>
        <v>-1.7300020761191756E-3</v>
      </c>
      <c r="O2159" s="1"/>
    </row>
    <row r="2160" spans="1:15" x14ac:dyDescent="0.25">
      <c r="A2160">
        <v>4024</v>
      </c>
      <c r="B2160">
        <v>908.05631679999999</v>
      </c>
      <c r="C2160" s="1">
        <v>0</v>
      </c>
      <c r="D2160">
        <v>4149.4583309999998</v>
      </c>
      <c r="E2160" s="1">
        <v>-8.9999999999999999E-8</v>
      </c>
      <c r="F2160">
        <v>23334.744790000001</v>
      </c>
      <c r="G2160" s="1">
        <v>7.4999799999999996E-7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4.8486632593113289E-3</v>
      </c>
      <c r="O2160" s="1"/>
    </row>
    <row r="2161" spans="1:15" x14ac:dyDescent="0.25">
      <c r="A2161">
        <v>4025</v>
      </c>
      <c r="B2161">
        <v>35.759068710000001</v>
      </c>
      <c r="C2161" s="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4.6000100000000002E-7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6.1500032919827698E-3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 s="1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-4.9100100000000003E-6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-4.0582367065849563E-2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6.7999600000000005E-7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3.9105055337474003E-3</v>
      </c>
      <c r="O2166" s="1"/>
    </row>
    <row r="2167" spans="1:15" x14ac:dyDescent="0.25">
      <c r="A2167">
        <v>4033</v>
      </c>
      <c r="B2167">
        <v>1998.2119319999999</v>
      </c>
      <c r="C2167" s="1">
        <v>2.9999999999999999E-7</v>
      </c>
      <c r="D2167">
        <v>9553.7123049999991</v>
      </c>
      <c r="E2167" s="1">
        <v>3.60002E-7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1.6593390248955002E-2</v>
      </c>
      <c r="M2167" s="1">
        <f t="shared" si="135"/>
        <v>6.6782384690058302E-3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-1.3999700000000001E-7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-9.0428292032096555E-4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-6.9994699999999996E-8</v>
      </c>
      <c r="F2171">
        <v>258184.7438</v>
      </c>
      <c r="G2171" s="1">
        <v>7.7100099999999997E-6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-4.3261115714293138E-4</v>
      </c>
      <c r="N2171" s="1">
        <f t="shared" si="136"/>
        <v>2.2296216809477461E-2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-1.4000399999999999E-7</v>
      </c>
      <c r="F2172">
        <v>176683.0626</v>
      </c>
      <c r="G2172" s="1">
        <v>-2.1801E-5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-7.1483144075354279E-4</v>
      </c>
      <c r="N2172" s="1">
        <f t="shared" si="136"/>
        <v>-5.2081477372813434E-2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-3.6199899999999998E-6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-2.6813526229699597E-2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6.1999899999999997E-7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5.4394484585777048E-3</v>
      </c>
      <c r="O2176" s="1"/>
    </row>
    <row r="2177" spans="1:15" x14ac:dyDescent="0.25">
      <c r="A2177">
        <v>4045</v>
      </c>
      <c r="B2177">
        <v>8615.1413279999997</v>
      </c>
      <c r="C2177" s="1">
        <v>0</v>
      </c>
      <c r="D2177">
        <v>22917.583999999999</v>
      </c>
      <c r="E2177" s="1">
        <v>-3.0000999999999999E-6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-0.36763586631078632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 s="1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 s="1">
        <v>4.2100000000000001E-9</v>
      </c>
      <c r="D2179">
        <v>10885.928739999999</v>
      </c>
      <c r="E2179" s="1">
        <v>1.3941999999999999E-6</v>
      </c>
      <c r="F2179">
        <v>10885.928819999999</v>
      </c>
      <c r="G2179" s="1">
        <v>7.0490000000000002E-7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6.8921795728127877E-4</v>
      </c>
      <c r="M2179" s="1">
        <f t="shared" ref="M2179:M2242" si="139">$U$3*$K2179*E2179</f>
        <v>7.6549560890575491E-2</v>
      </c>
      <c r="N2179" s="1">
        <f t="shared" ref="N2179:N2242" si="140">$U$4*$K2179*G2179</f>
        <v>1.8108764218868076E-2</v>
      </c>
      <c r="O2179" s="1"/>
    </row>
    <row r="2180" spans="1:15" x14ac:dyDescent="0.25">
      <c r="A2180">
        <v>4048</v>
      </c>
      <c r="B2180">
        <v>1497.644644</v>
      </c>
      <c r="C2180" s="1">
        <v>-1.9999999999999999E-7</v>
      </c>
      <c r="D2180">
        <v>22461.737669999999</v>
      </c>
      <c r="E2180" s="1">
        <v>2.2500000000000001E-6</v>
      </c>
      <c r="F2180">
        <v>134901.70110000001</v>
      </c>
      <c r="G2180" s="1">
        <v>3.0880000000000002E-5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-4.3850962281229994E-3</v>
      </c>
      <c r="M2180" s="1">
        <f t="shared" si="139"/>
        <v>1.6545305383802552E-2</v>
      </c>
      <c r="N2180" s="1">
        <f t="shared" si="140"/>
        <v>0.10624615919609771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-7.3999799999999995E-7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-7.1315072416711324E-3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 s="1">
        <v>-3.9999999999999998E-7</v>
      </c>
      <c r="D2182">
        <v>9110.7428060000002</v>
      </c>
      <c r="E2182" s="1">
        <v>-3.9999900000000001E-7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-1.2089726712296999E-2</v>
      </c>
      <c r="M2182" s="1">
        <f t="shared" si="139"/>
        <v>-4.0546982067379816E-3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-1.4000399999999999E-7</v>
      </c>
      <c r="F2183">
        <v>234270.0987</v>
      </c>
      <c r="G2183" s="1">
        <v>3.8019999999999999E-5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-1.729020792106395E-3</v>
      </c>
      <c r="N2183" s="1">
        <f t="shared" si="140"/>
        <v>0.21969266777896401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4.8279999999999999E-5</v>
      </c>
      <c r="F2184">
        <v>282722.91649999999</v>
      </c>
      <c r="G2184" s="1">
        <v>-3.6585000000000003E-5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0.43837231153246009</v>
      </c>
      <c r="N2184" s="1">
        <f t="shared" si="140"/>
        <v>-0.15542561394316176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2.4999799999999999E-7</v>
      </c>
      <c r="F2185">
        <v>105501.9526</v>
      </c>
      <c r="G2185" s="1">
        <v>-2.3920000000000001E-5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2.6812766892157082E-3</v>
      </c>
      <c r="N2185" s="1">
        <f t="shared" si="140"/>
        <v>-0.12003556794355373</v>
      </c>
      <c r="O2185" s="1"/>
    </row>
    <row r="2186" spans="1:15" x14ac:dyDescent="0.25">
      <c r="A2186">
        <v>4054</v>
      </c>
      <c r="B2186">
        <v>3912.3889549999999</v>
      </c>
      <c r="C2186" s="1">
        <v>3.9999999999999998E-7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1.4967562757680001E-2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 s="1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2.556182278963751E-2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 s="1">
        <v>4.9999999999999998E-8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1.3122114362808749E-3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4.7800099999999998E-6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2.21859008727632E-2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-6.6000199999999998E-7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-1.1310783396811238E-2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3.5204999999999999E-5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0.25406858604055382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-2.4620000000000001E-5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-0.16420119322913598</v>
      </c>
      <c r="O2194" s="1"/>
    </row>
    <row r="2195" spans="1:15" x14ac:dyDescent="0.25">
      <c r="A2195">
        <v>4102</v>
      </c>
      <c r="B2195">
        <v>21859.640329999998</v>
      </c>
      <c r="C2195" s="1">
        <v>0</v>
      </c>
      <c r="D2195">
        <v>40953.64213</v>
      </c>
      <c r="E2195" s="1">
        <v>4.74996E-7</v>
      </c>
      <c r="F2195">
        <v>207156.66029999999</v>
      </c>
      <c r="G2195" s="1">
        <v>4.7675E-5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3.6531688435056113E-3</v>
      </c>
      <c r="N2195" s="1">
        <f t="shared" si="140"/>
        <v>0.17155926325754536</v>
      </c>
      <c r="O2195" s="1"/>
    </row>
    <row r="2196" spans="1:15" x14ac:dyDescent="0.25">
      <c r="A2196">
        <v>4103</v>
      </c>
      <c r="B2196">
        <v>15557.94175</v>
      </c>
      <c r="C2196" s="1">
        <v>4.4000000000000002E-6</v>
      </c>
      <c r="D2196">
        <v>45366.70966</v>
      </c>
      <c r="E2196" s="1">
        <v>3.5650000000000002E-6</v>
      </c>
      <c r="F2196">
        <v>241806.56210000001</v>
      </c>
      <c r="G2196" s="1">
        <v>1.6705E-5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0.20361256361446003</v>
      </c>
      <c r="M2196" s="1">
        <f t="shared" si="139"/>
        <v>5.5329222400087377E-2</v>
      </c>
      <c r="N2196" s="1">
        <f t="shared" si="140"/>
        <v>0.12130681233157851</v>
      </c>
      <c r="O2196" s="1"/>
    </row>
    <row r="2197" spans="1:15" x14ac:dyDescent="0.25">
      <c r="A2197">
        <v>4104</v>
      </c>
      <c r="B2197">
        <v>16183.98918</v>
      </c>
      <c r="C2197" s="1">
        <v>4.0999999999999997E-6</v>
      </c>
      <c r="D2197">
        <v>79959.813389999996</v>
      </c>
      <c r="E2197" s="1">
        <v>3.4100099999999998E-6</v>
      </c>
      <c r="F2197">
        <v>275340.54009999998</v>
      </c>
      <c r="G2197" s="1">
        <v>-2.6545000000000001E-5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0.123313459136595</v>
      </c>
      <c r="M2197" s="1">
        <f t="shared" si="139"/>
        <v>3.4397383893547059E-2</v>
      </c>
      <c r="N2197" s="1">
        <f t="shared" si="140"/>
        <v>-0.12528416090943839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-3.8834999999999997E-5</v>
      </c>
      <c r="F2198">
        <v>1002021.515</v>
      </c>
      <c r="G2198">
        <v>6972.8770489999997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-5.2142325860598665E-2</v>
      </c>
      <c r="N2198" s="1">
        <f t="shared" si="140"/>
        <v>4380490.8300625514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-3.9899900000000001E-6</v>
      </c>
      <c r="F2199">
        <v>321663.07520000002</v>
      </c>
      <c r="G2199" s="1">
        <v>4.6625000000000002E-5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-1.5253752577297905E-2</v>
      </c>
      <c r="N2199" s="1">
        <f t="shared" si="140"/>
        <v>8.3400261700185122E-2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 s="1">
        <v>-4.6745000000000001E-5</v>
      </c>
      <c r="F2200">
        <v>982515.70929999999</v>
      </c>
      <c r="G2200">
        <v>12522.128339999999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-0.10600560410378287</v>
      </c>
      <c r="N2200" s="1">
        <f t="shared" si="140"/>
        <v>13286649.849552037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-3.7629999999999997E-5</v>
      </c>
      <c r="F2201">
        <v>378580.24660000001</v>
      </c>
      <c r="G2201" s="1">
        <v>7.6949899999999993E-6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-0.25496033556892606</v>
      </c>
      <c r="N2201" s="1">
        <f t="shared" si="140"/>
        <v>2.4394400052314316E-2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 s="1">
        <v>4.7880000000000002E-5</v>
      </c>
      <c r="F2202">
        <v>548600.78489999997</v>
      </c>
      <c r="G2202" s="1">
        <v>2.7254999999999999E-5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0.22721874083184102</v>
      </c>
      <c r="N2202" s="1">
        <f t="shared" si="140"/>
        <v>6.0517345705617863E-2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-4.7192999999999999E-6</v>
      </c>
      <c r="F2203">
        <v>260579.30840000001</v>
      </c>
      <c r="G2203" s="1">
        <v>-9.5850000000000006E-6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-4.6188907246314413E-3</v>
      </c>
      <c r="N2203" s="1">
        <f t="shared" si="140"/>
        <v>-4.3893063898553042E-3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-1.6424999999999999E-5</v>
      </c>
      <c r="F2204">
        <v>677297.27980000002</v>
      </c>
      <c r="G2204">
        <v>20301.438829999999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-2.4395279798080417E-2</v>
      </c>
      <c r="N2204" s="1">
        <f t="shared" si="140"/>
        <v>14108177.737916125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 s="1">
        <v>4.1575000000000001E-5</v>
      </c>
      <c r="F2205">
        <v>601157.3909</v>
      </c>
      <c r="G2205" s="1">
        <v>-2.1401999999999999E-5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9.8720249575518351E-2</v>
      </c>
      <c r="N2205" s="1">
        <f t="shared" si="140"/>
        <v>-2.3777819427072203E-2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 s="1">
        <v>3.9999999999999998E-7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1.3850274359999998E-2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 s="1">
        <v>-1.7E-6</v>
      </c>
      <c r="D2208">
        <v>48145.283170000002</v>
      </c>
      <c r="E2208" s="1">
        <v>-3.1499999999999999E-6</v>
      </c>
      <c r="F2208">
        <v>225985.8143</v>
      </c>
      <c r="G2208" s="1">
        <v>-1.4871999999999999E-5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-6.2656039715424994E-2</v>
      </c>
      <c r="M2208" s="1">
        <f t="shared" si="139"/>
        <v>-3.8937468300979494E-2</v>
      </c>
      <c r="N2208" s="1">
        <f t="shared" si="140"/>
        <v>-8.6014211321335438E-2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1.1590000000000001E-5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5.1130460823654578E-2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-2.7529999999999999E-5</v>
      </c>
      <c r="F2211">
        <v>293192.45449999999</v>
      </c>
      <c r="G2211" s="1">
        <v>6.6300299999999996E-6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-0.37024621610239372</v>
      </c>
      <c r="N2211" s="1">
        <f t="shared" si="140"/>
        <v>4.1719931726661164E-2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 s="1">
        <v>-1.8975E-5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-3.7145437690464432E-2</v>
      </c>
      <c r="O2212" s="1"/>
    </row>
    <row r="2213" spans="1:15" x14ac:dyDescent="0.25">
      <c r="A2213">
        <v>4120</v>
      </c>
      <c r="B2213">
        <v>17877.405910000001</v>
      </c>
      <c r="C2213" s="1">
        <v>-4.33E-6</v>
      </c>
      <c r="D2213">
        <v>44456.575519999999</v>
      </c>
      <c r="E2213" s="1">
        <v>3.5700000000000001E-6</v>
      </c>
      <c r="F2213">
        <v>203885.09520000001</v>
      </c>
      <c r="G2213" s="1">
        <v>1.5379999999999998E-5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-3.1928878678024582E-2</v>
      </c>
      <c r="M2213" s="1">
        <f t="shared" si="139"/>
        <v>8.8289106839436506E-3</v>
      </c>
      <c r="N2213" s="1">
        <f t="shared" si="140"/>
        <v>1.7796677106035826E-2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-1.382E-5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-5.5865447560250032E-2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1.1270000000000001E-5</v>
      </c>
      <c r="F2215">
        <v>317940.49359999999</v>
      </c>
      <c r="G2215" s="1">
        <v>3.7545000000000001E-5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8.16398399314016E-2</v>
      </c>
      <c r="N2215" s="1">
        <f t="shared" si="140"/>
        <v>0.12725475387400839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4.0720000000000003E-5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0.27460495591625889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 s="1">
        <v>-4.2120000000000003E-5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-0.18630449247247113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 s="1">
        <v>1.6999999999999999E-7</v>
      </c>
      <c r="D2220">
        <v>27375.685549999998</v>
      </c>
      <c r="E2220" s="1">
        <v>8.7000099999999996E-7</v>
      </c>
      <c r="F2220">
        <v>69249.322440000004</v>
      </c>
      <c r="G2220" s="1">
        <v>-2.33001E-6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3.5825049825070998E-3</v>
      </c>
      <c r="M2220" s="1">
        <f t="shared" si="139"/>
        <v>6.1489472938315182E-3</v>
      </c>
      <c r="N2220" s="1">
        <f t="shared" si="140"/>
        <v>-7.7051745547304946E-3</v>
      </c>
      <c r="O2220" s="1"/>
    </row>
    <row r="2221" spans="1:15" x14ac:dyDescent="0.25">
      <c r="A2221">
        <v>4128</v>
      </c>
      <c r="B2221">
        <v>9290.2623779999994</v>
      </c>
      <c r="C2221" s="1">
        <v>0</v>
      </c>
      <c r="D2221">
        <v>19403.07992</v>
      </c>
      <c r="E2221" s="1">
        <v>2.6699999999999998E-6</v>
      </c>
      <c r="F2221">
        <v>128480.4909</v>
      </c>
      <c r="G2221" s="1">
        <v>-3.608E-5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-0.17463830474789688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 s="1">
        <v>-2.7300000000000001E-6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-2.0375034103600725E-2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 s="1">
        <v>0</v>
      </c>
      <c r="D2223">
        <v>16620.5988</v>
      </c>
      <c r="E2223" s="1">
        <v>-4.8999999999999997E-6</v>
      </c>
      <c r="F2223">
        <v>62261.113640000003</v>
      </c>
      <c r="G2223" s="1">
        <v>-2.9000500000000001E-7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-2.6946164907066306E-3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-1.5995201375344693E-2</v>
      </c>
      <c r="O2224" s="1"/>
    </row>
    <row r="2225" spans="1:15" x14ac:dyDescent="0.25">
      <c r="A2225">
        <v>4134</v>
      </c>
      <c r="B2225">
        <v>5792.8715249999996</v>
      </c>
      <c r="C2225" s="1">
        <v>0</v>
      </c>
      <c r="D2225">
        <v>79248.659839999993</v>
      </c>
      <c r="E2225" s="1">
        <v>4.0999999999999997E-6</v>
      </c>
      <c r="F2225">
        <v>260501.69149999999</v>
      </c>
      <c r="G2225" s="1">
        <v>4.2815000000000003E-5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0.35838150635861743</v>
      </c>
      <c r="O2225" s="1"/>
    </row>
    <row r="2226" spans="1:15" x14ac:dyDescent="0.25">
      <c r="A2226">
        <v>4135</v>
      </c>
      <c r="B2226">
        <v>545.04717149999999</v>
      </c>
      <c r="C2226" s="1">
        <v>0</v>
      </c>
      <c r="D2226">
        <v>12640.145</v>
      </c>
      <c r="E2226" s="1">
        <v>-9.9999999999999995E-7</v>
      </c>
      <c r="F2226">
        <v>43716.102870000002</v>
      </c>
      <c r="G2226" s="1">
        <v>4.2299900000000003E-6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1.8738863133339435E-2</v>
      </c>
      <c r="O2226" s="1"/>
    </row>
    <row r="2227" spans="1:15" x14ac:dyDescent="0.25">
      <c r="A2227">
        <v>4136</v>
      </c>
      <c r="B2227">
        <v>5800.2757339999998</v>
      </c>
      <c r="C2227" s="1">
        <v>-2.9999999999999999E-7</v>
      </c>
      <c r="D2227">
        <v>31823.183430000001</v>
      </c>
      <c r="E2227" s="1">
        <v>7.7000000000000004E-7</v>
      </c>
      <c r="F2227">
        <v>202678.1997</v>
      </c>
      <c r="G2227" s="1">
        <v>-2.107E-5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-1.6248101857455E-2</v>
      </c>
      <c r="M2227" s="1">
        <f t="shared" si="139"/>
        <v>1.398669937329434E-2</v>
      </c>
      <c r="N2227" s="1">
        <f t="shared" si="140"/>
        <v>-0.17907408013297865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-3.4799899999999999E-6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-1.4520350166018279E-2</v>
      </c>
      <c r="O2228" s="1"/>
    </row>
    <row r="2229" spans="1:15" x14ac:dyDescent="0.25">
      <c r="A2229">
        <v>4138</v>
      </c>
      <c r="B2229">
        <v>1017.287811</v>
      </c>
      <c r="C2229" s="1">
        <v>-9.9999999999999995E-8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-7.33030757524E-3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 s="1">
        <v>-1.9999999999999999E-7</v>
      </c>
      <c r="D2230">
        <v>42038.822410000001</v>
      </c>
      <c r="E2230" s="1">
        <v>-3.8600000000000003E-6</v>
      </c>
      <c r="F2230">
        <v>189507.88709999999</v>
      </c>
      <c r="G2230" s="1">
        <v>1.5695000000000001E-5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-1.0221320404294999E-2</v>
      </c>
      <c r="M2230" s="1">
        <f t="shared" si="139"/>
        <v>-6.6161820721585829E-2</v>
      </c>
      <c r="N2230" s="1">
        <f t="shared" si="140"/>
        <v>0.12587084324639866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 s="1">
        <v>3.5349100000000001E-6</v>
      </c>
      <c r="F2231">
        <v>188279.79749999999</v>
      </c>
      <c r="G2231" s="1">
        <v>3.9249999999999997E-6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4.9643583279282283E-2</v>
      </c>
      <c r="N2231" s="1">
        <f t="shared" si="140"/>
        <v>2.5790995140580197E-2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1.3149999999999999E-6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1.1466377944273097E-2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-3.3775000000000001E-5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-0.24541361591082475</v>
      </c>
      <c r="O2233" s="1"/>
    </row>
    <row r="2234" spans="1:15" x14ac:dyDescent="0.25">
      <c r="A2234">
        <v>4144</v>
      </c>
      <c r="B2234">
        <v>4702.0123180000001</v>
      </c>
      <c r="C2234" s="1">
        <v>3.9999999999999998E-7</v>
      </c>
      <c r="D2234">
        <v>34144.54941</v>
      </c>
      <c r="E2234" s="1">
        <v>-4.5000000000000001E-6</v>
      </c>
      <c r="F2234">
        <v>189363.98569999999</v>
      </c>
      <c r="G2234" s="1">
        <v>3.19502E-6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1.3148175725489999E-2</v>
      </c>
      <c r="M2234" s="1">
        <f t="shared" si="139"/>
        <v>-4.9609078410406501E-2</v>
      </c>
      <c r="N2234" s="1">
        <f t="shared" si="140"/>
        <v>1.6480330036378523E-2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1.649E-5</v>
      </c>
      <c r="F2235">
        <v>394365.09779999999</v>
      </c>
      <c r="G2235" s="1">
        <v>-4.4864999999999998E-5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0.18108817765702054</v>
      </c>
      <c r="N2235" s="1">
        <f t="shared" si="140"/>
        <v>-0.23052646620397882</v>
      </c>
      <c r="O2235" s="1"/>
    </row>
    <row r="2236" spans="1:15" x14ac:dyDescent="0.25">
      <c r="A2236">
        <v>4146</v>
      </c>
      <c r="B2236">
        <v>12095.773639999999</v>
      </c>
      <c r="C2236" s="1">
        <v>1.1999999999999999E-6</v>
      </c>
      <c r="D2236">
        <v>106762.0043</v>
      </c>
      <c r="E2236" s="1">
        <v>-2.9275E-5</v>
      </c>
      <c r="F2236">
        <v>444618.1642</v>
      </c>
      <c r="G2236" s="1">
        <v>-3.3460000000000002E-5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3.2150625058226995E-2</v>
      </c>
      <c r="M2236" s="1">
        <f t="shared" si="139"/>
        <v>-0.26305600203891255</v>
      </c>
      <c r="N2236" s="1">
        <f t="shared" si="140"/>
        <v>-0.14067629650477448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7.525E-6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2.5863223526742633E-2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-4.7300100000000003E-6</v>
      </c>
      <c r="F2238">
        <v>621074.14430000004</v>
      </c>
      <c r="G2238" s="1">
        <v>-3.3389999999999997E-5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-2.9338654290899505E-2</v>
      </c>
      <c r="N2238" s="1">
        <f t="shared" si="140"/>
        <v>-9.6903224355403356E-2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-4.3749999999999996E-6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-2.0669249455229809E-2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-1.7095000000000001E-5</v>
      </c>
      <c r="F2240">
        <v>685919.27910000004</v>
      </c>
      <c r="G2240" s="1">
        <v>-2.4663100000000001E-5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-8.2648510328540578E-2</v>
      </c>
      <c r="N2240" s="1">
        <f t="shared" si="140"/>
        <v>-5.5790116338150959E-2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-2.8445E-5</v>
      </c>
      <c r="F2241">
        <v>321929.03649999999</v>
      </c>
      <c r="G2241" s="1">
        <v>4.032E-5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-0.38347023602247987</v>
      </c>
      <c r="N2241" s="1">
        <f t="shared" si="140"/>
        <v>0.25432551011456062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1.97001E-6</v>
      </c>
      <c r="F2242">
        <v>344049.98440000002</v>
      </c>
      <c r="G2242" s="1">
        <v>-2.9555000000000001E-5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1.7186215790890934E-2</v>
      </c>
      <c r="N2242" s="1">
        <f t="shared" si="140"/>
        <v>-0.1206386508478528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4.9629999999999997E-5</v>
      </c>
      <c r="F2243">
        <v>519848.6741</v>
      </c>
      <c r="G2243" s="1">
        <v>7.7349799999999999E-6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0.56937822374294955</v>
      </c>
      <c r="N2243" s="1">
        <f t="shared" ref="N2243:N2306" si="144">$U$4*$K2243*G2243</f>
        <v>4.1520201385195264E-2</v>
      </c>
      <c r="O2243" s="1"/>
    </row>
    <row r="2244" spans="1:15" x14ac:dyDescent="0.25">
      <c r="A2244">
        <v>4156</v>
      </c>
      <c r="B2244">
        <v>3140.6219289999999</v>
      </c>
      <c r="C2244" s="1">
        <v>9.9999999999999995E-8</v>
      </c>
      <c r="D2244">
        <v>27369.947029999999</v>
      </c>
      <c r="E2244" s="1">
        <v>4.3000000000000003E-6</v>
      </c>
      <c r="F2244">
        <v>157289.2273</v>
      </c>
      <c r="G2244" s="1">
        <v>-2.389E-5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2.6615397342365003E-3</v>
      </c>
      <c r="M2244" s="1">
        <f t="shared" si="143"/>
        <v>3.8383497644204539E-2</v>
      </c>
      <c r="N2244" s="1">
        <f t="shared" si="144"/>
        <v>-9.9778258362966443E-2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4.5930000000000002E-5</v>
      </c>
      <c r="F2245">
        <v>383846.09769999998</v>
      </c>
      <c r="G2245" s="1">
        <v>4.6400200000000002E-6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0.44326358827638601</v>
      </c>
      <c r="N2245" s="1">
        <f t="shared" si="144"/>
        <v>2.0952176458908157E-2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-4.2593E-6</v>
      </c>
      <c r="F2246">
        <v>213963.4841</v>
      </c>
      <c r="G2246" s="1">
        <v>3.9399899999999997E-6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-3.8137367956067078E-2</v>
      </c>
      <c r="N2246" s="1">
        <f t="shared" si="144"/>
        <v>1.6506358922815764E-2</v>
      </c>
      <c r="O2246" s="1"/>
    </row>
    <row r="2247" spans="1:15" x14ac:dyDescent="0.25">
      <c r="A2247">
        <v>4159</v>
      </c>
      <c r="B2247">
        <v>2719.0611960000001</v>
      </c>
      <c r="C2247" s="1">
        <v>1.9999999999999999E-7</v>
      </c>
      <c r="D2247">
        <v>30181.518100000001</v>
      </c>
      <c r="E2247" s="1">
        <v>9.9999999999999995E-7</v>
      </c>
      <c r="F2247">
        <v>158926.40479999999</v>
      </c>
      <c r="G2247" s="1">
        <v>4.8919999999999999E-5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4.8780534918764999E-3</v>
      </c>
      <c r="M2247" s="1">
        <f t="shared" si="143"/>
        <v>8.1801204709929E-3</v>
      </c>
      <c r="N2247" s="1">
        <f t="shared" si="144"/>
        <v>0.18723620335311567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-1.5492999999999999E-6</v>
      </c>
      <c r="F2249">
        <v>177438.0301</v>
      </c>
      <c r="G2249" s="1">
        <v>-3.4390000000000001E-5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-2.6995546769791753E-2</v>
      </c>
      <c r="N2249" s="1">
        <f t="shared" si="144"/>
        <v>-0.28037059366893763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-2.4930300000000002E-7</v>
      </c>
      <c r="F2250">
        <v>175134.34160000001</v>
      </c>
      <c r="G2250" s="1">
        <v>2.9600000000000001E-5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-2.50826814701506E-3</v>
      </c>
      <c r="N2250" s="1">
        <f t="shared" si="144"/>
        <v>0.13934193834185618</v>
      </c>
      <c r="O2250" s="1"/>
    </row>
    <row r="2251" spans="1:15" x14ac:dyDescent="0.25">
      <c r="A2251">
        <v>4163</v>
      </c>
      <c r="B2251">
        <v>1780.394053</v>
      </c>
      <c r="C2251" s="1">
        <v>0</v>
      </c>
      <c r="D2251">
        <v>1780.394053</v>
      </c>
      <c r="E2251">
        <v>0</v>
      </c>
      <c r="F2251">
        <v>6050.7075999999997</v>
      </c>
      <c r="G2251" s="1">
        <v>1.9999100000000001E-7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2.226282927945817E-3</v>
      </c>
      <c r="O2251" s="1"/>
    </row>
    <row r="2252" spans="1:15" x14ac:dyDescent="0.25">
      <c r="A2252">
        <v>4200</v>
      </c>
      <c r="B2252">
        <v>330.704294</v>
      </c>
      <c r="C2252" s="1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 s="1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 s="1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 s="1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 s="1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 s="1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 s="1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 s="1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 s="1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 s="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 s="1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 s="1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 s="1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 s="1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 s="1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 s="1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 s="1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 s="1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 s="1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 s="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 s="1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 s="1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2.4569999999999999E-6</v>
      </c>
      <c r="F2274">
        <v>175614.83410000001</v>
      </c>
      <c r="G2274" s="1">
        <v>-3.4527999999999999E-5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0.11112614430507381</v>
      </c>
      <c r="N2274" s="1">
        <f t="shared" si="144"/>
        <v>-0.73067826819028592</v>
      </c>
      <c r="O2274" s="1"/>
    </row>
    <row r="2275" spans="1:15" x14ac:dyDescent="0.25">
      <c r="A2275">
        <v>4311</v>
      </c>
      <c r="B2275">
        <v>2617.4308930000002</v>
      </c>
      <c r="C2275" s="1">
        <v>0</v>
      </c>
      <c r="D2275">
        <v>4439.4020609999998</v>
      </c>
      <c r="E2275" s="1">
        <v>3.9999999999999998E-7</v>
      </c>
      <c r="F2275">
        <v>10682.9264</v>
      </c>
      <c r="G2275" s="1">
        <v>-2.943E-6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-9.7943091870063059E-2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 s="1">
        <v>-3.2430000000000001E-6</v>
      </c>
      <c r="F2276">
        <v>156221.2659</v>
      </c>
      <c r="G2276" s="1">
        <v>-4.0280000000000002E-6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-2.9139536833854295E-2</v>
      </c>
      <c r="N2276" s="1">
        <f t="shared" si="144"/>
        <v>-1.6934361865372762E-2</v>
      </c>
      <c r="O2276" s="1"/>
    </row>
    <row r="2277" spans="1:15" x14ac:dyDescent="0.25">
      <c r="A2277">
        <v>4315</v>
      </c>
      <c r="B2277">
        <v>136.9400243</v>
      </c>
      <c r="C2277" s="1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 s="1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 s="1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 s="1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 s="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 s="1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 s="1">
        <v>0</v>
      </c>
      <c r="D2283">
        <v>486.12950310000002</v>
      </c>
      <c r="E2283" s="1">
        <v>-1.0231800000000001E-12</v>
      </c>
      <c r="F2283">
        <v>486.12950310000002</v>
      </c>
      <c r="G2283" s="1">
        <v>-1.0231800000000001E-12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-1.3358830593040038E-7</v>
      </c>
      <c r="N2283" s="1">
        <f t="shared" si="144"/>
        <v>-6.250462020596714E-8</v>
      </c>
      <c r="O2283" s="1"/>
    </row>
    <row r="2284" spans="1:15" x14ac:dyDescent="0.25">
      <c r="A2284">
        <v>4404</v>
      </c>
      <c r="B2284">
        <v>551.87002299999995</v>
      </c>
      <c r="C2284" s="1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 s="1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 s="1">
        <v>0</v>
      </c>
      <c r="D2286">
        <v>13633.96299</v>
      </c>
      <c r="E2286" s="1">
        <v>7.4499999999999996E-7</v>
      </c>
      <c r="F2286">
        <v>57324.630010000001</v>
      </c>
      <c r="G2286" s="1">
        <v>-5.4499800000000002E-7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-1.2132796637747202E-2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 s="1">
        <v>-4.35099E-7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-1.1671536551993145E-2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 s="1">
        <v>4.9200000000000001E-7</v>
      </c>
      <c r="F2288">
        <v>9927.7451400000009</v>
      </c>
      <c r="G2288" s="1">
        <v>-2.8001500000000001E-8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1.2880169148006469E-2</v>
      </c>
      <c r="N2288" s="1">
        <f t="shared" si="144"/>
        <v>-3.4298998426741744E-4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6.9999299999999998E-9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6.4852898672699308E-5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 s="1">
        <v>5.6990299999999999E-8</v>
      </c>
      <c r="F2290">
        <v>20635.39834</v>
      </c>
      <c r="G2290" s="1">
        <v>9.6499900000000005E-7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3.1356039055200082E-3</v>
      </c>
      <c r="N2290" s="1">
        <f t="shared" si="144"/>
        <v>2.4842242394535939E-2</v>
      </c>
      <c r="O2290" s="1"/>
    </row>
    <row r="2291" spans="1:15" x14ac:dyDescent="0.25">
      <c r="A2291">
        <v>4425</v>
      </c>
      <c r="B2291">
        <v>35.096802869999998</v>
      </c>
      <c r="C2291" s="1">
        <v>0</v>
      </c>
      <c r="D2291">
        <v>241.44085129999999</v>
      </c>
      <c r="E2291" s="1">
        <v>-1.3000000000000001E-8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-1.6947537721341503E-4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-2.5300099999999998E-7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-2.3778535881985407E-3</v>
      </c>
      <c r="O2292" s="1"/>
    </row>
    <row r="2293" spans="1:15" x14ac:dyDescent="0.25">
      <c r="A2293">
        <v>4427</v>
      </c>
      <c r="B2293">
        <v>169.2361903</v>
      </c>
      <c r="C2293" s="1">
        <v>0</v>
      </c>
      <c r="D2293">
        <v>169.2361903</v>
      </c>
      <c r="E2293">
        <v>0</v>
      </c>
      <c r="F2293">
        <v>1885.3329839999999</v>
      </c>
      <c r="G2293" s="1">
        <v>-9.9998899999999999E-9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-2.5036623206857261E-4</v>
      </c>
      <c r="O2293" s="1"/>
    </row>
    <row r="2294" spans="1:15" x14ac:dyDescent="0.25">
      <c r="A2294">
        <v>4428</v>
      </c>
      <c r="B2294">
        <v>14.62905441</v>
      </c>
      <c r="C2294" s="1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4.8199899999999997E-7</v>
      </c>
      <c r="F2295">
        <v>35394.36479</v>
      </c>
      <c r="G2295" s="1">
        <v>-4.155E-6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6.3226311548993681E-3</v>
      </c>
      <c r="N2295" s="1">
        <f t="shared" si="144"/>
        <v>-2.5501540495391235E-2</v>
      </c>
      <c r="O2295" s="1"/>
    </row>
    <row r="2296" spans="1:15" x14ac:dyDescent="0.25">
      <c r="A2296">
        <v>4430</v>
      </c>
      <c r="B2296">
        <v>164.36965420000001</v>
      </c>
      <c r="C2296" s="1">
        <v>2.9999999999999997E-8</v>
      </c>
      <c r="D2296">
        <v>3508.764091</v>
      </c>
      <c r="E2296" s="1">
        <v>1.5699E-7</v>
      </c>
      <c r="F2296">
        <v>35490.099540000003</v>
      </c>
      <c r="G2296" s="1">
        <v>7.3499500000000002E-7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1.7246842319362499E-3</v>
      </c>
      <c r="M2296" s="1">
        <f t="shared" si="143"/>
        <v>3.0269375749038194E-3</v>
      </c>
      <c r="N2296" s="1">
        <f t="shared" si="144"/>
        <v>6.6307024245796098E-3</v>
      </c>
      <c r="O2296" s="1"/>
    </row>
    <row r="2297" spans="1:15" x14ac:dyDescent="0.25">
      <c r="A2297">
        <v>4431</v>
      </c>
      <c r="B2297">
        <v>164.36965420000001</v>
      </c>
      <c r="C2297" s="1">
        <v>2.9999999999999997E-8</v>
      </c>
      <c r="D2297">
        <v>3358.7745920000002</v>
      </c>
      <c r="E2297" s="1">
        <v>-7.0000200000000002E-8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1.85286256226175E-3</v>
      </c>
      <c r="M2297" s="1">
        <f t="shared" si="143"/>
        <v>-1.4499878710216422E-3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-7.6999600000000006E-8</v>
      </c>
      <c r="F2298">
        <v>61266.534110000001</v>
      </c>
      <c r="G2298" s="1">
        <v>-1.6470000000000001E-6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-2.1560148010268082E-3</v>
      </c>
      <c r="N2298" s="1">
        <f t="shared" si="144"/>
        <v>-2.1577471228356293E-2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4.9929899999999996E-6</v>
      </c>
      <c r="F2299">
        <v>115094.80039999999</v>
      </c>
      <c r="G2299" s="1">
        <v>-2.5978000000000001E-5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9.2575161845819071E-2</v>
      </c>
      <c r="N2299" s="1">
        <f t="shared" si="144"/>
        <v>-0.22536329011432762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1.9499900000000001E-7</v>
      </c>
      <c r="F2300">
        <v>56936.499620000002</v>
      </c>
      <c r="G2300" s="1">
        <v>9.2299899999999997E-7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4.8389345322935083E-3</v>
      </c>
      <c r="N2300" s="1">
        <f t="shared" si="144"/>
        <v>1.0716729549588902E-2</v>
      </c>
      <c r="O2300" s="1"/>
    </row>
    <row r="2301" spans="1:15" x14ac:dyDescent="0.25">
      <c r="A2301">
        <v>4435</v>
      </c>
      <c r="B2301">
        <v>5468.0686100000003</v>
      </c>
      <c r="C2301" s="1">
        <v>0</v>
      </c>
      <c r="D2301">
        <v>40452.158309999999</v>
      </c>
      <c r="E2301" s="1">
        <v>1.1230000000000001E-6</v>
      </c>
      <c r="F2301">
        <v>104499.6581</v>
      </c>
      <c r="G2301" s="1">
        <v>-6.8600100000000002E-6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1.0861300875525556E-2</v>
      </c>
      <c r="N2301" s="1">
        <f t="shared" si="144"/>
        <v>-3.1043488228408647E-2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1.18301E-6</v>
      </c>
      <c r="F2302">
        <v>163853.30369999999</v>
      </c>
      <c r="G2302" s="1">
        <v>3.2042000000000003E-5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3.7699946581174564E-3</v>
      </c>
      <c r="N2302" s="1">
        <f t="shared" si="144"/>
        <v>4.7776641054593186E-2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8.5299700000000005E-7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6.4139311637287661E-3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4.8919999999999999E-6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1.810814142600695E-2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-3.4850000000000001E-6</v>
      </c>
      <c r="F2305">
        <v>74026.081219999993</v>
      </c>
      <c r="G2305" s="1">
        <v>-3.2999400000000001E-7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-5.8015172217644149E-2</v>
      </c>
      <c r="N2305" s="1">
        <f t="shared" si="144"/>
        <v>-2.570327868532906E-3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2.8650000000000001E-6</v>
      </c>
      <c r="F2306">
        <v>93641.406560000003</v>
      </c>
      <c r="G2306" s="1">
        <v>-6.3009799999999996E-7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2.4119447914335072E-2</v>
      </c>
      <c r="N2306" s="1">
        <f t="shared" si="144"/>
        <v>-2.481958501011133E-3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-9.6700399999999992E-7</v>
      </c>
      <c r="F2307">
        <v>147049.80910000001</v>
      </c>
      <c r="G2307" s="1">
        <v>-4.265E-5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-6.7496175970297549E-3</v>
      </c>
      <c r="N2307" s="1">
        <f t="shared" ref="N2307:N2370" si="148">$U$4*$K2307*G2307</f>
        <v>-0.1392879708037153</v>
      </c>
      <c r="O2307" s="1"/>
    </row>
    <row r="2308" spans="1:15" x14ac:dyDescent="0.25">
      <c r="A2308">
        <v>4442</v>
      </c>
      <c r="B2308">
        <v>3835.3324590000002</v>
      </c>
      <c r="C2308" s="1">
        <v>-3.0499999999999999E-7</v>
      </c>
      <c r="D2308">
        <v>39503.1371</v>
      </c>
      <c r="E2308" s="1">
        <v>4.9129E-6</v>
      </c>
      <c r="F2308">
        <v>111951.5977</v>
      </c>
      <c r="G2308" s="1">
        <v>4.354E-5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-8.3680951652824517E-3</v>
      </c>
      <c r="M2308" s="1">
        <f t="shared" si="147"/>
        <v>4.5207223267483089E-2</v>
      </c>
      <c r="N2308" s="1">
        <f t="shared" si="148"/>
        <v>0.18745715044959693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 s="1">
        <v>1.9499E-7</v>
      </c>
      <c r="F2309">
        <v>52314.406389999996</v>
      </c>
      <c r="G2309" s="1">
        <v>-1.8771E-6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4.475207382451123E-3</v>
      </c>
      <c r="N2309" s="1">
        <f t="shared" si="148"/>
        <v>-2.0157279326841467E-2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-7.5880099999999999E-6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-1.2710555826114057E-2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-2.42799E-6</v>
      </c>
      <c r="F2311">
        <v>237167.7</v>
      </c>
      <c r="G2311" s="1">
        <v>7.8099800000000001E-6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-6.4754098540994445E-3</v>
      </c>
      <c r="N2311" s="1">
        <f t="shared" si="148"/>
        <v>9.7457208594835306E-3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1.5449999999999999E-5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2.9438794192056632E-2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4.6599900000000004E-6</v>
      </c>
      <c r="F2313">
        <v>339372.55349999998</v>
      </c>
      <c r="G2313" s="1">
        <v>3.9910000000000002E-5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9.0536303445812785E-3</v>
      </c>
      <c r="N2313" s="1">
        <f t="shared" si="148"/>
        <v>3.6279657606195552E-2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-1.7960000000000001E-5</v>
      </c>
      <c r="F2314">
        <v>495290.50079999998</v>
      </c>
      <c r="G2314" s="1">
        <v>2.9369999999999998E-5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-0.10885336633858994</v>
      </c>
      <c r="N2314" s="1">
        <f t="shared" si="148"/>
        <v>8.3288138696381214E-2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9.3500099999999997E-7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1.2838825523303293E-2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3.7849999999999998E-5</v>
      </c>
      <c r="F2316">
        <v>871014.41899999999</v>
      </c>
      <c r="G2316">
        <v>39668.560160000001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5.0346294606681226E-2</v>
      </c>
      <c r="N2316" s="1">
        <f t="shared" si="148"/>
        <v>24688331.738840941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4.1119899999999999E-6</v>
      </c>
      <c r="F2317">
        <v>548496.55090000003</v>
      </c>
      <c r="G2317" s="1">
        <v>4.3549900000000001E-5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4.473060580118704E-2</v>
      </c>
      <c r="N2317" s="1">
        <f t="shared" si="148"/>
        <v>0.22165808172979057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 s="1">
        <v>4.5870000000000003E-6</v>
      </c>
      <c r="F2318">
        <v>340323.99290000001</v>
      </c>
      <c r="G2318" s="1">
        <v>-2.7898E-5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3.8361149707512948E-2</v>
      </c>
      <c r="N2318" s="1">
        <f t="shared" si="148"/>
        <v>-0.10916404574065521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2.3312E-5</v>
      </c>
      <c r="F2319">
        <v>761416.55550000002</v>
      </c>
      <c r="G2319" s="1">
        <v>-2.4457999999999999E-5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0.11468228457816622</v>
      </c>
      <c r="N2319" s="1">
        <f t="shared" si="148"/>
        <v>-5.6296503248652596E-2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3.7919999999999999E-6</v>
      </c>
      <c r="F2320">
        <v>389830.13959999999</v>
      </c>
      <c r="G2320" s="1">
        <v>3.012E-5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4.1736327344608366E-2</v>
      </c>
      <c r="N2320" s="1">
        <f t="shared" si="148"/>
        <v>0.15511169618462772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5.9997500000000005E-8</v>
      </c>
      <c r="F2321">
        <v>252421.3314</v>
      </c>
      <c r="G2321" s="1">
        <v>-2.4578000000000001E-5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3.418160124749996E-4</v>
      </c>
      <c r="N2321" s="1">
        <f t="shared" si="148"/>
        <v>-6.5516315731066407E-2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 s="1">
        <v>3.1971999999999998E-5</v>
      </c>
      <c r="F2322">
        <v>841541.48869999999</v>
      </c>
      <c r="G2322">
        <v>2363.7487299999998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5.8719416296344522E-2</v>
      </c>
      <c r="N2322" s="1">
        <f t="shared" si="148"/>
        <v>2031219.7572354334</v>
      </c>
      <c r="O2322" s="1"/>
    </row>
    <row r="2323" spans="1:15" x14ac:dyDescent="0.25">
      <c r="A2323">
        <v>4506</v>
      </c>
      <c r="B2323">
        <v>3380.8547509999999</v>
      </c>
      <c r="C2323" s="1">
        <v>0</v>
      </c>
      <c r="D2323">
        <v>52997.234349999999</v>
      </c>
      <c r="E2323" s="1">
        <v>-3.8430000000000003E-6</v>
      </c>
      <c r="F2323">
        <v>477022.07630000002</v>
      </c>
      <c r="G2323" s="1">
        <v>2.0401999999999999E-5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-5.8603544041893232E-2</v>
      </c>
      <c r="N2323" s="1">
        <f t="shared" si="148"/>
        <v>0.1455693415710633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-3.8308E-5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-0.17776213049597145</v>
      </c>
      <c r="O2324" s="1"/>
    </row>
    <row r="2325" spans="1:15" x14ac:dyDescent="0.25">
      <c r="A2325">
        <v>4508</v>
      </c>
      <c r="B2325">
        <v>4666.0012880000004</v>
      </c>
      <c r="C2325" s="1">
        <v>-9.9999999999999994E-12</v>
      </c>
      <c r="D2325">
        <v>81900.5144</v>
      </c>
      <c r="E2325" s="1">
        <v>4.4569999999999998E-6</v>
      </c>
      <c r="F2325">
        <v>409454.11339999997</v>
      </c>
      <c r="G2325" s="1">
        <v>-2.7518E-5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-3.4644213575725004E-7</v>
      </c>
      <c r="M2325" s="1">
        <f t="shared" si="147"/>
        <v>5.178649024573443E-2</v>
      </c>
      <c r="N2325" s="1">
        <f t="shared" si="148"/>
        <v>-0.14960096285543642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 s="1">
        <v>5.7990799999999995E-7</v>
      </c>
      <c r="F2326">
        <v>361102.18</v>
      </c>
      <c r="G2326" s="1">
        <v>2.5482000000000001E-5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6.3283617808796754E-3</v>
      </c>
      <c r="N2326" s="1">
        <f t="shared" si="148"/>
        <v>0.1301096140324057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-2.7480000000000002E-6</v>
      </c>
      <c r="F2327">
        <v>343236.61330000003</v>
      </c>
      <c r="G2327" s="1">
        <v>1.9769999999999999E-5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-1.5052432845595716E-2</v>
      </c>
      <c r="N2327" s="1">
        <f t="shared" si="148"/>
        <v>5.0668764823887907E-2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-2.0549999999999998E-6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-2.1640904205899005E-2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 s="1">
        <v>7.3E-7</v>
      </c>
      <c r="D2329">
        <v>60292.860529999998</v>
      </c>
      <c r="E2329" s="1">
        <v>-4.3649999999999997E-6</v>
      </c>
      <c r="F2329">
        <v>201644.10079999999</v>
      </c>
      <c r="G2329" s="1">
        <v>-3.587E-5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1.1433034210582074E-2</v>
      </c>
      <c r="M2329" s="1">
        <f t="shared" si="147"/>
        <v>-2.2927992336698809E-2</v>
      </c>
      <c r="N2329" s="1">
        <f t="shared" si="148"/>
        <v>-8.8157006507112889E-2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1.978E-5</v>
      </c>
      <c r="F2330">
        <v>678562.89229999995</v>
      </c>
      <c r="G2330">
        <v>53790.000930000002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5.6110671924703502E-2</v>
      </c>
      <c r="N2330" s="1">
        <f t="shared" si="148"/>
        <v>71394443.393683285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-4.6659999999999997E-5</v>
      </c>
      <c r="F2331">
        <v>574889.54700000002</v>
      </c>
      <c r="G2331" s="1">
        <v>4.9124900000000001E-5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-0.19691862280839664</v>
      </c>
      <c r="N2331" s="1">
        <f t="shared" si="148"/>
        <v>9.7003501876469347E-2</v>
      </c>
      <c r="O2331" s="1"/>
    </row>
    <row r="2332" spans="1:15" x14ac:dyDescent="0.25">
      <c r="A2332">
        <v>4516</v>
      </c>
      <c r="B2332">
        <v>39225.024299999997</v>
      </c>
      <c r="C2332" s="1">
        <v>-2.4899999999999999E-6</v>
      </c>
      <c r="D2332">
        <v>149977.30110000001</v>
      </c>
      <c r="E2332" s="1">
        <v>4.8640000000000002E-5</v>
      </c>
      <c r="F2332">
        <v>495843.9865</v>
      </c>
      <c r="G2332" s="1">
        <v>-1.4235E-5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-2.8290421458507974E-2</v>
      </c>
      <c r="M2332" s="1">
        <f t="shared" si="147"/>
        <v>0.1853432497644229</v>
      </c>
      <c r="N2332" s="1">
        <f t="shared" si="148"/>
        <v>-2.5379575684343424E-2</v>
      </c>
      <c r="O2332" s="1"/>
    </row>
    <row r="2333" spans="1:15" x14ac:dyDescent="0.25">
      <c r="A2333">
        <v>4517</v>
      </c>
      <c r="B2333">
        <v>41646.515630000002</v>
      </c>
      <c r="C2333" s="1">
        <v>1.2500000000000001E-6</v>
      </c>
      <c r="D2333">
        <v>126326.5105</v>
      </c>
      <c r="E2333" s="1">
        <v>-1.4500099999999999E-6</v>
      </c>
      <c r="F2333">
        <v>459713.48090000002</v>
      </c>
      <c r="G2333" s="1">
        <v>-4.7469999999999998E-5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6.5225826165906265E-3</v>
      </c>
      <c r="M2333" s="1">
        <f t="shared" si="147"/>
        <v>-2.5376031807192623E-3</v>
      </c>
      <c r="N2333" s="1">
        <f t="shared" si="148"/>
        <v>-3.8870096830245927E-2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4.4020000000000004E-6</v>
      </c>
      <c r="F2334">
        <v>262480.10700000002</v>
      </c>
      <c r="G2334" s="1">
        <v>2.457E-5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4.2359695693227339E-2</v>
      </c>
      <c r="N2334" s="1">
        <f t="shared" si="148"/>
        <v>0.11062457824073377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-3.5080000000000001E-6</v>
      </c>
      <c r="F2335">
        <v>226169.87700000001</v>
      </c>
      <c r="G2335" s="1">
        <v>-1.312E-5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-3.707173178124043E-2</v>
      </c>
      <c r="N2335" s="1">
        <f t="shared" si="148"/>
        <v>-6.487252510503802E-2</v>
      </c>
      <c r="O2335" s="1"/>
    </row>
    <row r="2336" spans="1:15" x14ac:dyDescent="0.25">
      <c r="A2336">
        <v>4520</v>
      </c>
      <c r="B2336">
        <v>17230.685150000001</v>
      </c>
      <c r="C2336" s="1">
        <v>-1.02E-10</v>
      </c>
      <c r="D2336">
        <v>89334.885869999998</v>
      </c>
      <c r="E2336" s="1">
        <v>-2.1679999999999998E-6</v>
      </c>
      <c r="F2336">
        <v>341987.46659999999</v>
      </c>
      <c r="G2336" s="1">
        <v>-1.216E-5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-1.3256239075349399E-6</v>
      </c>
      <c r="M2336" s="1">
        <f t="shared" si="147"/>
        <v>-9.4497989996198111E-3</v>
      </c>
      <c r="N2336" s="1">
        <f t="shared" si="148"/>
        <v>-2.479936417788442E-2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1.79501E-6</v>
      </c>
      <c r="F2337">
        <v>217921.77420000001</v>
      </c>
      <c r="G2337" s="1">
        <v>-1.577E-5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1.5130272081463926E-2</v>
      </c>
      <c r="N2337" s="1">
        <f t="shared" si="148"/>
        <v>-6.2194966315431283E-2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4.8350000000000003E-6</v>
      </c>
      <c r="F2338">
        <v>261862.42300000001</v>
      </c>
      <c r="G2338" s="1">
        <v>-4.121E-5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5.5128351370337919E-2</v>
      </c>
      <c r="N2338" s="1">
        <f t="shared" si="148"/>
        <v>-0.21984916436638977</v>
      </c>
      <c r="O2338" s="1"/>
    </row>
    <row r="2339" spans="1:15" x14ac:dyDescent="0.25">
      <c r="A2339">
        <v>4523</v>
      </c>
      <c r="B2339">
        <v>7138.6205799999998</v>
      </c>
      <c r="C2339" s="1">
        <v>-3.9999999999999998E-7</v>
      </c>
      <c r="D2339">
        <v>71855.620330000005</v>
      </c>
      <c r="E2339" s="1">
        <v>-3.2350099999999998E-6</v>
      </c>
      <c r="F2339">
        <v>255528.22990000001</v>
      </c>
      <c r="G2339" s="1">
        <v>-4.3859999999999997E-5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-1.8613145992349998E-2</v>
      </c>
      <c r="M2339" s="1">
        <f t="shared" si="147"/>
        <v>-5.0486882787858664E-2</v>
      </c>
      <c r="N2339" s="1">
        <f t="shared" si="148"/>
        <v>-0.32026924418806169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4.7999500000000003E-7</v>
      </c>
      <c r="F2340">
        <v>202581.71429999999</v>
      </c>
      <c r="G2340" s="1">
        <v>-1.0858E-5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3.7998505625764004E-3</v>
      </c>
      <c r="N2340" s="1">
        <f t="shared" si="148"/>
        <v>-4.0218263891150664E-2</v>
      </c>
      <c r="O2340" s="1"/>
    </row>
    <row r="2341" spans="1:15" x14ac:dyDescent="0.25">
      <c r="A2341">
        <v>4525</v>
      </c>
      <c r="B2341">
        <v>7624.4114650000001</v>
      </c>
      <c r="C2341" s="1">
        <v>-9.9999999999999995E-8</v>
      </c>
      <c r="D2341">
        <v>87918.257150000005</v>
      </c>
      <c r="E2341" s="1">
        <v>-1.9649999999999998E-6</v>
      </c>
      <c r="F2341">
        <v>278938.54019999999</v>
      </c>
      <c r="G2341" s="1">
        <v>5.4300200000000002E-6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-3.0987134484865E-3</v>
      </c>
      <c r="M2341" s="1">
        <f t="shared" si="147"/>
        <v>-2.0421475075817874E-2</v>
      </c>
      <c r="N2341" s="1">
        <f t="shared" si="148"/>
        <v>2.6403996183910278E-2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2.9212000000000001E-5</v>
      </c>
      <c r="F2342">
        <v>611537.76009999996</v>
      </c>
      <c r="G2342">
        <v>38347.406609999998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4.7014557120038138E-2</v>
      </c>
      <c r="N2342" s="1">
        <f t="shared" si="148"/>
        <v>28876910.97853145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-4.7447999999999997E-5</v>
      </c>
      <c r="F2343">
        <v>561801.61699999997</v>
      </c>
      <c r="G2343" s="1">
        <v>3.4230100000000003E-5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-6.5828957411787153E-2</v>
      </c>
      <c r="N2343" s="1">
        <f t="shared" si="148"/>
        <v>2.2220350844761011E-2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6.9699699999999998E-7</v>
      </c>
      <c r="F2344">
        <v>84806.469379999995</v>
      </c>
      <c r="G2344" s="1">
        <v>-4.15799E-6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9.2319505689596303E-3</v>
      </c>
      <c r="N2344" s="1">
        <f t="shared" si="148"/>
        <v>-2.5768532133358679E-2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3.0970000000000002E-6</v>
      </c>
      <c r="F2345">
        <v>109919.6004</v>
      </c>
      <c r="G2345" s="1">
        <v>1.4972E-5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5.5953708375608577E-2</v>
      </c>
      <c r="N2345" s="1">
        <f t="shared" si="148"/>
        <v>0.12656428390831076</v>
      </c>
      <c r="O2345" s="1"/>
    </row>
    <row r="2346" spans="1:15" x14ac:dyDescent="0.25">
      <c r="A2346">
        <v>4530</v>
      </c>
      <c r="B2346">
        <v>31328.79565</v>
      </c>
      <c r="C2346" s="1">
        <v>3.05E-6</v>
      </c>
      <c r="D2346">
        <v>108755.86079999999</v>
      </c>
      <c r="E2346" s="1">
        <v>-3.6318E-5</v>
      </c>
      <c r="F2346">
        <v>398156.39659999998</v>
      </c>
      <c r="G2346" s="1">
        <v>-3.8659999999999999E-5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0.20964832252048751</v>
      </c>
      <c r="M2346" s="1">
        <f t="shared" si="147"/>
        <v>-0.83725280981144834</v>
      </c>
      <c r="N2346" s="1">
        <f t="shared" si="148"/>
        <v>-0.41700399655056186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3.1999699999999999E-8</v>
      </c>
      <c r="F2347">
        <v>322649.3296</v>
      </c>
      <c r="G2347" s="1">
        <v>-2.3159999999999998E-5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2.5252923573808859E-4</v>
      </c>
      <c r="N2347" s="1">
        <f t="shared" si="148"/>
        <v>-8.5516120545167024E-2</v>
      </c>
      <c r="O2347" s="1"/>
    </row>
    <row r="2348" spans="1:15" x14ac:dyDescent="0.25">
      <c r="A2348">
        <v>4532</v>
      </c>
      <c r="B2348">
        <v>44420.512300000002</v>
      </c>
      <c r="C2348" s="1">
        <v>3.0900000000000001E-6</v>
      </c>
      <c r="D2348">
        <v>163397.57449999999</v>
      </c>
      <c r="E2348" s="1">
        <v>4.5890000000000003E-5</v>
      </c>
      <c r="F2348">
        <v>567653.8824</v>
      </c>
      <c r="G2348">
        <v>2866.0859359999999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7.0005972430361177E-2</v>
      </c>
      <c r="M2348" s="1">
        <f t="shared" si="147"/>
        <v>0.34868864740491995</v>
      </c>
      <c r="N2348" s="1">
        <f t="shared" si="148"/>
        <v>10189494.432613151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>
        <v>18059.165919999999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11518962.180822304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5.20013E-8</v>
      </c>
      <c r="F2350">
        <v>256362.42170000001</v>
      </c>
      <c r="G2350" s="1">
        <v>4.8919999999999999E-5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3.9587048230958928E-4</v>
      </c>
      <c r="N2350" s="1">
        <f t="shared" si="148"/>
        <v>0.17424849906695886</v>
      </c>
      <c r="O2350" s="1"/>
    </row>
    <row r="2351" spans="1:15" x14ac:dyDescent="0.25">
      <c r="A2351">
        <v>4535</v>
      </c>
      <c r="B2351">
        <v>41829.46632</v>
      </c>
      <c r="C2351" s="1">
        <v>1.19E-6</v>
      </c>
      <c r="D2351">
        <v>148714.28409999999</v>
      </c>
      <c r="E2351" s="1">
        <v>5.4399999999999996E-6</v>
      </c>
      <c r="F2351">
        <v>541188.30720000004</v>
      </c>
      <c r="G2351">
        <v>2866.0859220000002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2.0545378202012302E-2</v>
      </c>
      <c r="M2351" s="1">
        <f t="shared" si="147"/>
        <v>3.1499902931261051E-2</v>
      </c>
      <c r="N2351" s="1">
        <f t="shared" si="148"/>
        <v>7765031.1068509631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-4.9288E-5</v>
      </c>
      <c r="F2352">
        <v>754472.41859999998</v>
      </c>
      <c r="G2352">
        <v>32187.333170000002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-0.11869855484530438</v>
      </c>
      <c r="N2352" s="1">
        <f t="shared" si="148"/>
        <v>36268776.833814405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-9.6679999999999996E-6</v>
      </c>
      <c r="F2353">
        <v>404433.05810000002</v>
      </c>
      <c r="G2353" s="1">
        <v>-1.0879999999999999E-5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-8.9224051522639361E-2</v>
      </c>
      <c r="N2353" s="1">
        <f t="shared" si="148"/>
        <v>-4.6980525661960704E-2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4.4431999999999997E-5</v>
      </c>
      <c r="F2354">
        <v>456701.31099999999</v>
      </c>
      <c r="G2354" s="1">
        <v>9.5799900000000008E-6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0.19311796681369636</v>
      </c>
      <c r="N2354" s="1">
        <f t="shared" si="148"/>
        <v>1.948209029769286E-2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4.9119999999999997E-6</v>
      </c>
      <c r="F2355">
        <v>292520.56949999998</v>
      </c>
      <c r="G2355" s="1">
        <v>4.278E-5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8.0085874325966491E-2</v>
      </c>
      <c r="N2355" s="1">
        <f t="shared" si="148"/>
        <v>0.3263488010767624</v>
      </c>
      <c r="O2355" s="1"/>
    </row>
    <row r="2356" spans="1:15" x14ac:dyDescent="0.25">
      <c r="A2356">
        <v>4540</v>
      </c>
      <c r="B2356">
        <v>9063.8867699999992</v>
      </c>
      <c r="C2356" s="1">
        <v>-3.3999999999999997E-7</v>
      </c>
      <c r="D2356">
        <v>63520.000269999997</v>
      </c>
      <c r="E2356" s="1">
        <v>4.4719999999999997E-6</v>
      </c>
      <c r="F2356">
        <v>453534.56559999997</v>
      </c>
      <c r="G2356" s="1">
        <v>4.1520000000000002E-5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-7.995791150632349E-3</v>
      </c>
      <c r="M2356" s="1">
        <f t="shared" si="147"/>
        <v>3.527178646871889E-2</v>
      </c>
      <c r="N2356" s="1">
        <f t="shared" si="148"/>
        <v>0.15322396088042547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-9.6299800000000008E-7</v>
      </c>
      <c r="F2357">
        <v>155689.25889999999</v>
      </c>
      <c r="G2357" s="1">
        <v>3.9811999999999998E-5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-1.0288648865778096E-2</v>
      </c>
      <c r="N2357" s="1">
        <f t="shared" si="148"/>
        <v>0.19901721023382649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-3.783E-6</v>
      </c>
      <c r="F2358">
        <v>293300.69520000002</v>
      </c>
      <c r="G2358" s="1">
        <v>4.5012000000000002E-5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-3.920059566644947E-2</v>
      </c>
      <c r="N2358" s="1">
        <f t="shared" si="148"/>
        <v>0.21823696502957315</v>
      </c>
      <c r="O2358" s="1"/>
    </row>
    <row r="2359" spans="1:15" x14ac:dyDescent="0.25">
      <c r="A2359">
        <v>4543</v>
      </c>
      <c r="B2359">
        <v>61450.955540000003</v>
      </c>
      <c r="C2359" s="1">
        <v>-3.7800000000000002E-7</v>
      </c>
      <c r="D2359">
        <v>257829.67850000001</v>
      </c>
      <c r="E2359" s="1">
        <v>-1.045E-5</v>
      </c>
      <c r="F2359">
        <v>881600.13970000006</v>
      </c>
      <c r="G2359">
        <v>39668.560149999998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-3.4219542604010398E-3</v>
      </c>
      <c r="M2359" s="1">
        <f t="shared" si="147"/>
        <v>-3.172793651045832E-2</v>
      </c>
      <c r="N2359" s="1">
        <f t="shared" si="148"/>
        <v>56352819.852443121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7.6720000000000004E-6</v>
      </c>
      <c r="F2360">
        <v>555593.36380000005</v>
      </c>
      <c r="G2360">
        <v>11687.004010000001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1.6178776936314917E-2</v>
      </c>
      <c r="N2360" s="1">
        <f t="shared" si="148"/>
        <v>11531451.1694043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3.3470100000000002E-6</v>
      </c>
      <c r="F2361">
        <v>259903.8707</v>
      </c>
      <c r="G2361" s="1">
        <v>2.1931999999999999E-5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9.9380779817218934E-2</v>
      </c>
      <c r="N2361" s="1">
        <f t="shared" si="148"/>
        <v>0.3046963878139558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4.1019999999999999E-6</v>
      </c>
      <c r="F2362">
        <v>339965.32410000003</v>
      </c>
      <c r="G2362" s="1">
        <v>-4.2530000000000001E-5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3.5603779560096062E-2</v>
      </c>
      <c r="N2362" s="1">
        <f t="shared" si="148"/>
        <v>-0.17271875875995862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4.3050000000000003E-5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0.22924245480173419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-2.4907999999999999E-5</v>
      </c>
      <c r="F2364">
        <v>419703.06310000003</v>
      </c>
      <c r="G2364" s="1">
        <v>1.5549900000000002E-5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-0.21583484290892432</v>
      </c>
      <c r="N2364" s="1">
        <f t="shared" si="148"/>
        <v>6.3045483125138538E-2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-4.7829999999999998E-6</v>
      </c>
      <c r="F2365">
        <v>278568.65299999999</v>
      </c>
      <c r="G2365" s="1">
        <v>1.5231999999999999E-5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-8.1039659513962331E-2</v>
      </c>
      <c r="N2365" s="1">
        <f t="shared" si="148"/>
        <v>0.12075297408357656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-4.4267999999999997E-5</v>
      </c>
      <c r="F2366">
        <v>547994.06310000003</v>
      </c>
      <c r="G2366">
        <v>11687.00396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-0.40322945345356731</v>
      </c>
      <c r="N2366" s="1">
        <f t="shared" si="148"/>
        <v>49809159.718645386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-6.6680100000000002E-6</v>
      </c>
      <c r="F2367">
        <v>487674.6936</v>
      </c>
      <c r="G2367" s="1">
        <v>4.6910000000000003E-5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-3.4653171318003308E-2</v>
      </c>
      <c r="N2367" s="1">
        <f t="shared" si="148"/>
        <v>0.11406590598540857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2.9670000000000001E-6</v>
      </c>
      <c r="F2368">
        <v>242553.94560000001</v>
      </c>
      <c r="G2368" s="1">
        <v>-1.8017999999999999E-5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2.4180861617999951E-2</v>
      </c>
      <c r="N2368" s="1">
        <f t="shared" si="148"/>
        <v>-6.8707553721793796E-2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3.8772000000000001E-5</v>
      </c>
      <c r="F2369">
        <v>739862.11380000005</v>
      </c>
      <c r="G2369">
        <v>40131.353280000003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0.2388392263664931</v>
      </c>
      <c r="N2369" s="1">
        <f t="shared" si="148"/>
        <v>115668455.03096838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3.4120000000000001E-6</v>
      </c>
      <c r="F2370">
        <v>364183.55810000002</v>
      </c>
      <c r="G2370" s="1">
        <v>-1.0849999999999999E-5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1.1727636212485378E-2</v>
      </c>
      <c r="N2370" s="1">
        <f t="shared" si="148"/>
        <v>-1.744917425325291E-2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2.2872000000000001E-5</v>
      </c>
      <c r="F2371">
        <v>534184.29350000003</v>
      </c>
      <c r="G2371">
        <v>8091.7306790000002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0.11996884810131143</v>
      </c>
      <c r="N2371" s="1">
        <f t="shared" ref="N2371:N2434" si="152">$U$4*$K2371*G2371</f>
        <v>19858637.316244736</v>
      </c>
      <c r="O2371" s="1"/>
    </row>
    <row r="2372" spans="1:15" x14ac:dyDescent="0.25">
      <c r="A2372">
        <v>4556</v>
      </c>
      <c r="B2372">
        <v>229.11947520000001</v>
      </c>
      <c r="C2372" s="1">
        <v>0</v>
      </c>
      <c r="D2372">
        <v>4955.3117689999999</v>
      </c>
      <c r="E2372" s="1">
        <v>5.4999899999999997E-8</v>
      </c>
      <c r="F2372">
        <v>55156.599139999998</v>
      </c>
      <c r="G2372" s="1">
        <v>-2.8949999999999998E-6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1.663967864475062E-3</v>
      </c>
      <c r="N2372" s="1">
        <f t="shared" si="152"/>
        <v>-4.0980313934252277E-2</v>
      </c>
      <c r="O2372" s="1"/>
    </row>
    <row r="2373" spans="1:15" x14ac:dyDescent="0.25">
      <c r="A2373">
        <v>4557</v>
      </c>
      <c r="B2373">
        <v>783.48475499999995</v>
      </c>
      <c r="C2373" s="1">
        <v>0</v>
      </c>
      <c r="D2373">
        <v>3178.6768320000001</v>
      </c>
      <c r="E2373">
        <v>0</v>
      </c>
      <c r="F2373">
        <v>36903.260289999998</v>
      </c>
      <c r="G2373" s="1">
        <v>-1.198E-6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-1.8524052290801851E-2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3.1350000000000001E-6</v>
      </c>
      <c r="F2374">
        <v>65433.838830000001</v>
      </c>
      <c r="G2374" s="1">
        <v>-4.7879999999999997E-6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4.8200676577929147E-2</v>
      </c>
      <c r="N2374" s="1">
        <f t="shared" si="152"/>
        <v>-3.4443986398640283E-2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2.8560000000000001E-5</v>
      </c>
      <c r="F2375">
        <v>503142.50319999998</v>
      </c>
      <c r="G2375" s="1">
        <v>2.7521999999999998E-5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6.0773122212036026E-2</v>
      </c>
      <c r="N2375" s="1">
        <f t="shared" si="152"/>
        <v>2.7401668897766306E-2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-5.6699900000000001E-6</v>
      </c>
      <c r="F2376">
        <v>407121.33140000002</v>
      </c>
      <c r="G2376" s="1">
        <v>1.9845000000000001E-5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-1.6880181904721507E-2</v>
      </c>
      <c r="N2376" s="1">
        <f t="shared" si="152"/>
        <v>2.764328242324314E-2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-3.1750000000000001E-6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-3.150129089024592E-2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3.3249999999999999E-6</v>
      </c>
      <c r="F2378">
        <v>94191.477310000002</v>
      </c>
      <c r="G2378" s="1">
        <v>4.1899899999999998E-6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6.325952706261527E-2</v>
      </c>
      <c r="N2378" s="1">
        <f t="shared" si="152"/>
        <v>3.729846471863546E-2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-1.6050000000000001E-6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-2.0374173543337874E-2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 s="1">
        <v>3.4599999999999999E-6</v>
      </c>
      <c r="D2380">
        <v>57017.29406</v>
      </c>
      <c r="E2380" s="1">
        <v>1.2950000000000001E-6</v>
      </c>
      <c r="F2380">
        <v>145183.49789999999</v>
      </c>
      <c r="G2380" s="1">
        <v>4.2979999999999998E-5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9.5785812977548193E-2</v>
      </c>
      <c r="M2380" s="1">
        <f t="shared" si="151"/>
        <v>1.202369624797316E-2</v>
      </c>
      <c r="N2380" s="1">
        <f t="shared" si="152"/>
        <v>0.18671461656783112</v>
      </c>
      <c r="O2380" s="1"/>
    </row>
    <row r="2381" spans="1:15" x14ac:dyDescent="0.25">
      <c r="A2381">
        <v>4565</v>
      </c>
      <c r="B2381">
        <v>16072.769490000001</v>
      </c>
      <c r="C2381" s="1">
        <v>2.4700000000000001E-6</v>
      </c>
      <c r="D2381">
        <v>90188.178270000004</v>
      </c>
      <c r="E2381" s="1">
        <v>1.2999199999999999E-7</v>
      </c>
      <c r="F2381">
        <v>324252.28249999997</v>
      </c>
      <c r="G2381" s="1">
        <v>4.6835000000000001E-5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4.1904064023221728E-2</v>
      </c>
      <c r="M2381" s="1">
        <f t="shared" si="151"/>
        <v>7.3963755448797704E-4</v>
      </c>
      <c r="N2381" s="1">
        <f t="shared" si="152"/>
        <v>0.12468566647761703</v>
      </c>
      <c r="O2381" s="1"/>
    </row>
    <row r="2382" spans="1:15" x14ac:dyDescent="0.25">
      <c r="A2382">
        <v>4566</v>
      </c>
      <c r="B2382">
        <v>2754.6487940000002</v>
      </c>
      <c r="C2382" s="1">
        <v>-9.9999999999999994E-12</v>
      </c>
      <c r="D2382">
        <v>34683.297809999996</v>
      </c>
      <c r="E2382" s="1">
        <v>-4.9049999999999996E-6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-3.4283411507149996E-7</v>
      </c>
      <c r="M2382" s="1">
        <f t="shared" si="151"/>
        <v>-5.6398321677662185E-2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3.6950000000000002E-6</v>
      </c>
      <c r="F2383">
        <v>169778.4166</v>
      </c>
      <c r="G2383" s="1">
        <v>-3.9740000000000002E-5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3.7021177915051086E-2</v>
      </c>
      <c r="N2383" s="1">
        <f t="shared" si="152"/>
        <v>-0.18629763038956845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3.2500200000000001E-7</v>
      </c>
      <c r="F2384">
        <v>152899.0938</v>
      </c>
      <c r="G2384" s="1">
        <v>-7.1100100000000004E-6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2.4252953121038762E-3</v>
      </c>
      <c r="N2384" s="1">
        <f t="shared" si="152"/>
        <v>-2.4825184421521294E-2</v>
      </c>
      <c r="O2384" s="1"/>
    </row>
    <row r="2385" spans="1:15" x14ac:dyDescent="0.25">
      <c r="A2385">
        <v>4569</v>
      </c>
      <c r="B2385">
        <v>10792.03564</v>
      </c>
      <c r="C2385" s="1">
        <v>2.5000000000000002E-6</v>
      </c>
      <c r="D2385">
        <v>47204.260950000004</v>
      </c>
      <c r="E2385" s="1">
        <v>2.1019999999999999E-6</v>
      </c>
      <c r="F2385">
        <v>142646.2922</v>
      </c>
      <c r="G2385" s="1">
        <v>-4.4119999999999998E-5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6.4245095369893757E-2</v>
      </c>
      <c r="M2385" s="1">
        <f t="shared" si="151"/>
        <v>1.8116563398103774E-2</v>
      </c>
      <c r="N2385" s="1">
        <f t="shared" si="152"/>
        <v>-0.1779189833768681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-4.9949999999999996E-6</v>
      </c>
      <c r="F2386">
        <v>171639.00959999999</v>
      </c>
      <c r="G2386" s="1">
        <v>-2.2459999999999998E-5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-4.5870360541051626E-2</v>
      </c>
      <c r="N2386" s="1">
        <f t="shared" si="152"/>
        <v>-9.6505061364764763E-2</v>
      </c>
      <c r="O2386" s="1"/>
    </row>
    <row r="2387" spans="1:15" x14ac:dyDescent="0.25">
      <c r="A2387">
        <v>4571</v>
      </c>
      <c r="B2387">
        <v>46219.118060000001</v>
      </c>
      <c r="C2387" s="1">
        <v>4.6600000000000003E-6</v>
      </c>
      <c r="D2387">
        <v>160282.027</v>
      </c>
      <c r="E2387" s="1">
        <v>-3.0580000000000002E-5</v>
      </c>
      <c r="F2387">
        <v>534296.42350000003</v>
      </c>
      <c r="G2387" s="1">
        <v>2.2215E-5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2.6800414714295954E-2</v>
      </c>
      <c r="M2387" s="1">
        <f t="shared" si="151"/>
        <v>-5.8984270936933349E-2</v>
      </c>
      <c r="N2387" s="1">
        <f t="shared" si="152"/>
        <v>2.0048816016363366E-2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-2.4650000000000001E-6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-1.031832621839102E-2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3.7431999999999997E-5</v>
      </c>
      <c r="F2389">
        <v>796632.86580000003</v>
      </c>
      <c r="G2389">
        <v>38699.154020000002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9.1544690918403324E-2</v>
      </c>
      <c r="N2389" s="1">
        <f t="shared" si="152"/>
        <v>44282821.049887627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-3.5058000000000002E-5</v>
      </c>
      <c r="F2390">
        <v>889799.70299999998</v>
      </c>
      <c r="G2390">
        <v>18295.256819999999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-0.10744385473866627</v>
      </c>
      <c r="N2390" s="1">
        <f t="shared" si="152"/>
        <v>26234732.044279005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8.8319900000000005E-6</v>
      </c>
      <c r="F2391">
        <v>709779.7254</v>
      </c>
      <c r="G2391">
        <v>47324.779880000002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7.246314008035934E-2</v>
      </c>
      <c r="N2391" s="1">
        <f t="shared" si="152"/>
        <v>181673198.23591161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-4.5530000000000003E-6</v>
      </c>
      <c r="F2392">
        <v>176349.01879999999</v>
      </c>
      <c r="G2392" s="1">
        <v>4.6072000000000002E-5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-8.3128622894405299E-2</v>
      </c>
      <c r="N2392" s="1">
        <f t="shared" si="152"/>
        <v>0.39358059634748965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-4.5300100000000002E-7</v>
      </c>
      <c r="F2393">
        <v>304858.83649999998</v>
      </c>
      <c r="G2393" s="1">
        <v>-5.0079500000000001E-6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-9.0199969364936124E-3</v>
      </c>
      <c r="N2393" s="1">
        <f t="shared" si="152"/>
        <v>-4.6656364117303277E-2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-2.9830000000000001E-6</v>
      </c>
      <c r="F2394">
        <v>302729.82799999998</v>
      </c>
      <c r="G2394" s="1">
        <v>2.2252E-5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-5.2494232581315491E-2</v>
      </c>
      <c r="N2394" s="1">
        <f t="shared" si="152"/>
        <v>0.18321923570991291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4.5569999999999997E-6</v>
      </c>
      <c r="F2395">
        <v>724669.44010000001</v>
      </c>
      <c r="G2395" s="1">
        <v>4.7651000000000002E-5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7.2740876311259611E-2</v>
      </c>
      <c r="N2395" s="1">
        <f t="shared" si="152"/>
        <v>0.35588951839895366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-2.2249999999999999E-6</v>
      </c>
      <c r="F2396">
        <v>207484.3731</v>
      </c>
      <c r="G2396" s="1">
        <v>3.012E-5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-9.2786978370016024E-3</v>
      </c>
      <c r="N2396" s="1">
        <f t="shared" si="152"/>
        <v>5.8769996171012896E-2</v>
      </c>
      <c r="O2396" s="1"/>
    </row>
    <row r="2397" spans="1:15" x14ac:dyDescent="0.25">
      <c r="A2397">
        <v>4581</v>
      </c>
      <c r="B2397">
        <v>37948.127959999998</v>
      </c>
      <c r="C2397" s="1">
        <v>-3.9500000000000003E-6</v>
      </c>
      <c r="D2397">
        <v>160333.7972</v>
      </c>
      <c r="E2397" s="1">
        <v>-5.0000399999999998E-7</v>
      </c>
      <c r="F2397">
        <v>383858.59409999999</v>
      </c>
      <c r="G2397" s="1">
        <v>4.7885E-5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-2.6027994803952376E-2</v>
      </c>
      <c r="M2397" s="1">
        <f t="shared" si="151"/>
        <v>-1.1049947926162719E-3</v>
      </c>
      <c r="N2397" s="1">
        <f t="shared" si="152"/>
        <v>4.9514217792054713E-2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3.8971999999999999E-5</v>
      </c>
      <c r="F2398">
        <v>582138.83440000005</v>
      </c>
      <c r="G2398">
        <v>38347.406600000002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6.2680401723416518E-2</v>
      </c>
      <c r="N2398" s="1">
        <f t="shared" si="152"/>
        <v>28857503.290459041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7.1500099999999996E-7</v>
      </c>
      <c r="F2399">
        <v>241067.6361</v>
      </c>
      <c r="G2399" s="1">
        <v>-4.3869999999999998E-5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3.201583694915374E-3</v>
      </c>
      <c r="N2399" s="1">
        <f t="shared" si="152"/>
        <v>-9.1911429949919118E-2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2.7872E-5</v>
      </c>
      <c r="F2400">
        <v>596192.08700000006</v>
      </c>
      <c r="G2400">
        <v>44567.049420000003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3.3883416811450962E-2</v>
      </c>
      <c r="N2400" s="1">
        <f t="shared" si="152"/>
        <v>25349921.887104515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-1.128E-6</v>
      </c>
      <c r="F2401">
        <v>167894.88529999999</v>
      </c>
      <c r="G2401" s="1">
        <v>-1.096E-5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-9.1430111179862522E-3</v>
      </c>
      <c r="N2401" s="1">
        <f t="shared" si="152"/>
        <v>-4.1565631258617966E-2</v>
      </c>
      <c r="O2401" s="1"/>
    </row>
    <row r="2402" spans="1:15" x14ac:dyDescent="0.25">
      <c r="A2402">
        <v>4600</v>
      </c>
      <c r="B2402">
        <v>11.63821448</v>
      </c>
      <c r="C2402" s="1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 s="1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 s="1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 s="1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 s="1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 s="1">
        <v>0</v>
      </c>
      <c r="D2407">
        <v>859.91818360000002</v>
      </c>
      <c r="E2407">
        <v>0</v>
      </c>
      <c r="F2407">
        <v>3113.0376040000001</v>
      </c>
      <c r="G2407" s="1">
        <v>9.9998899999999999E-9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1.5320524792753477E-4</v>
      </c>
      <c r="O2407" s="1"/>
    </row>
    <row r="2408" spans="1:15" x14ac:dyDescent="0.25">
      <c r="A2408">
        <v>4608</v>
      </c>
      <c r="B2408">
        <v>354.27639290000002</v>
      </c>
      <c r="C2408" s="1">
        <v>0</v>
      </c>
      <c r="D2408">
        <v>2540.654536</v>
      </c>
      <c r="E2408" s="1">
        <v>1.9999000000000001E-7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5.860899183814829E-3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 s="1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 s="1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 s="1">
        <v>-9.0009999999999997E-8</v>
      </c>
      <c r="F2411">
        <v>4675.8849959999998</v>
      </c>
      <c r="G2411" s="1">
        <v>9.9998899999999999E-9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-3.7971211298212567E-3</v>
      </c>
      <c r="N2411" s="1">
        <f t="shared" si="152"/>
        <v>1.9737974826031593E-4</v>
      </c>
      <c r="O2411" s="1"/>
    </row>
    <row r="2412" spans="1:15" x14ac:dyDescent="0.25">
      <c r="A2412">
        <v>4612</v>
      </c>
      <c r="B2412">
        <v>1272.4149070000001</v>
      </c>
      <c r="C2412" s="1">
        <v>1.1000000000000001E-7</v>
      </c>
      <c r="D2412">
        <v>21789.919600000001</v>
      </c>
      <c r="E2412" s="1">
        <v>2.3099999999999999E-6</v>
      </c>
      <c r="F2412">
        <v>69558.725829999996</v>
      </c>
      <c r="G2412" s="1">
        <v>2.33001E-6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1.1017666704115503E-2</v>
      </c>
      <c r="M2412" s="1">
        <f t="shared" si="151"/>
        <v>7.7598274109908855E-2</v>
      </c>
      <c r="N2412" s="1">
        <f t="shared" si="152"/>
        <v>3.6621956740141653E-2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 s="1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 s="1">
        <v>-4.2000000000000004E-9</v>
      </c>
      <c r="D2415" s="1">
        <v>4.95E-6</v>
      </c>
      <c r="E2415" s="1">
        <v>-4.2000000000000004E-9</v>
      </c>
      <c r="F2415" s="1">
        <v>4.95E-6</v>
      </c>
      <c r="G2415" s="1">
        <v>-4.2000000000000004E-9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-9.1788941242362007E-4</v>
      </c>
      <c r="M2415" s="1">
        <f t="shared" si="151"/>
        <v>-3.0784598755130641E-4</v>
      </c>
      <c r="N2415" s="1">
        <f t="shared" si="152"/>
        <v>-1.440380308726296E-4</v>
      </c>
      <c r="O2415" s="1"/>
    </row>
    <row r="2416" spans="1:15" x14ac:dyDescent="0.25">
      <c r="A2416">
        <v>4621</v>
      </c>
      <c r="B2416">
        <v>923.30925520000005</v>
      </c>
      <c r="C2416" s="1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 s="1">
        <v>0</v>
      </c>
      <c r="D2417">
        <v>291.84165489999998</v>
      </c>
      <c r="E2417">
        <v>0</v>
      </c>
      <c r="F2417">
        <v>4500.7494809999998</v>
      </c>
      <c r="G2417" s="1">
        <v>-9.9999900000000003E-8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-3.3915358830456255E-3</v>
      </c>
      <c r="O2417" s="1"/>
    </row>
    <row r="2418" spans="1:15" x14ac:dyDescent="0.25">
      <c r="A2418">
        <v>4623</v>
      </c>
      <c r="B2418">
        <v>1252.273312</v>
      </c>
      <c r="C2418" s="1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-4.9999899999999995E-7</v>
      </c>
      <c r="F2419">
        <v>7520.0428220000003</v>
      </c>
      <c r="G2419" s="1">
        <v>3.9999900000000001E-7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-8.5585741702789223E-3</v>
      </c>
      <c r="N2419" s="1">
        <f t="shared" si="152"/>
        <v>3.2035747848818156E-3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 s="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 s="1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 s="1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 s="1">
        <v>0</v>
      </c>
      <c r="D2424">
        <v>1633.8835160000001</v>
      </c>
      <c r="E2424" s="1">
        <v>2.4999999999999999E-7</v>
      </c>
      <c r="F2424">
        <v>7707.4362440000004</v>
      </c>
      <c r="G2424" s="1">
        <v>-4.5000100000000001E-7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-1.7219092686522983E-2</v>
      </c>
      <c r="O2424" s="1"/>
    </row>
    <row r="2425" spans="1:15" x14ac:dyDescent="0.25">
      <c r="A2425">
        <v>4632</v>
      </c>
      <c r="B2425">
        <v>84.966344950000007</v>
      </c>
      <c r="C2425" s="1">
        <v>0</v>
      </c>
      <c r="D2425">
        <v>84.966344950000007</v>
      </c>
      <c r="E2425">
        <v>0</v>
      </c>
      <c r="F2425">
        <v>966.34123599999998</v>
      </c>
      <c r="G2425" s="1">
        <v>-4.9999899999999999E-8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-1.5625613430601637E-3</v>
      </c>
      <c r="O2425" s="1"/>
    </row>
    <row r="2426" spans="1:15" x14ac:dyDescent="0.25">
      <c r="A2426">
        <v>4633</v>
      </c>
      <c r="B2426">
        <v>131.59558609999999</v>
      </c>
      <c r="C2426" s="1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 s="1">
        <v>0</v>
      </c>
      <c r="D2427">
        <v>966.33070350000003</v>
      </c>
      <c r="E2427">
        <v>0</v>
      </c>
      <c r="F2427">
        <v>1684.8115479999999</v>
      </c>
      <c r="G2427" s="1">
        <v>-2.9999999999999999E-7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-1.3550010339928501E-2</v>
      </c>
      <c r="O2427" s="1"/>
    </row>
    <row r="2428" spans="1:15" x14ac:dyDescent="0.25">
      <c r="A2428">
        <v>4637</v>
      </c>
      <c r="B2428">
        <v>462.00464010000002</v>
      </c>
      <c r="C2428" s="1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 s="1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 s="1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 s="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 s="1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 s="1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 s="1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 s="1">
        <v>0</v>
      </c>
      <c r="D2435">
        <v>1743.9819190000001</v>
      </c>
      <c r="E2435" s="1">
        <v>-4.9999999999999998E-7</v>
      </c>
      <c r="F2435">
        <v>3600.7949440000002</v>
      </c>
      <c r="G2435" s="1">
        <v>3.9999000000000002E-7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8.5234365625266578E-3</v>
      </c>
      <c r="O2435" s="1"/>
    </row>
    <row r="2436" spans="1:15" x14ac:dyDescent="0.25">
      <c r="A2436">
        <v>4645</v>
      </c>
      <c r="B2436">
        <v>420.65294799999998</v>
      </c>
      <c r="C2436" s="1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 s="1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 s="1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 s="1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 s="1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 s="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 s="1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 s="1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 s="1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 s="1">
        <v>0</v>
      </c>
      <c r="D2447">
        <v>9918.2452520000006</v>
      </c>
      <c r="E2447" s="1">
        <v>-2.0000199999999999E-7</v>
      </c>
      <c r="F2447">
        <v>20209.7029</v>
      </c>
      <c r="G2447" s="1">
        <v>2.6249999999999999E-6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-6.135329963639709E-3</v>
      </c>
      <c r="N2447" s="1">
        <f t="shared" si="156"/>
        <v>3.7677022261074E-2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3.315E-6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2.3497388090464276E-2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 s="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 s="1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 s="1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 s="1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 s="1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 s="1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 s="1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 s="1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 s="1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-3.89999E-7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-1.5342916587840674E-3</v>
      </c>
      <c r="O2460" s="1"/>
    </row>
    <row r="2461" spans="1:15" x14ac:dyDescent="0.25">
      <c r="A2461">
        <v>4901</v>
      </c>
      <c r="B2461">
        <v>1002.969141</v>
      </c>
      <c r="C2461" s="1">
        <v>2.8999999999999998E-7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1.0432683750609248E-2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-3.9000599999999998E-7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-2.2400774066771859E-3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-4.8999900000000005E-7</v>
      </c>
      <c r="F2463">
        <v>84044.407089999993</v>
      </c>
      <c r="G2463" s="1">
        <v>-4.1799899999999999E-6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-4.8436596561037704E-3</v>
      </c>
      <c r="N2463" s="1">
        <f t="shared" si="156"/>
        <v>-1.9332915231408676E-2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 s="1">
        <v>-1.5200099999999999E-6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-7.6448334552858006E-3</v>
      </c>
      <c r="O2465" s="1"/>
    </row>
    <row r="2466" spans="1:15" x14ac:dyDescent="0.25">
      <c r="A2466">
        <v>4906</v>
      </c>
      <c r="B2466">
        <v>5369.4526329999999</v>
      </c>
      <c r="C2466" s="1">
        <v>2E-8</v>
      </c>
      <c r="D2466">
        <v>28334.315600000002</v>
      </c>
      <c r="E2466" s="1">
        <v>1.8099E-6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5.0846933028190003E-4</v>
      </c>
      <c r="M2466" s="1">
        <f t="shared" si="155"/>
        <v>1.5432364900863997E-2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 s="1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 s="1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 s="1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 s="1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 s="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 s="1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 s="1">
        <v>0</v>
      </c>
      <c r="D2473">
        <v>4874.715827</v>
      </c>
      <c r="E2473" s="1">
        <v>1.9999999999999999E-7</v>
      </c>
      <c r="F2473">
        <v>25780.798999999999</v>
      </c>
      <c r="G2473" s="1">
        <v>6.00001E-7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3.3488972569523257E-3</v>
      </c>
      <c r="O2473" s="1"/>
    </row>
    <row r="2474" spans="1:15" x14ac:dyDescent="0.25">
      <c r="A2474">
        <v>4915</v>
      </c>
      <c r="B2474">
        <v>453.74495810000002</v>
      </c>
      <c r="C2474" s="1">
        <v>-1.0200000000000001E-12</v>
      </c>
      <c r="D2474">
        <v>10755.458790000001</v>
      </c>
      <c r="E2474" s="1">
        <v>4.5000000000000001E-6</v>
      </c>
      <c r="F2474">
        <v>30952.842219999999</v>
      </c>
      <c r="G2474" s="1">
        <v>3.9000199999999997E-7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-4.4445182597809507E-8</v>
      </c>
      <c r="M2474" s="1">
        <f t="shared" si="155"/>
        <v>6.5762781490876512E-2</v>
      </c>
      <c r="N2474" s="1">
        <f t="shared" si="156"/>
        <v>2.6667246313093695E-3</v>
      </c>
      <c r="O2474" s="1"/>
    </row>
    <row r="2475" spans="1:15" x14ac:dyDescent="0.25">
      <c r="A2475">
        <v>4916</v>
      </c>
      <c r="B2475">
        <v>743.91963499999997</v>
      </c>
      <c r="C2475" s="1">
        <v>0</v>
      </c>
      <c r="D2475">
        <v>25593.815739999998</v>
      </c>
      <c r="E2475" s="1">
        <v>-1.1000000000000001E-6</v>
      </c>
      <c r="F2475">
        <v>42455.347170000001</v>
      </c>
      <c r="G2475" s="1">
        <v>-8.90002E-7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-3.1498320274417641E-3</v>
      </c>
      <c r="O2475" s="1"/>
    </row>
    <row r="2476" spans="1:15" x14ac:dyDescent="0.25">
      <c r="A2476">
        <v>4917</v>
      </c>
      <c r="B2476">
        <v>546.18502469999999</v>
      </c>
      <c r="C2476" s="1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 s="1">
        <v>0</v>
      </c>
      <c r="D2478">
        <v>908.72679210000001</v>
      </c>
      <c r="E2478" s="1">
        <v>-1.0231800000000001E-12</v>
      </c>
      <c r="F2478">
        <v>5317.9159970000001</v>
      </c>
      <c r="G2478" s="1">
        <v>-1.00099E-8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-4.8632212095123861E-8</v>
      </c>
      <c r="N2478" s="1">
        <f t="shared" si="156"/>
        <v>-2.2261037384975886E-4</v>
      </c>
      <c r="O2478" s="1"/>
    </row>
    <row r="2479" spans="1:15" x14ac:dyDescent="0.25">
      <c r="A2479">
        <v>4920</v>
      </c>
      <c r="B2479">
        <v>108.3957954</v>
      </c>
      <c r="C2479" s="1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 s="1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 s="1">
        <v>-9.9999999999999994E-12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-4.3928183136500002E-7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 s="1">
        <v>0</v>
      </c>
      <c r="D2486">
        <v>18333.93908</v>
      </c>
      <c r="E2486" s="1">
        <v>3.8E-6</v>
      </c>
      <c r="F2486">
        <v>34249.659979999997</v>
      </c>
      <c r="G2486" s="1">
        <v>1.00001E-7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5.8219417792516046E-4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 s="1">
        <v>2.9999999999999999E-7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1.4579541347182499E-2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-3.9999900000000001E-7</v>
      </c>
      <c r="F2490">
        <v>26035.35039</v>
      </c>
      <c r="G2490" s="1">
        <v>7.0000200000000002E-7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-6.6607845952256816E-3</v>
      </c>
      <c r="N2490" s="1">
        <f t="shared" si="156"/>
        <v>5.453928530454023E-3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9.9999900000000003E-8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1.3412680717439869E-3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 s="1">
        <v>0</v>
      </c>
      <c r="D2493">
        <v>7043.5559380000004</v>
      </c>
      <c r="E2493" s="1">
        <v>-1.00001E-7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-1.6128150141037612E-3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 s="1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-1.00001E-7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-1.5289148001533116E-3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-3.8999900000000001E-6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-2.2259414287028406E-2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-7.9400199999999999E-6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-5.3574041490471812E-2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-2.1299900000000001E-6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-4.4075774430818553E-3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-1.9396106040710352E-2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-3.6430000000000002E-5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-0.40669214582517882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2.09999E-7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1.6595939737157311E-3</v>
      </c>
      <c r="O2506" s="1"/>
    </row>
    <row r="2507" spans="1:15" x14ac:dyDescent="0.25">
      <c r="A2507">
        <v>4955</v>
      </c>
      <c r="B2507">
        <v>9078.1309829999991</v>
      </c>
      <c r="C2507" s="1">
        <v>0</v>
      </c>
      <c r="D2507">
        <v>28453.51958</v>
      </c>
      <c r="E2507" s="1">
        <v>4.6999999999999999E-6</v>
      </c>
      <c r="F2507">
        <v>53740.71632</v>
      </c>
      <c r="G2507" s="1">
        <v>1.2000199999999999E-7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1.5772374299057041E-3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3.8200099999999997E-6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1.3118135152170134E-2</v>
      </c>
      <c r="O2508" s="1"/>
    </row>
    <row r="2509" spans="1:15" x14ac:dyDescent="0.25">
      <c r="A2509">
        <v>4957</v>
      </c>
      <c r="B2509">
        <v>1895.553095</v>
      </c>
      <c r="C2509" s="1">
        <v>-2.9999999999999999E-7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-2.3018580582465E-2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 s="1">
        <v>0</v>
      </c>
      <c r="D2510">
        <v>4686.4077370000005</v>
      </c>
      <c r="E2510" s="1">
        <v>-1.9000100000000001E-7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-3.7217716807297577E-3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1.11001E-6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1.6148355946624818E-3</v>
      </c>
      <c r="O2511" s="1"/>
    </row>
    <row r="2512" spans="1:15" x14ac:dyDescent="0.25">
      <c r="A2512">
        <v>4960</v>
      </c>
      <c r="B2512">
        <v>616.4204297</v>
      </c>
      <c r="C2512" s="1">
        <v>0</v>
      </c>
      <c r="D2512">
        <v>9058.5069469999999</v>
      </c>
      <c r="E2512" s="1">
        <v>-3.9999900000000001E-7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-1.2759018707502685E-2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 s="1">
        <v>0</v>
      </c>
      <c r="D2513">
        <v>616.4204297</v>
      </c>
      <c r="E2513">
        <v>0</v>
      </c>
      <c r="F2513">
        <v>9558.3764960000008</v>
      </c>
      <c r="G2513" s="1">
        <v>2.9999900000000001E-7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7.8715067551956893E-3</v>
      </c>
      <c r="O2513" s="1"/>
    </row>
    <row r="2514" spans="1:15" x14ac:dyDescent="0.25">
      <c r="A2514">
        <v>4962</v>
      </c>
      <c r="B2514">
        <v>78.120731539999994</v>
      </c>
      <c r="C2514" s="1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 s="1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 s="1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 s="1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 s="1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 s="1">
        <v>0</v>
      </c>
      <c r="D2519">
        <v>94.477622890000006</v>
      </c>
      <c r="E2519">
        <v>0</v>
      </c>
      <c r="F2519">
        <v>95.643961129999994</v>
      </c>
      <c r="G2519" s="1">
        <v>-4.9999900000000002E-9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-3.144003835554753E-4</v>
      </c>
      <c r="O2519" s="1"/>
    </row>
    <row r="2520" spans="1:15" x14ac:dyDescent="0.25">
      <c r="A2520">
        <v>4968</v>
      </c>
      <c r="B2520">
        <v>58.200557080000003</v>
      </c>
      <c r="C2520" s="1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 s="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 s="1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 s="1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 s="1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 s="1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 s="1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-5.0999400000000003E-7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-4.579165018268932E-3</v>
      </c>
      <c r="O2526" s="1"/>
    </row>
    <row r="2527" spans="1:15" x14ac:dyDescent="0.25">
      <c r="A2527">
        <v>4975</v>
      </c>
      <c r="B2527">
        <v>5988.5151089999999</v>
      </c>
      <c r="C2527" s="1">
        <v>0</v>
      </c>
      <c r="D2527">
        <v>15920.90071</v>
      </c>
      <c r="E2527" s="1">
        <v>-3.8E-6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-4.8843593457956407E-2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 s="1">
        <v>-1.9999999999999999E-7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-9.9936191502549981E-3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2.404E-5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9.124598753272764E-2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1.00008E-8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8.2793221407642388E-5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3.0280000000000001E-5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7.1235504904441443E-2</v>
      </c>
      <c r="O2531" s="1"/>
    </row>
    <row r="2532" spans="1:15" x14ac:dyDescent="0.25">
      <c r="A2532">
        <v>4980</v>
      </c>
      <c r="B2532">
        <v>1379.9195589999999</v>
      </c>
      <c r="C2532" s="1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 s="1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 s="1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 s="1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3.0999900000000002E-7</v>
      </c>
      <c r="F2538">
        <v>88130.35497</v>
      </c>
      <c r="G2538" s="1">
        <v>-4.1799899999999999E-6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1.2781390541318331E-3</v>
      </c>
      <c r="N2538" s="1">
        <f t="shared" si="160"/>
        <v>-8.0637440265464762E-3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9.9971699999999997E-9</v>
      </c>
      <c r="F2539">
        <v>152458.09160000001</v>
      </c>
      <c r="G2539" s="1">
        <v>-1.3020000000000001E-5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2.7090983219598905E-5</v>
      </c>
      <c r="N2539" s="1">
        <f t="shared" si="160"/>
        <v>-1.6508299993373412E-2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7.5999600000000002E-7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6.1414319508482198E-3</v>
      </c>
      <c r="O2540" s="1"/>
    </row>
    <row r="2541" spans="1:15" x14ac:dyDescent="0.25">
      <c r="A2541">
        <v>5001</v>
      </c>
      <c r="B2541">
        <v>771.72768910000002</v>
      </c>
      <c r="C2541" s="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 s="1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 s="1">
        <v>0</v>
      </c>
      <c r="D2544">
        <v>13501.846320000001</v>
      </c>
      <c r="E2544" s="1">
        <v>2.9999900000000001E-7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5.620072995940602E-3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 s="1">
        <v>0</v>
      </c>
      <c r="D2547">
        <v>1935.13858</v>
      </c>
      <c r="E2547" s="1">
        <v>3.9999999999999998E-7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5.9911432139780002E-3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-3.9999599999999998E-7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-1.8249163848344185E-3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7.89994E-7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2.078773421729302E-3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 s="1">
        <v>-9.9999999999999994E-12</v>
      </c>
      <c r="D2551">
        <v>6677.418525</v>
      </c>
      <c r="E2551" s="1">
        <v>-2.0001E-7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-8.4793889513125011E-7</v>
      </c>
      <c r="M2551" s="1">
        <f t="shared" si="159"/>
        <v>-5.6879975899252139E-3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 s="1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 s="1">
        <v>-2.3000999999999998E-6</v>
      </c>
      <c r="F2553">
        <v>69213.065170000002</v>
      </c>
      <c r="G2553" s="1">
        <v>-1.51001E-6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-6.0902172242445998E-2</v>
      </c>
      <c r="N2553" s="1">
        <f t="shared" si="160"/>
        <v>-1.8707233488845561E-2</v>
      </c>
      <c r="O2553" s="1"/>
    </row>
    <row r="2554" spans="1:15" x14ac:dyDescent="0.25">
      <c r="A2554">
        <v>5016</v>
      </c>
      <c r="B2554">
        <v>3126.4843719999999</v>
      </c>
      <c r="C2554" s="1">
        <v>0</v>
      </c>
      <c r="D2554">
        <v>9132.7209590000002</v>
      </c>
      <c r="E2554" s="1">
        <v>9.9998900000000002E-8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1.4631947927437312E-3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2.9199900000000001E-6</v>
      </c>
      <c r="F2556">
        <v>168572.85560000001</v>
      </c>
      <c r="G2556" s="1">
        <v>3.65998E-6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2.3500217905212603E-2</v>
      </c>
      <c r="N2556" s="1">
        <f t="shared" si="160"/>
        <v>1.3782021259167694E-2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-1.82001E-6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-7.2468321163605418E-3</v>
      </c>
      <c r="O2557" s="1"/>
    </row>
    <row r="2558" spans="1:15" x14ac:dyDescent="0.25">
      <c r="A2558">
        <v>5020</v>
      </c>
      <c r="B2558">
        <v>670.14257450000002</v>
      </c>
      <c r="C2558" s="1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1.11999E-6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8.724287166886887E-3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4.3800100000000003E-6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1.8498366429604295E-2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-6.1999899999999997E-7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-3.0152709923155514E-3</v>
      </c>
      <c r="O2561" s="1"/>
    </row>
    <row r="2562" spans="1:15" x14ac:dyDescent="0.25">
      <c r="A2562">
        <v>5024</v>
      </c>
      <c r="B2562">
        <v>941.91083760000004</v>
      </c>
      <c r="C2562" s="1">
        <v>0</v>
      </c>
      <c r="D2562">
        <v>16592.787049999999</v>
      </c>
      <c r="E2562" s="1">
        <v>-2.7E-6</v>
      </c>
      <c r="F2562">
        <v>55575.001810000002</v>
      </c>
      <c r="G2562" s="1">
        <v>-9.4000299999999998E-7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-7.608648547541918E-3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1.36001E-6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5.6719956742646961E-3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2024-10-24T12:17:15Z</dcterms:modified>
</cp:coreProperties>
</file>