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1llz\Documents\University\Year 5\Sem 2\Thesis\"/>
    </mc:Choice>
  </mc:AlternateContent>
  <xr:revisionPtr revIDLastSave="0" documentId="13_ncr:1_{E9013E7C-665F-4DD6-A169-C4F7296FA6B0}" xr6:coauthVersionLast="47" xr6:coauthVersionMax="47" xr10:uidLastSave="{00000000-0000-0000-0000-000000000000}"/>
  <bookViews>
    <workbookView xWindow="-120" yWindow="-120" windowWidth="29040" windowHeight="15720" xr2:uid="{34CE21AD-DA83-48ED-92F4-4A41E2E19C9B}"/>
  </bookViews>
  <sheets>
    <sheet name="30 m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Q2" i="1"/>
  <c r="P2" i="1"/>
  <c r="O2" i="1"/>
  <c r="L3" i="1"/>
  <c r="M2" i="1" s="1"/>
  <c r="R2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256" i="1"/>
  <c r="I2257" i="1"/>
  <c r="I2253" i="1"/>
  <c r="I2254" i="1"/>
  <c r="I2255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47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13" i="1"/>
  <c r="I1214" i="1"/>
  <c r="I1215" i="1"/>
  <c r="I1216" i="1"/>
  <c r="I1217" i="1"/>
  <c r="I1218" i="1"/>
  <c r="I1219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151" i="1"/>
  <c r="I1143" i="1"/>
  <c r="I1144" i="1"/>
  <c r="I1145" i="1"/>
  <c r="I1146" i="1"/>
  <c r="I1147" i="1"/>
  <c r="I1148" i="1"/>
  <c r="I1149" i="1"/>
  <c r="I1150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2" i="1"/>
  <c r="R4" i="1" l="1"/>
</calcChain>
</file>

<file path=xl/sharedStrings.xml><?xml version="1.0" encoding="utf-8"?>
<sst xmlns="http://schemas.openxmlformats.org/spreadsheetml/2006/main" count="2575" uniqueCount="2570">
  <si>
    <t>num_opportunities</t>
  </si>
  <si>
    <t>EMP_2016</t>
  </si>
  <si>
    <t>ERP_2016</t>
  </si>
  <si>
    <t>Woollahra</t>
  </si>
  <si>
    <t>Waverley</t>
  </si>
  <si>
    <t>Randwick</t>
  </si>
  <si>
    <t>Uplift $M</t>
  </si>
  <si>
    <t>Total</t>
  </si>
  <si>
    <t>Rest of Sydney</t>
  </si>
  <si>
    <t>Tz16_Area</t>
  </si>
  <si>
    <t>TZ16_CODE</t>
  </si>
  <si>
    <t>TZ16_NAME</t>
  </si>
  <si>
    <t>Barangaroo_Headland Park</t>
  </si>
  <si>
    <t>Barangaroo_Northern Cove</t>
  </si>
  <si>
    <t>Barangaroo_Southern Cove</t>
  </si>
  <si>
    <t>Barangaroo_Jenkins Lane</t>
  </si>
  <si>
    <t>Barangaroo_Ferry Terminal</t>
  </si>
  <si>
    <t>Sydney CBD_Moores Wharf</t>
  </si>
  <si>
    <t>Sydney CBD_Hickson Road_Western End</t>
  </si>
  <si>
    <t>Sydney CBD_The Rocks_Argyle Place</t>
  </si>
  <si>
    <t>Walsh Bay</t>
  </si>
  <si>
    <t>Sydney CBD_Hickson Road_Eastern End</t>
  </si>
  <si>
    <t>Sydney CBD_Dawes Point Park</t>
  </si>
  <si>
    <t>Sydney CBD_The Rocks_Trinity Ave</t>
  </si>
  <si>
    <t>Sydney CBD_Gloucester Walk</t>
  </si>
  <si>
    <t>Sydney CBD_The Rocks_Argyle Centre</t>
  </si>
  <si>
    <t>Sydney CBD_Hickson Rd Reserve</t>
  </si>
  <si>
    <t>Sydney CBD_Sydney Cove Overseas Passenger Terminal</t>
  </si>
  <si>
    <t>Sydney Opera House</t>
  </si>
  <si>
    <t>Sydney CBD_Kent St_Northern Section</t>
  </si>
  <si>
    <t>Sydney CBD_Sydney Observatory</t>
  </si>
  <si>
    <t>Sydney CBD_The Rocks_King George V Recreation Centre</t>
  </si>
  <si>
    <t>Sydney CBD_The Rocks_Sydney Harbour Foreshore Authority</t>
  </si>
  <si>
    <t>Sydney CBD_Museum of Contemporary Art</t>
  </si>
  <si>
    <t>Sydney CBD_Circular Quay East_The Toaster</t>
  </si>
  <si>
    <t>Sydney CBD_The Rocks_Shangri La Hotel</t>
  </si>
  <si>
    <t>Sydney CBD_The Rocks_Four Seasons Hotel</t>
  </si>
  <si>
    <t>Sydney CBD_Circular Quay Station-Wharves</t>
  </si>
  <si>
    <t>Sydney CBD_The Rocks_Science House</t>
  </si>
  <si>
    <t>Sydney CBD_The Rocks_Cove Apartments</t>
  </si>
  <si>
    <t>Sydney CBD_Grosvenor Place</t>
  </si>
  <si>
    <t>Sydney CBD_Circular Quay_Herald Square</t>
  </si>
  <si>
    <t>Sydney CBD_Circular Quay_Gateway Quayside</t>
  </si>
  <si>
    <t>Sydney CBD_Circular Quay_Customs House</t>
  </si>
  <si>
    <t>Sydney CBD_Circular Quay_AMP Centre</t>
  </si>
  <si>
    <t>Sydney CBD_Sir Stamford and InterContinental Hotels</t>
  </si>
  <si>
    <t>Royal Botanic Gardens</t>
  </si>
  <si>
    <t>Sydney CBD_Maritime Trade Towers</t>
  </si>
  <si>
    <t>Sydney CBD_35 Clarence St</t>
  </si>
  <si>
    <t>Sydney CBD_1 York St</t>
  </si>
  <si>
    <t>Sydney CBD_AAP Centre</t>
  </si>
  <si>
    <t>Sydney CBD_10 Bond St and 20 Bond St</t>
  </si>
  <si>
    <t>Sydney CBD_Royal Exchange Building</t>
  </si>
  <si>
    <t>Sydney CBD_Lands Dept Building_Bridge St</t>
  </si>
  <si>
    <t>Sydney CBD_Department of Education Building</t>
  </si>
  <si>
    <t>Sydney CBD_Governor Macquarie Tower_Governor Phillip Tower</t>
  </si>
  <si>
    <t>Sydney CBD_ABN Amro Tower_Aurora Place</t>
  </si>
  <si>
    <t>Sydney CBD_The York Apartment Hotel</t>
  </si>
  <si>
    <t>Sydney CBD_Metcentre</t>
  </si>
  <si>
    <t>Sydney CBD_Australia Square</t>
  </si>
  <si>
    <t>Sydney CBD_Radisson Plaza Hotel</t>
  </si>
  <si>
    <t>Sydney CBD_25 Bligh St</t>
  </si>
  <si>
    <t>Sydney CBD_Wentworth Hotel</t>
  </si>
  <si>
    <t>Sydney CBD_Chifley Square_Chifley Tower</t>
  </si>
  <si>
    <t>Sydney CBD_King St Wharf_Northern End</t>
  </si>
  <si>
    <t>Sydney CBD_Westpac Place</t>
  </si>
  <si>
    <t>Sydney CBD_83 Clarence St</t>
  </si>
  <si>
    <t>Sydney CBD_Wynyard Station_York St</t>
  </si>
  <si>
    <t>Sydney CBD_Wynyard Station_George St</t>
  </si>
  <si>
    <t>Sydney CBD_Hunter Connection</t>
  </si>
  <si>
    <t>Sydney CBD_QBE Building</t>
  </si>
  <si>
    <t>Sydney CBD_Savings Bank Building</t>
  </si>
  <si>
    <t>Sydney CBD_Colonial Centre_Goodsell Building</t>
  </si>
  <si>
    <t>Sydney CBD_Martin Place Station_Hunter St and Macquarie St</t>
  </si>
  <si>
    <t>Sydney CBD_Parliament House_Sydney Hospital</t>
  </si>
  <si>
    <t>Mrs Macquaries Chair</t>
  </si>
  <si>
    <t>Sydney CBD_King St Wharf_Southern End</t>
  </si>
  <si>
    <t>Sydney CBD_Slip St</t>
  </si>
  <si>
    <t>Sydney CBD_Lumley House</t>
  </si>
  <si>
    <t>Sydney CBD_Red Cross House</t>
  </si>
  <si>
    <t>Sydney CBD_AWA Building</t>
  </si>
  <si>
    <t>Barrack St and York St</t>
  </si>
  <si>
    <t>Centenary Square</t>
  </si>
  <si>
    <t>Centenary Square and George</t>
  </si>
  <si>
    <t>Sydney CBD_No.1 Martin Place</t>
  </si>
  <si>
    <t>MLC Centre Sydney</t>
  </si>
  <si>
    <t>Martin Place and Elizabeth St</t>
  </si>
  <si>
    <t>Martin Place and Phillip St</t>
  </si>
  <si>
    <t>Martin Place Station</t>
  </si>
  <si>
    <t>Star City_Pyrmont Bay Ferry Wharf</t>
  </si>
  <si>
    <t>Sydney Aquarium</t>
  </si>
  <si>
    <t>Allianz Centre</t>
  </si>
  <si>
    <t>King St and Clarence St</t>
  </si>
  <si>
    <t>Westpac Building</t>
  </si>
  <si>
    <t>King St and George St</t>
  </si>
  <si>
    <t>Sydney CBD_Strand Arcade</t>
  </si>
  <si>
    <t>Sydney CBD_Centrepoint</t>
  </si>
  <si>
    <t>David Jones_Elizabeth Street</t>
  </si>
  <si>
    <t>Law Courts Building Sydney</t>
  </si>
  <si>
    <t>Darling Harbour_Novotel, Grand Mercure, Ibis</t>
  </si>
  <si>
    <t>Harbourside_Darling Harbour</t>
  </si>
  <si>
    <t>Cockle Bay Wharf</t>
  </si>
  <si>
    <t>Cockle Bay Wharf_East</t>
  </si>
  <si>
    <t>Market St and Kent St</t>
  </si>
  <si>
    <t>Market St and Clarence St</t>
  </si>
  <si>
    <t>Market St and York St</t>
  </si>
  <si>
    <t>Queen Victoria Building</t>
  </si>
  <si>
    <t>Sydney CBD_Galeries Victoria</t>
  </si>
  <si>
    <t>Piccadilly Arcade</t>
  </si>
  <si>
    <t>Sheraton On The Park</t>
  </si>
  <si>
    <t>St. Mary's Cathedral</t>
  </si>
  <si>
    <t>Art Gallery Of NSW</t>
  </si>
  <si>
    <t>Darling Harbour_Crown Plaza Hotel</t>
  </si>
  <si>
    <t>Druitt St and Kent St</t>
  </si>
  <si>
    <t>Sydney CBD_Sydney Town Hall</t>
  </si>
  <si>
    <t>Town Hall Station</t>
  </si>
  <si>
    <t>Sydney CBD_Defence Plaza</t>
  </si>
  <si>
    <t>Park St and Elizabeth St</t>
  </si>
  <si>
    <t>St James Station</t>
  </si>
  <si>
    <t>Exhibition Centre_Darling Harbour</t>
  </si>
  <si>
    <t>Millennium Towers</t>
  </si>
  <si>
    <t>Bathurst St and Kent St</t>
  </si>
  <si>
    <t>Greater Union Cinema Centre</t>
  </si>
  <si>
    <t>Bathurst St and Pitt St</t>
  </si>
  <si>
    <t>Wilmot St and Pitt St</t>
  </si>
  <si>
    <t>Court Of Petty Sessions</t>
  </si>
  <si>
    <t>Bathurst St and Castlereagh St</t>
  </si>
  <si>
    <t>Bathurst St and Elizabeth St</t>
  </si>
  <si>
    <t>Liverpool St and Sussex</t>
  </si>
  <si>
    <t>Liverpool St and George</t>
  </si>
  <si>
    <t>World Square Sydney</t>
  </si>
  <si>
    <t>Masonic Centre</t>
  </si>
  <si>
    <t>Sydney CBD_Downing Centre</t>
  </si>
  <si>
    <t>Liverpool St and Nithsdale St</t>
  </si>
  <si>
    <t>Liverpool St and Commonweath St</t>
  </si>
  <si>
    <t>Liverpool St and Wentworth St</t>
  </si>
  <si>
    <t>Entertainment Centre</t>
  </si>
  <si>
    <t>Holiday Inn_Chinatown</t>
  </si>
  <si>
    <t>Sussex Centre_Chinatown</t>
  </si>
  <si>
    <t>Little Hay St and Sussex St_Chinatown</t>
  </si>
  <si>
    <t>Goulburn St and George St</t>
  </si>
  <si>
    <t>Scruffy Murphys</t>
  </si>
  <si>
    <t>Regis Tower</t>
  </si>
  <si>
    <t>Goulburn St and Wentworth St</t>
  </si>
  <si>
    <t>Capitol Square</t>
  </si>
  <si>
    <t>Sydney CBD_Belmore Park</t>
  </si>
  <si>
    <t>Paddys Market</t>
  </si>
  <si>
    <t>UTS_Ultimo_East</t>
  </si>
  <si>
    <t>Hay St and George St</t>
  </si>
  <si>
    <t>Central Square MLR Stop</t>
  </si>
  <si>
    <t>Parker St and Hay St</t>
  </si>
  <si>
    <t>Sydney CBD_Sydney Central Building</t>
  </si>
  <si>
    <t>Ultimo St and Hay St</t>
  </si>
  <si>
    <t>Ultimo St and George St</t>
  </si>
  <si>
    <t>Sydney CBD_McKell Building</t>
  </si>
  <si>
    <t>Sydney TAFE</t>
  </si>
  <si>
    <t>Rawson St and Pitt St</t>
  </si>
  <si>
    <t>Central Station</t>
  </si>
  <si>
    <t>Goat Island</t>
  </si>
  <si>
    <t>Fort Denison</t>
  </si>
  <si>
    <t>Sydney CBD_Jenkins St</t>
  </si>
  <si>
    <t>Pyrmont_Darling Island</t>
  </si>
  <si>
    <t>John St Square MLR</t>
  </si>
  <si>
    <t>Fish Markets MLR</t>
  </si>
  <si>
    <t>Hardwood St</t>
  </si>
  <si>
    <t>Experiment St</t>
  </si>
  <si>
    <t>Wentworth Park MLR</t>
  </si>
  <si>
    <t>Powerhouse Museum Ultimo</t>
  </si>
  <si>
    <t>Broadway Shopping Centre_Glebe_Mountain St and Small St</t>
  </si>
  <si>
    <t>UTS_Ultimo_West</t>
  </si>
  <si>
    <t>ABC Ultimo Centre</t>
  </si>
  <si>
    <t>Sydney CBD_Perpetual Trustee Building</t>
  </si>
  <si>
    <t>Sydney CBD_Myer Building</t>
  </si>
  <si>
    <t>Garden Island</t>
  </si>
  <si>
    <t>The Finger Wharf Apartments</t>
  </si>
  <si>
    <t>Woolloomooloo_Dowling St and Nesbitt St</t>
  </si>
  <si>
    <t>St Vincents Catholic College</t>
  </si>
  <si>
    <t>Elizabeth Bay House</t>
  </si>
  <si>
    <t>Cook and Phillip Park</t>
  </si>
  <si>
    <t>East Sydney High School</t>
  </si>
  <si>
    <t>Kings Cross Station</t>
  </si>
  <si>
    <t>Kingsgate Shopping Centre</t>
  </si>
  <si>
    <t>El Alamein Fountain</t>
  </si>
  <si>
    <t>St Luke's Hospital</t>
  </si>
  <si>
    <t>Sydney CBD_Sky Garden</t>
  </si>
  <si>
    <t>National Art School</t>
  </si>
  <si>
    <t>Australian Museum Darlinghurst</t>
  </si>
  <si>
    <t>Darlinghurst_College La and Francis St</t>
  </si>
  <si>
    <t>SCEGGS_Darlinghurst</t>
  </si>
  <si>
    <t>Darlinghurst Rd and William St</t>
  </si>
  <si>
    <t>Belvedere Bridge Darlinghurst</t>
  </si>
  <si>
    <t>Marriott Hotel</t>
  </si>
  <si>
    <t>St Vincent's Caritas Centre</t>
  </si>
  <si>
    <t>St Vincent's Hospital</t>
  </si>
  <si>
    <t>Darlinghurst_Little Oxford St and Crown St</t>
  </si>
  <si>
    <t>Paddington_Flinders St and Taylor St</t>
  </si>
  <si>
    <t>Darling Island_Pyremont Park</t>
  </si>
  <si>
    <t>City Star Casino</t>
  </si>
  <si>
    <t>Oxford Square</t>
  </si>
  <si>
    <t>Goulburn St and Brisbane St</t>
  </si>
  <si>
    <t>Sydney Police Centre</t>
  </si>
  <si>
    <t>Darlinghurst_Lower Darling St</t>
  </si>
  <si>
    <t>Campbell St and Mary St</t>
  </si>
  <si>
    <t>Campbell St and Riley St</t>
  </si>
  <si>
    <t>Centennial Plaza</t>
  </si>
  <si>
    <t>Albion St and Riley St</t>
  </si>
  <si>
    <t>Albion St and Flinders St</t>
  </si>
  <si>
    <t>United Dental Hospital Of Sydney</t>
  </si>
  <si>
    <t>News Ltd</t>
  </si>
  <si>
    <t>Bourke St and Arthur St</t>
  </si>
  <si>
    <t>Prince Alfred Park</t>
  </si>
  <si>
    <t>Strawberry Hills_Elizabeth St and Belvoir St</t>
  </si>
  <si>
    <t>Bourke St and Mort St</t>
  </si>
  <si>
    <t>Lee St_Sydney</t>
  </si>
  <si>
    <t>CUB Site Chippendale_North</t>
  </si>
  <si>
    <t>Chippendale</t>
  </si>
  <si>
    <t>Central Station_South</t>
  </si>
  <si>
    <t>CUB Site Chippendale_South</t>
  </si>
  <si>
    <t>Darlington_Everleigh St and Hudson St</t>
  </si>
  <si>
    <t>Redfern_Wells St and Renwick St</t>
  </si>
  <si>
    <t>Redfern Mail Exchange Redfern</t>
  </si>
  <si>
    <t>Redfern</t>
  </si>
  <si>
    <t>Surry Hills Shopping Village</t>
  </si>
  <si>
    <t>Redfern Station</t>
  </si>
  <si>
    <t>Everleigh</t>
  </si>
  <si>
    <t>Redfern_Wyndham St and Boundary St</t>
  </si>
  <si>
    <t>Rachel Forster Hospital</t>
  </si>
  <si>
    <t>Redfern Oval</t>
  </si>
  <si>
    <t>Redfern_Baptist St and Zamia St</t>
  </si>
  <si>
    <t>Redfern_Charles Moore Ave</t>
  </si>
  <si>
    <t>Australian Technology Park</t>
  </si>
  <si>
    <t>Explorer St and Aurora Place</t>
  </si>
  <si>
    <t>Australian Technology Park North</t>
  </si>
  <si>
    <t>Macdonaldtown Station</t>
  </si>
  <si>
    <t>Blackwattle Bay Park_Glebe</t>
  </si>
  <si>
    <t>Harold Park_Jubilee Park_Glebe</t>
  </si>
  <si>
    <t>Wentworth Park</t>
  </si>
  <si>
    <t>Glebe_Wigram Rd and Glebe Point Rd</t>
  </si>
  <si>
    <t>Forest Lodge Public School</t>
  </si>
  <si>
    <t>Forest Lodge_Arundel St and Short St</t>
  </si>
  <si>
    <t>Glebe_Mitchell St and Westmoreland St</t>
  </si>
  <si>
    <t>Broadway Shopping Centre_Glebe_Glebe St and Cowper St</t>
  </si>
  <si>
    <t>University of Sydney_Main Camperdown Campus</t>
  </si>
  <si>
    <t>Camperdown Park</t>
  </si>
  <si>
    <t>Royal Prince Alfred Hospital</t>
  </si>
  <si>
    <t>Darlington</t>
  </si>
  <si>
    <t>Darlington_Edward St and Vine St</t>
  </si>
  <si>
    <t>Camperdown_Australia St and Hopgate St</t>
  </si>
  <si>
    <t>Royal Prince Alfred Medical Centre</t>
  </si>
  <si>
    <t>Darlington_Golden Grove St and Abercrombie St</t>
  </si>
  <si>
    <t>Australia Council For The Arts Darlington</t>
  </si>
  <si>
    <t>Newtown St Stephens Cemetery</t>
  </si>
  <si>
    <t>Macdonaldtown Station_North</t>
  </si>
  <si>
    <t>Newtown Station_North</t>
  </si>
  <si>
    <t>Newtown_Rawson St and Reiby St</t>
  </si>
  <si>
    <t>Newtown Station_South</t>
  </si>
  <si>
    <t>Newtown_Kent St and College St</t>
  </si>
  <si>
    <t>St Peters Station_North</t>
  </si>
  <si>
    <t>Rydges Camperdown</t>
  </si>
  <si>
    <t>Erskineville South</t>
  </si>
  <si>
    <t>Macdonaldtown Station_South</t>
  </si>
  <si>
    <t>Erskineville Station_West</t>
  </si>
  <si>
    <t>Erskineville Station_East</t>
  </si>
  <si>
    <t>Alexandria</t>
  </si>
  <si>
    <t>Cleveland Street High School</t>
  </si>
  <si>
    <t>Erskineville_Rochford St and Macdonald St</t>
  </si>
  <si>
    <t>Erskineville</t>
  </si>
  <si>
    <t>Alexandria_Lawrence St and Maddox St</t>
  </si>
  <si>
    <t>Alexandria_Mandible St and Wyndham St</t>
  </si>
  <si>
    <t>Sydney Park Business Centre</t>
  </si>
  <si>
    <t>Beaconsfield Industrial Area_Green Square Station</t>
  </si>
  <si>
    <t>CSR Concrete Plant</t>
  </si>
  <si>
    <t>Alexandria Industrial Area</t>
  </si>
  <si>
    <t>Alexandria_Eastern Suburbs Mail Centre</t>
  </si>
  <si>
    <t>Waterloo_John St and Botany Rd</t>
  </si>
  <si>
    <t>Waterloo</t>
  </si>
  <si>
    <t>Waterloo Park</t>
  </si>
  <si>
    <t>Waterloo_Young St and Danks St</t>
  </si>
  <si>
    <t>Waterloo_Crown Square Shopping Plaza</t>
  </si>
  <si>
    <t>Waterloo_Elizabeth St and Allen St</t>
  </si>
  <si>
    <t>Waterloo_Elizabeth St and Powell St</t>
  </si>
  <si>
    <t>Hpm Industries</t>
  </si>
  <si>
    <t>Green Square_Merton St and Tilford St</t>
  </si>
  <si>
    <t>Grandstand Pl</t>
  </si>
  <si>
    <t>Green Square_Town Centre</t>
  </si>
  <si>
    <t>Hutchison Wk</t>
  </si>
  <si>
    <t>Zetland_Epsom Rd and Joynton Ave</t>
  </si>
  <si>
    <t>Link Rd</t>
  </si>
  <si>
    <t>Beaconsfield Industrial Area</t>
  </si>
  <si>
    <t>Southside Business Centre</t>
  </si>
  <si>
    <t>Rosebery_Stedman St and Spring St</t>
  </si>
  <si>
    <t>Rosebury_Dalmeny Ave and Kimberley Grove</t>
  </si>
  <si>
    <t>Rosebery_Hayes Rd and Dunning Ave</t>
  </si>
  <si>
    <t>Rosebery_Bannerman Cr and Asquith Ave</t>
  </si>
  <si>
    <t>Rosebery_Gardiners Rd Public School</t>
  </si>
  <si>
    <t>Rosebery Cathedral</t>
  </si>
  <si>
    <t>Green Square_North</t>
  </si>
  <si>
    <t>Green Square_South</t>
  </si>
  <si>
    <t>Enmore_Perry St and Cowper St</t>
  </si>
  <si>
    <t>Wilkins Primary School</t>
  </si>
  <si>
    <t>Marrickville Park</t>
  </si>
  <si>
    <t>Marrickville Metro</t>
  </si>
  <si>
    <t>Marrickville High School</t>
  </si>
  <si>
    <t>Sydney Steel</t>
  </si>
  <si>
    <t>St Marouns College</t>
  </si>
  <si>
    <t>Marrickville St Brigid Catholic Church</t>
  </si>
  <si>
    <t>Dulwich Hill_Ewart St and Osgood Ave</t>
  </si>
  <si>
    <t>Sydenham Station_West</t>
  </si>
  <si>
    <t>Marrickville Station_South</t>
  </si>
  <si>
    <t>Marrickvile Golf Club</t>
  </si>
  <si>
    <t>Marrickville_Hampden Av and Day St</t>
  </si>
  <si>
    <t>Tempe Station_West</t>
  </si>
  <si>
    <t>Marrickville Station_North</t>
  </si>
  <si>
    <t>Marrickville_McNeilly Park</t>
  </si>
  <si>
    <t>Stanmore_Northumberland Av and Great Western Hwy</t>
  </si>
  <si>
    <t>Petersham Station_North</t>
  </si>
  <si>
    <t>Lewisham Station_North</t>
  </si>
  <si>
    <t>Stanmore Station_North</t>
  </si>
  <si>
    <t>Stanmore Station_South</t>
  </si>
  <si>
    <t>Petersham Station_South</t>
  </si>
  <si>
    <t>Newtown_Belmore St and London St</t>
  </si>
  <si>
    <t>Petersham_Wardell Rd and Morgan St</t>
  </si>
  <si>
    <t>Enmore_Wemyss St and Harrington St</t>
  </si>
  <si>
    <t>Newtown_Sydney Institute Design Centre</t>
  </si>
  <si>
    <t>St Peters Station_South</t>
  </si>
  <si>
    <t>St Peters_Greenway and Banks Estate</t>
  </si>
  <si>
    <t>Burrows Industrial Estate</t>
  </si>
  <si>
    <t>Sydenham Station_East</t>
  </si>
  <si>
    <t>Cooks River Rail Freight Terminal</t>
  </si>
  <si>
    <t>Tempe Station_East</t>
  </si>
  <si>
    <t>Salvation Army Tempe</t>
  </si>
  <si>
    <t>Orica Australia</t>
  </si>
  <si>
    <t>Discovery Cove Industrial Park</t>
  </si>
  <si>
    <t>Caltex Sydney Terminal</t>
  </si>
  <si>
    <t>Sir Joseph Banks Corporate Park</t>
  </si>
  <si>
    <t>Botany William St</t>
  </si>
  <si>
    <t>Port Air Industrial Estate</t>
  </si>
  <si>
    <t>Botany Industrial Area</t>
  </si>
  <si>
    <t>Mascot_Ricketty St</t>
  </si>
  <si>
    <t>Mascot_Qantas HO</t>
  </si>
  <si>
    <t>Mascot Station</t>
  </si>
  <si>
    <t>Rosebery_Gardeners Rd and Sutherland St</t>
  </si>
  <si>
    <t>Eastlakes Shopping Centre</t>
  </si>
  <si>
    <t>Mascot_Public School</t>
  </si>
  <si>
    <t>Eastlakes Public School</t>
  </si>
  <si>
    <t>J J Cahill Memorial High School</t>
  </si>
  <si>
    <t>The Lakes Golf Course</t>
  </si>
  <si>
    <t>Mascot_Carinya Ave</t>
  </si>
  <si>
    <t>Marist College High School</t>
  </si>
  <si>
    <t>Bonnie Doon Golf Club</t>
  </si>
  <si>
    <t>Pagewood_Wentworth Av and Page St</t>
  </si>
  <si>
    <t>Eastgardens Shopping Centre</t>
  </si>
  <si>
    <t>South Point Shopping Centre</t>
  </si>
  <si>
    <t>Matraville Public School</t>
  </si>
  <si>
    <t>Pagewood Green</t>
  </si>
  <si>
    <t>Port Botany Business Park_West</t>
  </si>
  <si>
    <t>Military Rd</t>
  </si>
  <si>
    <t>Port Botany_Southern Container Terminal</t>
  </si>
  <si>
    <t>Sydney Domestic Airport</t>
  </si>
  <si>
    <t>Sydney International Airport</t>
  </si>
  <si>
    <t>Sydney Airport_Runway</t>
  </si>
  <si>
    <t>Yeshiva Girls High</t>
  </si>
  <si>
    <t>Bondi</t>
  </si>
  <si>
    <t>Bondi_Watson St and Grove St</t>
  </si>
  <si>
    <t>Tamarama Beach</t>
  </si>
  <si>
    <t>Bronte Beach</t>
  </si>
  <si>
    <t>Bronte</t>
  </si>
  <si>
    <t>North Bondi</t>
  </si>
  <si>
    <t>Bondi Golf Club</t>
  </si>
  <si>
    <t>North Bondi_Brighton Bvd and Wairoa Av</t>
  </si>
  <si>
    <t>Bondi Beach_Wellington St and O'Brien St</t>
  </si>
  <si>
    <t>Bondi Beach_Roscoe St and O'Brien St</t>
  </si>
  <si>
    <t>Bondi Beach</t>
  </si>
  <si>
    <t>Bondi Beach_Lamrock Ave and Consett Ave</t>
  </si>
  <si>
    <t>Bondi Junction Station</t>
  </si>
  <si>
    <t>Bondi Junction CBD</t>
  </si>
  <si>
    <t>Bondi_Paul St and Kenilworth St</t>
  </si>
  <si>
    <t>Bondi Junction_Ruthven St and Gowrie St</t>
  </si>
  <si>
    <t>Waverley Park</t>
  </si>
  <si>
    <t>War Memorial Hospital</t>
  </si>
  <si>
    <t>Queens Park</t>
  </si>
  <si>
    <t>Bondi Junction_Waverley Library</t>
  </si>
  <si>
    <t>Centennial Park</t>
  </si>
  <si>
    <t>Darling Point Ferry Wharf</t>
  </si>
  <si>
    <t>Darling Point</t>
  </si>
  <si>
    <t>Shillings Beach Point Piper</t>
  </si>
  <si>
    <t>The Scots College</t>
  </si>
  <si>
    <t>Ascham Girls School_West</t>
  </si>
  <si>
    <t>Double Bay Ferry Wharf</t>
  </si>
  <si>
    <t>Double Bay Plaza</t>
  </si>
  <si>
    <t>Ascham Girls School_East</t>
  </si>
  <si>
    <t>Bellevue Hill</t>
  </si>
  <si>
    <t>Edgecliff Station</t>
  </si>
  <si>
    <t>Bellevue Hill_Drumalbyn Rd and Beresford Rd</t>
  </si>
  <si>
    <t>Edgecliff_Manning Rd and Court Rd</t>
  </si>
  <si>
    <t>Bellevue Hill_Carlotta Rd</t>
  </si>
  <si>
    <t>Bellevue Hill South</t>
  </si>
  <si>
    <t>Bellevue Hill_Suttie Rd and Ranfurley Rd</t>
  </si>
  <si>
    <t>Bellevue Park</t>
  </si>
  <si>
    <t>Diamond Bay</t>
  </si>
  <si>
    <t>Dover Heights_Portland St and Lancaster Rd</t>
  </si>
  <si>
    <t>Dover Heights High School</t>
  </si>
  <si>
    <t>Dover Heights</t>
  </si>
  <si>
    <t>White City</t>
  </si>
  <si>
    <t>The Scottish Hospital</t>
  </si>
  <si>
    <t>Paddington</t>
  </si>
  <si>
    <t>Five Ways Paddington</t>
  </si>
  <si>
    <t>Paddington_Elizabeth St and Hargrave St</t>
  </si>
  <si>
    <t>Paddington_University of NSW</t>
  </si>
  <si>
    <t>Victoria Barracks</t>
  </si>
  <si>
    <t>Paddington_Elizabeth St and Paddington St</t>
  </si>
  <si>
    <t>Regent St and Stewart St</t>
  </si>
  <si>
    <t>Paddington Markets</t>
  </si>
  <si>
    <t>Cooks Rd and Mitchell St</t>
  </si>
  <si>
    <t>Sydney Cricket Ground</t>
  </si>
  <si>
    <t>Moore Park Golf Course</t>
  </si>
  <si>
    <t>Moore Park Supacenta</t>
  </si>
  <si>
    <t>Watsons Bay Ferry Wharf</t>
  </si>
  <si>
    <t>Parsley Bay</t>
  </si>
  <si>
    <t>Nielsen Park</t>
  </si>
  <si>
    <t>Rose Bay Towns Rd</t>
  </si>
  <si>
    <t>Rose Bay Ferry Wharf</t>
  </si>
  <si>
    <t>Vaucluse_Lighthouse Reserve Dunbar_Head</t>
  </si>
  <si>
    <t>Wolper Jewish Hospital</t>
  </si>
  <si>
    <t>Woollahra Galleries</t>
  </si>
  <si>
    <t>Cooper Park</t>
  </si>
  <si>
    <t>Clovelly_Knox St and Greville St</t>
  </si>
  <si>
    <t>Clovelly_Clifton Rd and Burnie St</t>
  </si>
  <si>
    <t>Coogee</t>
  </si>
  <si>
    <t>Coogee Palace Shopping Centre</t>
  </si>
  <si>
    <t>Coogee Beach</t>
  </si>
  <si>
    <t>Coogee_Mount St and Dudley St</t>
  </si>
  <si>
    <t>Coogee_Wylies Baths</t>
  </si>
  <si>
    <t>South Coogee</t>
  </si>
  <si>
    <t>South Coogee Primary School</t>
  </si>
  <si>
    <t>Kingsford_Town Centre</t>
  </si>
  <si>
    <t>Kensington_Tresidder Ave</t>
  </si>
  <si>
    <t>Kokoda Memorial Park</t>
  </si>
  <si>
    <t>Kensington_Todman Av and Baker St</t>
  </si>
  <si>
    <t>Kensington Public School</t>
  </si>
  <si>
    <t>Kensington</t>
  </si>
  <si>
    <t>University of NSW</t>
  </si>
  <si>
    <t>Australian Golf Course</t>
  </si>
  <si>
    <t>Kensington Park</t>
  </si>
  <si>
    <t>Kingsford_Castellorizian Club</t>
  </si>
  <si>
    <t>Kingsford_Kennedy St and Middle St</t>
  </si>
  <si>
    <t>Kingsford_Botany St and Sturt St</t>
  </si>
  <si>
    <t>Kingsford</t>
  </si>
  <si>
    <t>Kingsford_Borrowdale Rd</t>
  </si>
  <si>
    <t>Matraville_Eastern Rd and Beauchamp Rd</t>
  </si>
  <si>
    <t>Matraville</t>
  </si>
  <si>
    <t>Anzac Rifle Range</t>
  </si>
  <si>
    <t>Matraville_Menin Av and Flinders St</t>
  </si>
  <si>
    <t>Port Botany Business Park_East</t>
  </si>
  <si>
    <t>Matraville High School</t>
  </si>
  <si>
    <t>Long Bay</t>
  </si>
  <si>
    <t>Randwick Golf Club</t>
  </si>
  <si>
    <t>La Perouse Museum</t>
  </si>
  <si>
    <t>Prince Henry Hospital</t>
  </si>
  <si>
    <t>Congwong Beach</t>
  </si>
  <si>
    <t>NSW Golf Club_St Michaels Golf Club</t>
  </si>
  <si>
    <t>Maroubra Junction Public School</t>
  </si>
  <si>
    <t>Stocklands Mall Maroubra</t>
  </si>
  <si>
    <t>Maroubra High School</t>
  </si>
  <si>
    <t>Maroubra_Storey St and Amour Ave</t>
  </si>
  <si>
    <t>South Sydney High School</t>
  </si>
  <si>
    <t>Maroubra_Torrington Rd and Duncan St</t>
  </si>
  <si>
    <t>Maroubra_Robey St and Wise St</t>
  </si>
  <si>
    <t>Maroubra Mons Ave</t>
  </si>
  <si>
    <t>Maroubra Beach</t>
  </si>
  <si>
    <t>Heffron Park</t>
  </si>
  <si>
    <t>Coral Sea Park</t>
  </si>
  <si>
    <t>South Maroubra Village Shopping Centre</t>
  </si>
  <si>
    <t>Randwick_Monmouth St and Stephen St</t>
  </si>
  <si>
    <t>Randwick_Park Av and Gilderthorpe Av</t>
  </si>
  <si>
    <t>Roma Private Hospital</t>
  </si>
  <si>
    <t>Clovelly_Bishops Ave and Douglas St</t>
  </si>
  <si>
    <t>Randwick North High School</t>
  </si>
  <si>
    <t>Randwick Racecourse</t>
  </si>
  <si>
    <t>Randwick Plaza</t>
  </si>
  <si>
    <t>Coogee St</t>
  </si>
  <si>
    <t>Prince of Wales Hospital</t>
  </si>
  <si>
    <t>St Pauls</t>
  </si>
  <si>
    <t>Coogee_Canberra St and Creer St</t>
  </si>
  <si>
    <t>Navy Oval</t>
  </si>
  <si>
    <t>Randwick Boys High School_Randwick Girls High School</t>
  </si>
  <si>
    <t>Breakfast Point</t>
  </si>
  <si>
    <t>Concord_Rothwell Park</t>
  </si>
  <si>
    <t>Burwood_Milton St</t>
  </si>
  <si>
    <t>Rhodes_North Eastern Side</t>
  </si>
  <si>
    <t>Rhodes Station_West</t>
  </si>
  <si>
    <t>Mortlake</t>
  </si>
  <si>
    <t>Cabarita Point Ferry Wharf</t>
  </si>
  <si>
    <t>Concord_Anderson Rd and Brays Rd</t>
  </si>
  <si>
    <t>Concord</t>
  </si>
  <si>
    <t>Bayview Park Ferry Wharf</t>
  </si>
  <si>
    <t>Concord_Cross St and Wellbank St</t>
  </si>
  <si>
    <t>Westside Private Hospital</t>
  </si>
  <si>
    <t>Queen Elizabeth Park</t>
  </si>
  <si>
    <t>Rhodes_Walker St and Darling Ave</t>
  </si>
  <si>
    <t>Rhodes Station_East</t>
  </si>
  <si>
    <t>Rhodes_South Western Side</t>
  </si>
  <si>
    <t>Concord West</t>
  </si>
  <si>
    <t>Liberty Grove</t>
  </si>
  <si>
    <t>Concord Repatriation General Hospital</t>
  </si>
  <si>
    <t>Concord_WestQuandong St and Myall St</t>
  </si>
  <si>
    <t>Concord West Station_West</t>
  </si>
  <si>
    <t>Concord West Station_East</t>
  </si>
  <si>
    <t>North Strathfield Station_West</t>
  </si>
  <si>
    <t>North Strathfield_Princess Ave</t>
  </si>
  <si>
    <t>Drummoyne Wharf</t>
  </si>
  <si>
    <t>Drummoyne</t>
  </si>
  <si>
    <t>Birkenhead Wharf and Shopping Centre</t>
  </si>
  <si>
    <t>Russell Lea</t>
  </si>
  <si>
    <t>Drummoyne Boys High School</t>
  </si>
  <si>
    <t>Rodd Point</t>
  </si>
  <si>
    <t>Abbotsford Ferry Wharf</t>
  </si>
  <si>
    <t>Chiswick Wharf</t>
  </si>
  <si>
    <t>Abbotsford Public School</t>
  </si>
  <si>
    <t>Wareemba</t>
  </si>
  <si>
    <t>Canada Bay</t>
  </si>
  <si>
    <t>Five Dock_Gt North Rd and Second Ave</t>
  </si>
  <si>
    <t>Five Dock</t>
  </si>
  <si>
    <t>Five Dock Public School</t>
  </si>
  <si>
    <t>North Strathfield_Pomeroy St and George St</t>
  </si>
  <si>
    <t>Bakehouse Quarter</t>
  </si>
  <si>
    <t>North Strathfield_Beronga St and Tenterfield St</t>
  </si>
  <si>
    <t>North Strathfield Station_East</t>
  </si>
  <si>
    <t>Drummoyne_Gladesville Bridge</t>
  </si>
  <si>
    <t>Five Dock _Great N Rd and Queens Rd</t>
  </si>
  <si>
    <t>White Bay</t>
  </si>
  <si>
    <t>Cockatoo Island</t>
  </si>
  <si>
    <t>Birchgrove Louisa Rd Wharf</t>
  </si>
  <si>
    <t>Balmain West Elliott St Wharf</t>
  </si>
  <si>
    <t>Balmain_Thames St and Trouton St</t>
  </si>
  <si>
    <t>Balmain_Montague St and Darling St</t>
  </si>
  <si>
    <t>Balmain Ferry Wharf Darling Street</t>
  </si>
  <si>
    <t>Gladstone Park</t>
  </si>
  <si>
    <t>Balmain_Roseberry St</t>
  </si>
  <si>
    <t>Balmain_Punch Pk</t>
  </si>
  <si>
    <t>Rozelle Bay MLR</t>
  </si>
  <si>
    <t>Lilyfield MLR</t>
  </si>
  <si>
    <t>Leichhardt Darley Rd</t>
  </si>
  <si>
    <t>Leichhardt_Catherine St and Hill St</t>
  </si>
  <si>
    <t>Leichhardt_Foster St and Walter St</t>
  </si>
  <si>
    <t>Leichhardt_Town Hall</t>
  </si>
  <si>
    <t>Annandale_Johnston St and Booth St</t>
  </si>
  <si>
    <t>Leichhardt_Norton Plaza_Italian Forum</t>
  </si>
  <si>
    <t>Annandale</t>
  </si>
  <si>
    <t>Leichhardt_Market Place</t>
  </si>
  <si>
    <t>Balmain High School</t>
  </si>
  <si>
    <t>Rozelle_Cambridge St and Moodie St</t>
  </si>
  <si>
    <t>Rozelle Public School</t>
  </si>
  <si>
    <t>Balmain_Smith St and Marsfield St</t>
  </si>
  <si>
    <t>Balmain_Coal Berth</t>
  </si>
  <si>
    <t>Callan Park_Rozelle</t>
  </si>
  <si>
    <t>Glebe Island</t>
  </si>
  <si>
    <t>Rozelle_Easton Pk</t>
  </si>
  <si>
    <t>Rozelle Yard</t>
  </si>
  <si>
    <t>Lilyfield_Balmain Rd and Grove St</t>
  </si>
  <si>
    <t>Leichhardt Oval</t>
  </si>
  <si>
    <t>Lilyfield_War Memorial Pk</t>
  </si>
  <si>
    <t>White Bay Power Station</t>
  </si>
  <si>
    <t>Rozelle_Sydney Boathouse</t>
  </si>
  <si>
    <t>Burwood_Gladstone St</t>
  </si>
  <si>
    <t>Burwood Station_North</t>
  </si>
  <si>
    <t>Burwood Station_South</t>
  </si>
  <si>
    <t>Canterbury Station_North</t>
  </si>
  <si>
    <t>Ashfield RSL Club</t>
  </si>
  <si>
    <t>Hurlstone Park Station</t>
  </si>
  <si>
    <t>Ashfield_Frederick St and Henry St</t>
  </si>
  <si>
    <t>Ashfield_Chandos St and Loftus St</t>
  </si>
  <si>
    <t>Ashfield Station_North</t>
  </si>
  <si>
    <t>Ashfield Park</t>
  </si>
  <si>
    <t>Ashfield Station_South</t>
  </si>
  <si>
    <t>Ashfield</t>
  </si>
  <si>
    <t>Masonic Hospital</t>
  </si>
  <si>
    <t>Canterbury Boys High School</t>
  </si>
  <si>
    <t>Burwood Park</t>
  </si>
  <si>
    <t>Burwood Girls High School</t>
  </si>
  <si>
    <t>Croydon_Byron St and Bay St</t>
  </si>
  <si>
    <t>Burwood_Elsie St</t>
  </si>
  <si>
    <t>Burwood_Lucas Rd and Queen St</t>
  </si>
  <si>
    <t>Burwood Plaza</t>
  </si>
  <si>
    <t>Croydon Public School</t>
  </si>
  <si>
    <t>Burwood_Burwood Rd and Clarence St</t>
  </si>
  <si>
    <t>Burwood East</t>
  </si>
  <si>
    <t>Croydon Station_North</t>
  </si>
  <si>
    <t>Burwood_Angelo St and Minna St</t>
  </si>
  <si>
    <t>Croydon Station_South</t>
  </si>
  <si>
    <t>Burwood_Weldon St and Ethel St</t>
  </si>
  <si>
    <t>Canterbury Station_South</t>
  </si>
  <si>
    <t>Chubb</t>
  </si>
  <si>
    <t>Canterbury Park Racecourse</t>
  </si>
  <si>
    <t>Hurlstone Memorial Reserve</t>
  </si>
  <si>
    <t>Hurlstone Park_Edgeware School</t>
  </si>
  <si>
    <t>Burwood Heights_Badminton Rd and Hume Hwy</t>
  </si>
  <si>
    <t>Henley Park</t>
  </si>
  <si>
    <t>Croydon_Wesley Private Hospital</t>
  </si>
  <si>
    <t>Croydon Park_Beaufort St and Kater Pl</t>
  </si>
  <si>
    <t>Croydon Park_Portland St and Georges River Rd</t>
  </si>
  <si>
    <t>Croydon Park</t>
  </si>
  <si>
    <t>Lewisham Station_South</t>
  </si>
  <si>
    <t>Dulwich Hill_Johnson Park</t>
  </si>
  <si>
    <t>Dulwich Hill Pigott St</t>
  </si>
  <si>
    <t>Dulwich High School</t>
  </si>
  <si>
    <t>Dulwich Hill_Dixon Av and Elizabeth Av</t>
  </si>
  <si>
    <t>Dulwich Hill Station_North</t>
  </si>
  <si>
    <t>Dulwich Hill_Terrace Rd and Consett St</t>
  </si>
  <si>
    <t>Dulwich Hill Station_South</t>
  </si>
  <si>
    <t>Dobroyd Pt Primary School</t>
  </si>
  <si>
    <t>Haberfield</t>
  </si>
  <si>
    <t>Haberfield_Marion St and Ramsay Rd</t>
  </si>
  <si>
    <t>Summer Hill Station_North</t>
  </si>
  <si>
    <t>Summer Hill Station_South</t>
  </si>
  <si>
    <t>Allied Mills</t>
  </si>
  <si>
    <t>Summer Hill_Henson St and Junction Rd</t>
  </si>
  <si>
    <t>Homebush Park Business Centre</t>
  </si>
  <si>
    <t>Campus Business Park</t>
  </si>
  <si>
    <t>Courallie Ave and Telopea Ave</t>
  </si>
  <si>
    <t>Flemington Markets_Flemington Station</t>
  </si>
  <si>
    <t>Db Business Park</t>
  </si>
  <si>
    <t>Homebush Station_North</t>
  </si>
  <si>
    <t>Homebush West Public School</t>
  </si>
  <si>
    <t>Homebush Boys High School</t>
  </si>
  <si>
    <t>Homebush Station_South</t>
  </si>
  <si>
    <t>Homebush_Parramatta Rd and Crane St</t>
  </si>
  <si>
    <t>Powells Creek</t>
  </si>
  <si>
    <t>Strathfield Station_North</t>
  </si>
  <si>
    <t>St John Of God Hospital Burwood</t>
  </si>
  <si>
    <t>Strathfield Station_South</t>
  </si>
  <si>
    <t>St Patricks College</t>
  </si>
  <si>
    <t>Strathfield Girls High School</t>
  </si>
  <si>
    <t>Strathfield_Saint Peter and Paul Cathedral</t>
  </si>
  <si>
    <t>Santa Sabina College</t>
  </si>
  <si>
    <t>Strathfield_Australia Post Letter Centre</t>
  </si>
  <si>
    <t>Chalmers Rd School</t>
  </si>
  <si>
    <t>Strathfield South High School</t>
  </si>
  <si>
    <t>Strathfield_Kingsland Rd and Llandilo Av</t>
  </si>
  <si>
    <t>Burwood_Emu St and Angel Rd</t>
  </si>
  <si>
    <t>Strathfield_Wallis Rd and Augusta St</t>
  </si>
  <si>
    <t>Strathfield South Primary School</t>
  </si>
  <si>
    <t>Strathfield_SouthDean St and Water St</t>
  </si>
  <si>
    <t>Enfield Marsharlling Yards_East Side</t>
  </si>
  <si>
    <t>Wentworthville_Veron St</t>
  </si>
  <si>
    <t>Girraween Public School</t>
  </si>
  <si>
    <t>Girraween Industrial Area</t>
  </si>
  <si>
    <t>Girraween High School</t>
  </si>
  <si>
    <t>Pendle Hill Station_South</t>
  </si>
  <si>
    <t>Pendle Hill_West</t>
  </si>
  <si>
    <t>Wentworthville_Layton St and Dunmore St</t>
  </si>
  <si>
    <t>Wentworthville Station_South</t>
  </si>
  <si>
    <t>Westmead Station_South</t>
  </si>
  <si>
    <t>Pendle Hill_East</t>
  </si>
  <si>
    <t>Westmead_M.J. Bennett Reserve</t>
  </si>
  <si>
    <t>Westmead</t>
  </si>
  <si>
    <t>Westmead_Hawkesbury Rd and Amos St</t>
  </si>
  <si>
    <t>Wentworthville_Smith st and Garfield st</t>
  </si>
  <si>
    <t>Mays Hill Cemetery</t>
  </si>
  <si>
    <t>The Kings School</t>
  </si>
  <si>
    <t>North Parramatta</t>
  </si>
  <si>
    <t>North Parramatta_Belmore Park</t>
  </si>
  <si>
    <t>North Parramatta_Bellevue St and Burnside St</t>
  </si>
  <si>
    <t>Parramatta Correctional Centre</t>
  </si>
  <si>
    <t>North Parramatta_O'Connell St and Albert St</t>
  </si>
  <si>
    <t>North Parramatta_Buller St and Isabella St</t>
  </si>
  <si>
    <t>North Parramatta_Albert St and Sorrell St</t>
  </si>
  <si>
    <t>Parramatta_Webb St and Isabella St</t>
  </si>
  <si>
    <t>Parramatta_St Patricks Primary School</t>
  </si>
  <si>
    <t>Parramatta_Grose St and Sorrell St</t>
  </si>
  <si>
    <t>Parramatta_Parramatta Stadium</t>
  </si>
  <si>
    <t>Marsden Rehabilitation Centre</t>
  </si>
  <si>
    <t>Macarthur Girls High School</t>
  </si>
  <si>
    <t>Parramatta_Broughton St</t>
  </si>
  <si>
    <t>Parramatta_Morton St and Pemberton Ln</t>
  </si>
  <si>
    <t>Parramatta_Horwood Pl and Macquarie St</t>
  </si>
  <si>
    <t>Darling Mills State Forest North Rocks</t>
  </si>
  <si>
    <t>Westfield North Rocks</t>
  </si>
  <si>
    <t>Pure Milk</t>
  </si>
  <si>
    <t>North Rocks</t>
  </si>
  <si>
    <t>North Rocks_Speers Road Reserve</t>
  </si>
  <si>
    <t>Westmead_WSU Westmead Campus</t>
  </si>
  <si>
    <t>Westmead_Darcy Rd and Bridge Rd</t>
  </si>
  <si>
    <t>Northmead</t>
  </si>
  <si>
    <t>Baulkham Hills_The Willows Retirement Village</t>
  </si>
  <si>
    <t>Northmead Plaza</t>
  </si>
  <si>
    <t>Moxham Park</t>
  </si>
  <si>
    <t>Northmead_Arthur Phillip Park</t>
  </si>
  <si>
    <t>James Ruse Business Park</t>
  </si>
  <si>
    <t>Coca-Cola</t>
  </si>
  <si>
    <t>Westmead Hospital</t>
  </si>
  <si>
    <t>Westmead Private Hospital</t>
  </si>
  <si>
    <t>Westmead_Railway St and Water St</t>
  </si>
  <si>
    <t>Westmead Station_North</t>
  </si>
  <si>
    <t>Parramatta CBD_Phillip St and Marsden St</t>
  </si>
  <si>
    <t>Garfield Barwick Law Courts Building</t>
  </si>
  <si>
    <t>Parramatta Regional Park</t>
  </si>
  <si>
    <t>Parramatta CBD_Crowne Plaza</t>
  </si>
  <si>
    <t>St. John's Cathedral</t>
  </si>
  <si>
    <t>Parramatta_Octagon Building</t>
  </si>
  <si>
    <t>Parramatta Station_North</t>
  </si>
  <si>
    <t>Parramatta High School</t>
  </si>
  <si>
    <t>Parramatta Public School</t>
  </si>
  <si>
    <t>Westfield Parramatta CBD</t>
  </si>
  <si>
    <t>Parramatta Station_South</t>
  </si>
  <si>
    <t>Queens Wharf Park</t>
  </si>
  <si>
    <t>Elizabeth Farmhouse Rosehill</t>
  </si>
  <si>
    <t>Harris Park_Albion St and Una St</t>
  </si>
  <si>
    <t>Parramatta_Bobart St and Glebe St</t>
  </si>
  <si>
    <t>Parramatta_Inkerman St and Dixon St</t>
  </si>
  <si>
    <t>Parramatta_High St and Raymond St</t>
  </si>
  <si>
    <t>Mays Hill</t>
  </si>
  <si>
    <t>Harris Park</t>
  </si>
  <si>
    <t>Rosehill Station</t>
  </si>
  <si>
    <t>Harris Park Station</t>
  </si>
  <si>
    <t>Rosehill</t>
  </si>
  <si>
    <t>Rosehill_Industrial Area</t>
  </si>
  <si>
    <t>Holroyd_Marsden St and Meehan St</t>
  </si>
  <si>
    <t>Parramatta Ferry Wharf</t>
  </si>
  <si>
    <t>Parramatta - Arthur Phillip High School</t>
  </si>
  <si>
    <t>Johnstons Bridge Winston Hills</t>
  </si>
  <si>
    <t>Toongabbie Station_East</t>
  </si>
  <si>
    <t>Baxter Healthcare</t>
  </si>
  <si>
    <t>Binalong Park</t>
  </si>
  <si>
    <t>Constitution Hill</t>
  </si>
  <si>
    <t>Pendle Hill High School</t>
  </si>
  <si>
    <t>Parabianga Reserve</t>
  </si>
  <si>
    <t>Pendle Hill Station_North</t>
  </si>
  <si>
    <t>Wentworthville</t>
  </si>
  <si>
    <t>Wentworthville Station_North</t>
  </si>
  <si>
    <t>Parramatta CBD_Angus Ln and Union St</t>
  </si>
  <si>
    <t>Baulkham Hills_Asquith Av and Melbourne Rd</t>
  </si>
  <si>
    <t>Winston Heights Primary School</t>
  </si>
  <si>
    <t>Winston Hills_Timbergetters Reserve</t>
  </si>
  <si>
    <t>Winston Hills_Reilleys Rd and Barnetts Rd</t>
  </si>
  <si>
    <t>Camellia_Station East</t>
  </si>
  <si>
    <t>Rosehill_Industrial Area_East</t>
  </si>
  <si>
    <t>Rowland Hassall School</t>
  </si>
  <si>
    <t>Parramatta_Marsden St and Great Western Highway</t>
  </si>
  <si>
    <t>Carlingford_Boundary Rd</t>
  </si>
  <si>
    <t>Parramatta_Marsden St and Early St</t>
  </si>
  <si>
    <t>Parramatta_Jubilee Park</t>
  </si>
  <si>
    <t>Beecroft_Murray Farm Rd and Carawatha St</t>
  </si>
  <si>
    <t>Murray Farm Primary School</t>
  </si>
  <si>
    <t>Carlingford High School</t>
  </si>
  <si>
    <t>Carlingford</t>
  </si>
  <si>
    <t>Carlingford_Harold West Reserve</t>
  </si>
  <si>
    <t>Carlingford Court</t>
  </si>
  <si>
    <t>Carlingford Station</t>
  </si>
  <si>
    <t>Cumberland High School</t>
  </si>
  <si>
    <t>Carlingford_Marshall Rd and Kenny Pl</t>
  </si>
  <si>
    <t>Dundas Valley_Orchard St and Dunlop St</t>
  </si>
  <si>
    <t>Telopea_Calangara Park</t>
  </si>
  <si>
    <t>Dundas Station East</t>
  </si>
  <si>
    <t>Dundas Station West</t>
  </si>
  <si>
    <t>Lottie Stewart Hospital</t>
  </si>
  <si>
    <t>St Patricks Marist College</t>
  </si>
  <si>
    <t>Ermington_Cowells Lane Reserve</t>
  </si>
  <si>
    <t>Dundas</t>
  </si>
  <si>
    <t>Western Sydney Parramatta Campus</t>
  </si>
  <si>
    <t>Ermington</t>
  </si>
  <si>
    <t>Dundas_Macquarie Boys High School</t>
  </si>
  <si>
    <t>Rydalmere Industrial Estate South</t>
  </si>
  <si>
    <t>Reckitt Benckiser</t>
  </si>
  <si>
    <t>Rydalmere John St Ferry Wharf</t>
  </si>
  <si>
    <t>George Kendall Riverside Reserve</t>
  </si>
  <si>
    <t>Ermington_River Rd and Lindsay Ave</t>
  </si>
  <si>
    <t>Rydalmere Industrial Estate East</t>
  </si>
  <si>
    <t>Rydalmere Station East</t>
  </si>
  <si>
    <t>Oatlands</t>
  </si>
  <si>
    <t>Dundas Valley</t>
  </si>
  <si>
    <t>Telopea</t>
  </si>
  <si>
    <t>Allowah Childrens Hospital</t>
  </si>
  <si>
    <t>Telopea Station</t>
  </si>
  <si>
    <t>Burnside Shopping Centre</t>
  </si>
  <si>
    <t>Dundas_Quarry Rd and Fullford St</t>
  </si>
  <si>
    <t>Oatlands Golf Course_Dundas Station</t>
  </si>
  <si>
    <t>Telopea East</t>
  </si>
  <si>
    <t>James Ruse Agricultural High School</t>
  </si>
  <si>
    <t>Villawood Detention Centre</t>
  </si>
  <si>
    <t>Chester Hill_Elliston St and Hector St</t>
  </si>
  <si>
    <t>Leightonfield Station_North</t>
  </si>
  <si>
    <t>Chester Hill Station_North</t>
  </si>
  <si>
    <t>Sefton Station_North</t>
  </si>
  <si>
    <t>Villawood Industrial Area_Southern End_Leighton Station</t>
  </si>
  <si>
    <t>Chester Hill Station_South</t>
  </si>
  <si>
    <t>Sefton Station_South</t>
  </si>
  <si>
    <t>Rosehill_Sydney Speedway</t>
  </si>
  <si>
    <t>Yennora Station_South</t>
  </si>
  <si>
    <t>Fairfield East Industrial Area</t>
  </si>
  <si>
    <t>Fairfield East</t>
  </si>
  <si>
    <t>Villawood Station</t>
  </si>
  <si>
    <t>Villawood North Pub School</t>
  </si>
  <si>
    <t>Villawood_Bunnings</t>
  </si>
  <si>
    <t>Carramar Station</t>
  </si>
  <si>
    <t>Carramar Pub School</t>
  </si>
  <si>
    <t>Rosehill_Grey St</t>
  </si>
  <si>
    <t>Granville_Albert St</t>
  </si>
  <si>
    <t>Granville Station_North</t>
  </si>
  <si>
    <t>Granville_Walter St and Daniel St</t>
  </si>
  <si>
    <t>Clyde Station_North</t>
  </si>
  <si>
    <t>Granville_William St and Carhullen St</t>
  </si>
  <si>
    <t>Granville Station_South</t>
  </si>
  <si>
    <t>TAFE Sw Granville College</t>
  </si>
  <si>
    <t>Granville</t>
  </si>
  <si>
    <t>Clyde Station_South</t>
  </si>
  <si>
    <t>Merrylands Station_East</t>
  </si>
  <si>
    <t>Merrylands_Bertha St and Ethel St</t>
  </si>
  <si>
    <t>Granville_The Trongate and Membrey St</t>
  </si>
  <si>
    <t>Merrylands_Excelsior St and Lisgar St</t>
  </si>
  <si>
    <t>Pemulwuy North</t>
  </si>
  <si>
    <t>Greystanes High School</t>
  </si>
  <si>
    <t>Beresford Road Primary</t>
  </si>
  <si>
    <t>Greystanes_Wattle St and Gregory St</t>
  </si>
  <si>
    <t>Pemulwuy Industrial Area</t>
  </si>
  <si>
    <t>Pemulwuy</t>
  </si>
  <si>
    <t>Ringrose Public School</t>
  </si>
  <si>
    <t>Kippax Street Greystanes</t>
  </si>
  <si>
    <t>Greystanes Shopping Centre</t>
  </si>
  <si>
    <t>Greystanes</t>
  </si>
  <si>
    <t>Greystanes_Dahlia St and Macquarie Rd</t>
  </si>
  <si>
    <t>Holroyd High School</t>
  </si>
  <si>
    <t>Gipps Rd Sporting Complex</t>
  </si>
  <si>
    <t>Granville_Clyde St and Mona St</t>
  </si>
  <si>
    <t>Guildford_Harold St and Oxford St</t>
  </si>
  <si>
    <t>Bright Park</t>
  </si>
  <si>
    <t>Dellwood Shopping Centre</t>
  </si>
  <si>
    <t>Guildford Station_East</t>
  </si>
  <si>
    <t>Guildford_Guildford Rd and West St</t>
  </si>
  <si>
    <t>Blaxcell St Public School</t>
  </si>
  <si>
    <t>Granville South High School</t>
  </si>
  <si>
    <t>South Granville Industrial Area</t>
  </si>
  <si>
    <t>Coolabah Shopping Centre</t>
  </si>
  <si>
    <t>Merrylands West</t>
  </si>
  <si>
    <t>Merrylands High School</t>
  </si>
  <si>
    <t>Guildford West</t>
  </si>
  <si>
    <t>Holroyd Private Hospital</t>
  </si>
  <si>
    <t>Guildford_Elizabeth St Park</t>
  </si>
  <si>
    <t>Linnwood House</t>
  </si>
  <si>
    <t>Guildford Station_West</t>
  </si>
  <si>
    <t>Ted Burge Sports Ground</t>
  </si>
  <si>
    <t>Hilltop Rd Primary School</t>
  </si>
  <si>
    <t>South Wentworthville</t>
  </si>
  <si>
    <t>Merrylands_Victoria St and Rickard St</t>
  </si>
  <si>
    <t>Holroyd Sportsground</t>
  </si>
  <si>
    <t>Merrylands_Burnnett St and Blackwood Rd</t>
  </si>
  <si>
    <t>Merrylands_Warwick Rd and Leeds St</t>
  </si>
  <si>
    <t>Merrylands Station_West</t>
  </si>
  <si>
    <t>Merrylands Public School</t>
  </si>
  <si>
    <t>Merrylands_King Pk</t>
  </si>
  <si>
    <t>Merrylands_Denmark St and St Ann St</t>
  </si>
  <si>
    <t>Merrylands _Stockland Shopping Centre</t>
  </si>
  <si>
    <t>Smithfield Industrial Area_Western End</t>
  </si>
  <si>
    <t>Smithfield Industrial Area_North Eastern End</t>
  </si>
  <si>
    <t>Smithfield Industrial Area_South End</t>
  </si>
  <si>
    <t>Smithfield Industrial Area_South Eastern End</t>
  </si>
  <si>
    <t>Yennora Distribution Centre_Yennora Station_North</t>
  </si>
  <si>
    <t>Auburn_Parramatta Rd and Rawson St</t>
  </si>
  <si>
    <t>Auburn_Domayne</t>
  </si>
  <si>
    <t>Clyde Marshalling Areas</t>
  </si>
  <si>
    <t>Auburn Girls High School</t>
  </si>
  <si>
    <t>Auburn_McDonalds</t>
  </si>
  <si>
    <t>Auburn_Bardo Park</t>
  </si>
  <si>
    <t>Auburn Station_North</t>
  </si>
  <si>
    <t>Auburn_Mona Pk</t>
  </si>
  <si>
    <t>St Josephs Hospital</t>
  </si>
  <si>
    <t>Auburn Station_South</t>
  </si>
  <si>
    <t>Auburn Botanic Gardens</t>
  </si>
  <si>
    <t>Auburn Hospital District Hospital</t>
  </si>
  <si>
    <t>Auburn_Tennis and Recreational Club</t>
  </si>
  <si>
    <t>Auburn_Wellington Rd and Park Rd</t>
  </si>
  <si>
    <t>Auburn_Rosnay Golf Club</t>
  </si>
  <si>
    <t>Regents Park_Peter Hislop Park</t>
  </si>
  <si>
    <t>Auburn_Centre_South</t>
  </si>
  <si>
    <t>Auburn_Ettalong St</t>
  </si>
  <si>
    <t>Sydney Olympic Park Ferry Wharf</t>
  </si>
  <si>
    <t>Mulawa and Silverwater Correctional Centre</t>
  </si>
  <si>
    <t>Newington Nature Reserve</t>
  </si>
  <si>
    <t>Silverwater_Newington Reserve</t>
  </si>
  <si>
    <t>Silverwater</t>
  </si>
  <si>
    <t>Silverwater_Silverwater_ Stubbs St and Beaconsfield St</t>
  </si>
  <si>
    <t>Silverwater_Silverwater Industrial</t>
  </si>
  <si>
    <t>Newington</t>
  </si>
  <si>
    <t>Olympic Park Station</t>
  </si>
  <si>
    <t>Newington_Newington Bvd and Wing Pde</t>
  </si>
  <si>
    <t>Homebush Bay Industrial Area</t>
  </si>
  <si>
    <t>Wentworth Point_Verona Drive</t>
  </si>
  <si>
    <t>Wentworth Point_Baywater Drive</t>
  </si>
  <si>
    <t>Wentworth Common</t>
  </si>
  <si>
    <t>Homebush Bay_Carter St</t>
  </si>
  <si>
    <t>Auburn_Tooheys</t>
  </si>
  <si>
    <t>Lidcombe_Frances St and Edith St</t>
  </si>
  <si>
    <t>Lidcombe_Platform and Belgium St</t>
  </si>
  <si>
    <t>Lidcombe Station</t>
  </si>
  <si>
    <t>Lidcombe_Birnie Ave_South</t>
  </si>
  <si>
    <t>Lidcombe_Phillips Pk</t>
  </si>
  <si>
    <t>Lidcombe_Woodburn Rd and Wilfred St</t>
  </si>
  <si>
    <t>Berala_Dudley Reserve</t>
  </si>
  <si>
    <t>Lidcombe_Joseph St and James St</t>
  </si>
  <si>
    <t>Lidcombe</t>
  </si>
  <si>
    <t>Berala Station</t>
  </si>
  <si>
    <t>Berala</t>
  </si>
  <si>
    <t>Regents Park Estate_Industrial Park</t>
  </si>
  <si>
    <t>Minda Juvenile Justice Centre Lidcombe</t>
  </si>
  <si>
    <t>Regents Park Station</t>
  </si>
  <si>
    <t>Sefton_Jensen Park</t>
  </si>
  <si>
    <t>Lidcombe_Nyrang St</t>
  </si>
  <si>
    <t>Rookwood</t>
  </si>
  <si>
    <t>North Epping_Norfolk Rd and Malton Rd</t>
  </si>
  <si>
    <t>North Epping</t>
  </si>
  <si>
    <t>Epping_Canberra St and Kandy Av</t>
  </si>
  <si>
    <t>Epping_Kent St and Ray Rd</t>
  </si>
  <si>
    <t>Poplars Private Hospital</t>
  </si>
  <si>
    <t>Epping West Primary School</t>
  </si>
  <si>
    <t>Epping Station_East</t>
  </si>
  <si>
    <t>Epping Station_West</t>
  </si>
  <si>
    <t>Epping_Essex St and Brigg Rd</t>
  </si>
  <si>
    <t>Epping_Kent St and Bridge St</t>
  </si>
  <si>
    <t>Epping_Ryde St and Willoughby St</t>
  </si>
  <si>
    <t>Pennant Hills High School</t>
  </si>
  <si>
    <t>Pennant Hills Station_West</t>
  </si>
  <si>
    <t>West Pennant Hills_New Line Rd and Victoria Rd</t>
  </si>
  <si>
    <t>Mount St Benedicts Girls High School</t>
  </si>
  <si>
    <t>Pennant Hills Station_East</t>
  </si>
  <si>
    <t>Beecroft Station_East</t>
  </si>
  <si>
    <t>Beecroft</t>
  </si>
  <si>
    <t>Beecroft Station_West</t>
  </si>
  <si>
    <t>Cheltenham Station</t>
  </si>
  <si>
    <t>Cheltenham Girls High School</t>
  </si>
  <si>
    <t>Eastwood Heights Public School</t>
  </si>
  <si>
    <t>Eastwood_Eastwood Av and Rothwell St</t>
  </si>
  <si>
    <t>Dundas Valley_Valley Rd and Skenes Av</t>
  </si>
  <si>
    <t>Eastwood</t>
  </si>
  <si>
    <t>Eastwood_Granny Smith Memorial Park</t>
  </si>
  <si>
    <t>Eastwood_Oakes Av and O'Keefe Cr</t>
  </si>
  <si>
    <t>Eastwood Station</t>
  </si>
  <si>
    <t>St Edmunds Private Hospital</t>
  </si>
  <si>
    <t>Brush Farm House Eastwood</t>
  </si>
  <si>
    <t>Denistone East</t>
  </si>
  <si>
    <t>Ryde Hospital_Denistone Station_East</t>
  </si>
  <si>
    <t>Denistone</t>
  </si>
  <si>
    <t>Denistone Station_West</t>
  </si>
  <si>
    <t>Gladesville_Kennedy St</t>
  </si>
  <si>
    <t>Gladesville_Nelson St</t>
  </si>
  <si>
    <t>Enterprise Park</t>
  </si>
  <si>
    <t>Ryde Swimming Centre</t>
  </si>
  <si>
    <t>Gladesville</t>
  </si>
  <si>
    <t>Gladesville_Morrison Rd and Ross St</t>
  </si>
  <si>
    <t>Huntleys Point Ferry Wharf</t>
  </si>
  <si>
    <t>Gladesville Hospital</t>
  </si>
  <si>
    <t>Hunters Hill_Park Rd and High St</t>
  </si>
  <si>
    <t>Hunters Hill</t>
  </si>
  <si>
    <t>Hunters Hill Hospital Private Hospital</t>
  </si>
  <si>
    <t>Hunters Hill Ferry Wharf</t>
  </si>
  <si>
    <t>Woolwich Ferry Wharf</t>
  </si>
  <si>
    <t>Trafalgar Square</t>
  </si>
  <si>
    <t>Epping Boys High School</t>
  </si>
  <si>
    <t>Macquarie Park_Khartoum Rd and Fontenoy Rd</t>
  </si>
  <si>
    <t>Macquarie Uni Station</t>
  </si>
  <si>
    <t>Macquarie Corporate Park</t>
  </si>
  <si>
    <t>CSIRO Marsfield</t>
  </si>
  <si>
    <t>Macquarie Centre</t>
  </si>
  <si>
    <t>Marsfield</t>
  </si>
  <si>
    <t>Morling College</t>
  </si>
  <si>
    <t>Lane Cove NP</t>
  </si>
  <si>
    <t>Macquarie Park_Lachlan Av and Peach Tree Rd</t>
  </si>
  <si>
    <t>North Ryde_Centrecourt Business Park</t>
  </si>
  <si>
    <t>Talavera Business Park</t>
  </si>
  <si>
    <t>Eastwood_Abuklea Rd and Kingsford Av</t>
  </si>
  <si>
    <t>Macquarie Park Station</t>
  </si>
  <si>
    <t>Eden Park Shopping Centre</t>
  </si>
  <si>
    <t>Kent Rd Primary School</t>
  </si>
  <si>
    <t>Waterloo Business Park</t>
  </si>
  <si>
    <t>North Ryde Station</t>
  </si>
  <si>
    <t>Macquarie Park_Wicks Rd and Epping Rd</t>
  </si>
  <si>
    <t>Macquarie Uni Station_South</t>
  </si>
  <si>
    <t>North Ryde_Blenheim Park</t>
  </si>
  <si>
    <t>North Ryde_Milroy St and Trevitt Rd</t>
  </si>
  <si>
    <t>North Ryde_Ada St and Mavis St</t>
  </si>
  <si>
    <t>North Ryde</t>
  </si>
  <si>
    <t>Chatswood West</t>
  </si>
  <si>
    <t>Macquarie Hospital</t>
  </si>
  <si>
    <t>North Ryde_Pittwater Rd and Coxs Rd</t>
  </si>
  <si>
    <t>Field Of Mars_Wallumatta NR</t>
  </si>
  <si>
    <t>North Ryde Station_South</t>
  </si>
  <si>
    <t>Putney Ferry Wharf</t>
  </si>
  <si>
    <t>Midway Shopping Centre</t>
  </si>
  <si>
    <t>Ryde_Smalls Rd and Quarry Rd</t>
  </si>
  <si>
    <t>West Ryde Civic Centre</t>
  </si>
  <si>
    <t>Ryde_Boyce St and Elizabeth St</t>
  </si>
  <si>
    <t>Ryde TAFE</t>
  </si>
  <si>
    <t>Ryde Secondary College</t>
  </si>
  <si>
    <t>Ryde_Bowden St and Sewell St</t>
  </si>
  <si>
    <t>Top Ryde Shopping Centre</t>
  </si>
  <si>
    <t>Field Of Mars Wildlife Refuge Ryde</t>
  </si>
  <si>
    <t>Ryde_Bowden St and Squire St</t>
  </si>
  <si>
    <t>Ryde Bus Depot</t>
  </si>
  <si>
    <t>Coorabel Hospital</t>
  </si>
  <si>
    <t>Ryde Council Depot</t>
  </si>
  <si>
    <t>St Charles Primary School</t>
  </si>
  <si>
    <t>Putney</t>
  </si>
  <si>
    <t>Ryde_Porter St</t>
  </si>
  <si>
    <t>Marsden High School</t>
  </si>
  <si>
    <t>West Ryde Station_West</t>
  </si>
  <si>
    <t>West Ryde Station_East</t>
  </si>
  <si>
    <t>West Ryde</t>
  </si>
  <si>
    <t>West Ryde_Station St and Dunmore Rd</t>
  </si>
  <si>
    <t>West Ryde Industrial Area</t>
  </si>
  <si>
    <t>Melrose Park</t>
  </si>
  <si>
    <t>Meadowbank Station_East</t>
  </si>
  <si>
    <t>Meadowbank Station_West</t>
  </si>
  <si>
    <t>Meadowbank Ferry Wharf</t>
  </si>
  <si>
    <t>Hornsby Heights_Somerville Rd and Waninga Rd</t>
  </si>
  <si>
    <t>Mount Kuring-gai Station</t>
  </si>
  <si>
    <t>Mount Colah</t>
  </si>
  <si>
    <t>Galston Gorge Hornsby Heights</t>
  </si>
  <si>
    <t>Colonnade Shopping Centre</t>
  </si>
  <si>
    <t>Mount Colah Station</t>
  </si>
  <si>
    <t>Hornsby Heights</t>
  </si>
  <si>
    <t>Asquith_West</t>
  </si>
  <si>
    <t>Asquith Golf Club</t>
  </si>
  <si>
    <t>Asquith_East</t>
  </si>
  <si>
    <t>Dangar Island</t>
  </si>
  <si>
    <t>Hawkesbury River Station</t>
  </si>
  <si>
    <t>Cowan Station</t>
  </si>
  <si>
    <t>Berowra Heights_Wideview Public School</t>
  </si>
  <si>
    <t>Berowra Market Place</t>
  </si>
  <si>
    <t>Berowra Station</t>
  </si>
  <si>
    <t>Berowra_Windybanks Interchange</t>
  </si>
  <si>
    <t>Hornsby_Ascot Ave</t>
  </si>
  <si>
    <t>Waitara_Barker College</t>
  </si>
  <si>
    <t>Hornsby_Amor St and Kerrie Pl</t>
  </si>
  <si>
    <t>Mt Wilga Private Hospital</t>
  </si>
  <si>
    <t>Asquith Industrial Area</t>
  </si>
  <si>
    <t>Hornsby_Arthur St and Denison St</t>
  </si>
  <si>
    <t>Hornsby Station</t>
  </si>
  <si>
    <t>Hornsby Ku-ring-gai Hospital</t>
  </si>
  <si>
    <t>Westfield Hornsby_Hornsby Station_East</t>
  </si>
  <si>
    <t>Waitara Shopping Centre</t>
  </si>
  <si>
    <t>Hornsby</t>
  </si>
  <si>
    <t>Waitara_Leonard St and Hornsby St</t>
  </si>
  <si>
    <t>Waitara Station_North</t>
  </si>
  <si>
    <t>Florence Cotton Park</t>
  </si>
  <si>
    <t>Waitara Public School</t>
  </si>
  <si>
    <t>Waitara Station_South</t>
  </si>
  <si>
    <t>Waitara_Mark Taylor Oval</t>
  </si>
  <si>
    <t>Westleigh_Rural Fire Service Training Centre</t>
  </si>
  <si>
    <t>Larool Shopping Centre</t>
  </si>
  <si>
    <t>Westleigh</t>
  </si>
  <si>
    <t>Normanhurst Park</t>
  </si>
  <si>
    <t>Hornsby Industrial Area</t>
  </si>
  <si>
    <t>Normanhurst Boys High School</t>
  </si>
  <si>
    <t>Thornleigh Station_West</t>
  </si>
  <si>
    <t>Normanhurst Station</t>
  </si>
  <si>
    <t>Thornleigh Station_East</t>
  </si>
  <si>
    <t>Gordon East Primary School</t>
  </si>
  <si>
    <t>Gordon Shopping Centre</t>
  </si>
  <si>
    <t>East Killara Shopping Centre</t>
  </si>
  <si>
    <t>Gordon Station_East</t>
  </si>
  <si>
    <t>Gordon Station_West</t>
  </si>
  <si>
    <t>Killara Station_East</t>
  </si>
  <si>
    <t>Killara Station_West</t>
  </si>
  <si>
    <t>Killara</t>
  </si>
  <si>
    <t>Killara Golf Club</t>
  </si>
  <si>
    <t>East Lindfield</t>
  </si>
  <si>
    <t>Lindfield Station_East</t>
  </si>
  <si>
    <t>Roseville Chase</t>
  </si>
  <si>
    <t>Lindfield Station_West</t>
  </si>
  <si>
    <t>Roseville Station_East</t>
  </si>
  <si>
    <t>CSIRO</t>
  </si>
  <si>
    <t>Roseville Station_West</t>
  </si>
  <si>
    <t>UTS Ku-ring-gai Campus</t>
  </si>
  <si>
    <t>Pymble Primary School</t>
  </si>
  <si>
    <t>Pymble Station_East</t>
  </si>
  <si>
    <t>Gordon_Darnley Oval</t>
  </si>
  <si>
    <t>Pymble</t>
  </si>
  <si>
    <t>Pymble Station_West</t>
  </si>
  <si>
    <t>West Pymble Shopping Centre</t>
  </si>
  <si>
    <t>De Burghs Bridge Macquarie Park</t>
  </si>
  <si>
    <t>St Ives Chase Colonial</t>
  </si>
  <si>
    <t>St. Ives Shopping Plaza</t>
  </si>
  <si>
    <t>Pymble Golf Clubhouse</t>
  </si>
  <si>
    <t>St Ives Village</t>
  </si>
  <si>
    <t>Corpus Christi Cathedral_Catholic St Ives</t>
  </si>
  <si>
    <t>St Ives</t>
  </si>
  <si>
    <t>St Ives High School</t>
  </si>
  <si>
    <t>St Ives_Eastern Arterial Rd and Barra-brui Cresent</t>
  </si>
  <si>
    <t>Lady Davidson Hospital</t>
  </si>
  <si>
    <t>Turramurra_South</t>
  </si>
  <si>
    <t>Turramurra_Adams Av and Murdoch St</t>
  </si>
  <si>
    <t>Turramurra Station_East</t>
  </si>
  <si>
    <t>Turramurra Station_West</t>
  </si>
  <si>
    <t>Turramurra Primary School</t>
  </si>
  <si>
    <t>Turramurra High School</t>
  </si>
  <si>
    <t>Wahroonga_Eastern Rd and Boundary Rd</t>
  </si>
  <si>
    <t>North Wahroonga</t>
  </si>
  <si>
    <t>Turramurra_North</t>
  </si>
  <si>
    <t>Wahroonga Station</t>
  </si>
  <si>
    <t>Abbotsleigh Senior Campus</t>
  </si>
  <si>
    <t>Warrawee Station</t>
  </si>
  <si>
    <t>Wahroonga_Roland Av and Mildred St</t>
  </si>
  <si>
    <t>Fox Valley Village</t>
  </si>
  <si>
    <t>Roseville_Penhurst St and William St East</t>
  </si>
  <si>
    <t>Chatswood_Gibbs St and Smith St</t>
  </si>
  <si>
    <t>Roseville</t>
  </si>
  <si>
    <t>Chatswood Chase Shopping Centre</t>
  </si>
  <si>
    <t>Chatswood</t>
  </si>
  <si>
    <t>Westfield Chatswood_Chatswood Station_East</t>
  </si>
  <si>
    <t>Chatswood Station_West</t>
  </si>
  <si>
    <t>Legacy House Hospital</t>
  </si>
  <si>
    <t>Artarmon Station_East</t>
  </si>
  <si>
    <t>Artarmon_Reservoirs</t>
  </si>
  <si>
    <t>Artarmon Station_West</t>
  </si>
  <si>
    <t>Westfield Chatswood_Anderson St</t>
  </si>
  <si>
    <t>Chatswood West_Zenith Centre</t>
  </si>
  <si>
    <t>Chatswood West_Greville St Park</t>
  </si>
  <si>
    <t>Chatswood Tennis Club</t>
  </si>
  <si>
    <t>Chatswood High School</t>
  </si>
  <si>
    <t>Clifford Love Footbridge Lane Cove</t>
  </si>
  <si>
    <t>Chatswood Golf Club</t>
  </si>
  <si>
    <t>Lane Cove North</t>
  </si>
  <si>
    <t>Lane Cove_Helen St and Norton La</t>
  </si>
  <si>
    <t>Lane Cove_Centennial Ave and Karilla Ave</t>
  </si>
  <si>
    <t>Lane Cove North_Kullah Parade</t>
  </si>
  <si>
    <t>Lane Cove Industrial Estate</t>
  </si>
  <si>
    <t>Lane Cove West</t>
  </si>
  <si>
    <t>Lane Cove_Rosenthal Av and Birdwood Av</t>
  </si>
  <si>
    <t>Lane Cove</t>
  </si>
  <si>
    <t>Carisbrook House Lane Cove</t>
  </si>
  <si>
    <t>Lane Cove_Longueville Rd and Dorritt St</t>
  </si>
  <si>
    <t>Lane Cove Country Club</t>
  </si>
  <si>
    <t>Riverview</t>
  </si>
  <si>
    <t>Greenwich Hospital</t>
  </si>
  <si>
    <t>St Leonards_Park Rd and River Rd</t>
  </si>
  <si>
    <t>Northwood Ferry Wharf</t>
  </si>
  <si>
    <t>Longueville Private Hospital</t>
  </si>
  <si>
    <t>Greenwich Point Ferry Wharf</t>
  </si>
  <si>
    <t>St Leonards Station West</t>
  </si>
  <si>
    <t>North Shore Veterinary Hospital</t>
  </si>
  <si>
    <t>Artarmon</t>
  </si>
  <si>
    <t>Naremburn Pk</t>
  </si>
  <si>
    <t>Naremburn</t>
  </si>
  <si>
    <t>Artarmon Industrial Area_Western End</t>
  </si>
  <si>
    <t>St Leonards Station</t>
  </si>
  <si>
    <t>Royal North Shore Hospital</t>
  </si>
  <si>
    <t>St Leonards</t>
  </si>
  <si>
    <t>St Leonards_Australian Medical Association (NSW)</t>
  </si>
  <si>
    <t>Wollstonecraft_Smoothey Park</t>
  </si>
  <si>
    <t>Castle Cove</t>
  </si>
  <si>
    <t>North Willoughby</t>
  </si>
  <si>
    <t>The Sugarloaf Middle Cove</t>
  </si>
  <si>
    <t>Willoughby Girls High School</t>
  </si>
  <si>
    <t>Willoughby East</t>
  </si>
  <si>
    <t>The Quadrangle Shopping Centre</t>
  </si>
  <si>
    <t>Willoughby_Edward St and Artarmon Rd</t>
  </si>
  <si>
    <t>Willoughby</t>
  </si>
  <si>
    <t>Northbridge Plaza</t>
  </si>
  <si>
    <t>War Memorial Northbridge</t>
  </si>
  <si>
    <t>Northbridge</t>
  </si>
  <si>
    <t>Cammeray_West St and Amherst St</t>
  </si>
  <si>
    <t>Cremorne_Lodge Rd and Ellalong Rd</t>
  </si>
  <si>
    <t>Cammeray</t>
  </si>
  <si>
    <t>Primrose Park</t>
  </si>
  <si>
    <t>Cremorne Garden Plaza</t>
  </si>
  <si>
    <t>Neutral Bay Village Shopping Centre</t>
  </si>
  <si>
    <t>Cremorne_Prior Ave Reserve</t>
  </si>
  <si>
    <t>Cremorne Ferry Wharf</t>
  </si>
  <si>
    <t>North Sydney_Lamont St</t>
  </si>
  <si>
    <t>Crows Nest Plaza</t>
  </si>
  <si>
    <t>Wollstonecraft_Rose and Macleod Plaza Crows Nest</t>
  </si>
  <si>
    <t>Crows Nest</t>
  </si>
  <si>
    <t>Cammeray_Miller St and Ernest St</t>
  </si>
  <si>
    <t>North Sydney Girls High School_North</t>
  </si>
  <si>
    <t>Mater Misericordiae Hospital</t>
  </si>
  <si>
    <t>Wollstonecraft Station</t>
  </si>
  <si>
    <t>Wollstonecraft Station South</t>
  </si>
  <si>
    <t>Waverton</t>
  </si>
  <si>
    <t>Waverton Station</t>
  </si>
  <si>
    <t>Chinamans Beach</t>
  </si>
  <si>
    <t>Balmoral</t>
  </si>
  <si>
    <t>Mosman_Rosebery St and Ourimbah Rd</t>
  </si>
  <si>
    <t>Mosman_Heydon St and Ourimbah Rd</t>
  </si>
  <si>
    <t>Bridgepoint Shopping Centre</t>
  </si>
  <si>
    <t>Mosman Pk</t>
  </si>
  <si>
    <t>Mosman_Raglan St and Esther Rd</t>
  </si>
  <si>
    <t>Mosman_Bardwell Rd and Belmont Rd</t>
  </si>
  <si>
    <t>Mosman High School</t>
  </si>
  <si>
    <t>Mosman_Raglan St and Muston St</t>
  </si>
  <si>
    <t>HMAS Penguin</t>
  </si>
  <si>
    <t>Mosman Ferry Wharf</t>
  </si>
  <si>
    <t>Mosman Private Hospital</t>
  </si>
  <si>
    <t>Mosman South Ferry Wharf</t>
  </si>
  <si>
    <t>Clifton Gardnes</t>
  </si>
  <si>
    <t>Taronga Zoo and Wharf</t>
  </si>
  <si>
    <t>Big Bear Shopping Centre</t>
  </si>
  <si>
    <t>Neutral Bay_Bent St and Yeo St</t>
  </si>
  <si>
    <t>Neutral Bay</t>
  </si>
  <si>
    <t>North Sydney_East</t>
  </si>
  <si>
    <t>Kurrabah Ferry Wharf</t>
  </si>
  <si>
    <t>Milsons Point Station_East</t>
  </si>
  <si>
    <t>Kirribilli Wharf</t>
  </si>
  <si>
    <t>North Sydney_Wenona School</t>
  </si>
  <si>
    <t>North Sydney_Hampden St</t>
  </si>
  <si>
    <t>North Sydney Girls High School_South</t>
  </si>
  <si>
    <t>North Sydney Oval</t>
  </si>
  <si>
    <t>North Sydney_Monte Sant Angelo</t>
  </si>
  <si>
    <t>Don Bank Museum North Sydney</t>
  </si>
  <si>
    <t>North Sydney CBD_Northern End</t>
  </si>
  <si>
    <t>Victoria Cross North Sydney</t>
  </si>
  <si>
    <t>North Sydney CBD_Southern End</t>
  </si>
  <si>
    <t>North Sydney_West</t>
  </si>
  <si>
    <t>North Sydney Station</t>
  </si>
  <si>
    <t>Mcmahons Point</t>
  </si>
  <si>
    <t>McMahons Point Wharf</t>
  </si>
  <si>
    <t>Milsons Point Station_West and Ferry Wharf</t>
  </si>
  <si>
    <t>North Sydney_Doohat Ave</t>
  </si>
  <si>
    <t>North Sydney_Denison St</t>
  </si>
  <si>
    <t>North Sydney_Mount St and William St_South</t>
  </si>
  <si>
    <t>Palm Beach Headland</t>
  </si>
  <si>
    <t>Careel Shopping Village</t>
  </si>
  <si>
    <t>Barrenjoey High School</t>
  </si>
  <si>
    <t>Clareville Beach</t>
  </si>
  <si>
    <t>Avalon Beach</t>
  </si>
  <si>
    <t>Ku-ring-gai Chase NP_West Head</t>
  </si>
  <si>
    <t>Scotland Island</t>
  </si>
  <si>
    <t>Church Point</t>
  </si>
  <si>
    <t>Bayview Shopping Centre</t>
  </si>
  <si>
    <t>Ingleside_Lane Cove Rd and Walter Rd</t>
  </si>
  <si>
    <t>Ingleside Scout Camp</t>
  </si>
  <si>
    <t>Westpac Training College Ingleside</t>
  </si>
  <si>
    <t>Ingleside Park</t>
  </si>
  <si>
    <t>Woorarra Lookout Reserve</t>
  </si>
  <si>
    <t>Bilgola</t>
  </si>
  <si>
    <t>Bilgola Beach</t>
  </si>
  <si>
    <t>Salt Pan Cove</t>
  </si>
  <si>
    <t>Newport</t>
  </si>
  <si>
    <t>Bungan Head</t>
  </si>
  <si>
    <t>Bungan Beach</t>
  </si>
  <si>
    <t>Warriewood_Bertana Cres and Ellimatta Rd</t>
  </si>
  <si>
    <t>Pittwater High School</t>
  </si>
  <si>
    <t>Mona Vale</t>
  </si>
  <si>
    <t>Village Shopping Centre</t>
  </si>
  <si>
    <t>Peninsula Plaza</t>
  </si>
  <si>
    <t>Basin Beach</t>
  </si>
  <si>
    <t>Northshore Business Park</t>
  </si>
  <si>
    <t>Warriewood</t>
  </si>
  <si>
    <t>Mona Vale District Hospital</t>
  </si>
  <si>
    <t>Warriewood Square Shopping Centre</t>
  </si>
  <si>
    <t>Turimetta Beach</t>
  </si>
  <si>
    <t>North Narrabeen</t>
  </si>
  <si>
    <t>Alleyne Avenue Lookout North Narrabeen</t>
  </si>
  <si>
    <t>Cromer_Karoola St and Alfred St</t>
  </si>
  <si>
    <t>Beacon Hill</t>
  </si>
  <si>
    <t>Governor Phillip Lookout</t>
  </si>
  <si>
    <t>Naraweena Public School</t>
  </si>
  <si>
    <t>Beacon Hill_Government Rd and Warringah Rd</t>
  </si>
  <si>
    <t>Beacon Hill Rd</t>
  </si>
  <si>
    <t>Dee Why Plaza</t>
  </si>
  <si>
    <t>NSW Academy Of Sport Narrabeen</t>
  </si>
  <si>
    <t>Manly Cabs Depot</t>
  </si>
  <si>
    <t>Cromer_Carawa Rd and Alfred St</t>
  </si>
  <si>
    <t>Dee Why Primary School</t>
  </si>
  <si>
    <t>Dee Why Beach</t>
  </si>
  <si>
    <t>Dee Why_Fisher Rd and Pittwater Rd</t>
  </si>
  <si>
    <t>Dee Why</t>
  </si>
  <si>
    <t>Delmar Private Hospital Dee Why</t>
  </si>
  <si>
    <t>Dee Why Headland</t>
  </si>
  <si>
    <t>Northern Beaches Secondary College</t>
  </si>
  <si>
    <t>North Curl Curl Beach</t>
  </si>
  <si>
    <t>Forestville</t>
  </si>
  <si>
    <t>Roseville Bridge Roseville Chase</t>
  </si>
  <si>
    <t>Forestville Shopping Centre</t>
  </si>
  <si>
    <t>Killarney Heights High School</t>
  </si>
  <si>
    <t>Frenchs Forest_Jindabyne Reserve</t>
  </si>
  <si>
    <t>Frenchs Forest_Wakehurst Parkway West</t>
  </si>
  <si>
    <t>Austlink Corporate Park_Belrose</t>
  </si>
  <si>
    <t>Belrose</t>
  </si>
  <si>
    <t>Belrose Village Shopping Centre</t>
  </si>
  <si>
    <t>Optus Earth Station Oxford Falls</t>
  </si>
  <si>
    <t>Frenchs Forest_Kens Road Reserve</t>
  </si>
  <si>
    <t>Davidson</t>
  </si>
  <si>
    <t>Frenchs Forest_Forest Way and Adams St</t>
  </si>
  <si>
    <t>Frenchs Forest</t>
  </si>
  <si>
    <t>Glenrose Shopping Centre</t>
  </si>
  <si>
    <t>Forestway Shopping Centre</t>
  </si>
  <si>
    <t>Forestridge Business Park</t>
  </si>
  <si>
    <t>The Forest High School</t>
  </si>
  <si>
    <t>Frenchs Forest_Wakehurst Parkway East</t>
  </si>
  <si>
    <t>Frenchs Forest_Fitzpatrick Ave and Panorama Cres</t>
  </si>
  <si>
    <t>Brookvale Oval</t>
  </si>
  <si>
    <t>Brookvale Industrial Area</t>
  </si>
  <si>
    <t>Warringah Mall</t>
  </si>
  <si>
    <t>Freshwater High School</t>
  </si>
  <si>
    <t>Curl Curl</t>
  </si>
  <si>
    <t>North Manly</t>
  </si>
  <si>
    <t>Freshwater</t>
  </si>
  <si>
    <t>Queenscliff</t>
  </si>
  <si>
    <t>North Manly_Thomas St and Corrie Rd</t>
  </si>
  <si>
    <t>Frenchs Forest_McCleod House</t>
  </si>
  <si>
    <t>Allambie Heights</t>
  </si>
  <si>
    <t>Allambie Rd</t>
  </si>
  <si>
    <t>Manly Vale</t>
  </si>
  <si>
    <t>Mackellar Girls High School</t>
  </si>
  <si>
    <t>North Balgowlah</t>
  </si>
  <si>
    <t>Narrabeen Beach</t>
  </si>
  <si>
    <t>Wheeler Heights Primary School</t>
  </si>
  <si>
    <t>Collaroy Lookout</t>
  </si>
  <si>
    <t>South Narrabeen Surf Lifesaving Club</t>
  </si>
  <si>
    <t>Collaroy Plateau Public School</t>
  </si>
  <si>
    <t>Collaroy</t>
  </si>
  <si>
    <t>Long Reef Beach</t>
  </si>
  <si>
    <t>Ku-ring-gai Chase NP</t>
  </si>
  <si>
    <t>Terry Hills</t>
  </si>
  <si>
    <t>Seaforth_Wakehurst Parkway and Armstrong St</t>
  </si>
  <si>
    <t>Manly West Park</t>
  </si>
  <si>
    <t>Balgowlah</t>
  </si>
  <si>
    <t>Totem Shopping Centre</t>
  </si>
  <si>
    <t>Balgowlah Boys High School</t>
  </si>
  <si>
    <t>Seaforth</t>
  </si>
  <si>
    <t>Clontarf Beach</t>
  </si>
  <si>
    <t>Washaway Beach Balgowlah Heights</t>
  </si>
  <si>
    <t>Manly Oval</t>
  </si>
  <si>
    <t>Manly_Cabbage Tree Bay</t>
  </si>
  <si>
    <t>Manly Grove Buisness Park</t>
  </si>
  <si>
    <t>Manly Golf Club</t>
  </si>
  <si>
    <t>Manly_Kangaroo St and Raglan St</t>
  </si>
  <si>
    <t>Fairlight</t>
  </si>
  <si>
    <t>Manly</t>
  </si>
  <si>
    <t>The Corso</t>
  </si>
  <si>
    <t>Manly Waters Private Hospital</t>
  </si>
  <si>
    <t>Manly District Hospital</t>
  </si>
  <si>
    <t>Manly Grove Business Park North</t>
  </si>
  <si>
    <t>Bankstown RSL Club</t>
  </si>
  <si>
    <t>Bankstown_St Euphemia College</t>
  </si>
  <si>
    <t>Bankstown North Primary School</t>
  </si>
  <si>
    <t>La Salle Catholic College</t>
  </si>
  <si>
    <t>Bankstown_Sir Joseph Banks St and Milton St</t>
  </si>
  <si>
    <t>Bankstown West Primary School</t>
  </si>
  <si>
    <t>Bankstown_Gordon St and Cairds Ave</t>
  </si>
  <si>
    <t>Bankstown Square</t>
  </si>
  <si>
    <t>Mount Lewis</t>
  </si>
  <si>
    <t>Bankstown Station_South</t>
  </si>
  <si>
    <t>Bankstown_Oxford Av and Brandon Av</t>
  </si>
  <si>
    <t>Bankstown</t>
  </si>
  <si>
    <t>Bankstown_Dorothy Park</t>
  </si>
  <si>
    <t>Bankstown Girls High School</t>
  </si>
  <si>
    <t>Bankstown_Oxford Av and Koonya Av</t>
  </si>
  <si>
    <t>Bankstown_Lidcombe Hospital</t>
  </si>
  <si>
    <t>Bankstown_Home Central</t>
  </si>
  <si>
    <t>Padstow Industrial Area_Northern End</t>
  </si>
  <si>
    <t>Bankstown_Mitcham Rd and Little Rd</t>
  </si>
  <si>
    <t>Villawood</t>
  </si>
  <si>
    <t>Bass Hill_Chester Hill Rd and Cann St</t>
  </si>
  <si>
    <t>Mirambeena Regional Park</t>
  </si>
  <si>
    <t>Bass Hill Plaza</t>
  </si>
  <si>
    <t>Setfon Golf Course</t>
  </si>
  <si>
    <t>Whitemore Reserve</t>
  </si>
  <si>
    <t>Crest Sporting Complex</t>
  </si>
  <si>
    <t>Georges Hall</t>
  </si>
  <si>
    <t>Fairfax Printers</t>
  </si>
  <si>
    <t>Potts Hill</t>
  </si>
  <si>
    <t>Chullora Industrial Area_Southern End</t>
  </si>
  <si>
    <t>Yagoona Business Park</t>
  </si>
  <si>
    <t>Condell Park_South St and Norman St</t>
  </si>
  <si>
    <t>Fairfax Comm Newspapers</t>
  </si>
  <si>
    <t>Condell Park_Jocarm Av and Dalton Av</t>
  </si>
  <si>
    <t>Bankstown Airport</t>
  </si>
  <si>
    <t>Condell Park</t>
  </si>
  <si>
    <t>Condell Primary School</t>
  </si>
  <si>
    <t>Condell Park_Woorang St and Milperra Rd</t>
  </si>
  <si>
    <t>Bankstown Paceway</t>
  </si>
  <si>
    <t>Milperra Industrial Area_Western End</t>
  </si>
  <si>
    <t>Milperra Industrial Area_Eastern End</t>
  </si>
  <si>
    <t>Woolworths Greenacre</t>
  </si>
  <si>
    <t>Bankstown Private Hospital</t>
  </si>
  <si>
    <t>Greenacre_Waterloo Rd and Rawson Rd</t>
  </si>
  <si>
    <t>Greenacre</t>
  </si>
  <si>
    <t>Greenacre Civic Centre</t>
  </si>
  <si>
    <t>Greenacre_Ethel Pyers Res</t>
  </si>
  <si>
    <t>Greenacre Primary School</t>
  </si>
  <si>
    <t>Mount Lewis Public School</t>
  </si>
  <si>
    <t>Padstow_Playford Park</t>
  </si>
  <si>
    <t>Padstow Industrial Area_Southern End</t>
  </si>
  <si>
    <t>Padstow Station_North</t>
  </si>
  <si>
    <t>Padstow_Spring St and Baldwin St</t>
  </si>
  <si>
    <t>Padstow Station_South</t>
  </si>
  <si>
    <t>Padstow Hts Primary School</t>
  </si>
  <si>
    <t>Padstow_Adelaide Rd and Alma Rd</t>
  </si>
  <si>
    <t>Padstow Heights</t>
  </si>
  <si>
    <t>Milperra</t>
  </si>
  <si>
    <t>Mount St Joseph High School</t>
  </si>
  <si>
    <t>Killara Res_Panania</t>
  </si>
  <si>
    <t>Blue Gum Farm Milperra</t>
  </si>
  <si>
    <t>Panania Station_North</t>
  </si>
  <si>
    <t>Revesby_Tower St Public School</t>
  </si>
  <si>
    <t>Panania Station_South</t>
  </si>
  <si>
    <t>East Hills Station</t>
  </si>
  <si>
    <t>Panania_West</t>
  </si>
  <si>
    <t>Picnic Point</t>
  </si>
  <si>
    <t>Picnic Point High School</t>
  </si>
  <si>
    <t>Picnic Point_Georges River National Park</t>
  </si>
  <si>
    <t>Sir Joseph Banks High School</t>
  </si>
  <si>
    <t>Greenway Shopping Village</t>
  </si>
  <si>
    <t>Revesby_Wilberforce Rd and English St</t>
  </si>
  <si>
    <t>Revesby Station_North</t>
  </si>
  <si>
    <t>Revesby Station_South</t>
  </si>
  <si>
    <t>Padstow_Montgomery Av and Jamieson St</t>
  </si>
  <si>
    <t>Panania_East</t>
  </si>
  <si>
    <t>Revesby Heights</t>
  </si>
  <si>
    <t>Birrong Station</t>
  </si>
  <si>
    <t>Yagoona_O'Neil Park</t>
  </si>
  <si>
    <t>Yagoona West</t>
  </si>
  <si>
    <t>Yagoona</t>
  </si>
  <si>
    <t>Yagoona_Graf Park</t>
  </si>
  <si>
    <t>Yagoona Station_East</t>
  </si>
  <si>
    <t>Yagoona_Edgar St and Elizabeth Cr</t>
  </si>
  <si>
    <t>Yagoona Station_West</t>
  </si>
  <si>
    <t>Yagoona_Saltash St and Glassop St</t>
  </si>
  <si>
    <t>Belfield_Water St and Punchbowl Rd</t>
  </si>
  <si>
    <t>Belfield Plaza</t>
  </si>
  <si>
    <t>Belmore Boys High School</t>
  </si>
  <si>
    <t>Belmore Station_North</t>
  </si>
  <si>
    <t>Belmore Station_South</t>
  </si>
  <si>
    <t>Belmore Sportsground</t>
  </si>
  <si>
    <t>Belmore South Primary School</t>
  </si>
  <si>
    <t>Belmore_All Saints Greek Orthodox Church</t>
  </si>
  <si>
    <t>Campsie_Anzac Square</t>
  </si>
  <si>
    <t>Campsie_Seventh Av and Fifth Av</t>
  </si>
  <si>
    <t>Campsie_Brighton Av and Moore St</t>
  </si>
  <si>
    <t>Campsie_Beamish St and Ninth Av</t>
  </si>
  <si>
    <t>Harcourt Primary School</t>
  </si>
  <si>
    <t>Canterbury_Wonga St and Wairoa St</t>
  </si>
  <si>
    <t>Canterbury Memorial Hospital</t>
  </si>
  <si>
    <t>Campsie</t>
  </si>
  <si>
    <t>Canterbury</t>
  </si>
  <si>
    <t>Campsie Industrial Area</t>
  </si>
  <si>
    <t>Clemton Park_Yatama Park</t>
  </si>
  <si>
    <t>Earlwood_ Ann St and Karrol Av</t>
  </si>
  <si>
    <t>Earlwood_Turrella Reserve</t>
  </si>
  <si>
    <t>Earlwood_Wardell Rd and Permanent Av</t>
  </si>
  <si>
    <t>Earlwood_Woolcott St and Fuller Av</t>
  </si>
  <si>
    <t>Waterworth Park</t>
  </si>
  <si>
    <t>Earlwood</t>
  </si>
  <si>
    <t>Earlwood_Homer St and Malley Av</t>
  </si>
  <si>
    <t>Kingsgrove_Homer St and Bexley Rd</t>
  </si>
  <si>
    <t>Kingsgrove Industrial Area</t>
  </si>
  <si>
    <t>Kingsgrove Station_North</t>
  </si>
  <si>
    <t>Campsie_Elizabeth Ln and Perry Ln</t>
  </si>
  <si>
    <t>Cantebury_Fore St and High St</t>
  </si>
  <si>
    <t>Lakemba_Yerrick Rd and Yangoora Rd</t>
  </si>
  <si>
    <t>Lakemba_Colin St and Punchbowl Rd</t>
  </si>
  <si>
    <t>Lakemba_Jubilee Res</t>
  </si>
  <si>
    <t>Wiley Park Station_North</t>
  </si>
  <si>
    <t>Lakemba Station_South</t>
  </si>
  <si>
    <t>Lakemba</t>
  </si>
  <si>
    <t>Lakemba_Sproule St and Myee St</t>
  </si>
  <si>
    <t>Wiley Park Station_South</t>
  </si>
  <si>
    <t>Wiley Park_Hillard St and Lakemba St</t>
  </si>
  <si>
    <t>Wiley Park</t>
  </si>
  <si>
    <t>Punchbowl Boys High School</t>
  </si>
  <si>
    <t>Punchbowl_Scott St and South Tce</t>
  </si>
  <si>
    <t>Punchbowl Station</t>
  </si>
  <si>
    <t>Punchbowl_James St and Lancaster Av</t>
  </si>
  <si>
    <t>Punchbowl Primary School</t>
  </si>
  <si>
    <t>George Cayley Reserve</t>
  </si>
  <si>
    <t>Punchbowl Industrial Complex</t>
  </si>
  <si>
    <t>Whitmarsh Park</t>
  </si>
  <si>
    <t>Industrial Area</t>
  </si>
  <si>
    <t>Wiley Park_Hillcrest St and Beuauchamp St</t>
  </si>
  <si>
    <t>St Charbels College</t>
  </si>
  <si>
    <t>Roselands_Council Works Depot and Training Centre</t>
  </si>
  <si>
    <t>Roselands_Ludgate St and Albion St</t>
  </si>
  <si>
    <t>Roselands</t>
  </si>
  <si>
    <t>Canterbury Golf Course</t>
  </si>
  <si>
    <t>Roselands_Karne St and Shorter Av</t>
  </si>
  <si>
    <t>Punchbowl_Warren Parade</t>
  </si>
  <si>
    <t>Hurstville_Emily St and Barnards Av</t>
  </si>
  <si>
    <t>Beverly Hills Primary School</t>
  </si>
  <si>
    <t>Hurstville</t>
  </si>
  <si>
    <t>Hurstville Community Hospital</t>
  </si>
  <si>
    <t>Hurstville_Forest Rd and Gloucester Rd</t>
  </si>
  <si>
    <t>Allawah Station_North</t>
  </si>
  <si>
    <t>Westfield_Hurstville</t>
  </si>
  <si>
    <t>Hurstville Public School</t>
  </si>
  <si>
    <t>Hurstville_Cross St and The Avenue</t>
  </si>
  <si>
    <t>Penshurst_Penshurst St and Nicholson St</t>
  </si>
  <si>
    <t>Penshurst_Penshurst St and Clarence St</t>
  </si>
  <si>
    <t>Penshurst West Public School</t>
  </si>
  <si>
    <t>Penshurst Station_North</t>
  </si>
  <si>
    <t>Mortdale</t>
  </si>
  <si>
    <t>Mortdale Station_West</t>
  </si>
  <si>
    <t>Hurstville Golf Course</t>
  </si>
  <si>
    <t>Oatley Station_West</t>
  </si>
  <si>
    <t>Oatley Park</t>
  </si>
  <si>
    <t>Beverly Hills Station_North</t>
  </si>
  <si>
    <t>Narwee Station</t>
  </si>
  <si>
    <t>Beverly Hills Station_South</t>
  </si>
  <si>
    <t>Beverley Hills Girls High School</t>
  </si>
  <si>
    <t>Narwee High School</t>
  </si>
  <si>
    <t>Penshurst Station_South</t>
  </si>
  <si>
    <t>Hurstville Grove North</t>
  </si>
  <si>
    <t>Mortdale Station_East</t>
  </si>
  <si>
    <t>Hurstville Grove</t>
  </si>
  <si>
    <t>Oatley Station_East</t>
  </si>
  <si>
    <t>Oatley_Rosa St and Herbert St</t>
  </si>
  <si>
    <t>Oatley_Simpson Res</t>
  </si>
  <si>
    <t>Peakhurst</t>
  </si>
  <si>
    <t>Peakhurst_Belmore Rd and Richards Av</t>
  </si>
  <si>
    <t>Peakhurst West Primary School</t>
  </si>
  <si>
    <t>Hurstville Council Depot</t>
  </si>
  <si>
    <t>Peakhurst Village Shopping Centre</t>
  </si>
  <si>
    <t>Peakhurst Heights</t>
  </si>
  <si>
    <t>Lugarno</t>
  </si>
  <si>
    <t>Lugarno Primary School</t>
  </si>
  <si>
    <t>Riverwood_Salt Pan Ck Res</t>
  </si>
  <si>
    <t>Riverwood_Lance Hutchinson Oval</t>
  </si>
  <si>
    <t>Riverwood Station</t>
  </si>
  <si>
    <t>Riverwood Station East</t>
  </si>
  <si>
    <t>Hurstville_Hillcrest Ave and Mabel St</t>
  </si>
  <si>
    <t>Hurstville_Empress Res</t>
  </si>
  <si>
    <t>South Hurstville_Woniora Rd and Connells Point Rd</t>
  </si>
  <si>
    <t>South Hurstville</t>
  </si>
  <si>
    <t>Blakehurst High School</t>
  </si>
  <si>
    <t>Legacy House Blakehurst</t>
  </si>
  <si>
    <t>Carss Park Lookout</t>
  </si>
  <si>
    <t>Connells Point</t>
  </si>
  <si>
    <t>Bald Face Point Lookout Blakehurst</t>
  </si>
  <si>
    <t>Wolli Creek_Guess Ave and Arncliffe St</t>
  </si>
  <si>
    <t>Wolli Creek Station North</t>
  </si>
  <si>
    <t>Turrella Station</t>
  </si>
  <si>
    <t>Wolli Creek Station</t>
  </si>
  <si>
    <t>Turrella_Coolibah Res</t>
  </si>
  <si>
    <t>Wolli Creek_Cahill Park</t>
  </si>
  <si>
    <t>Arncliffe_Wollongong Rd and Kelsey St</t>
  </si>
  <si>
    <t>Arncliffe_Arncliffe Park</t>
  </si>
  <si>
    <t>Arncliffe Station</t>
  </si>
  <si>
    <t>Kogarah Golf Club</t>
  </si>
  <si>
    <t>Bardwell Valley Golf Club</t>
  </si>
  <si>
    <t>Bardwell Valley</t>
  </si>
  <si>
    <t>Arncliffe_Farrar St</t>
  </si>
  <si>
    <t>Banksia Station_West</t>
  </si>
  <si>
    <t>Barton Park Driving Range</t>
  </si>
  <si>
    <t>Bardwell Valley Golf Club_South</t>
  </si>
  <si>
    <t>Dolls Hospital Bexley</t>
  </si>
  <si>
    <t>J. Downeys Cottage Bexley</t>
  </si>
  <si>
    <t>Bexley</t>
  </si>
  <si>
    <t>Kingsgrove Park</t>
  </si>
  <si>
    <t>Bexley_Glenfarne St and Shirley St</t>
  </si>
  <si>
    <t>Bexley Marist Brothers High School</t>
  </si>
  <si>
    <t>Kogarah Station_West</t>
  </si>
  <si>
    <t>Bexley_Verdun St and Washington St</t>
  </si>
  <si>
    <t>Carlton Station_North</t>
  </si>
  <si>
    <t>Bardwell Park Station</t>
  </si>
  <si>
    <t>Bexley North Station</t>
  </si>
  <si>
    <t>Kingsgrove_Caroline St and Edward St</t>
  </si>
  <si>
    <t>Kingsgrove Station_South</t>
  </si>
  <si>
    <t>Bexley North</t>
  </si>
  <si>
    <t>Kingsgrove_Morgan St and Ashby St</t>
  </si>
  <si>
    <t>Kogarah Station_East</t>
  </si>
  <si>
    <t>Kogarah</t>
  </si>
  <si>
    <t>St George District Hospital</t>
  </si>
  <si>
    <t>Moorefield Girls High School</t>
  </si>
  <si>
    <t>Calvary Hospital</t>
  </si>
  <si>
    <t>Darrell Lea</t>
  </si>
  <si>
    <t>Allawah Station_South</t>
  </si>
  <si>
    <t>Carlton Station_South</t>
  </si>
  <si>
    <t>St George Christian School</t>
  </si>
  <si>
    <t>Carlton</t>
  </si>
  <si>
    <t>Beverley Park</t>
  </si>
  <si>
    <t>Beverley Park Golf Club</t>
  </si>
  <si>
    <t>Kogarah Bay</t>
  </si>
  <si>
    <t>Kyeemagh</t>
  </si>
  <si>
    <t>Brighton-Le-Sands_Moate Av and Rowley St</t>
  </si>
  <si>
    <t>Brighton-Le-Sands_Tony Baker Res</t>
  </si>
  <si>
    <t>Brighton-Le-Sands</t>
  </si>
  <si>
    <t>Lady Robinsons Beach</t>
  </si>
  <si>
    <t>Lady Robinsons Beach South</t>
  </si>
  <si>
    <t>Gardiner Park Rockdale</t>
  </si>
  <si>
    <t>Lydham Hall Rockdale</t>
  </si>
  <si>
    <t>Banksia Station_East</t>
  </si>
  <si>
    <t>Rockdale</t>
  </si>
  <si>
    <t>Rockdale West</t>
  </si>
  <si>
    <t>Rockdale Station</t>
  </si>
  <si>
    <t>Wilsons Farmhouse Rockdale</t>
  </si>
  <si>
    <t>Rockdale Tennis Club</t>
  </si>
  <si>
    <t>Rockdale South Side Plaza</t>
  </si>
  <si>
    <t>Ramsgate Plaza</t>
  </si>
  <si>
    <t>Ramsgate Plaza South</t>
  </si>
  <si>
    <t>Fisheries Department Sans Souci</t>
  </si>
  <si>
    <t>Sandringham</t>
  </si>
  <si>
    <t>Sans Souci</t>
  </si>
  <si>
    <t>Woronora Heights Shopping Centre</t>
  </si>
  <si>
    <t>Engadine_Kingswood Rd and Geneva Pl</t>
  </si>
  <si>
    <t>Loftus Station_West</t>
  </si>
  <si>
    <t>Engadine</t>
  </si>
  <si>
    <t>Engadine West Public School</t>
  </si>
  <si>
    <t>Engadine_Wollybutt Rd and Achilles Rd</t>
  </si>
  <si>
    <t>Yarrawarrah Shopping Centre</t>
  </si>
  <si>
    <t>Engadine Station</t>
  </si>
  <si>
    <t>Higgerson Ave and Beethoven St</t>
  </si>
  <si>
    <t>Heathcote Station_West</t>
  </si>
  <si>
    <t>Heathcote Station_East</t>
  </si>
  <si>
    <t>Waterfall Station</t>
  </si>
  <si>
    <t>Alfords Point North</t>
  </si>
  <si>
    <t>Alfords Point</t>
  </si>
  <si>
    <t>Illawong Village Shopping Centre</t>
  </si>
  <si>
    <t>Menai High School</t>
  </si>
  <si>
    <t>Holsworthy West</t>
  </si>
  <si>
    <t>Holsworthy</t>
  </si>
  <si>
    <t>Menai Metro Shopping Centre</t>
  </si>
  <si>
    <t>Menai</t>
  </si>
  <si>
    <t>Bangor Shopping Centre</t>
  </si>
  <si>
    <t>Aquinas College</t>
  </si>
  <si>
    <t>Bangor</t>
  </si>
  <si>
    <t>Lucas Heights North</t>
  </si>
  <si>
    <t>Barden Ridge</t>
  </si>
  <si>
    <t>Lucas Heights Research Laboratories</t>
  </si>
  <si>
    <t>Caravan Head</t>
  </si>
  <si>
    <t>Como Station</t>
  </si>
  <si>
    <t>Oyster Bay</t>
  </si>
  <si>
    <t>Bonnet Bay Shopping Centre</t>
  </si>
  <si>
    <t>Kareela Shopping Centre</t>
  </si>
  <si>
    <t>Jannali Station_East</t>
  </si>
  <si>
    <t>Jannali Station_West</t>
  </si>
  <si>
    <t>Kareela Golf Course</t>
  </si>
  <si>
    <t>Royal National Park Tram Station</t>
  </si>
  <si>
    <t>Royal National Park</t>
  </si>
  <si>
    <t>Sutherland Council Depot</t>
  </si>
  <si>
    <t>Sutherland</t>
  </si>
  <si>
    <t>Sutherland Station_West</t>
  </si>
  <si>
    <t>Kirrawee Industrial Area</t>
  </si>
  <si>
    <t>Sutherland Station_East</t>
  </si>
  <si>
    <t>Sutherland_Minerva School</t>
  </si>
  <si>
    <t>Kirrawee Station</t>
  </si>
  <si>
    <t>Loftus Station_East</t>
  </si>
  <si>
    <t>Kirrawee High School</t>
  </si>
  <si>
    <t>Kirrawee_Kirrawee Oval</t>
  </si>
  <si>
    <t>Sydney Desalination Plant</t>
  </si>
  <si>
    <t>Caringbah South_Daphne St and Percival Road</t>
  </si>
  <si>
    <t>Willarong Point</t>
  </si>
  <si>
    <t>Carringbah_Miley Road and Blamey Ave</t>
  </si>
  <si>
    <t>Laguna Street Public School</t>
  </si>
  <si>
    <t>Supa Centa</t>
  </si>
  <si>
    <t>Taren Point_Southern End</t>
  </si>
  <si>
    <t>Sutherland Hospital</t>
  </si>
  <si>
    <t>Caringbah_Yathong Rd and Carabella Rd</t>
  </si>
  <si>
    <t>Caringbah Station</t>
  </si>
  <si>
    <t>Caringbah Shopping Centre</t>
  </si>
  <si>
    <t>Caringbah_Yathong Rd and Caringbah Rd</t>
  </si>
  <si>
    <t>Caringbah_Willarong Rd and Lindsay St</t>
  </si>
  <si>
    <t>Caringbah_Gannons Rd and Rawson Pde</t>
  </si>
  <si>
    <t>Lilli Pilli</t>
  </si>
  <si>
    <t>Dolans Bay</t>
  </si>
  <si>
    <t>Cronulla Stp</t>
  </si>
  <si>
    <t>Woolooware High School</t>
  </si>
  <si>
    <t>Cronulla High School</t>
  </si>
  <si>
    <t>Woolooware Station_North</t>
  </si>
  <si>
    <t>Cronulla_Elouera Rd and Kingsway</t>
  </si>
  <si>
    <t>Woolooware Station_South</t>
  </si>
  <si>
    <t>Cronulla Station and Ferry Wharf</t>
  </si>
  <si>
    <t>Cronulla</t>
  </si>
  <si>
    <t>Burraneer Point</t>
  </si>
  <si>
    <t>Hungry Point</t>
  </si>
  <si>
    <t>Maianbar</t>
  </si>
  <si>
    <t>Bundeena</t>
  </si>
  <si>
    <t>Gymea Station_North</t>
  </si>
  <si>
    <t>Gymea Station_South</t>
  </si>
  <si>
    <t>Gymea Bay</t>
  </si>
  <si>
    <t>Gymea Bay_Coonong Rd and Arcadia Av</t>
  </si>
  <si>
    <t>Grays Point</t>
  </si>
  <si>
    <t>Port Hacking High School</t>
  </si>
  <si>
    <t>Sylvania High School</t>
  </si>
  <si>
    <t>Miranda_Renown Av and Parraweena Rd</t>
  </si>
  <si>
    <t>Westfield_Miranda Station_North</t>
  </si>
  <si>
    <t>Miranda North Primary School</t>
  </si>
  <si>
    <t>Miranda_Wandella Rd and President Av</t>
  </si>
  <si>
    <t>Miranda Station_South</t>
  </si>
  <si>
    <t>Yowie Bay</t>
  </si>
  <si>
    <t>Sylvania Primary School</t>
  </si>
  <si>
    <t>Southgate Shopping Centre</t>
  </si>
  <si>
    <t>Sylvania</t>
  </si>
  <si>
    <t>Sylvania_Sylvania Rd and Crystal St</t>
  </si>
  <si>
    <t>Taren Point</t>
  </si>
  <si>
    <t>Richmond Shopping Centre</t>
  </si>
  <si>
    <t>Taren Point_Northern End</t>
  </si>
  <si>
    <t>Bargo North</t>
  </si>
  <si>
    <t>Bargo Station</t>
  </si>
  <si>
    <t>Menangle Road Douglas Park</t>
  </si>
  <si>
    <t>Wilton Public School</t>
  </si>
  <si>
    <t>Camden Park</t>
  </si>
  <si>
    <t>Menangle Station</t>
  </si>
  <si>
    <t>Razorback</t>
  </si>
  <si>
    <t>Douglas Park Station</t>
  </si>
  <si>
    <t>Maldon Station</t>
  </si>
  <si>
    <t>Appin</t>
  </si>
  <si>
    <t>Wilton</t>
  </si>
  <si>
    <t>Appin_Colliery</t>
  </si>
  <si>
    <t>Wilton_South</t>
  </si>
  <si>
    <t>Picton Station</t>
  </si>
  <si>
    <t>Lakesland</t>
  </si>
  <si>
    <t>Thirlmere Station</t>
  </si>
  <si>
    <t>Tahmoor Park</t>
  </si>
  <si>
    <t>Tahmoor Station</t>
  </si>
  <si>
    <t>Couridjah</t>
  </si>
  <si>
    <t>Buxton</t>
  </si>
  <si>
    <t>Orangeville</t>
  </si>
  <si>
    <t>The Oaks</t>
  </si>
  <si>
    <t>University Of Sydney Camden Farms</t>
  </si>
  <si>
    <t>Oakdale_Barkers Lodge Rd and Longfield Lane</t>
  </si>
  <si>
    <t>Carrington Centennial Hospital</t>
  </si>
  <si>
    <t>Camden</t>
  </si>
  <si>
    <t>Camden District Hospital</t>
  </si>
  <si>
    <t>Camden South Pub School</t>
  </si>
  <si>
    <t>Camden High School</t>
  </si>
  <si>
    <t>Camden South</t>
  </si>
  <si>
    <t>Camden South_Cubbitch Barta Reserve</t>
  </si>
  <si>
    <t>Harrington_ParkGlenrowan Dr and The Boulevard</t>
  </si>
  <si>
    <t>Harrington Grove Country Club</t>
  </si>
  <si>
    <t>Harrington Park</t>
  </si>
  <si>
    <t>Aircraft Museum Harrington Park</t>
  </si>
  <si>
    <t>Narellan Park_Kirkham St and Fox St</t>
  </si>
  <si>
    <t>Narellan Town Centre</t>
  </si>
  <si>
    <t>Narellan</t>
  </si>
  <si>
    <t>Narellan_Elizabeth Scott Reserve</t>
  </si>
  <si>
    <t>Elderslie High School</t>
  </si>
  <si>
    <t>Smeaton Grange Industrial Area</t>
  </si>
  <si>
    <t>Currans Hill_Elizabeth Throsby Reserve</t>
  </si>
  <si>
    <t>Currans Hill Primary School</t>
  </si>
  <si>
    <t>Narellan Vale</t>
  </si>
  <si>
    <t>Mount Annan High School</t>
  </si>
  <si>
    <t>Elizabeth Macarthur High School</t>
  </si>
  <si>
    <t>Mount Annan - Yandel'ora Lake</t>
  </si>
  <si>
    <t>Camden Estate Winery_Spring Farm</t>
  </si>
  <si>
    <t>Spring Farm - Holland Drive &amp; Lowan St</t>
  </si>
  <si>
    <t>Spring Farm - Spring Reserve</t>
  </si>
  <si>
    <t>Mount Annan</t>
  </si>
  <si>
    <t>Mount Annan Botanic Garden</t>
  </si>
  <si>
    <t>Bradbury Shopping Centre</t>
  </si>
  <si>
    <t>Airds_Riley Park</t>
  </si>
  <si>
    <t>Bradbury_Baden Powell Res</t>
  </si>
  <si>
    <t>Airds Village Shopping Centre</t>
  </si>
  <si>
    <t>Bradbury</t>
  </si>
  <si>
    <t>Woodland Rd Primary</t>
  </si>
  <si>
    <t>St Helens Park</t>
  </si>
  <si>
    <t>St Helens Park Primary School</t>
  </si>
  <si>
    <t>Wedderburn</t>
  </si>
  <si>
    <t>Blair Athol_Bethlehem Monastery</t>
  </si>
  <si>
    <t>Campbelltown Showgrownd</t>
  </si>
  <si>
    <t>Woodbine</t>
  </si>
  <si>
    <t>Leumeah Station_West</t>
  </si>
  <si>
    <t>Campbelltown Station_North</t>
  </si>
  <si>
    <t>Blair Athol</t>
  </si>
  <si>
    <t>Campbelltown Town Centre_Campbelltown Station</t>
  </si>
  <si>
    <t>Centenary Park</t>
  </si>
  <si>
    <t>Macarthur Station_North</t>
  </si>
  <si>
    <t>Campbelltown_Waminda Av and Broughton St</t>
  </si>
  <si>
    <t>Hoddle Ave Shopping Centre</t>
  </si>
  <si>
    <t>Macarthur Station_South</t>
  </si>
  <si>
    <t>Campbelltown Hospital</t>
  </si>
  <si>
    <t>Campbelltown_Barber Reserve</t>
  </si>
  <si>
    <t>Varroville</t>
  </si>
  <si>
    <t>Raby_Robert Townson High School</t>
  </si>
  <si>
    <t>Kearns</t>
  </si>
  <si>
    <t>Raby Shopping Centre</t>
  </si>
  <si>
    <t>Eagle Vale Market Place</t>
  </si>
  <si>
    <t>Eschol Park House</t>
  </si>
  <si>
    <t>Eagle Vale High School</t>
  </si>
  <si>
    <t>Claymore Shopping Centre</t>
  </si>
  <si>
    <t>St Gregorys College</t>
  </si>
  <si>
    <t>Denham Court</t>
  </si>
  <si>
    <t>Ingleburn Village</t>
  </si>
  <si>
    <t>Edmondson Park Anglican College</t>
  </si>
  <si>
    <t>Ingleburn_Macdonald Rd and Nelson Rd</t>
  </si>
  <si>
    <t>Ingleburn_Macdonald Rd and Leichhardt Rd</t>
  </si>
  <si>
    <t>Denham Court_Denham Court Rd and Springmead Drive</t>
  </si>
  <si>
    <t>Macquarie Fields Station_West</t>
  </si>
  <si>
    <t>Scenic Hills Riding Ranch</t>
  </si>
  <si>
    <t>Ingleburn Industrial Estate_North Western End</t>
  </si>
  <si>
    <t>Ingleburn Industrial Estate_North Eastern End_Ingleburn Station</t>
  </si>
  <si>
    <t>Ingleburn High School</t>
  </si>
  <si>
    <t>Ingleburn Shopping Centre</t>
  </si>
  <si>
    <t>Ingleburn Industrial Estate_South Eastern End</t>
  </si>
  <si>
    <t>Ingleburn</t>
  </si>
  <si>
    <t>Ingleburn_Chester Rd and Lyndia St</t>
  </si>
  <si>
    <t>Lagonda Shopping Village</t>
  </si>
  <si>
    <t>Leumeah High School</t>
  </si>
  <si>
    <t>Minto Heights</t>
  </si>
  <si>
    <t>Leumeah</t>
  </si>
  <si>
    <t>Leumeah_Angle Res</t>
  </si>
  <si>
    <t>Ruse</t>
  </si>
  <si>
    <t>Ruse Village Shopping Centre</t>
  </si>
  <si>
    <t>Glenfield Station_North</t>
  </si>
  <si>
    <t>Glenwood Primary School</t>
  </si>
  <si>
    <t>Glenfield Station_South</t>
  </si>
  <si>
    <t>Glenfield_Childs Reserve</t>
  </si>
  <si>
    <t>Macquarie Fields Station_East</t>
  </si>
  <si>
    <t>Curran High School</t>
  </si>
  <si>
    <t>Macquarie Fields High School</t>
  </si>
  <si>
    <t>Long Point</t>
  </si>
  <si>
    <t>St Andrews</t>
  </si>
  <si>
    <t>East Minto Shopping Centre</t>
  </si>
  <si>
    <t>Minto Industrial Area_Northern End_Minto Station</t>
  </si>
  <si>
    <t>Minto Station_East</t>
  </si>
  <si>
    <t>St. Andrews Shopping Centre</t>
  </si>
  <si>
    <t>Minto Shopping Centre</t>
  </si>
  <si>
    <t>Minto Industrial Area_Western End</t>
  </si>
  <si>
    <t>Minto</t>
  </si>
  <si>
    <t>Minto Industrial Area_Eastern End</t>
  </si>
  <si>
    <t>Campbelltown Golf Club</t>
  </si>
  <si>
    <t>Ambarvale Shopping Centre</t>
  </si>
  <si>
    <t>Menangle Park</t>
  </si>
  <si>
    <t>Glen Alpine</t>
  </si>
  <si>
    <t>Thomas Acres Primary School</t>
  </si>
  <si>
    <t>Ambarvale High School</t>
  </si>
  <si>
    <t>John Therry High School</t>
  </si>
  <si>
    <t>Menangle Park Paceway</t>
  </si>
  <si>
    <t>Rosemeadow</t>
  </si>
  <si>
    <t>Rosemeadow_Hume and Hovell Monument Gilead</t>
  </si>
  <si>
    <t>Bonnyrigg Plaza</t>
  </si>
  <si>
    <t>Bonnyrigg Heights</t>
  </si>
  <si>
    <t>Bonnyrigg Heights_Aplin Rd and Simpson Rd</t>
  </si>
  <si>
    <t>Bonnyrigg Shopping Centre</t>
  </si>
  <si>
    <t>Bonnyrigg_Thesiger Park</t>
  </si>
  <si>
    <t>Bonnyrigg_Holdin St and Brown Rd</t>
  </si>
  <si>
    <t>Pimelea Picnic Area</t>
  </si>
  <si>
    <t>Bossley Park</t>
  </si>
  <si>
    <t>Prairievale Primary School</t>
  </si>
  <si>
    <t>Marconi Club</t>
  </si>
  <si>
    <t>Bossley Park High School</t>
  </si>
  <si>
    <t>Abbotsbury Shopping Centre</t>
  </si>
  <si>
    <t>Cabramatta_Cabra-Vale Pk</t>
  </si>
  <si>
    <t>Cabramatta_Hughes St Pk</t>
  </si>
  <si>
    <t>Cabramatta Station_East</t>
  </si>
  <si>
    <t>Cabramatta West Primary School</t>
  </si>
  <si>
    <t>Cabramatta Station_West</t>
  </si>
  <si>
    <t>Cabramatta_Vale St and Longfield St</t>
  </si>
  <si>
    <t>Irelands Bridge Cabramatta</t>
  </si>
  <si>
    <t>Lansvale</t>
  </si>
  <si>
    <t>Cabramatta High School</t>
  </si>
  <si>
    <t>Cabramatta_Free Serbian Orthodox Church</t>
  </si>
  <si>
    <t>Lansvale Industrial Area</t>
  </si>
  <si>
    <t>Lucky Plaza Cabramatta West</t>
  </si>
  <si>
    <t>Cabramatta West</t>
  </si>
  <si>
    <t>Mount Pritchard_Meadows Rd and Young St</t>
  </si>
  <si>
    <t>Mount Pritchard</t>
  </si>
  <si>
    <t>Mt Pritchard_Meadows Rd and Hamel Rd</t>
  </si>
  <si>
    <t>Mount Pritchard_Townview Rd and Hitter Av</t>
  </si>
  <si>
    <t>Canley Heights_Harden St and Edward Pl</t>
  </si>
  <si>
    <t>Canley Vale_Thien An Temple</t>
  </si>
  <si>
    <t>Canley Heights_Peel St and Canley Vale Rd</t>
  </si>
  <si>
    <t>Canley Heights Primary School</t>
  </si>
  <si>
    <t>Canley Heights_Adolphus St and Canley Vale Rd</t>
  </si>
  <si>
    <t>Canley Vale Station_West</t>
  </si>
  <si>
    <t>Canley Vale Station_East</t>
  </si>
  <si>
    <t>Lansvale Primary School</t>
  </si>
  <si>
    <t>Edensor Park Plaza</t>
  </si>
  <si>
    <t>Edensor Park_Coonawarra St and Penfold Place</t>
  </si>
  <si>
    <t>Edensor Park</t>
  </si>
  <si>
    <t>Edensor Park Public School</t>
  </si>
  <si>
    <t>Fairfield_Horsley Dr and Brenan St</t>
  </si>
  <si>
    <t>Fairfield High School</t>
  </si>
  <si>
    <t>Fairfield_Lions International Park</t>
  </si>
  <si>
    <t>Fairfield Station_West</t>
  </si>
  <si>
    <t>Fairfield</t>
  </si>
  <si>
    <t>Fairfield_Fairvale Public School</t>
  </si>
  <si>
    <t>Fairfield Station_East</t>
  </si>
  <si>
    <t>Fairfield_Francis St and Coleraine</t>
  </si>
  <si>
    <t>Westfields High School</t>
  </si>
  <si>
    <t>Fairfield Heights</t>
  </si>
  <si>
    <t>Fairfield West</t>
  </si>
  <si>
    <t>Fairfield West_The Boulevarde and Stella St</t>
  </si>
  <si>
    <t>Fairfield_West King Rd and Thorney Rd</t>
  </si>
  <si>
    <t>Fairvale High School</t>
  </si>
  <si>
    <t>Fairfield Hospital _ Stockland Shopping Centre</t>
  </si>
  <si>
    <t>Fairfield Showground</t>
  </si>
  <si>
    <t>Greenfield Shopping Centre</t>
  </si>
  <si>
    <t>Greenfield Park_Powhatan Reserve</t>
  </si>
  <si>
    <t>Horsley Park_Austral Bricks</t>
  </si>
  <si>
    <t>Horsley Park Primary School</t>
  </si>
  <si>
    <t>Kemps Ck_Emmaus Catholic College</t>
  </si>
  <si>
    <t>Western Sydney Regional Park</t>
  </si>
  <si>
    <t>Nativity House Christmas Museum Horsley Park</t>
  </si>
  <si>
    <t>Kemps Creek Shopping Centre</t>
  </si>
  <si>
    <t>Mount Vernon</t>
  </si>
  <si>
    <t>Cecil Park</t>
  </si>
  <si>
    <t>Kemps Creek_Mamre Rd_West</t>
  </si>
  <si>
    <t>Smithfield</t>
  </si>
  <si>
    <t>Justin Centre</t>
  </si>
  <si>
    <t>Wetherill Park TAFE _ Wetherill Park Shopping Centre</t>
  </si>
  <si>
    <t>Wetherill Park</t>
  </si>
  <si>
    <t>Smithfield West Primary School</t>
  </si>
  <si>
    <t>Smithfield_Smithfield Rd and The Horsley Dr</t>
  </si>
  <si>
    <t>Wetherill Park_William Stimson Public School</t>
  </si>
  <si>
    <t>Smithfield_The Boulevarde and Alexander St</t>
  </si>
  <si>
    <t>Wakeley</t>
  </si>
  <si>
    <t>King Park Primary School</t>
  </si>
  <si>
    <t>St. Johns Park Shopping Centre</t>
  </si>
  <si>
    <t>St Johns Park</t>
  </si>
  <si>
    <t>Wetherill Park Industrial Area_Central</t>
  </si>
  <si>
    <t>Wetherill Park Industrial Area_Western</t>
  </si>
  <si>
    <t>Wetherill Park Industrial Area_Eastern</t>
  </si>
  <si>
    <t>Kemps Creek_Western Rd and Braikfield Av</t>
  </si>
  <si>
    <t>Middleton Grange_Catalina Park</t>
  </si>
  <si>
    <t>Middleton Grange</t>
  </si>
  <si>
    <t>Middleton Grange_Garrett St and Sixteenth Av</t>
  </si>
  <si>
    <t>Badgerys Creek_North</t>
  </si>
  <si>
    <t>Kemps Creek_Brandown Quarries</t>
  </si>
  <si>
    <t>Heckenberg</t>
  </si>
  <si>
    <t>Busby</t>
  </si>
  <si>
    <t>Ashcroft High School</t>
  </si>
  <si>
    <t>Valley Community Music Centre Sadleir</t>
  </si>
  <si>
    <t>Miller Shopping Centre</t>
  </si>
  <si>
    <t>Kemps Creek</t>
  </si>
  <si>
    <t>Badgerys Creek_Martin Rd and Cuthel St</t>
  </si>
  <si>
    <t>Badgerys Creek_East</t>
  </si>
  <si>
    <t>Sydney International Shooting Centre</t>
  </si>
  <si>
    <t>Kemps Creek_Western Rd and Tavistock Rd</t>
  </si>
  <si>
    <t>Badgerys Creek_Inghams Multiplication Farm</t>
  </si>
  <si>
    <t>Russian Sports Association</t>
  </si>
  <si>
    <t>Kemps Creek_Czechoslovakian Country Club</t>
  </si>
  <si>
    <t>Kemps Creek Nature Reserve</t>
  </si>
  <si>
    <t>Austral_Craik Ave and Seventeenth Ave</t>
  </si>
  <si>
    <t>Bringelly_Mersey Rd and Severn Rd</t>
  </si>
  <si>
    <t>Thompson Creek and South Creek</t>
  </si>
  <si>
    <t>Rossmore Grange</t>
  </si>
  <si>
    <t>NSW Animal Welfare League Rossmore</t>
  </si>
  <si>
    <t>West Hoxton Shopping Centre</t>
  </si>
  <si>
    <t>RAAF</t>
  </si>
  <si>
    <t>Bringelly_Kelvin Park Dr and The Retreat</t>
  </si>
  <si>
    <t>Austral</t>
  </si>
  <si>
    <t>Bents Basin Greendale</t>
  </si>
  <si>
    <t>Bringelly_Findley Rd and Francis St</t>
  </si>
  <si>
    <t>Austral_Kelly St and Tenth Ave</t>
  </si>
  <si>
    <t>Bringelly Public School</t>
  </si>
  <si>
    <t>Bringelly_Kelvin Park Dr and Medich Pl</t>
  </si>
  <si>
    <t>Austral Bowling Club</t>
  </si>
  <si>
    <t>Rossmore</t>
  </si>
  <si>
    <t>Rossmore Trial Track</t>
  </si>
  <si>
    <t>Austral_Boyd St and Little St</t>
  </si>
  <si>
    <t>Austral_Scalabrini Village</t>
  </si>
  <si>
    <t>Luddenham _South</t>
  </si>
  <si>
    <t>Badgerys Creek_South</t>
  </si>
  <si>
    <t>Bringelly_Robinson Rd and Jersey Rd</t>
  </si>
  <si>
    <t>Bringelly Village Shopping Centre</t>
  </si>
  <si>
    <t>Bringelly_Ironbark</t>
  </si>
  <si>
    <t>Rossmore Primary School</t>
  </si>
  <si>
    <t>Rossmore_Graham Rd and Bringelly Rd</t>
  </si>
  <si>
    <t>Leppington_Bringelly Rd and Eastwood Rd</t>
  </si>
  <si>
    <t>Leppington_Forest Lawn Gardens</t>
  </si>
  <si>
    <t>Bringelly_Carrington Rd and Jersey Rd</t>
  </si>
  <si>
    <t>Leppington Public School</t>
  </si>
  <si>
    <t>Bringelly_Birling</t>
  </si>
  <si>
    <t>Leppington_St Marys Catholic Church</t>
  </si>
  <si>
    <t>Cobbity_Coates Park Farm</t>
  </si>
  <si>
    <t>Catherine Field_Barry Ave and Robens Cr</t>
  </si>
  <si>
    <t>Leppington_Anthony Rd and Gregory Rd</t>
  </si>
  <si>
    <t>Rossmore_Joseph Rd and Eastwood Rd</t>
  </si>
  <si>
    <t>Leppington_Dog Training Centre</t>
  </si>
  <si>
    <t>Leppington_Byron Rd and Heath Rd</t>
  </si>
  <si>
    <t>Bringelly_Access Track</t>
  </si>
  <si>
    <t>Bringelly_Henry George Park</t>
  </si>
  <si>
    <t>Oran Park_Greenway</t>
  </si>
  <si>
    <t>Leppington_Camden Valley Way and Park Rd</t>
  </si>
  <si>
    <t>Bringelly_Recycling Centre</t>
  </si>
  <si>
    <t>Oran Park_Pondicherry</t>
  </si>
  <si>
    <t>Catherine Field_Wholesale Nursery</t>
  </si>
  <si>
    <t>Leppington_Somoan Methodist Church</t>
  </si>
  <si>
    <t>Leppington_George Rd and Riley Rd</t>
  </si>
  <si>
    <t>Leppington_Camden Valley Way and St Andrews Rd</t>
  </si>
  <si>
    <t>Cobbitty</t>
  </si>
  <si>
    <t>Cobbitty_Denbigh</t>
  </si>
  <si>
    <t>Oran Park_Proposed School</t>
  </si>
  <si>
    <t>Oran Park</t>
  </si>
  <si>
    <t>Catherine Field Reserve</t>
  </si>
  <si>
    <t>Cobbitty Wines</t>
  </si>
  <si>
    <t>Cobbitty_Macarthur Anglican School</t>
  </si>
  <si>
    <t>Oran Park_South Cct and Tander St</t>
  </si>
  <si>
    <t>Oran Park_Peter Brock Drive and Oran Park Drive</t>
  </si>
  <si>
    <t>Catherine Field_Springfield Rd and Charlesworth Cl</t>
  </si>
  <si>
    <t>Camden Lakeside Golf Course</t>
  </si>
  <si>
    <t>Camden Airport</t>
  </si>
  <si>
    <t>Oran Park_Fussy Grape Winery</t>
  </si>
  <si>
    <t>Oran Park_South Creek</t>
  </si>
  <si>
    <t>Gregory Hills_Thomas Donovan Park</t>
  </si>
  <si>
    <t>Camden Valley Golf Resort</t>
  </si>
  <si>
    <t>Gregory Hills_Central Hills Dr and Lasso Rd</t>
  </si>
  <si>
    <t>Gregory Hills_Healy Ave and Donavan Blvd</t>
  </si>
  <si>
    <t>Cecil Hills Shopping Centre</t>
  </si>
  <si>
    <t>Cecil Hills High School</t>
  </si>
  <si>
    <t>Green Valley_Paramor Reserve</t>
  </si>
  <si>
    <t>Green Valley Primary School</t>
  </si>
  <si>
    <t>Elizabeth Hills</t>
  </si>
  <si>
    <t>Green Valley</t>
  </si>
  <si>
    <t>The Valley Plaza</t>
  </si>
  <si>
    <t>Hinchinbrook Primary School</t>
  </si>
  <si>
    <t>Hinchinbrook</t>
  </si>
  <si>
    <t>Hoxton Park High School</t>
  </si>
  <si>
    <t>Hinchinbrook_Whitford Rd and Centaurus Dr</t>
  </si>
  <si>
    <t>Hoxton Park_Glen Innes Rd and Hoxton Park Rd</t>
  </si>
  <si>
    <t>West Hoxton_Grimson Park</t>
  </si>
  <si>
    <t>West Hoxton</t>
  </si>
  <si>
    <t>Hoxton Park_Brownes Farm Reserve</t>
  </si>
  <si>
    <t>Hoxton Park</t>
  </si>
  <si>
    <t>Greenway Park Primary School</t>
  </si>
  <si>
    <t>Horningsea Park</t>
  </si>
  <si>
    <t>West Hoxton_Dowling St and Gould St</t>
  </si>
  <si>
    <t>Horningsea Park_John Edmondson High School</t>
  </si>
  <si>
    <t>Horningsea Park_Grand Bazaar Trash and Treasure Hoxton Park Hornings</t>
  </si>
  <si>
    <t>Casula Shopping Centre</t>
  </si>
  <si>
    <t>Casula Station</t>
  </si>
  <si>
    <t>Casula Mall Shopping Centre</t>
  </si>
  <si>
    <t>Casula</t>
  </si>
  <si>
    <t>All Saints High School</t>
  </si>
  <si>
    <t>Crossroads Homemaker Centre</t>
  </si>
  <si>
    <t>Lakeside Shopping Centre</t>
  </si>
  <si>
    <t>Chipping Norton Shopping Centre</t>
  </si>
  <si>
    <t>Chipping Norton Industrial Estate</t>
  </si>
  <si>
    <t>Chipping Norton Lake</t>
  </si>
  <si>
    <t>Moorebank High School</t>
  </si>
  <si>
    <t>Moorebank_Cooper Av and King La</t>
  </si>
  <si>
    <t>Moorebank Industrial Area</t>
  </si>
  <si>
    <t>Moorebank Shopping Plaza</t>
  </si>
  <si>
    <t>Remote Control Car Racing Moorebank</t>
  </si>
  <si>
    <t>Moorebank_Christiansen Bvd and Maddecks Av</t>
  </si>
  <si>
    <t>Moorebank Industrial</t>
  </si>
  <si>
    <t>New Brighton Golf Club Hse</t>
  </si>
  <si>
    <t>Wattle Grove</t>
  </si>
  <si>
    <t>Hammondville</t>
  </si>
  <si>
    <t>Defence Land Moorebank</t>
  </si>
  <si>
    <t>Village Plaza Shopping Centre</t>
  </si>
  <si>
    <t>Voyager Point</t>
  </si>
  <si>
    <t>Holsworthy Station</t>
  </si>
  <si>
    <t>Holsworthy_Australis Park</t>
  </si>
  <si>
    <t>Pleasure Point</t>
  </si>
  <si>
    <t>Liverpool Girls High School</t>
  </si>
  <si>
    <t>Warwick Farm Station_Browne Parade and Lachlan St</t>
  </si>
  <si>
    <t>Homemakers Centre Warwick Farm</t>
  </si>
  <si>
    <t>Megacenta Liverpool</t>
  </si>
  <si>
    <t>Warwick Farm</t>
  </si>
  <si>
    <t>Marsden Rd Primary School</t>
  </si>
  <si>
    <t>Warwick Farm Station_West</t>
  </si>
  <si>
    <t>Liverpool Pioneers Memorial Pk</t>
  </si>
  <si>
    <t>Liverpool CBD</t>
  </si>
  <si>
    <t>Warwick Farm Industrial Area_Warwick Farm Station</t>
  </si>
  <si>
    <t>Liverpool Hospital</t>
  </si>
  <si>
    <t>Liverpool_Flowerdale Rd and Memorial Av</t>
  </si>
  <si>
    <t>Liverpool Station</t>
  </si>
  <si>
    <t>Whitlam Centre Liverpool</t>
  </si>
  <si>
    <t>Liverpool_Nagle St and Hay St</t>
  </si>
  <si>
    <t>Liverpool</t>
  </si>
  <si>
    <t>Liverpool Bicentennial Museum</t>
  </si>
  <si>
    <t>Liverpool Station_East</t>
  </si>
  <si>
    <t>Liverpool_South Western Local Health District</t>
  </si>
  <si>
    <t>Cartwright</t>
  </si>
  <si>
    <t>Flowerdale Shopping Centre</t>
  </si>
  <si>
    <t>Cartwright_Church of Christ</t>
  </si>
  <si>
    <t>Lurnea</t>
  </si>
  <si>
    <t>Prestons Industrial Area_Western End</t>
  </si>
  <si>
    <t>Prestons Industrial Area_Eastern End</t>
  </si>
  <si>
    <t>Lurnea High School</t>
  </si>
  <si>
    <t>Prestons</t>
  </si>
  <si>
    <t>Prestons_Dalmeny Public School</t>
  </si>
  <si>
    <t>William Carey Christian School</t>
  </si>
  <si>
    <t>Prestons_Beech Rd and Barcelona Dr</t>
  </si>
  <si>
    <t>Prestons_Sid Neville Reserve</t>
  </si>
  <si>
    <t>Prestons_Dalmeny Reserve</t>
  </si>
  <si>
    <t>Edmonson Park_Jardine Drive and Buchan Ave</t>
  </si>
  <si>
    <t>Tree Valley Golf Course</t>
  </si>
  <si>
    <t>Edmonson Park</t>
  </si>
  <si>
    <t>Liverpool_Northumberland St and Moore St</t>
  </si>
  <si>
    <t>Liverpool_Collimore Park</t>
  </si>
  <si>
    <t>Liverpool_Lighthorse Park</t>
  </si>
  <si>
    <t>Liverpool_Pearce Park</t>
  </si>
  <si>
    <t>Liverpool_Charles St and Atkinson St</t>
  </si>
  <si>
    <t>Edmondson Park_Dalmatia Ave and Croatia Ave</t>
  </si>
  <si>
    <t>Parklea Markets</t>
  </si>
  <si>
    <t>Glenwood_Glenwood Park Dr and Malvern Rd</t>
  </si>
  <si>
    <t>Glenwood</t>
  </si>
  <si>
    <t>Glenwood_Northwest Bvd and Greenhill Dr</t>
  </si>
  <si>
    <t>Kellyville Ridge_Glenheath Park</t>
  </si>
  <si>
    <t>Castlebrook Lawn Cemetery and Crematorium</t>
  </si>
  <si>
    <t>The Ponds</t>
  </si>
  <si>
    <t>Kellyville Ridge_Fyfe Rd and Braemont Av</t>
  </si>
  <si>
    <t>Kellyville Ridge Public School</t>
  </si>
  <si>
    <t>Newbury</t>
  </si>
  <si>
    <t>The Ponds_Paddock St and Avon St</t>
  </si>
  <si>
    <t>Kellyville Ridge_Cardinale St and Bruton Ave</t>
  </si>
  <si>
    <t>Stanhope_Gardens Rothbury Tce and Newbury Av</t>
  </si>
  <si>
    <t>Newbury_Fairholme Reserve</t>
  </si>
  <si>
    <t>Stanhope Gardens</t>
  </si>
  <si>
    <t>Parklea Maximum Security Prison</t>
  </si>
  <si>
    <t>Parklea_Davison Reserve</t>
  </si>
  <si>
    <t>The Ponds High School</t>
  </si>
  <si>
    <t>The Ponds_Waterfall Park</t>
  </si>
  <si>
    <t>Hambledon Primary School</t>
  </si>
  <si>
    <t>Quakers Hill</t>
  </si>
  <si>
    <t>Quakers Hill Park</t>
  </si>
  <si>
    <t>Barnier Primary School</t>
  </si>
  <si>
    <t>Paterson Res</t>
  </si>
  <si>
    <t>University of Western Sydney</t>
  </si>
  <si>
    <t>Quakers Hill Station</t>
  </si>
  <si>
    <t>Quakers Hill Plaza</t>
  </si>
  <si>
    <t>Quakers Hill_Greenhalgh Reserve</t>
  </si>
  <si>
    <t>Acacia Gardens_Corbin Reserve</t>
  </si>
  <si>
    <t>Acacia Gardens_Waite Reserve</t>
  </si>
  <si>
    <t>Riverstone_Richmond Road North</t>
  </si>
  <si>
    <t>Vineyard Public School</t>
  </si>
  <si>
    <t>Riverstone Sewage Treatment Plant</t>
  </si>
  <si>
    <t>Riverstone_Victoria St and Hamilton St</t>
  </si>
  <si>
    <t>Riverstone_Wianamatta Creek</t>
  </si>
  <si>
    <t>Riverstone_North of Station</t>
  </si>
  <si>
    <t>Riverstone_Garfield Rd and Clarke St</t>
  </si>
  <si>
    <t>Proposed Rouse Hill Regional Park</t>
  </si>
  <si>
    <t>Riverstone Station_East</t>
  </si>
  <si>
    <t>Riverstone High School</t>
  </si>
  <si>
    <t>Riverstone_Cleveland Road and Farm Road</t>
  </si>
  <si>
    <t>Rouse Hill Regional Park</t>
  </si>
  <si>
    <t>Riverstone Public School</t>
  </si>
  <si>
    <t>Riverstone Cemetery</t>
  </si>
  <si>
    <t>Riverstone_McCulloch St and Cranbourne St</t>
  </si>
  <si>
    <t>Marsden Park_Wianamatta Creek</t>
  </si>
  <si>
    <t>Rouse Hill_Tallawong Rd and Macquarie Rd</t>
  </si>
  <si>
    <t>Vinegar Hill</t>
  </si>
  <si>
    <t>Marsden Park_Clydesdale Dairy</t>
  </si>
  <si>
    <t>Riverstone</t>
  </si>
  <si>
    <t>Schofields_Boundary Rd and Gordon Rd</t>
  </si>
  <si>
    <t>Schofields Park</t>
  </si>
  <si>
    <t>Marsden Park Public School</t>
  </si>
  <si>
    <t>Schofields_Vine St East and Carnarvon Rd</t>
  </si>
  <si>
    <t>Marsden Park</t>
  </si>
  <si>
    <t>Schofields_St Josephs</t>
  </si>
  <si>
    <t>Schofields_Pelican Rd and Burdekin Rd</t>
  </si>
  <si>
    <t>Schofields_St Josephs catholic Primary School</t>
  </si>
  <si>
    <t>Schofields_Fire Station</t>
  </si>
  <si>
    <t>Glengarrie Trial Track</t>
  </si>
  <si>
    <t>Blacktown Equestrian Centre</t>
  </si>
  <si>
    <t>Schofields_New Station</t>
  </si>
  <si>
    <t>Grange Avenue Reserve</t>
  </si>
  <si>
    <t>Shanes Park_Shane Park Rd and Whites Rd</t>
  </si>
  <si>
    <t>Shanes Park_AirServices Australia</t>
  </si>
  <si>
    <t>Shanes Park</t>
  </si>
  <si>
    <t>Marsden Park_Al-Masjid Bait-Ul Huda Mosque</t>
  </si>
  <si>
    <t>Former Schofields Aerodrome</t>
  </si>
  <si>
    <t>Stonecutters Ridge Golf Course</t>
  </si>
  <si>
    <t>Rouse Hill_Tallawong Rd and Guntawong Rd</t>
  </si>
  <si>
    <t>Rouse Hill_Gordon Rd and Oak St</t>
  </si>
  <si>
    <t>Rouse Hill_Bella Parade and Barbola St</t>
  </si>
  <si>
    <t>Schofields_First Ponds Creek</t>
  </si>
  <si>
    <t>Bidwill High School</t>
  </si>
  <si>
    <t>Blackett</t>
  </si>
  <si>
    <t>Blackett Heights Reserve</t>
  </si>
  <si>
    <t>Emerton Village Shopping Centre</t>
  </si>
  <si>
    <t>Mount Druitt High School</t>
  </si>
  <si>
    <t>Hebersham Primary School</t>
  </si>
  <si>
    <t>Dean Park Shopping Centre</t>
  </si>
  <si>
    <t>Glendenning Public School</t>
  </si>
  <si>
    <t>Glendenning</t>
  </si>
  <si>
    <t>Blacktown City Canine Centre</t>
  </si>
  <si>
    <t>Glendenning Industrial Area_Glendenning Rd and Kilto Cr</t>
  </si>
  <si>
    <t>Hassall Grove Plaza</t>
  </si>
  <si>
    <t>Oakhurst_Hanna Reserve</t>
  </si>
  <si>
    <t>Oakhurst</t>
  </si>
  <si>
    <t>Oakhurst_Sir Douglas Mawson Reserve</t>
  </si>
  <si>
    <t>Plumpton Market Place</t>
  </si>
  <si>
    <t>Alroy House Plumpton</t>
  </si>
  <si>
    <t>Plumpton Park</t>
  </si>
  <si>
    <t>Willmot</t>
  </si>
  <si>
    <t>Ropes Crossing</t>
  </si>
  <si>
    <t>Shalvey High School</t>
  </si>
  <si>
    <t>St Marys_Susannah Dr and Pulley Dr</t>
  </si>
  <si>
    <t>Lethbridge Park</t>
  </si>
  <si>
    <t>Tregear</t>
  </si>
  <si>
    <t>Whalan Primary School</t>
  </si>
  <si>
    <t>Whalan High School</t>
  </si>
  <si>
    <t>Mount Druitt_North</t>
  </si>
  <si>
    <t>Mount Druitt_South</t>
  </si>
  <si>
    <t>Cumberland Industries</t>
  </si>
  <si>
    <t>Westfield_Mt Druitt Station_North</t>
  </si>
  <si>
    <t>Mount Druitt Hospital _ TAFE</t>
  </si>
  <si>
    <t>Mount Druitt_Mount Druitt Rd and Durham St</t>
  </si>
  <si>
    <t>Mount Druitt Station_South</t>
  </si>
  <si>
    <t>Arndell Park</t>
  </si>
  <si>
    <t>Huntingwood Industrial Area</t>
  </si>
  <si>
    <t>Hanson Wallgrove Quarry</t>
  </si>
  <si>
    <t>Eastern Creek Raceway</t>
  </si>
  <si>
    <t>Prospect Reservoir</t>
  </si>
  <si>
    <t>Rooty Hill_Hamrun Circuit and Willis St</t>
  </si>
  <si>
    <t>Rooty Hill</t>
  </si>
  <si>
    <t>Glendenning Industrial Area_Southern End</t>
  </si>
  <si>
    <t>Rooty Hill Station_North</t>
  </si>
  <si>
    <t>Rooty Hill Station_South</t>
  </si>
  <si>
    <t>Minchinbury Community Hospital</t>
  </si>
  <si>
    <t>St Agnes Girls High School</t>
  </si>
  <si>
    <t>Blacktown Olympic Park</t>
  </si>
  <si>
    <t>Minchinbury_Hometown</t>
  </si>
  <si>
    <t>Minchinbury Shopping Centre</t>
  </si>
  <si>
    <t>Minchinbury Sports Ground</t>
  </si>
  <si>
    <t>Animal Quarantine Station Minchinbury</t>
  </si>
  <si>
    <t>Eastern Creek_Pikes Lane</t>
  </si>
  <si>
    <t>Kings Park_Faulkland Cr and Madagascar Dr</t>
  </si>
  <si>
    <t>Blacktown Industrial Area_Northern End</t>
  </si>
  <si>
    <t>Blacktown_Garden St and Turner St</t>
  </si>
  <si>
    <t>Blacktown Industrial Area_Southern End</t>
  </si>
  <si>
    <t>Blacktown_Harold St and Sackville St</t>
  </si>
  <si>
    <t>Blacktown Station_North</t>
  </si>
  <si>
    <t>Blacktown_Boyd St and Clifton St</t>
  </si>
  <si>
    <t>Westpoint Centre_Blacktown Station_South</t>
  </si>
  <si>
    <t>Patrician Brothers College</t>
  </si>
  <si>
    <t>Blacktown District Hospital</t>
  </si>
  <si>
    <t>Blacktown Mega Centre</t>
  </si>
  <si>
    <t>Blacktown_Prince St and Second Ave</t>
  </si>
  <si>
    <t>Blacktown City Council</t>
  </si>
  <si>
    <t>Quakers Hill Shopping Complex</t>
  </si>
  <si>
    <t>Tallagandra Dr and Narcissus Ave</t>
  </si>
  <si>
    <t>Marayong Station_West</t>
  </si>
  <si>
    <t>John Paul Ii Senior High School</t>
  </si>
  <si>
    <t>Blacktown_Love St and Becharry Rd</t>
  </si>
  <si>
    <t>Blacktown Showground</t>
  </si>
  <si>
    <t>Blacktown_St Patricks Primary School</t>
  </si>
  <si>
    <t>Blacktown_Brewongle Reserve</t>
  </si>
  <si>
    <t>Blacktown_Athlone St and Monash Rd</t>
  </si>
  <si>
    <t>Blacktown_Walters Rd and Newton Rd</t>
  </si>
  <si>
    <t>Blacktown_Bellevue Park</t>
  </si>
  <si>
    <t>Evans High School</t>
  </si>
  <si>
    <t>Mitchell High School</t>
  </si>
  <si>
    <t>Blacktown South Primary School</t>
  </si>
  <si>
    <t>Blacktown_Highview St and Apex St</t>
  </si>
  <si>
    <t>Blacktown_Pendant Av and Lancelot St</t>
  </si>
  <si>
    <t>Nagle Girls High School</t>
  </si>
  <si>
    <t>Doonside High School</t>
  </si>
  <si>
    <t>Lake Woodcroft</t>
  </si>
  <si>
    <t>Doonside Station_North</t>
  </si>
  <si>
    <t>Woodcroft</t>
  </si>
  <si>
    <t>Doonside Station_South</t>
  </si>
  <si>
    <t>Doonside</t>
  </si>
  <si>
    <t>Blacktown_Bungarribee Homestead Park</t>
  </si>
  <si>
    <t>Kings Langley Shopping Centre</t>
  </si>
  <si>
    <t>Kings Langley</t>
  </si>
  <si>
    <t>Solander Centre</t>
  </si>
  <si>
    <t>Lalor Park_Wheeler St and Northcott Rd</t>
  </si>
  <si>
    <t>Lalor Park</t>
  </si>
  <si>
    <t>Seven Hills High School</t>
  </si>
  <si>
    <t>Seven Hills_Melody Gardens</t>
  </si>
  <si>
    <t>Seven Hills_Barbara Bvd and Dulcie St</t>
  </si>
  <si>
    <t>Seven Hills_Pioneer Park</t>
  </si>
  <si>
    <t>Seven Hills Industrial Area</t>
  </si>
  <si>
    <t>Seven Hills Station_North</t>
  </si>
  <si>
    <t>Seven Hills Industrial Area_Eastern End</t>
  </si>
  <si>
    <t>Bert Oldfield Primary School</t>
  </si>
  <si>
    <t>Seven Hills</t>
  </si>
  <si>
    <t>Seven Hills_Duncan Park</t>
  </si>
  <si>
    <t>Toongabbie Station_West</t>
  </si>
  <si>
    <t>Seven Hills_Columbia Rd and Vesuvius St</t>
  </si>
  <si>
    <t>Toongabbie_Kura Park</t>
  </si>
  <si>
    <t>Prospect</t>
  </si>
  <si>
    <t>Metella Rd Primary School</t>
  </si>
  <si>
    <t>Home Base Prospect</t>
  </si>
  <si>
    <t>Prospect Nature Reserve</t>
  </si>
  <si>
    <t>Colo Heights</t>
  </si>
  <si>
    <t>Cumberland Reach</t>
  </si>
  <si>
    <t>East Kurrajong</t>
  </si>
  <si>
    <t>Kurrajong</t>
  </si>
  <si>
    <t>Ebenezer</t>
  </si>
  <si>
    <t>Bells Line of Road Bilpin_North</t>
  </si>
  <si>
    <t>Glossodia</t>
  </si>
  <si>
    <t>Bells Line of Road Bilpin_South</t>
  </si>
  <si>
    <t>Wilberforce_Wilberforce Rd and King Rd</t>
  </si>
  <si>
    <t>Hawkesbury High School</t>
  </si>
  <si>
    <t>Kurrajong Public School</t>
  </si>
  <si>
    <t>Kuyper Christian School</t>
  </si>
  <si>
    <t>Maroota</t>
  </si>
  <si>
    <t>Cattai Homestead_historic</t>
  </si>
  <si>
    <t>Glenorie Shopping Centre</t>
  </si>
  <si>
    <t>Jackeroo Ranch Kenthurst</t>
  </si>
  <si>
    <t>Kenthurst Shopping Centre</t>
  </si>
  <si>
    <t>Middle Dural</t>
  </si>
  <si>
    <t>Annangrove</t>
  </si>
  <si>
    <t>Kenthurst</t>
  </si>
  <si>
    <t>Kenthurst Galleries</t>
  </si>
  <si>
    <t>Old Northern Gallery Dural</t>
  </si>
  <si>
    <t>Dural Mall Shopping Centre</t>
  </si>
  <si>
    <t>Dural_Hemers Rd and Quarry Rd</t>
  </si>
  <si>
    <t>Dural</t>
  </si>
  <si>
    <t>Marramarra NP</t>
  </si>
  <si>
    <t>Vision Valley Conference Centre</t>
  </si>
  <si>
    <t>Galston Village Shopping Centre</t>
  </si>
  <si>
    <t>Pitt Town Village Shopping Centre</t>
  </si>
  <si>
    <t>Riverside Ski Park Cattai</t>
  </si>
  <si>
    <t>Pitt Town Lagoon</t>
  </si>
  <si>
    <t>Maraylya</t>
  </si>
  <si>
    <t>Mcgrath's Hill Shopping Centre</t>
  </si>
  <si>
    <t>Oakville Primary School</t>
  </si>
  <si>
    <t>Mulgrave Station</t>
  </si>
  <si>
    <t>Vineyard_Wallace Rd and Level Crossing Rd</t>
  </si>
  <si>
    <t>Vineyard_A-Vina Caravan Park</t>
  </si>
  <si>
    <t>Box Hill_Terry Rd_West</t>
  </si>
  <si>
    <t>Box Hill_Red Gables Road</t>
  </si>
  <si>
    <t>Box Hill_Nelson Rural Fire Service</t>
  </si>
  <si>
    <t>Box Hill_Torrenson Place</t>
  </si>
  <si>
    <t>Nelson</t>
  </si>
  <si>
    <t>Box Hill_Kingston Park Equestrian Centre</t>
  </si>
  <si>
    <t>Box Hill_Killarney Practice Fairway</t>
  </si>
  <si>
    <t>Box Hill_Town Rd and Mason Rd</t>
  </si>
  <si>
    <t>Box Hill_Anthony Skarrat Reserve</t>
  </si>
  <si>
    <t>Rouse Hill Stp Sydney Water</t>
  </si>
  <si>
    <t>Nursery Industry Association Of Nsw Rouse Hill</t>
  </si>
  <si>
    <t>Kellyville</t>
  </si>
  <si>
    <t>Kellyville_Wellgate Av and Hermitage Cr</t>
  </si>
  <si>
    <t>Rouse Hill High School</t>
  </si>
  <si>
    <t>Kellyville_Dudley Reserve</t>
  </si>
  <si>
    <t>Rouse Hill_Bara Way and Nuwi St</t>
  </si>
  <si>
    <t>Kellyville_Foxall Rd and Kendall Pl</t>
  </si>
  <si>
    <t>Beaumont Hills Primary School</t>
  </si>
  <si>
    <t>Beaumont Hills_Turkeys Nest Park</t>
  </si>
  <si>
    <t>Beaumont Hills</t>
  </si>
  <si>
    <t>Kellyville_Smalls Creek_North</t>
  </si>
  <si>
    <t>Rouse Hill Town Centre</t>
  </si>
  <si>
    <t>Bella Vista_Highrange Terrace and Springdale Rise</t>
  </si>
  <si>
    <t>Baulkham Hills_Strangers Creek Park</t>
  </si>
  <si>
    <t>Bella Vista_Woolworths Group</t>
  </si>
  <si>
    <t>Bella Vista_Reston Grange and Barina Downs Rd</t>
  </si>
  <si>
    <t>Kellyville_Hills Adventist College</t>
  </si>
  <si>
    <t>Castle Hill_Cheltenham Cl and Winchcombe Pl</t>
  </si>
  <si>
    <t>The Hills Private Hospital</t>
  </si>
  <si>
    <t>Baulkham Hills North Primary School</t>
  </si>
  <si>
    <t>Baulkham Hills_Hill St and Kristine Ave</t>
  </si>
  <si>
    <t>Baulkham Hills_Coronation Rd and Keene St</t>
  </si>
  <si>
    <t>Seven Hills_Thomas Extrem Reserve</t>
  </si>
  <si>
    <t>Stockland Mall Baulkham Hills</t>
  </si>
  <si>
    <t>Baulkham Hills_Cook St and Park Renown Rd</t>
  </si>
  <si>
    <t>Winston Hills Shopping Centre</t>
  </si>
  <si>
    <t>Baulkham Hills</t>
  </si>
  <si>
    <t>Baulkham Hills_Seven Hills Rd and Cropley Dr</t>
  </si>
  <si>
    <t>Castle Hill_Dewhurst Ave and Ulundri Dr</t>
  </si>
  <si>
    <t>Castle Hill Country Club</t>
  </si>
  <si>
    <t>Bella Vista</t>
  </si>
  <si>
    <t>Norwest Lake</t>
  </si>
  <si>
    <t>Baulkham Hills_Norwest Bvd and Columbia Av</t>
  </si>
  <si>
    <t>Bella Vista_Commercial Area</t>
  </si>
  <si>
    <t>Norwest Business Park_Western End</t>
  </si>
  <si>
    <t>Baulkham Hills_Crestwood Dr and Albion Pl</t>
  </si>
  <si>
    <t>Crestwood High School</t>
  </si>
  <si>
    <t>Bella Vista_Bella Vista Dr and Saxonvale Rd</t>
  </si>
  <si>
    <t>Bella Vista Industrial Area</t>
  </si>
  <si>
    <t>Bella Vista_Bingara Cr and Providence Dr</t>
  </si>
  <si>
    <t>Crestwood Shopping Centre</t>
  </si>
  <si>
    <t>Baulkham Hills_Palace Rd and Buckingham Rd</t>
  </si>
  <si>
    <t>Baulkham Hills_Seven Hills Rd and Merinda Rd</t>
  </si>
  <si>
    <t>Castle Hill Library</t>
  </si>
  <si>
    <t>Castle Hill_Hume Ave and Cecil Ave</t>
  </si>
  <si>
    <t>Knightsbridge</t>
  </si>
  <si>
    <t>Castle Hill_Yaringa Road and Applecross Av</t>
  </si>
  <si>
    <t>Castle Hill High School</t>
  </si>
  <si>
    <t>Castle Hill_Old Castle Hill Rd and Tuckwell Rd</t>
  </si>
  <si>
    <t>Castle Hill Industrial Estate</t>
  </si>
  <si>
    <t>Castle Towers</t>
  </si>
  <si>
    <t>Castle Hill_Hudson Av and Salisbury Rd</t>
  </si>
  <si>
    <t>Castle Hill_Middleton Av and Dawes Av</t>
  </si>
  <si>
    <t>Castle Mall</t>
  </si>
  <si>
    <t>Castle Hill_Crane Rd and Cecil Av</t>
  </si>
  <si>
    <t>Castle Hill_Greenup Park</t>
  </si>
  <si>
    <t>Excelsior Primary School</t>
  </si>
  <si>
    <t>Castle Hill_Gary St and Narelle Av</t>
  </si>
  <si>
    <t>Castle Hill_Darcey Rd and Castlewood Dr</t>
  </si>
  <si>
    <t>Castle Hill</t>
  </si>
  <si>
    <t>Castle Hill Showground</t>
  </si>
  <si>
    <t>Castle Hill Public School</t>
  </si>
  <si>
    <t>Appletree Shopping Centre</t>
  </si>
  <si>
    <t>Castle Hill_Marymount Mercy Centre</t>
  </si>
  <si>
    <t>Cherrybrook Village Shopping Centre</t>
  </si>
  <si>
    <t>Castle Hill_Westminister Dr and Windsor Ct</t>
  </si>
  <si>
    <t>Cherrybrook</t>
  </si>
  <si>
    <t>Cherrybrook Primary School</t>
  </si>
  <si>
    <t>The Castle Hill Villages</t>
  </si>
  <si>
    <t>Cherrybrook_Boundary Rd and Cedarwood Dr</t>
  </si>
  <si>
    <t>Tangara School</t>
  </si>
  <si>
    <t>Castle Hill_Sherwin Ave and Whitling Ave</t>
  </si>
  <si>
    <t>West Pennant Hills_Highs Rd and Yarpole Ave</t>
  </si>
  <si>
    <t>Glenhaven_Glenhaven Rd and Mills Rd</t>
  </si>
  <si>
    <t>Glenhaven Court Shopping Centre</t>
  </si>
  <si>
    <t>Glenhaven</t>
  </si>
  <si>
    <t>Kellyville_Riley T-Way</t>
  </si>
  <si>
    <t>Kellyville_Old Windsor Rd and Memorial Ave_North</t>
  </si>
  <si>
    <t>Bernie Mullane Sports Complex</t>
  </si>
  <si>
    <t>Sherwood Ridge Primary</t>
  </si>
  <si>
    <t>Mclaughlin Bridge Kellyville</t>
  </si>
  <si>
    <t>Kellyville Primary School</t>
  </si>
  <si>
    <t>Elizabeth Macarthur Park</t>
  </si>
  <si>
    <t>Kellyville High School</t>
  </si>
  <si>
    <t>The Village Centre</t>
  </si>
  <si>
    <t>Kellyville_Arnold Ave and Minorca Ave</t>
  </si>
  <si>
    <t>Castle Hill_Kings Rd and Queens Ct</t>
  </si>
  <si>
    <t>St Angelas Primary School</t>
  </si>
  <si>
    <t>Kellyville Christmas Tree Farm</t>
  </si>
  <si>
    <t>Kellyville Memorial Park</t>
  </si>
  <si>
    <t>Cherrybook_Robert Road Park East</t>
  </si>
  <si>
    <t>Cherrybook_Robert Road Park West</t>
  </si>
  <si>
    <t>West Pennant Hills</t>
  </si>
  <si>
    <t>Mount Wilberforce Lookout West Pennant Hills</t>
  </si>
  <si>
    <t>Coonara Shopping Centre</t>
  </si>
  <si>
    <t>West Pennant Hills_Highs Rd and Southwood Pl</t>
  </si>
  <si>
    <t>West Pennant Hills_Oakes Rd and Wildara Av</t>
  </si>
  <si>
    <t>Kellyville_Gracewood Retirement Village</t>
  </si>
  <si>
    <t>Kellyville_Burns T-Way</t>
  </si>
  <si>
    <t>Cherrybook_Treetops Rd and Forest Cl</t>
  </si>
  <si>
    <t>Kellyville_Sandstock Way and New Holland Drive</t>
  </si>
  <si>
    <t>Cherrybook_Janice Pl and Dantic Pl</t>
  </si>
  <si>
    <t>Kellyville_Fairway Drive and Laura St</t>
  </si>
  <si>
    <t>Bell Station</t>
  </si>
  <si>
    <t>Mount Victoria Station</t>
  </si>
  <si>
    <t>Blackheath Station</t>
  </si>
  <si>
    <t>Megalong Valley</t>
  </si>
  <si>
    <t>Warrimoo Station</t>
  </si>
  <si>
    <t>Mount Riverview Shopping Centre</t>
  </si>
  <si>
    <t>Blaxland Station_North</t>
  </si>
  <si>
    <t>East Blaxland Shopping Centre</t>
  </si>
  <si>
    <t>Blaxland Station_South</t>
  </si>
  <si>
    <t>Knapsack Park_RAAF HQ</t>
  </si>
  <si>
    <t>Glenbrook Station</t>
  </si>
  <si>
    <t>Lapstone Station_West</t>
  </si>
  <si>
    <t>Mt Charles</t>
  </si>
  <si>
    <t>Medlow Bath Station</t>
  </si>
  <si>
    <t>Katoomba Cemetery</t>
  </si>
  <si>
    <t>Leura Station_North</t>
  </si>
  <si>
    <t>Katoomba High School</t>
  </si>
  <si>
    <t>Katoomba Station_North</t>
  </si>
  <si>
    <t>Katoomba Station_South</t>
  </si>
  <si>
    <t>Leura Station_South</t>
  </si>
  <si>
    <t>Hazelbrook Station</t>
  </si>
  <si>
    <t>Linden Station</t>
  </si>
  <si>
    <t>Lawson Station</t>
  </si>
  <si>
    <t>Bullaburra Station</t>
  </si>
  <si>
    <t>Woodford Station</t>
  </si>
  <si>
    <t>Winmalee Shopping Centre</t>
  </si>
  <si>
    <t>Springwood Hospital</t>
  </si>
  <si>
    <t>Springwood High School</t>
  </si>
  <si>
    <t>Yellow Rock Lookout</t>
  </si>
  <si>
    <t>Springwood Country Club</t>
  </si>
  <si>
    <t>Springwood Station_North</t>
  </si>
  <si>
    <t>Faulconbridge Station</t>
  </si>
  <si>
    <t>Valley Heights Station_North</t>
  </si>
  <si>
    <t>Springwood Station_South</t>
  </si>
  <si>
    <t>Valley Heights Station_South</t>
  </si>
  <si>
    <t>Wenworth Falls Country Club</t>
  </si>
  <si>
    <t>Wentworth Falls_Falls Rd and Great Western Hwy</t>
  </si>
  <si>
    <t>Wentworth Falls Station</t>
  </si>
  <si>
    <t>Colo High School</t>
  </si>
  <si>
    <t>Richmond</t>
  </si>
  <si>
    <t>Richmond North Public School</t>
  </si>
  <si>
    <t>Richmond Station</t>
  </si>
  <si>
    <t>Richmond RAAF Base</t>
  </si>
  <si>
    <t>Hobartville</t>
  </si>
  <si>
    <t>Clarendon Station</t>
  </si>
  <si>
    <t>Windsor Town Centre</t>
  </si>
  <si>
    <t>Windsor Station</t>
  </si>
  <si>
    <t>South Windsor Industrial Area</t>
  </si>
  <si>
    <t>Chisholm Catholic Primary School</t>
  </si>
  <si>
    <t>South Windsor</t>
  </si>
  <si>
    <t>Bligh Park Shopping Centre</t>
  </si>
  <si>
    <t>Bligh Park</t>
  </si>
  <si>
    <t>Windsor Downs</t>
  </si>
  <si>
    <t>River Park Christian Youth Camp</t>
  </si>
  <si>
    <t>Londonderry_Milford Rd and Carrington Rd</t>
  </si>
  <si>
    <t>Richmond Greyhound Racing Club</t>
  </si>
  <si>
    <t>Londonderry_Bennett Rd and Carrington Rd</t>
  </si>
  <si>
    <t>John Morony Corrections Centre</t>
  </si>
  <si>
    <t>Cambridge Gardens</t>
  </si>
  <si>
    <t>Werrington Downs</t>
  </si>
  <si>
    <t>Werrington County</t>
  </si>
  <si>
    <t>Cambridge Park</t>
  </si>
  <si>
    <t>Cambridge Park High School</t>
  </si>
  <si>
    <t>Werrington County Shopping Village</t>
  </si>
  <si>
    <t>Cambridge Park_Devon Park</t>
  </si>
  <si>
    <t>Penrith Lakes</t>
  </si>
  <si>
    <t>Castlereagh Public School</t>
  </si>
  <si>
    <t>Cranebrook_Andromeda Dr and Vincent Rd</t>
  </si>
  <si>
    <t>Llandilo Public School</t>
  </si>
  <si>
    <t>Henry Fulton Primary School</t>
  </si>
  <si>
    <t>Sydney International Regatta Centre</t>
  </si>
  <si>
    <t>Cranebrook_Owens Park</t>
  </si>
  <si>
    <t>Cranebrook</t>
  </si>
  <si>
    <t>Mt Pleasant Shopping Centre</t>
  </si>
  <si>
    <t>McGarritys Hill</t>
  </si>
  <si>
    <t>Cranebrook_Pensax Rd and Sherringham Rd</t>
  </si>
  <si>
    <t>Llandilo</t>
  </si>
  <si>
    <t>Jordan Springs</t>
  </si>
  <si>
    <t>Emu Heights</t>
  </si>
  <si>
    <t>Emu Plains Station_North</t>
  </si>
  <si>
    <t>Emu Plains Station_South</t>
  </si>
  <si>
    <t>Emu Plains</t>
  </si>
  <si>
    <t>Lennox Shopping Centre</t>
  </si>
  <si>
    <t>Lapstone Station_East</t>
  </si>
  <si>
    <t>Regentville</t>
  </si>
  <si>
    <t>Regentville Public School</t>
  </si>
  <si>
    <t>Glenmore Park</t>
  </si>
  <si>
    <t>Glenmore Park_Lady Jamison Dr and Stein Pl</t>
  </si>
  <si>
    <t>Glenmore Park_Penrith Golf and Recreation Club</t>
  </si>
  <si>
    <t>Glenmore Park High School</t>
  </si>
  <si>
    <t>Glenmore Park_Forest Ridge Park</t>
  </si>
  <si>
    <t>Glenmore Park_Blue Hills Wetland</t>
  </si>
  <si>
    <t>Jamisontown Industrial Area</t>
  </si>
  <si>
    <t>South Penrith</t>
  </si>
  <si>
    <t>South Penrith_Fragar Rd and Smith St</t>
  </si>
  <si>
    <t>Jamisontown</t>
  </si>
  <si>
    <t>Southlands Shopping Centre</t>
  </si>
  <si>
    <t>Jamison High School</t>
  </si>
  <si>
    <t>Werrington Station_North</t>
  </si>
  <si>
    <t>Kingswood Station_North</t>
  </si>
  <si>
    <t>Werrington Public School</t>
  </si>
  <si>
    <t>Kingswood Station_South</t>
  </si>
  <si>
    <t>Kingswood</t>
  </si>
  <si>
    <t>Werrington Station_South_Uni of Western Sydney</t>
  </si>
  <si>
    <t>Kingswood High School</t>
  </si>
  <si>
    <t>Tafe Nsw Western Sydney</t>
  </si>
  <si>
    <t>Claremont Meadows_Myrtle St Fields</t>
  </si>
  <si>
    <t>Claremont Meadows Shopping Centre</t>
  </si>
  <si>
    <t>Glenmore Park_Surveyors Creek</t>
  </si>
  <si>
    <t>Kingswood_Statfford St and Somerset St</t>
  </si>
  <si>
    <t>Orchard Hills</t>
  </si>
  <si>
    <t>Orchard Hills_Homestead Rd</t>
  </si>
  <si>
    <t>Orchard Hills Golf Club</t>
  </si>
  <si>
    <t>Mulgoa</t>
  </si>
  <si>
    <t>Kingswood Golf Club</t>
  </si>
  <si>
    <t>Penrith Landfill Depot</t>
  </si>
  <si>
    <t>Rileys Mountain Lookout</t>
  </si>
  <si>
    <t>Luddenham_Model Park SSME</t>
  </si>
  <si>
    <t>Twin Creeks Golf Course</t>
  </si>
  <si>
    <t>Wallacia</t>
  </si>
  <si>
    <t>Luddenham Hall</t>
  </si>
  <si>
    <t>Luddenham</t>
  </si>
  <si>
    <t>Orchard Hills_South Creek</t>
  </si>
  <si>
    <t>Luddenham Road</t>
  </si>
  <si>
    <t>Penrith_Crane Enfield Metals</t>
  </si>
  <si>
    <t>Penrith Industrial Area_North West</t>
  </si>
  <si>
    <t>Penrith</t>
  </si>
  <si>
    <t>Penrith Station Car Park</t>
  </si>
  <si>
    <t>Governor Phillip Special Hospital</t>
  </si>
  <si>
    <t>Penrith CBD_Penrith Station_South</t>
  </si>
  <si>
    <t>Penrith Panthers</t>
  </si>
  <si>
    <t>Penrith_Nepean Square</t>
  </si>
  <si>
    <t>Penrith_Spence Park</t>
  </si>
  <si>
    <t>Kemps Creeks_Elizabeth Dr North</t>
  </si>
  <si>
    <t>Warragamba Plaza</t>
  </si>
  <si>
    <t>Silverdale</t>
  </si>
  <si>
    <t>Penrith High School</t>
  </si>
  <si>
    <t>Penrith_TAFE NSW</t>
  </si>
  <si>
    <t>Erskine Park Shopping Centre</t>
  </si>
  <si>
    <t>James Erskine High School</t>
  </si>
  <si>
    <t>Mount Vernon_Erskine Park Landfill and Recycling</t>
  </si>
  <si>
    <t>St Clair_Mark Leece Sport Complex</t>
  </si>
  <si>
    <t>St Clair_Mamre rd and Banks Dr</t>
  </si>
  <si>
    <t>St Clair_Clairgate Public School</t>
  </si>
  <si>
    <t>St Clair Shopping Centre</t>
  </si>
  <si>
    <t>St Clair_Mamre Rd and Mcintyre Av</t>
  </si>
  <si>
    <t>St Clair_Blackwell Av and Coowarra Dr</t>
  </si>
  <si>
    <t>St Marys Station_South_East</t>
  </si>
  <si>
    <t>St Marys Fire Station</t>
  </si>
  <si>
    <t>3m Distribution Centre</t>
  </si>
  <si>
    <t>St Marys Industrial Area_Northern End</t>
  </si>
  <si>
    <t>Dunheved High School</t>
  </si>
  <si>
    <t>St Marys Station_North</t>
  </si>
  <si>
    <t>Integral Energy Mt Druitt</t>
  </si>
  <si>
    <t>St Marys Station_South_West</t>
  </si>
  <si>
    <t>St Marys_Australia St and Brisbane St</t>
  </si>
  <si>
    <t>Oxley Park</t>
  </si>
  <si>
    <t>St Marys</t>
  </si>
  <si>
    <t>St Marys South Primary School</t>
  </si>
  <si>
    <t>Colyton</t>
  </si>
  <si>
    <t>Colyton Shopping Centre</t>
  </si>
  <si>
    <t>Colyton_Bennet Rd Public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</si>
</sst>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3" fontId="0" fillId="0" borderId="0" xfId="0" applyNumberFormat="1"/>
    <xf numFmtId="0" fontId="16" fillId="0" borderId="0" xfId="0" applyFont="1"/>
    <xf numFmtId="44" fontId="0" fillId="0" borderId="0" xfId="1" applyFont="1"/>
    <xf numFmtId="0" fontId="0" fillId="33" borderId="0" xfId="0" applyFill="1"/>
    <xf numFmtId="44" fontId="16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9550-A2CA-45C1-8F6D-4F0661B938BA}">
  <dimension ref="A1:R2563"/>
  <sheetViews>
    <sheetView tabSelected="1" topLeftCell="F1" zoomScaleNormal="100" workbookViewId="0">
      <selection activeCell="M14" sqref="M14"/>
    </sheetView>
  </sheetViews>
  <sheetFormatPr defaultRowHeight="15" x14ac:dyDescent="0.25"/>
  <cols>
    <col min="8" max="9" width="16.42578125" customWidth="1"/>
    <col min="10" max="10" width="67.28515625" bestFit="1" customWidth="1"/>
    <col min="11" max="11" width="36.85546875" bestFit="1" customWidth="1"/>
    <col min="12" max="12" width="19.85546875" customWidth="1"/>
    <col min="13" max="13" width="20" bestFit="1" customWidth="1"/>
    <col min="14" max="14" width="11.5703125" bestFit="1" customWidth="1"/>
    <col min="15" max="15" width="14.85546875" bestFit="1" customWidth="1"/>
    <col min="16" max="16" width="14.28515625" bestFit="1" customWidth="1"/>
    <col min="17" max="18" width="15.28515625" bestFit="1" customWidth="1"/>
  </cols>
  <sheetData>
    <row r="1" spans="1:18" x14ac:dyDescent="0.25">
      <c r="A1" t="s">
        <v>0</v>
      </c>
      <c r="B1" t="s">
        <v>1</v>
      </c>
      <c r="C1" t="s">
        <v>1</v>
      </c>
      <c r="E1" t="s">
        <v>2</v>
      </c>
      <c r="H1" t="s">
        <v>10</v>
      </c>
      <c r="J1" t="s">
        <v>11</v>
      </c>
      <c r="K1" t="s">
        <v>9</v>
      </c>
      <c r="O1" s="3" t="s">
        <v>3</v>
      </c>
      <c r="P1" s="3" t="s">
        <v>4</v>
      </c>
      <c r="Q1" s="3" t="s">
        <v>5</v>
      </c>
      <c r="R1" s="3" t="s">
        <v>8</v>
      </c>
    </row>
    <row r="2" spans="1:18" x14ac:dyDescent="0.25">
      <c r="A2">
        <v>1</v>
      </c>
      <c r="B2">
        <v>304694.05829999998</v>
      </c>
      <c r="C2">
        <v>304694.05829999998</v>
      </c>
      <c r="D2">
        <v>0</v>
      </c>
      <c r="E2">
        <v>1.0299E-4</v>
      </c>
      <c r="F2" s="1">
        <v>6.8299999999999998E-6</v>
      </c>
      <c r="G2" s="2">
        <v>43316</v>
      </c>
      <c r="H2">
        <v>1</v>
      </c>
      <c r="I2" t="str">
        <f>IF(A2=H2,"YES","NO")</f>
        <v>YES</v>
      </c>
      <c r="J2" t="s">
        <v>12</v>
      </c>
      <c r="K2">
        <v>64884.126262700003</v>
      </c>
      <c r="L2">
        <f>EXP(0.2052)*K2*(D2/C2)</f>
        <v>0</v>
      </c>
      <c r="M2" s="4">
        <f>SUM(L2:L2563)</f>
        <v>18380492.762495056</v>
      </c>
      <c r="N2" t="s">
        <v>6</v>
      </c>
      <c r="O2" s="4">
        <f>SUM(L374:L390,L395:L399,L409:L418)</f>
        <v>207542.74013315403</v>
      </c>
      <c r="P2" s="4">
        <f>SUM(L352:L377,L391:L394)</f>
        <v>4818393.211835023</v>
      </c>
      <c r="Q2" s="4">
        <f>SUM(L419:L479)</f>
        <v>12422509.701675683</v>
      </c>
      <c r="R2" s="4">
        <f>M2-Q2-O2-P2</f>
        <v>932047.10885119531</v>
      </c>
    </row>
    <row r="3" spans="1:18" x14ac:dyDescent="0.25">
      <c r="A3">
        <v>2</v>
      </c>
      <c r="B3">
        <v>390046.56020000001</v>
      </c>
      <c r="C3">
        <v>390046.56020000001</v>
      </c>
      <c r="D3">
        <v>0</v>
      </c>
      <c r="E3">
        <v>1.0299E-4</v>
      </c>
      <c r="F3" s="1">
        <v>8.7499999999999992E-6</v>
      </c>
      <c r="H3">
        <v>2</v>
      </c>
      <c r="I3" t="str">
        <f t="shared" ref="I3:I66" si="0">IF(A3=H3,"YES","NO")</f>
        <v>YES</v>
      </c>
      <c r="J3" t="s">
        <v>13</v>
      </c>
      <c r="K3">
        <v>74488.645912000007</v>
      </c>
      <c r="L3">
        <f t="shared" ref="L3:L66" si="1">EXP(0.2052)*K3*(D3/C3)</f>
        <v>0</v>
      </c>
      <c r="O3" s="4"/>
      <c r="P3" s="4"/>
      <c r="Q3" s="4"/>
      <c r="R3" s="4"/>
    </row>
    <row r="4" spans="1:18" x14ac:dyDescent="0.25">
      <c r="A4">
        <v>3</v>
      </c>
      <c r="B4">
        <v>505826.84419999999</v>
      </c>
      <c r="C4">
        <v>505826.84419999999</v>
      </c>
      <c r="D4">
        <v>0</v>
      </c>
      <c r="E4">
        <v>1.0299E-4</v>
      </c>
      <c r="F4" s="1">
        <v>1.13E-5</v>
      </c>
      <c r="H4">
        <v>3</v>
      </c>
      <c r="I4" t="str">
        <f t="shared" si="0"/>
        <v>YES</v>
      </c>
      <c r="J4" t="s">
        <v>14</v>
      </c>
      <c r="K4">
        <v>30794.773993800001</v>
      </c>
      <c r="L4">
        <f t="shared" si="1"/>
        <v>0</v>
      </c>
      <c r="N4" s="3" t="s">
        <v>7</v>
      </c>
      <c r="R4" s="6">
        <f>SUM(O2:R2)</f>
        <v>18380492.762495056</v>
      </c>
    </row>
    <row r="5" spans="1:18" x14ac:dyDescent="0.25">
      <c r="A5">
        <v>4</v>
      </c>
      <c r="B5">
        <v>553774.29469999997</v>
      </c>
      <c r="C5">
        <v>553774.29469999997</v>
      </c>
      <c r="D5">
        <v>0</v>
      </c>
      <c r="E5">
        <v>58.995292210000002</v>
      </c>
      <c r="F5" s="1">
        <v>7.11</v>
      </c>
      <c r="H5">
        <v>4</v>
      </c>
      <c r="I5" t="str">
        <f t="shared" si="0"/>
        <v>YES</v>
      </c>
      <c r="J5" t="s">
        <v>15</v>
      </c>
      <c r="K5">
        <v>13964.4501315</v>
      </c>
      <c r="L5">
        <f t="shared" si="1"/>
        <v>0</v>
      </c>
    </row>
    <row r="6" spans="1:18" x14ac:dyDescent="0.25">
      <c r="A6">
        <v>5</v>
      </c>
      <c r="B6">
        <v>546404.67570000002</v>
      </c>
      <c r="C6">
        <v>546404.67570000002</v>
      </c>
      <c r="D6">
        <v>0</v>
      </c>
      <c r="E6">
        <v>142.8118795</v>
      </c>
      <c r="F6" s="1">
        <v>17</v>
      </c>
      <c r="H6">
        <v>5</v>
      </c>
      <c r="I6" t="str">
        <f t="shared" si="0"/>
        <v>YES</v>
      </c>
      <c r="J6" t="s">
        <v>16</v>
      </c>
      <c r="K6">
        <v>33804.0912321</v>
      </c>
      <c r="L6">
        <f t="shared" si="1"/>
        <v>0</v>
      </c>
    </row>
    <row r="7" spans="1:18" x14ac:dyDescent="0.25">
      <c r="A7">
        <v>6</v>
      </c>
      <c r="B7">
        <v>342568.37469999999</v>
      </c>
      <c r="C7">
        <v>342568.37469999999</v>
      </c>
      <c r="D7">
        <v>0</v>
      </c>
      <c r="E7">
        <v>48.408190990000001</v>
      </c>
      <c r="F7" s="1">
        <v>3.61</v>
      </c>
      <c r="H7">
        <v>6</v>
      </c>
      <c r="I7" t="str">
        <f t="shared" si="0"/>
        <v>YES</v>
      </c>
      <c r="J7" t="s">
        <v>17</v>
      </c>
      <c r="K7">
        <v>23405.448840100002</v>
      </c>
      <c r="L7">
        <f t="shared" si="1"/>
        <v>0</v>
      </c>
    </row>
    <row r="8" spans="1:18" x14ac:dyDescent="0.25">
      <c r="A8">
        <v>7</v>
      </c>
      <c r="B8">
        <v>447450.14120000001</v>
      </c>
      <c r="C8">
        <v>447450.14120000001</v>
      </c>
      <c r="D8">
        <v>0</v>
      </c>
      <c r="E8">
        <v>178.3730884</v>
      </c>
      <c r="F8" s="1">
        <v>17.399999999999999</v>
      </c>
      <c r="H8">
        <v>7</v>
      </c>
      <c r="I8" t="str">
        <f t="shared" si="0"/>
        <v>YES</v>
      </c>
      <c r="J8" t="s">
        <v>18</v>
      </c>
      <c r="K8">
        <v>26724.962241199999</v>
      </c>
      <c r="L8">
        <f t="shared" si="1"/>
        <v>0</v>
      </c>
    </row>
    <row r="9" spans="1:18" x14ac:dyDescent="0.25">
      <c r="A9">
        <v>8</v>
      </c>
      <c r="B9">
        <v>395243.76449999999</v>
      </c>
      <c r="C9">
        <v>395243.76449999999</v>
      </c>
      <c r="D9">
        <v>0</v>
      </c>
      <c r="E9">
        <v>62.806573530000001</v>
      </c>
      <c r="F9" s="1">
        <v>5.4</v>
      </c>
      <c r="H9">
        <v>8</v>
      </c>
      <c r="I9" t="str">
        <f t="shared" si="0"/>
        <v>YES</v>
      </c>
      <c r="J9" t="s">
        <v>19</v>
      </c>
      <c r="K9">
        <v>25366.410253499998</v>
      </c>
      <c r="L9">
        <f t="shared" si="1"/>
        <v>0</v>
      </c>
    </row>
    <row r="10" spans="1:18" x14ac:dyDescent="0.25">
      <c r="A10">
        <v>9</v>
      </c>
      <c r="B10">
        <v>297697.62839999999</v>
      </c>
      <c r="C10">
        <v>297697.62839999999</v>
      </c>
      <c r="D10">
        <v>0</v>
      </c>
      <c r="E10">
        <v>377.57552980000003</v>
      </c>
      <c r="F10" s="1">
        <v>24.5</v>
      </c>
      <c r="H10">
        <v>9</v>
      </c>
      <c r="I10" t="str">
        <f t="shared" si="0"/>
        <v>YES</v>
      </c>
      <c r="J10" t="s">
        <v>20</v>
      </c>
      <c r="K10">
        <v>66847.647392800005</v>
      </c>
      <c r="L10">
        <f t="shared" si="1"/>
        <v>0</v>
      </c>
    </row>
    <row r="11" spans="1:18" x14ac:dyDescent="0.25">
      <c r="A11">
        <v>10</v>
      </c>
      <c r="B11">
        <v>379092.98019999999</v>
      </c>
      <c r="C11">
        <v>379092.98019999999</v>
      </c>
      <c r="D11">
        <v>0</v>
      </c>
      <c r="E11">
        <v>92.57474947</v>
      </c>
      <c r="F11" s="1">
        <v>7.64</v>
      </c>
      <c r="H11">
        <v>10</v>
      </c>
      <c r="I11" t="str">
        <f t="shared" si="0"/>
        <v>YES</v>
      </c>
      <c r="J11" t="s">
        <v>21</v>
      </c>
      <c r="K11">
        <v>32784.865805100002</v>
      </c>
      <c r="L11">
        <f t="shared" si="1"/>
        <v>0</v>
      </c>
    </row>
    <row r="12" spans="1:18" x14ac:dyDescent="0.25">
      <c r="A12">
        <v>11</v>
      </c>
      <c r="B12">
        <v>337462.87430000002</v>
      </c>
      <c r="C12">
        <v>337462.87430000002</v>
      </c>
      <c r="D12">
        <v>0</v>
      </c>
      <c r="E12">
        <v>1.0299E-4</v>
      </c>
      <c r="F12" s="1">
        <v>7.5700000000000004E-6</v>
      </c>
      <c r="H12">
        <v>11</v>
      </c>
      <c r="I12" t="str">
        <f t="shared" si="0"/>
        <v>YES</v>
      </c>
      <c r="J12" t="s">
        <v>22</v>
      </c>
      <c r="K12">
        <v>41747.854152899999</v>
      </c>
      <c r="L12">
        <f t="shared" si="1"/>
        <v>0</v>
      </c>
    </row>
    <row r="13" spans="1:18" x14ac:dyDescent="0.25">
      <c r="A13">
        <v>12</v>
      </c>
      <c r="B13">
        <v>357991.37280000001</v>
      </c>
      <c r="C13">
        <v>357991.37280000001</v>
      </c>
      <c r="D13">
        <v>0</v>
      </c>
      <c r="E13">
        <v>24.537710059999998</v>
      </c>
      <c r="F13" s="1">
        <v>1.91</v>
      </c>
      <c r="H13">
        <v>12</v>
      </c>
      <c r="I13" t="str">
        <f t="shared" si="0"/>
        <v>YES</v>
      </c>
      <c r="J13" t="s">
        <v>23</v>
      </c>
      <c r="K13">
        <v>30434.403301999999</v>
      </c>
      <c r="L13">
        <f t="shared" si="1"/>
        <v>0</v>
      </c>
    </row>
    <row r="14" spans="1:18" x14ac:dyDescent="0.25">
      <c r="A14">
        <v>13</v>
      </c>
      <c r="B14">
        <v>436547.72960000002</v>
      </c>
      <c r="C14">
        <v>436547.72960000002</v>
      </c>
      <c r="D14">
        <v>0</v>
      </c>
      <c r="E14">
        <v>32.264529150000001</v>
      </c>
      <c r="F14" s="1">
        <v>3.07</v>
      </c>
      <c r="H14">
        <v>13</v>
      </c>
      <c r="I14" t="str">
        <f t="shared" si="0"/>
        <v>YES</v>
      </c>
      <c r="J14" t="s">
        <v>24</v>
      </c>
      <c r="K14">
        <v>12779.907416800001</v>
      </c>
      <c r="L14">
        <f t="shared" si="1"/>
        <v>0</v>
      </c>
    </row>
    <row r="15" spans="1:18" x14ac:dyDescent="0.25">
      <c r="A15">
        <v>14</v>
      </c>
      <c r="B15">
        <v>477278.10139999999</v>
      </c>
      <c r="C15">
        <v>477278.10139999999</v>
      </c>
      <c r="D15">
        <v>0</v>
      </c>
      <c r="E15">
        <v>14.291226780000001</v>
      </c>
      <c r="F15" s="1">
        <v>1.49</v>
      </c>
      <c r="H15">
        <v>14</v>
      </c>
      <c r="I15" t="str">
        <f t="shared" si="0"/>
        <v>YES</v>
      </c>
      <c r="J15" t="s">
        <v>25</v>
      </c>
      <c r="K15">
        <v>20559.554293100002</v>
      </c>
      <c r="L15">
        <f t="shared" si="1"/>
        <v>0</v>
      </c>
    </row>
    <row r="16" spans="1:18" x14ac:dyDescent="0.25">
      <c r="A16">
        <v>15</v>
      </c>
      <c r="B16">
        <v>380423.7929</v>
      </c>
      <c r="C16">
        <v>380423.7929</v>
      </c>
      <c r="D16">
        <v>0</v>
      </c>
      <c r="E16">
        <v>26.29969088</v>
      </c>
      <c r="F16" s="1">
        <v>2.1800000000000002</v>
      </c>
      <c r="H16">
        <v>15</v>
      </c>
      <c r="I16" t="str">
        <f t="shared" si="0"/>
        <v>YES</v>
      </c>
      <c r="J16" t="s">
        <v>26</v>
      </c>
      <c r="K16">
        <v>20572.768520099999</v>
      </c>
      <c r="L16">
        <f t="shared" si="1"/>
        <v>0</v>
      </c>
    </row>
    <row r="17" spans="1:12" x14ac:dyDescent="0.25">
      <c r="A17">
        <v>16</v>
      </c>
      <c r="B17">
        <v>500344.1017</v>
      </c>
      <c r="C17">
        <v>500344.1017</v>
      </c>
      <c r="D17">
        <v>0</v>
      </c>
      <c r="E17">
        <v>1.0299E-4</v>
      </c>
      <c r="F17" s="1">
        <v>1.1199999999999999E-5</v>
      </c>
      <c r="H17">
        <v>16</v>
      </c>
      <c r="I17" t="str">
        <f t="shared" si="0"/>
        <v>YES</v>
      </c>
      <c r="J17" t="s">
        <v>27</v>
      </c>
      <c r="K17">
        <v>26328.303499099999</v>
      </c>
      <c r="L17">
        <f t="shared" si="1"/>
        <v>0</v>
      </c>
    </row>
    <row r="18" spans="1:12" x14ac:dyDescent="0.25">
      <c r="A18">
        <v>17</v>
      </c>
      <c r="B18">
        <v>405817.66460000002</v>
      </c>
      <c r="C18">
        <v>405817.66460000002</v>
      </c>
      <c r="D18">
        <v>0</v>
      </c>
      <c r="E18">
        <v>1.0299E-4</v>
      </c>
      <c r="F18" s="1">
        <v>9.0999999999999993E-6</v>
      </c>
      <c r="H18">
        <v>17</v>
      </c>
      <c r="I18" t="str">
        <f t="shared" si="0"/>
        <v>YES</v>
      </c>
      <c r="J18" t="s">
        <v>28</v>
      </c>
      <c r="K18">
        <v>40824.620434199998</v>
      </c>
      <c r="L18">
        <f t="shared" si="1"/>
        <v>0</v>
      </c>
    </row>
    <row r="19" spans="1:12" x14ac:dyDescent="0.25">
      <c r="A19">
        <v>18</v>
      </c>
      <c r="B19">
        <v>445777.7329</v>
      </c>
      <c r="C19">
        <v>445777.7329</v>
      </c>
      <c r="D19">
        <v>0</v>
      </c>
      <c r="E19">
        <v>56.944044460000001</v>
      </c>
      <c r="F19" s="1">
        <v>5.53</v>
      </c>
      <c r="H19">
        <v>18</v>
      </c>
      <c r="I19" t="str">
        <f t="shared" si="0"/>
        <v>YES</v>
      </c>
      <c r="J19" t="s">
        <v>29</v>
      </c>
      <c r="K19">
        <v>31599.516390299999</v>
      </c>
      <c r="L19">
        <f t="shared" si="1"/>
        <v>0</v>
      </c>
    </row>
    <row r="20" spans="1:12" x14ac:dyDescent="0.25">
      <c r="A20">
        <v>19</v>
      </c>
      <c r="B20">
        <v>450878.02289999998</v>
      </c>
      <c r="C20">
        <v>450878.02289999998</v>
      </c>
      <c r="D20">
        <v>0</v>
      </c>
      <c r="E20">
        <v>373.1507618</v>
      </c>
      <c r="F20" s="1">
        <v>36.6</v>
      </c>
      <c r="H20">
        <v>19</v>
      </c>
      <c r="I20" t="str">
        <f t="shared" si="0"/>
        <v>YES</v>
      </c>
      <c r="J20" t="s">
        <v>30</v>
      </c>
      <c r="K20">
        <v>118316.46610799999</v>
      </c>
      <c r="L20">
        <f t="shared" si="1"/>
        <v>0</v>
      </c>
    </row>
    <row r="21" spans="1:12" x14ac:dyDescent="0.25">
      <c r="A21">
        <v>20</v>
      </c>
      <c r="B21">
        <v>502288.82179999998</v>
      </c>
      <c r="C21">
        <v>502288.82179999998</v>
      </c>
      <c r="D21">
        <v>0</v>
      </c>
      <c r="E21">
        <v>73.756886219999998</v>
      </c>
      <c r="F21" s="1">
        <v>8.07</v>
      </c>
      <c r="H21">
        <v>20</v>
      </c>
      <c r="I21" t="str">
        <f t="shared" si="0"/>
        <v>YES</v>
      </c>
      <c r="J21" t="s">
        <v>31</v>
      </c>
      <c r="K21">
        <v>27769.699122900001</v>
      </c>
      <c r="L21">
        <f t="shared" si="1"/>
        <v>0</v>
      </c>
    </row>
    <row r="22" spans="1:12" x14ac:dyDescent="0.25">
      <c r="A22">
        <v>21</v>
      </c>
      <c r="B22">
        <v>541738.39029999997</v>
      </c>
      <c r="C22">
        <v>541738.39029999997</v>
      </c>
      <c r="D22">
        <v>0</v>
      </c>
      <c r="E22">
        <v>12.426970089999999</v>
      </c>
      <c r="F22" s="1">
        <v>1.47</v>
      </c>
      <c r="H22">
        <v>21</v>
      </c>
      <c r="I22" t="str">
        <f t="shared" si="0"/>
        <v>YES</v>
      </c>
      <c r="J22" t="s">
        <v>32</v>
      </c>
      <c r="K22">
        <v>15983.0442434</v>
      </c>
      <c r="L22">
        <f t="shared" si="1"/>
        <v>0</v>
      </c>
    </row>
    <row r="23" spans="1:12" x14ac:dyDescent="0.25">
      <c r="A23">
        <v>22</v>
      </c>
      <c r="B23">
        <v>562585.60560000001</v>
      </c>
      <c r="C23">
        <v>562585.60560000001</v>
      </c>
      <c r="D23">
        <v>0</v>
      </c>
      <c r="E23">
        <v>1.0299E-4</v>
      </c>
      <c r="F23" s="1">
        <v>1.26E-5</v>
      </c>
      <c r="H23">
        <v>22</v>
      </c>
      <c r="I23" t="str">
        <f t="shared" si="0"/>
        <v>YES</v>
      </c>
      <c r="J23" t="s">
        <v>33</v>
      </c>
      <c r="K23">
        <v>20519.076613099998</v>
      </c>
      <c r="L23">
        <f t="shared" si="1"/>
        <v>0</v>
      </c>
    </row>
    <row r="24" spans="1:12" x14ac:dyDescent="0.25">
      <c r="A24">
        <v>23</v>
      </c>
      <c r="B24">
        <v>564141.62809999997</v>
      </c>
      <c r="C24">
        <v>564141.62809999997</v>
      </c>
      <c r="D24">
        <v>0</v>
      </c>
      <c r="E24">
        <v>312.84690030000002</v>
      </c>
      <c r="F24" s="1">
        <v>38.4</v>
      </c>
      <c r="H24">
        <v>23</v>
      </c>
      <c r="I24" t="str">
        <f t="shared" si="0"/>
        <v>YES</v>
      </c>
      <c r="J24" t="s">
        <v>34</v>
      </c>
      <c r="K24">
        <v>24003.084115000001</v>
      </c>
      <c r="L24">
        <f t="shared" si="1"/>
        <v>0</v>
      </c>
    </row>
    <row r="25" spans="1:12" x14ac:dyDescent="0.25">
      <c r="A25">
        <v>24</v>
      </c>
      <c r="B25">
        <v>498597.93070000003</v>
      </c>
      <c r="C25">
        <v>498597.93070000003</v>
      </c>
      <c r="D25">
        <v>0</v>
      </c>
      <c r="E25">
        <v>181.1260925</v>
      </c>
      <c r="F25" s="1">
        <v>19.7</v>
      </c>
      <c r="H25">
        <v>24</v>
      </c>
      <c r="I25" t="str">
        <f t="shared" si="0"/>
        <v>YES</v>
      </c>
      <c r="J25" t="s">
        <v>35</v>
      </c>
      <c r="K25">
        <v>12648.1351997</v>
      </c>
      <c r="L25">
        <f t="shared" si="1"/>
        <v>0</v>
      </c>
    </row>
    <row r="26" spans="1:12" x14ac:dyDescent="0.25">
      <c r="A26">
        <v>25</v>
      </c>
      <c r="B26">
        <v>560605.33940000006</v>
      </c>
      <c r="C26">
        <v>560605.33940000006</v>
      </c>
      <c r="D26">
        <v>0</v>
      </c>
      <c r="E26">
        <v>7.0670884630000002</v>
      </c>
      <c r="F26" s="1">
        <v>0.86299999999999999</v>
      </c>
      <c r="H26">
        <v>25</v>
      </c>
      <c r="I26" t="str">
        <f t="shared" si="0"/>
        <v>YES</v>
      </c>
      <c r="J26" t="s">
        <v>36</v>
      </c>
      <c r="K26">
        <v>9991.8496929299999</v>
      </c>
      <c r="L26">
        <f t="shared" si="1"/>
        <v>0</v>
      </c>
    </row>
    <row r="27" spans="1:12" x14ac:dyDescent="0.25">
      <c r="A27">
        <v>26</v>
      </c>
      <c r="B27">
        <v>635493.98239999998</v>
      </c>
      <c r="C27">
        <v>634663.14879999997</v>
      </c>
      <c r="D27">
        <v>830.83360000000005</v>
      </c>
      <c r="E27">
        <v>6.4643265559999996</v>
      </c>
      <c r="F27" s="1">
        <v>0.89400000000000002</v>
      </c>
      <c r="H27">
        <v>26</v>
      </c>
      <c r="I27" t="str">
        <f t="shared" si="0"/>
        <v>YES</v>
      </c>
      <c r="J27" t="s">
        <v>37</v>
      </c>
      <c r="K27">
        <v>27298.336038500001</v>
      </c>
      <c r="L27">
        <f t="shared" si="1"/>
        <v>43.875711565984538</v>
      </c>
    </row>
    <row r="28" spans="1:12" x14ac:dyDescent="0.25">
      <c r="A28">
        <v>27</v>
      </c>
      <c r="B28">
        <v>555934.62650000001</v>
      </c>
      <c r="C28">
        <v>555934.62650000001</v>
      </c>
      <c r="D28">
        <v>0</v>
      </c>
      <c r="E28">
        <v>208.3514625</v>
      </c>
      <c r="F28" s="1">
        <v>25.2</v>
      </c>
      <c r="H28">
        <v>27</v>
      </c>
      <c r="I28" t="str">
        <f t="shared" si="0"/>
        <v>YES</v>
      </c>
      <c r="J28" t="s">
        <v>38</v>
      </c>
      <c r="K28">
        <v>7229.6376756899999</v>
      </c>
      <c r="L28">
        <f t="shared" si="1"/>
        <v>0</v>
      </c>
    </row>
    <row r="29" spans="1:12" x14ac:dyDescent="0.25">
      <c r="A29">
        <v>28</v>
      </c>
      <c r="B29">
        <v>568716.83239999996</v>
      </c>
      <c r="C29">
        <v>568716.83239999996</v>
      </c>
      <c r="D29">
        <v>0</v>
      </c>
      <c r="E29">
        <v>289.3970132</v>
      </c>
      <c r="F29" s="1">
        <v>35.799999999999997</v>
      </c>
      <c r="H29">
        <v>28</v>
      </c>
      <c r="I29" t="str">
        <f t="shared" si="0"/>
        <v>YES</v>
      </c>
      <c r="J29" t="s">
        <v>39</v>
      </c>
      <c r="K29">
        <v>9381.6680921900006</v>
      </c>
      <c r="L29">
        <f t="shared" si="1"/>
        <v>0</v>
      </c>
    </row>
    <row r="30" spans="1:12" x14ac:dyDescent="0.25">
      <c r="A30">
        <v>29</v>
      </c>
      <c r="B30">
        <v>603337.15549999999</v>
      </c>
      <c r="C30">
        <v>603337.15549999999</v>
      </c>
      <c r="D30">
        <v>0</v>
      </c>
      <c r="E30">
        <v>0.64245382500000003</v>
      </c>
      <c r="F30" s="1">
        <v>8.4400000000000003E-2</v>
      </c>
      <c r="H30">
        <v>29</v>
      </c>
      <c r="I30" t="str">
        <f t="shared" si="0"/>
        <v>YES</v>
      </c>
      <c r="J30" t="s">
        <v>40</v>
      </c>
      <c r="K30">
        <v>11975.350260699999</v>
      </c>
      <c r="L30">
        <f t="shared" si="1"/>
        <v>0</v>
      </c>
    </row>
    <row r="31" spans="1:12" x14ac:dyDescent="0.25">
      <c r="A31">
        <v>30</v>
      </c>
      <c r="B31">
        <v>575646.05630000005</v>
      </c>
      <c r="C31">
        <v>575646.05630000005</v>
      </c>
      <c r="D31">
        <v>0</v>
      </c>
      <c r="E31">
        <v>27.62682143</v>
      </c>
      <c r="F31" s="1">
        <v>3.46</v>
      </c>
      <c r="H31">
        <v>30</v>
      </c>
      <c r="I31" t="str">
        <f t="shared" si="0"/>
        <v>YES</v>
      </c>
      <c r="J31" t="s">
        <v>41</v>
      </c>
      <c r="K31">
        <v>32090.318567099999</v>
      </c>
      <c r="L31">
        <f t="shared" si="1"/>
        <v>0</v>
      </c>
    </row>
    <row r="32" spans="1:12" x14ac:dyDescent="0.25">
      <c r="A32">
        <v>31</v>
      </c>
      <c r="B32">
        <v>586446.74959999998</v>
      </c>
      <c r="C32">
        <v>586446.74959999998</v>
      </c>
      <c r="D32">
        <v>0</v>
      </c>
      <c r="E32">
        <v>16.333015</v>
      </c>
      <c r="F32" s="1">
        <v>2.09</v>
      </c>
      <c r="H32">
        <v>31</v>
      </c>
      <c r="I32" t="str">
        <f t="shared" si="0"/>
        <v>YES</v>
      </c>
      <c r="J32" t="s">
        <v>42</v>
      </c>
      <c r="K32">
        <v>29015.888316299999</v>
      </c>
      <c r="L32">
        <f t="shared" si="1"/>
        <v>0</v>
      </c>
    </row>
    <row r="33" spans="1:12" x14ac:dyDescent="0.25">
      <c r="A33">
        <v>32</v>
      </c>
      <c r="B33">
        <v>598863.00379999995</v>
      </c>
      <c r="C33">
        <v>598863.00379999995</v>
      </c>
      <c r="D33">
        <v>0</v>
      </c>
      <c r="E33">
        <v>266.46666870000001</v>
      </c>
      <c r="F33" s="1">
        <v>34.700000000000003</v>
      </c>
      <c r="H33">
        <v>32</v>
      </c>
      <c r="I33" t="str">
        <f t="shared" si="0"/>
        <v>YES</v>
      </c>
      <c r="J33" t="s">
        <v>43</v>
      </c>
      <c r="K33">
        <v>12695.541349900001</v>
      </c>
      <c r="L33">
        <f t="shared" si="1"/>
        <v>0</v>
      </c>
    </row>
    <row r="34" spans="1:12" x14ac:dyDescent="0.25">
      <c r="A34">
        <v>33</v>
      </c>
      <c r="B34">
        <v>602327.17819999997</v>
      </c>
      <c r="C34">
        <v>601496.34459999995</v>
      </c>
      <c r="D34">
        <v>830.83360000000005</v>
      </c>
      <c r="E34">
        <v>1.0299E-4</v>
      </c>
      <c r="F34" s="1">
        <v>1.3499999999999999E-5</v>
      </c>
      <c r="H34">
        <v>33</v>
      </c>
      <c r="I34" t="str">
        <f t="shared" si="0"/>
        <v>YES</v>
      </c>
      <c r="J34" t="s">
        <v>44</v>
      </c>
      <c r="K34">
        <v>13111.9909143</v>
      </c>
      <c r="L34">
        <f t="shared" si="1"/>
        <v>22.236525382735181</v>
      </c>
    </row>
    <row r="35" spans="1:12" x14ac:dyDescent="0.25">
      <c r="A35">
        <v>34</v>
      </c>
      <c r="B35">
        <v>600689.88500000001</v>
      </c>
      <c r="C35">
        <v>599859.0514</v>
      </c>
      <c r="D35">
        <v>830.83360000000005</v>
      </c>
      <c r="E35">
        <v>27.437292710000001</v>
      </c>
      <c r="F35" s="1">
        <v>3.59</v>
      </c>
      <c r="H35">
        <v>34</v>
      </c>
      <c r="I35" t="str">
        <f t="shared" si="0"/>
        <v>YES</v>
      </c>
      <c r="J35" t="s">
        <v>45</v>
      </c>
      <c r="K35">
        <v>14064.622455999999</v>
      </c>
      <c r="L35">
        <f t="shared" si="1"/>
        <v>23.917189338917954</v>
      </c>
    </row>
    <row r="36" spans="1:12" x14ac:dyDescent="0.25">
      <c r="A36">
        <v>35</v>
      </c>
      <c r="B36">
        <v>468243.08049999998</v>
      </c>
      <c r="C36">
        <v>468243.08049999998</v>
      </c>
      <c r="D36">
        <v>0</v>
      </c>
      <c r="E36">
        <v>13.848952000000001</v>
      </c>
      <c r="F36" s="1">
        <v>1.41</v>
      </c>
      <c r="H36">
        <v>35</v>
      </c>
      <c r="I36" t="str">
        <f t="shared" si="0"/>
        <v>YES</v>
      </c>
      <c r="J36" t="s">
        <v>46</v>
      </c>
      <c r="K36">
        <v>431650.55952499999</v>
      </c>
      <c r="L36">
        <f t="shared" si="1"/>
        <v>0</v>
      </c>
    </row>
    <row r="37" spans="1:12" x14ac:dyDescent="0.25">
      <c r="A37">
        <v>36</v>
      </c>
      <c r="B37">
        <v>602629.00690000004</v>
      </c>
      <c r="C37">
        <v>601905.54110000003</v>
      </c>
      <c r="D37">
        <v>723.46579999999994</v>
      </c>
      <c r="E37">
        <v>1.0299E-4</v>
      </c>
      <c r="F37" s="1">
        <v>1.3499999999999999E-5</v>
      </c>
      <c r="H37">
        <v>36</v>
      </c>
      <c r="I37" t="str">
        <f t="shared" si="0"/>
        <v>YES</v>
      </c>
      <c r="J37" t="s">
        <v>47</v>
      </c>
      <c r="K37">
        <v>19950.237970900002</v>
      </c>
      <c r="L37">
        <f t="shared" si="1"/>
        <v>29.441163726859344</v>
      </c>
    </row>
    <row r="38" spans="1:12" x14ac:dyDescent="0.25">
      <c r="A38">
        <v>37</v>
      </c>
      <c r="B38">
        <v>639354.84539999999</v>
      </c>
      <c r="C38">
        <v>632414.45990000002</v>
      </c>
      <c r="D38">
        <v>6940.3855000000003</v>
      </c>
      <c r="E38">
        <v>1.0299E-4</v>
      </c>
      <c r="F38" s="1">
        <v>1.43E-5</v>
      </c>
      <c r="H38">
        <v>37</v>
      </c>
      <c r="I38" t="str">
        <f t="shared" si="0"/>
        <v>YES</v>
      </c>
      <c r="J38" t="s">
        <v>48</v>
      </c>
      <c r="K38">
        <v>12826.7605449</v>
      </c>
      <c r="L38">
        <f t="shared" si="1"/>
        <v>172.82876133130026</v>
      </c>
    </row>
    <row r="39" spans="1:12" x14ac:dyDescent="0.25">
      <c r="A39">
        <v>38</v>
      </c>
      <c r="B39">
        <v>632077.70209999999</v>
      </c>
      <c r="C39">
        <v>631246.86849999998</v>
      </c>
      <c r="D39">
        <v>830.83360000000005</v>
      </c>
      <c r="E39">
        <v>0.64244681800000003</v>
      </c>
      <c r="F39" s="1">
        <v>8.8400000000000006E-2</v>
      </c>
      <c r="H39">
        <v>38</v>
      </c>
      <c r="I39" t="str">
        <f t="shared" si="0"/>
        <v>YES</v>
      </c>
      <c r="J39" t="s">
        <v>49</v>
      </c>
      <c r="K39">
        <v>7629.5623211299999</v>
      </c>
      <c r="L39">
        <f t="shared" si="1"/>
        <v>12.32910830109498</v>
      </c>
    </row>
    <row r="40" spans="1:12" x14ac:dyDescent="0.25">
      <c r="A40">
        <v>39</v>
      </c>
      <c r="B40">
        <v>635331.43960000004</v>
      </c>
      <c r="C40">
        <v>634500.60600000003</v>
      </c>
      <c r="D40">
        <v>830.83360000000005</v>
      </c>
      <c r="E40">
        <v>1.0299E-4</v>
      </c>
      <c r="F40" s="1">
        <v>1.42E-5</v>
      </c>
      <c r="H40">
        <v>39</v>
      </c>
      <c r="I40" t="str">
        <f t="shared" si="0"/>
        <v>YES</v>
      </c>
      <c r="J40" t="s">
        <v>50</v>
      </c>
      <c r="K40">
        <v>19490.928752100001</v>
      </c>
      <c r="L40">
        <f t="shared" si="1"/>
        <v>31.335149573329215</v>
      </c>
    </row>
    <row r="41" spans="1:12" x14ac:dyDescent="0.25">
      <c r="A41">
        <v>40</v>
      </c>
      <c r="B41">
        <v>655706.60580000002</v>
      </c>
      <c r="C41">
        <v>654875.77229999995</v>
      </c>
      <c r="D41">
        <v>830.83349999999996</v>
      </c>
      <c r="E41">
        <v>82.635116080000003</v>
      </c>
      <c r="F41" s="1">
        <v>11.8</v>
      </c>
      <c r="H41">
        <v>40</v>
      </c>
      <c r="I41" t="str">
        <f t="shared" si="0"/>
        <v>YES</v>
      </c>
      <c r="J41" t="s">
        <v>51</v>
      </c>
      <c r="K41">
        <v>14572.6498787</v>
      </c>
      <c r="L41">
        <f t="shared" si="1"/>
        <v>22.699214778975655</v>
      </c>
    </row>
    <row r="42" spans="1:12" x14ac:dyDescent="0.25">
      <c r="A42">
        <v>41</v>
      </c>
      <c r="B42">
        <v>626536.66859999998</v>
      </c>
      <c r="C42">
        <v>625705.83499999996</v>
      </c>
      <c r="D42">
        <v>830.83360000000005</v>
      </c>
      <c r="E42">
        <v>6.083398538</v>
      </c>
      <c r="F42" s="1">
        <v>0.83</v>
      </c>
      <c r="H42">
        <v>41</v>
      </c>
      <c r="I42" t="str">
        <f t="shared" si="0"/>
        <v>YES</v>
      </c>
      <c r="J42" t="s">
        <v>52</v>
      </c>
      <c r="K42">
        <v>7146.8169257999998</v>
      </c>
      <c r="L42">
        <f t="shared" si="1"/>
        <v>11.651282479070289</v>
      </c>
    </row>
    <row r="43" spans="1:12" x14ac:dyDescent="0.25">
      <c r="A43">
        <v>42</v>
      </c>
      <c r="B43">
        <v>623863.46889999998</v>
      </c>
      <c r="C43">
        <v>623032.63529999997</v>
      </c>
      <c r="D43">
        <v>830.83360000000005</v>
      </c>
      <c r="E43">
        <v>1.0299E-4</v>
      </c>
      <c r="F43" s="1">
        <v>1.4E-5</v>
      </c>
      <c r="H43">
        <v>42</v>
      </c>
      <c r="I43" t="str">
        <f t="shared" si="0"/>
        <v>YES</v>
      </c>
      <c r="J43" t="s">
        <v>53</v>
      </c>
      <c r="K43">
        <v>6357.7394058</v>
      </c>
      <c r="L43">
        <f t="shared" si="1"/>
        <v>10.409340285157466</v>
      </c>
    </row>
    <row r="44" spans="1:12" x14ac:dyDescent="0.25">
      <c r="A44">
        <v>43</v>
      </c>
      <c r="B44">
        <v>619908.06140000001</v>
      </c>
      <c r="C44">
        <v>613221.04539999994</v>
      </c>
      <c r="D44">
        <v>6687.0159999999996</v>
      </c>
      <c r="E44">
        <v>1.0299E-4</v>
      </c>
      <c r="F44" s="1">
        <v>1.3900000000000001E-5</v>
      </c>
      <c r="H44">
        <v>43</v>
      </c>
      <c r="I44" t="str">
        <f t="shared" si="0"/>
        <v>YES</v>
      </c>
      <c r="J44" t="s">
        <v>54</v>
      </c>
      <c r="K44">
        <v>6398.7545548899998</v>
      </c>
      <c r="L44">
        <f t="shared" si="1"/>
        <v>85.669846855204469</v>
      </c>
    </row>
    <row r="45" spans="1:12" x14ac:dyDescent="0.25">
      <c r="A45">
        <v>44</v>
      </c>
      <c r="B45">
        <v>629976.38749999995</v>
      </c>
      <c r="C45">
        <v>623289.37150000001</v>
      </c>
      <c r="D45">
        <v>6687.0159999999996</v>
      </c>
      <c r="E45">
        <v>1.0299E-4</v>
      </c>
      <c r="F45" s="1">
        <v>1.4100000000000001E-5</v>
      </c>
      <c r="H45">
        <v>44</v>
      </c>
      <c r="I45" t="str">
        <f t="shared" si="0"/>
        <v>YES</v>
      </c>
      <c r="J45" t="s">
        <v>55</v>
      </c>
      <c r="K45">
        <v>11622.654324900001</v>
      </c>
      <c r="L45">
        <f t="shared" si="1"/>
        <v>153.09647460870863</v>
      </c>
    </row>
    <row r="46" spans="1:12" x14ac:dyDescent="0.25">
      <c r="A46">
        <v>45</v>
      </c>
      <c r="B46">
        <v>630665.86430000002</v>
      </c>
      <c r="C46">
        <v>623978.84829999995</v>
      </c>
      <c r="D46">
        <v>6687.0159999999996</v>
      </c>
      <c r="E46">
        <v>179.87124829999999</v>
      </c>
      <c r="F46" s="1">
        <v>24.7</v>
      </c>
      <c r="H46">
        <v>45</v>
      </c>
      <c r="I46" t="str">
        <f t="shared" si="0"/>
        <v>YES</v>
      </c>
      <c r="J46" t="s">
        <v>56</v>
      </c>
      <c r="K46">
        <v>22184.0785019</v>
      </c>
      <c r="L46">
        <f t="shared" si="1"/>
        <v>291.89127612462607</v>
      </c>
    </row>
    <row r="47" spans="1:12" x14ac:dyDescent="0.25">
      <c r="A47">
        <v>46</v>
      </c>
      <c r="B47">
        <v>684478.78639999998</v>
      </c>
      <c r="C47">
        <v>683647.95279999997</v>
      </c>
      <c r="D47">
        <v>830.83360000000005</v>
      </c>
      <c r="E47">
        <v>92.550024480000005</v>
      </c>
      <c r="F47" s="1">
        <v>13.8</v>
      </c>
      <c r="H47">
        <v>46</v>
      </c>
      <c r="I47" t="str">
        <f t="shared" si="0"/>
        <v>YES</v>
      </c>
      <c r="J47" t="s">
        <v>57</v>
      </c>
      <c r="K47">
        <v>6129.6114671400001</v>
      </c>
      <c r="L47">
        <f t="shared" si="1"/>
        <v>9.1460107776766453</v>
      </c>
    </row>
    <row r="48" spans="1:12" x14ac:dyDescent="0.25">
      <c r="A48">
        <v>47</v>
      </c>
      <c r="B48">
        <v>707724.44050000003</v>
      </c>
      <c r="C48">
        <v>706893.60699999996</v>
      </c>
      <c r="D48">
        <v>830.83349999999996</v>
      </c>
      <c r="E48">
        <v>242.9354251</v>
      </c>
      <c r="F48" s="1">
        <v>37.4</v>
      </c>
      <c r="H48">
        <v>47</v>
      </c>
      <c r="I48" t="str">
        <f t="shared" si="0"/>
        <v>YES</v>
      </c>
      <c r="J48" t="s">
        <v>58</v>
      </c>
      <c r="K48">
        <v>13887.999460700001</v>
      </c>
      <c r="L48">
        <f t="shared" si="1"/>
        <v>20.04088352726221</v>
      </c>
    </row>
    <row r="49" spans="1:12" x14ac:dyDescent="0.25">
      <c r="A49">
        <v>48</v>
      </c>
      <c r="B49">
        <v>684155.83570000005</v>
      </c>
      <c r="C49">
        <v>683325.00210000004</v>
      </c>
      <c r="D49">
        <v>830.83360000000005</v>
      </c>
      <c r="E49">
        <v>12.38459587</v>
      </c>
      <c r="F49" s="1">
        <v>1.84</v>
      </c>
      <c r="H49">
        <v>48</v>
      </c>
      <c r="I49" t="str">
        <f t="shared" si="0"/>
        <v>YES</v>
      </c>
      <c r="J49" t="s">
        <v>59</v>
      </c>
      <c r="K49">
        <v>13399.928260799999</v>
      </c>
      <c r="L49">
        <f t="shared" si="1"/>
        <v>20.003520759985062</v>
      </c>
    </row>
    <row r="50" spans="1:12" x14ac:dyDescent="0.25">
      <c r="A50">
        <v>49</v>
      </c>
      <c r="B50">
        <v>647009.74580000003</v>
      </c>
      <c r="C50">
        <v>640322.72990000003</v>
      </c>
      <c r="D50">
        <v>6687.0159000000003</v>
      </c>
      <c r="E50">
        <v>16.655097520000002</v>
      </c>
      <c r="F50" s="1">
        <v>2.35</v>
      </c>
      <c r="H50">
        <v>49</v>
      </c>
      <c r="I50" t="str">
        <f t="shared" si="0"/>
        <v>YES</v>
      </c>
      <c r="J50" t="s">
        <v>60</v>
      </c>
      <c r="K50">
        <v>12977.6741275</v>
      </c>
      <c r="L50">
        <f t="shared" si="1"/>
        <v>166.39778073196015</v>
      </c>
    </row>
    <row r="51" spans="1:12" x14ac:dyDescent="0.25">
      <c r="A51">
        <v>50</v>
      </c>
      <c r="B51">
        <v>654925.21810000006</v>
      </c>
      <c r="C51">
        <v>646642.72640000004</v>
      </c>
      <c r="D51">
        <v>8282.4917000000005</v>
      </c>
      <c r="E51">
        <v>1.0299E-4</v>
      </c>
      <c r="F51" s="1">
        <v>1.47E-5</v>
      </c>
      <c r="H51">
        <v>50</v>
      </c>
      <c r="I51" t="str">
        <f t="shared" si="0"/>
        <v>YES</v>
      </c>
      <c r="J51" t="s">
        <v>61</v>
      </c>
      <c r="K51">
        <v>16749.4053322</v>
      </c>
      <c r="L51">
        <f t="shared" si="1"/>
        <v>263.39846073811088</v>
      </c>
    </row>
    <row r="52" spans="1:12" x14ac:dyDescent="0.25">
      <c r="A52">
        <v>51</v>
      </c>
      <c r="B52">
        <v>644999.35789999994</v>
      </c>
      <c r="C52">
        <v>636716.86620000005</v>
      </c>
      <c r="D52">
        <v>8282.4917000000005</v>
      </c>
      <c r="E52">
        <v>14.519827279999999</v>
      </c>
      <c r="F52" s="1">
        <v>2.04</v>
      </c>
      <c r="H52">
        <v>51</v>
      </c>
      <c r="I52" t="str">
        <f t="shared" si="0"/>
        <v>YES</v>
      </c>
      <c r="J52" t="s">
        <v>62</v>
      </c>
      <c r="K52">
        <v>12746.483319700001</v>
      </c>
      <c r="L52">
        <f t="shared" si="1"/>
        <v>203.57397876970026</v>
      </c>
    </row>
    <row r="53" spans="1:12" x14ac:dyDescent="0.25">
      <c r="A53">
        <v>52</v>
      </c>
      <c r="B53">
        <v>663409.15960000001</v>
      </c>
      <c r="C53">
        <v>654341.81259999995</v>
      </c>
      <c r="D53">
        <v>9067.3469999999998</v>
      </c>
      <c r="E53">
        <v>1.0299E-4</v>
      </c>
      <c r="F53" s="1">
        <v>1.49E-5</v>
      </c>
      <c r="H53">
        <v>52</v>
      </c>
      <c r="I53" t="str">
        <f t="shared" si="0"/>
        <v>YES</v>
      </c>
      <c r="J53" t="s">
        <v>63</v>
      </c>
      <c r="K53">
        <v>15234.7412754</v>
      </c>
      <c r="L53">
        <f t="shared" si="1"/>
        <v>259.19574888798752</v>
      </c>
    </row>
    <row r="54" spans="1:12" x14ac:dyDescent="0.25">
      <c r="A54">
        <v>53</v>
      </c>
      <c r="B54">
        <v>558219.8077</v>
      </c>
      <c r="C54">
        <v>558219.8077</v>
      </c>
      <c r="D54">
        <v>0</v>
      </c>
      <c r="E54">
        <v>0.60811349599999998</v>
      </c>
      <c r="F54" s="1">
        <v>7.3899999999999993E-2</v>
      </c>
      <c r="H54">
        <v>53</v>
      </c>
      <c r="I54" t="str">
        <f t="shared" si="0"/>
        <v>YES</v>
      </c>
      <c r="J54" t="s">
        <v>64</v>
      </c>
      <c r="K54">
        <v>29032.559453099999</v>
      </c>
      <c r="L54">
        <f t="shared" si="1"/>
        <v>0</v>
      </c>
    </row>
    <row r="55" spans="1:12" x14ac:dyDescent="0.25">
      <c r="A55">
        <v>54</v>
      </c>
      <c r="B55">
        <v>658719.50659999996</v>
      </c>
      <c r="C55">
        <v>657888.67310000001</v>
      </c>
      <c r="D55">
        <v>830.83349999999996</v>
      </c>
      <c r="E55">
        <v>1.8512642050000001</v>
      </c>
      <c r="F55" s="1">
        <v>0.26600000000000001</v>
      </c>
      <c r="H55">
        <v>54</v>
      </c>
      <c r="I55" t="str">
        <f t="shared" si="0"/>
        <v>YES</v>
      </c>
      <c r="J55" t="s">
        <v>65</v>
      </c>
      <c r="K55">
        <v>17119.204949200001</v>
      </c>
      <c r="L55">
        <f t="shared" si="1"/>
        <v>26.543757996274095</v>
      </c>
    </row>
    <row r="56" spans="1:12" x14ac:dyDescent="0.25">
      <c r="A56">
        <v>55</v>
      </c>
      <c r="B56">
        <v>668261.40110000002</v>
      </c>
      <c r="C56">
        <v>667430.5675</v>
      </c>
      <c r="D56">
        <v>830.83360000000005</v>
      </c>
      <c r="E56">
        <v>1.1107471959999999</v>
      </c>
      <c r="F56" s="1">
        <v>0.16200000000000001</v>
      </c>
      <c r="H56">
        <v>55</v>
      </c>
      <c r="I56" t="str">
        <f t="shared" si="0"/>
        <v>YES</v>
      </c>
      <c r="J56" t="s">
        <v>66</v>
      </c>
      <c r="K56">
        <v>10947.031665</v>
      </c>
      <c r="L56">
        <f t="shared" si="1"/>
        <v>16.730986960018431</v>
      </c>
    </row>
    <row r="57" spans="1:12" x14ac:dyDescent="0.25">
      <c r="A57">
        <v>56</v>
      </c>
      <c r="B57">
        <v>710656.07949999999</v>
      </c>
      <c r="C57">
        <v>703969.06350000005</v>
      </c>
      <c r="D57">
        <v>6687.0159999999996</v>
      </c>
      <c r="E57">
        <v>13.10067463</v>
      </c>
      <c r="F57" s="1">
        <v>2.0299999999999998</v>
      </c>
      <c r="H57">
        <v>56</v>
      </c>
      <c r="I57" t="str">
        <f t="shared" si="0"/>
        <v>YES</v>
      </c>
      <c r="J57" t="s">
        <v>67</v>
      </c>
      <c r="K57">
        <v>12411.3038514</v>
      </c>
      <c r="L57">
        <f t="shared" si="1"/>
        <v>144.7482840386416</v>
      </c>
    </row>
    <row r="58" spans="1:12" x14ac:dyDescent="0.25">
      <c r="A58">
        <v>57</v>
      </c>
      <c r="B58">
        <v>723551.40489999996</v>
      </c>
      <c r="C58">
        <v>716864.38890000002</v>
      </c>
      <c r="D58">
        <v>6687.0159999999996</v>
      </c>
      <c r="E58">
        <v>49.915675800000002</v>
      </c>
      <c r="F58" s="1">
        <v>7.86</v>
      </c>
      <c r="H58">
        <v>57</v>
      </c>
      <c r="I58" t="str">
        <f t="shared" si="0"/>
        <v>YES</v>
      </c>
      <c r="J58" t="s">
        <v>68</v>
      </c>
      <c r="K58">
        <v>30102.616279599999</v>
      </c>
      <c r="L58">
        <f t="shared" si="1"/>
        <v>344.75996333437752</v>
      </c>
    </row>
    <row r="59" spans="1:12" x14ac:dyDescent="0.25">
      <c r="A59">
        <v>58</v>
      </c>
      <c r="B59">
        <v>693505.19019999995</v>
      </c>
      <c r="C59">
        <v>686818.17420000001</v>
      </c>
      <c r="D59">
        <v>6687.0159999999996</v>
      </c>
      <c r="E59">
        <v>0.79684789600000006</v>
      </c>
      <c r="F59" s="1">
        <v>0.12</v>
      </c>
      <c r="H59">
        <v>58</v>
      </c>
      <c r="I59" t="str">
        <f t="shared" si="0"/>
        <v>YES</v>
      </c>
      <c r="J59" t="s">
        <v>69</v>
      </c>
      <c r="K59">
        <v>21693.943382699999</v>
      </c>
      <c r="L59">
        <f t="shared" si="1"/>
        <v>259.32615073645621</v>
      </c>
    </row>
    <row r="60" spans="1:12" x14ac:dyDescent="0.25">
      <c r="A60">
        <v>59</v>
      </c>
      <c r="B60">
        <v>665124.23230000003</v>
      </c>
      <c r="C60">
        <v>656568.69330000004</v>
      </c>
      <c r="D60">
        <v>8555.5390000000007</v>
      </c>
      <c r="E60">
        <v>1.0299E-4</v>
      </c>
      <c r="F60" s="1">
        <v>1.49E-5</v>
      </c>
      <c r="H60">
        <v>59</v>
      </c>
      <c r="I60" t="str">
        <f t="shared" si="0"/>
        <v>YES</v>
      </c>
      <c r="J60" t="s">
        <v>70</v>
      </c>
      <c r="K60">
        <v>10366.0195212</v>
      </c>
      <c r="L60">
        <f t="shared" si="1"/>
        <v>165.84273627537175</v>
      </c>
    </row>
    <row r="61" spans="1:12" x14ac:dyDescent="0.25">
      <c r="A61">
        <v>60</v>
      </c>
      <c r="B61">
        <v>659034.6986</v>
      </c>
      <c r="C61">
        <v>659034.6986</v>
      </c>
      <c r="D61">
        <v>0</v>
      </c>
      <c r="E61">
        <v>46.757101409999997</v>
      </c>
      <c r="F61" s="1">
        <v>6.71</v>
      </c>
      <c r="H61">
        <v>60</v>
      </c>
      <c r="I61" t="str">
        <f t="shared" si="0"/>
        <v>YES</v>
      </c>
      <c r="J61" t="s">
        <v>71</v>
      </c>
      <c r="K61">
        <v>10816.1341973</v>
      </c>
      <c r="L61">
        <f t="shared" si="1"/>
        <v>0</v>
      </c>
    </row>
    <row r="62" spans="1:12" x14ac:dyDescent="0.25">
      <c r="A62">
        <v>61</v>
      </c>
      <c r="B62">
        <v>690369.16469999996</v>
      </c>
      <c r="C62">
        <v>680583.82539999997</v>
      </c>
      <c r="D62">
        <v>9785.3392999999996</v>
      </c>
      <c r="E62">
        <v>1.0299E-4</v>
      </c>
      <c r="F62" s="1">
        <v>1.5500000000000001E-5</v>
      </c>
      <c r="H62">
        <v>61</v>
      </c>
      <c r="I62" t="str">
        <f t="shared" si="0"/>
        <v>YES</v>
      </c>
      <c r="J62" t="s">
        <v>72</v>
      </c>
      <c r="K62">
        <v>9573.4300004699999</v>
      </c>
      <c r="L62">
        <f t="shared" si="1"/>
        <v>168.99702499336664</v>
      </c>
    </row>
    <row r="63" spans="1:12" x14ac:dyDescent="0.25">
      <c r="A63">
        <v>62</v>
      </c>
      <c r="B63">
        <v>665931.77650000004</v>
      </c>
      <c r="C63">
        <v>655803.60019999999</v>
      </c>
      <c r="D63">
        <v>10128.176299999999</v>
      </c>
      <c r="E63">
        <v>91.761529429999996</v>
      </c>
      <c r="F63" s="1">
        <v>13.3</v>
      </c>
      <c r="H63">
        <v>62</v>
      </c>
      <c r="I63" t="str">
        <f t="shared" si="0"/>
        <v>YES</v>
      </c>
      <c r="J63" t="s">
        <v>73</v>
      </c>
      <c r="K63">
        <v>14067.419826200001</v>
      </c>
      <c r="L63">
        <f t="shared" si="1"/>
        <v>266.74060526967554</v>
      </c>
    </row>
    <row r="64" spans="1:12" x14ac:dyDescent="0.25">
      <c r="A64">
        <v>63</v>
      </c>
      <c r="B64">
        <v>675235.99919999996</v>
      </c>
      <c r="C64">
        <v>665915.45920000004</v>
      </c>
      <c r="D64">
        <v>9320.5400000000009</v>
      </c>
      <c r="E64">
        <v>30.11767072</v>
      </c>
      <c r="F64" s="1">
        <v>4.43</v>
      </c>
      <c r="H64">
        <v>63</v>
      </c>
      <c r="I64" t="str">
        <f t="shared" si="0"/>
        <v>YES</v>
      </c>
      <c r="J64" t="s">
        <v>74</v>
      </c>
      <c r="K64">
        <v>68780.052886100006</v>
      </c>
      <c r="L64">
        <f t="shared" si="1"/>
        <v>1181.9570912534509</v>
      </c>
    </row>
    <row r="65" spans="1:12" x14ac:dyDescent="0.25">
      <c r="A65">
        <v>64</v>
      </c>
      <c r="B65">
        <v>279396.8028</v>
      </c>
      <c r="C65">
        <v>279396.8028</v>
      </c>
      <c r="D65">
        <v>0</v>
      </c>
      <c r="E65">
        <v>3.1959672970000002</v>
      </c>
      <c r="F65" s="1">
        <v>0.19400000000000001</v>
      </c>
      <c r="H65">
        <v>64</v>
      </c>
      <c r="I65" t="str">
        <f t="shared" si="0"/>
        <v>YES</v>
      </c>
      <c r="J65" t="s">
        <v>75</v>
      </c>
      <c r="K65">
        <v>143531.902665</v>
      </c>
      <c r="L65">
        <f t="shared" si="1"/>
        <v>0</v>
      </c>
    </row>
    <row r="66" spans="1:12" x14ac:dyDescent="0.25">
      <c r="A66">
        <v>65</v>
      </c>
      <c r="B66">
        <v>532611.43290000001</v>
      </c>
      <c r="C66">
        <v>532611.43290000001</v>
      </c>
      <c r="D66">
        <v>0</v>
      </c>
      <c r="E66">
        <v>528.39635520000002</v>
      </c>
      <c r="F66" s="1">
        <v>61.3</v>
      </c>
      <c r="H66">
        <v>65</v>
      </c>
      <c r="I66" t="str">
        <f t="shared" si="0"/>
        <v>YES</v>
      </c>
      <c r="J66" t="s">
        <v>76</v>
      </c>
      <c r="K66">
        <v>14395.444787300001</v>
      </c>
      <c r="L66">
        <f t="shared" si="1"/>
        <v>0</v>
      </c>
    </row>
    <row r="67" spans="1:12" x14ac:dyDescent="0.25">
      <c r="A67">
        <v>66</v>
      </c>
      <c r="B67">
        <v>553286.84589999996</v>
      </c>
      <c r="C67">
        <v>553286.84589999996</v>
      </c>
      <c r="D67">
        <v>0</v>
      </c>
      <c r="E67">
        <v>1.0299E-4</v>
      </c>
      <c r="F67" s="1">
        <v>1.24E-5</v>
      </c>
      <c r="H67">
        <v>66</v>
      </c>
      <c r="I67" t="str">
        <f t="shared" ref="I67:I130" si="2">IF(A67=H67,"YES","NO")</f>
        <v>YES</v>
      </c>
      <c r="J67" t="s">
        <v>77</v>
      </c>
      <c r="K67">
        <v>16475.591944100001</v>
      </c>
      <c r="L67">
        <f t="shared" ref="L67:L130" si="3">EXP(0.2052)*K67*(D67/C67)</f>
        <v>0</v>
      </c>
    </row>
    <row r="68" spans="1:12" x14ac:dyDescent="0.25">
      <c r="A68">
        <v>67</v>
      </c>
      <c r="B68">
        <v>599496.26370000001</v>
      </c>
      <c r="C68">
        <v>595570.29410000006</v>
      </c>
      <c r="D68">
        <v>3925.9695999999999</v>
      </c>
      <c r="E68">
        <v>138.81493330000001</v>
      </c>
      <c r="F68" s="1">
        <v>18.100000000000001</v>
      </c>
      <c r="H68">
        <v>67</v>
      </c>
      <c r="I68" t="str">
        <f t="shared" si="2"/>
        <v>YES</v>
      </c>
      <c r="J68" t="s">
        <v>78</v>
      </c>
      <c r="K68">
        <v>19926.000099299999</v>
      </c>
      <c r="L68">
        <f t="shared" si="3"/>
        <v>161.2691364323608</v>
      </c>
    </row>
    <row r="69" spans="1:12" x14ac:dyDescent="0.25">
      <c r="A69">
        <v>68</v>
      </c>
      <c r="B69">
        <v>631642.51659999997</v>
      </c>
      <c r="C69">
        <v>624702.1311</v>
      </c>
      <c r="D69">
        <v>6940.3855000000003</v>
      </c>
      <c r="E69">
        <v>1.0299E-4</v>
      </c>
      <c r="F69" s="1">
        <v>1.42E-5</v>
      </c>
      <c r="H69">
        <v>68</v>
      </c>
      <c r="I69" t="str">
        <f t="shared" si="2"/>
        <v>YES</v>
      </c>
      <c r="J69" t="s">
        <v>79</v>
      </c>
      <c r="K69">
        <v>14129.878039900001</v>
      </c>
      <c r="L69">
        <f t="shared" si="3"/>
        <v>192.73751146616121</v>
      </c>
    </row>
    <row r="70" spans="1:12" x14ac:dyDescent="0.25">
      <c r="A70">
        <v>69</v>
      </c>
      <c r="B70">
        <v>650270.43240000005</v>
      </c>
      <c r="C70">
        <v>649439.59880000004</v>
      </c>
      <c r="D70">
        <v>830.83360000000005</v>
      </c>
      <c r="E70">
        <v>54.516348720000003</v>
      </c>
      <c r="F70" s="1">
        <v>7.72</v>
      </c>
      <c r="H70">
        <v>69</v>
      </c>
      <c r="I70" t="str">
        <f t="shared" si="2"/>
        <v>YES</v>
      </c>
      <c r="J70" t="s">
        <v>80</v>
      </c>
      <c r="K70">
        <v>8170.8346371199996</v>
      </c>
      <c r="L70">
        <f t="shared" si="3"/>
        <v>12.83390838989091</v>
      </c>
    </row>
    <row r="71" spans="1:12" x14ac:dyDescent="0.25">
      <c r="A71">
        <v>70</v>
      </c>
      <c r="B71">
        <v>625643.73939999996</v>
      </c>
      <c r="C71">
        <v>618703.35389999999</v>
      </c>
      <c r="D71">
        <v>6940.3855000000003</v>
      </c>
      <c r="E71">
        <v>74.446960689999997</v>
      </c>
      <c r="F71" s="1">
        <v>10.1</v>
      </c>
      <c r="H71">
        <v>70</v>
      </c>
      <c r="I71" t="str">
        <f t="shared" si="2"/>
        <v>YES</v>
      </c>
      <c r="J71" t="s">
        <v>81</v>
      </c>
      <c r="K71">
        <v>7780.2118110199999</v>
      </c>
      <c r="L71">
        <f t="shared" si="3"/>
        <v>107.15434149208636</v>
      </c>
    </row>
    <row r="72" spans="1:12" x14ac:dyDescent="0.25">
      <c r="A72">
        <v>71</v>
      </c>
      <c r="B72">
        <v>669112.16440000001</v>
      </c>
      <c r="C72">
        <v>662425.14839999995</v>
      </c>
      <c r="D72">
        <v>6687.0159999999996</v>
      </c>
      <c r="E72">
        <v>1.0299E-4</v>
      </c>
      <c r="F72" s="1">
        <v>1.5E-5</v>
      </c>
      <c r="H72">
        <v>71</v>
      </c>
      <c r="I72" t="str">
        <f t="shared" si="2"/>
        <v>YES</v>
      </c>
      <c r="J72" t="s">
        <v>82</v>
      </c>
      <c r="K72">
        <v>7520.7604358600001</v>
      </c>
      <c r="L72">
        <f t="shared" si="3"/>
        <v>93.21258096371858</v>
      </c>
    </row>
    <row r="73" spans="1:12" x14ac:dyDescent="0.25">
      <c r="A73">
        <v>72</v>
      </c>
      <c r="B73">
        <v>624940.73219999997</v>
      </c>
      <c r="C73">
        <v>624109.89859999996</v>
      </c>
      <c r="D73">
        <v>830.83360000000005</v>
      </c>
      <c r="E73">
        <v>0.63120955400000001</v>
      </c>
      <c r="F73" s="1">
        <v>8.5900000000000004E-2</v>
      </c>
      <c r="H73">
        <v>72</v>
      </c>
      <c r="I73" t="str">
        <f t="shared" si="2"/>
        <v>YES</v>
      </c>
      <c r="J73" t="s">
        <v>83</v>
      </c>
      <c r="K73">
        <v>10913.7609569</v>
      </c>
      <c r="L73">
        <f t="shared" si="3"/>
        <v>17.837937826996015</v>
      </c>
    </row>
    <row r="74" spans="1:12" x14ac:dyDescent="0.25">
      <c r="A74">
        <v>73</v>
      </c>
      <c r="B74">
        <v>650525.2206</v>
      </c>
      <c r="C74">
        <v>643838.20460000006</v>
      </c>
      <c r="D74">
        <v>6687.0159999999996</v>
      </c>
      <c r="E74">
        <v>9.2962910890000003</v>
      </c>
      <c r="F74" s="1">
        <v>1.32</v>
      </c>
      <c r="H74">
        <v>73</v>
      </c>
      <c r="I74" t="str">
        <f t="shared" si="2"/>
        <v>YES</v>
      </c>
      <c r="J74" t="s">
        <v>84</v>
      </c>
      <c r="K74">
        <v>24095.533907000001</v>
      </c>
      <c r="L74">
        <f t="shared" si="3"/>
        <v>307.26238707101129</v>
      </c>
    </row>
    <row r="75" spans="1:12" x14ac:dyDescent="0.25">
      <c r="A75">
        <v>74</v>
      </c>
      <c r="B75">
        <v>662484.18169999996</v>
      </c>
      <c r="C75">
        <v>653928.64280000003</v>
      </c>
      <c r="D75">
        <v>8555.5388999999996</v>
      </c>
      <c r="E75">
        <v>7.4298768339999999</v>
      </c>
      <c r="F75" s="1">
        <v>1.07</v>
      </c>
      <c r="H75">
        <v>74</v>
      </c>
      <c r="I75" t="str">
        <f t="shared" si="2"/>
        <v>YES</v>
      </c>
      <c r="J75" t="s">
        <v>85</v>
      </c>
      <c r="K75">
        <v>19218.999243300001</v>
      </c>
      <c r="L75">
        <f t="shared" si="3"/>
        <v>308.72017182093481</v>
      </c>
    </row>
    <row r="76" spans="1:12" x14ac:dyDescent="0.25">
      <c r="A76">
        <v>75</v>
      </c>
      <c r="B76">
        <v>670641.49479999999</v>
      </c>
      <c r="C76">
        <v>661320.95479999995</v>
      </c>
      <c r="D76">
        <v>9320.5400000000009</v>
      </c>
      <c r="E76">
        <v>1.0299E-4</v>
      </c>
      <c r="F76" s="1">
        <v>1.5E-5</v>
      </c>
      <c r="H76">
        <v>75</v>
      </c>
      <c r="I76" t="str">
        <f t="shared" si="2"/>
        <v>YES</v>
      </c>
      <c r="J76" t="s">
        <v>86</v>
      </c>
      <c r="K76">
        <v>10794.633963300001</v>
      </c>
      <c r="L76">
        <f t="shared" si="3"/>
        <v>186.7901361119855</v>
      </c>
    </row>
    <row r="77" spans="1:12" x14ac:dyDescent="0.25">
      <c r="A77">
        <v>76</v>
      </c>
      <c r="B77">
        <v>685540.18090000004</v>
      </c>
      <c r="C77">
        <v>675412.00450000004</v>
      </c>
      <c r="D77">
        <v>10128.1764</v>
      </c>
      <c r="E77">
        <v>2.1246325399999999</v>
      </c>
      <c r="F77" s="1">
        <v>0.317</v>
      </c>
      <c r="H77">
        <v>76</v>
      </c>
      <c r="I77" t="str">
        <f t="shared" si="2"/>
        <v>YES</v>
      </c>
      <c r="J77" t="s">
        <v>87</v>
      </c>
      <c r="K77">
        <v>9440.4991847599995</v>
      </c>
      <c r="L77">
        <f t="shared" si="3"/>
        <v>173.80996341544716</v>
      </c>
    </row>
    <row r="78" spans="1:12" x14ac:dyDescent="0.25">
      <c r="A78">
        <v>77</v>
      </c>
      <c r="B78">
        <v>705803.07499999995</v>
      </c>
      <c r="C78">
        <v>696186.70669999998</v>
      </c>
      <c r="D78">
        <v>9616.3683000000001</v>
      </c>
      <c r="E78">
        <v>15.48768274</v>
      </c>
      <c r="F78" s="1">
        <v>2.38</v>
      </c>
      <c r="H78">
        <v>77</v>
      </c>
      <c r="I78" t="str">
        <f t="shared" si="2"/>
        <v>YES</v>
      </c>
      <c r="J78" t="s">
        <v>88</v>
      </c>
      <c r="K78">
        <v>14175.2391976</v>
      </c>
      <c r="L78">
        <f t="shared" si="3"/>
        <v>240.39918194375585</v>
      </c>
    </row>
    <row r="79" spans="1:12" x14ac:dyDescent="0.25">
      <c r="A79">
        <v>78</v>
      </c>
      <c r="B79">
        <v>559522.71499999997</v>
      </c>
      <c r="C79">
        <v>559522.71499999997</v>
      </c>
      <c r="D79">
        <v>0</v>
      </c>
      <c r="E79">
        <v>1.0299E-4</v>
      </c>
      <c r="F79" s="1">
        <v>1.2500000000000001E-5</v>
      </c>
      <c r="H79">
        <v>78</v>
      </c>
      <c r="I79" t="str">
        <f t="shared" si="2"/>
        <v>YES</v>
      </c>
      <c r="J79" t="s">
        <v>89</v>
      </c>
      <c r="K79">
        <v>22341.371558899998</v>
      </c>
      <c r="L79">
        <f t="shared" si="3"/>
        <v>0</v>
      </c>
    </row>
    <row r="80" spans="1:12" x14ac:dyDescent="0.25">
      <c r="A80">
        <v>79</v>
      </c>
      <c r="B80">
        <v>539763.70719999995</v>
      </c>
      <c r="C80">
        <v>539763.70719999995</v>
      </c>
      <c r="D80">
        <v>0</v>
      </c>
      <c r="E80">
        <v>22.0473012</v>
      </c>
      <c r="F80" s="1">
        <v>2.59</v>
      </c>
      <c r="H80">
        <v>79</v>
      </c>
      <c r="I80" t="str">
        <f t="shared" si="2"/>
        <v>YES</v>
      </c>
      <c r="J80" t="s">
        <v>90</v>
      </c>
      <c r="K80">
        <v>42496.500771300001</v>
      </c>
      <c r="L80">
        <f t="shared" si="3"/>
        <v>0</v>
      </c>
    </row>
    <row r="81" spans="1:12" x14ac:dyDescent="0.25">
      <c r="A81">
        <v>80</v>
      </c>
      <c r="B81">
        <v>574816.32010000001</v>
      </c>
      <c r="C81">
        <v>574092.85419999994</v>
      </c>
      <c r="D81">
        <v>723.46590000000003</v>
      </c>
      <c r="E81">
        <v>845.05907290000005</v>
      </c>
      <c r="F81" s="1">
        <v>106</v>
      </c>
      <c r="H81">
        <v>80</v>
      </c>
      <c r="I81" t="str">
        <f t="shared" si="2"/>
        <v>YES</v>
      </c>
      <c r="J81" t="s">
        <v>91</v>
      </c>
      <c r="K81">
        <v>22366.297439599999</v>
      </c>
      <c r="L81">
        <f t="shared" si="3"/>
        <v>34.605668913875192</v>
      </c>
    </row>
    <row r="82" spans="1:12" x14ac:dyDescent="0.25">
      <c r="A82">
        <v>81</v>
      </c>
      <c r="B82">
        <v>602243.48190000001</v>
      </c>
      <c r="C82">
        <v>601412.6483</v>
      </c>
      <c r="D82">
        <v>830.83360000000005</v>
      </c>
      <c r="E82">
        <v>102.2352226</v>
      </c>
      <c r="F82" s="1">
        <v>13.4</v>
      </c>
      <c r="H82">
        <v>81</v>
      </c>
      <c r="I82" t="str">
        <f t="shared" si="2"/>
        <v>YES</v>
      </c>
      <c r="J82" t="s">
        <v>92</v>
      </c>
      <c r="K82">
        <v>15089.0627864</v>
      </c>
      <c r="L82">
        <f t="shared" si="3"/>
        <v>25.59298767364502</v>
      </c>
    </row>
    <row r="83" spans="1:12" x14ac:dyDescent="0.25">
      <c r="A83">
        <v>82</v>
      </c>
      <c r="B83">
        <v>629057.71840000001</v>
      </c>
      <c r="C83">
        <v>628226.8848</v>
      </c>
      <c r="D83">
        <v>830.83360000000005</v>
      </c>
      <c r="E83">
        <v>11.77703801</v>
      </c>
      <c r="F83" s="1">
        <v>1.61</v>
      </c>
      <c r="H83">
        <v>82</v>
      </c>
      <c r="I83" t="str">
        <f t="shared" si="2"/>
        <v>YES</v>
      </c>
      <c r="J83" t="s">
        <v>93</v>
      </c>
      <c r="K83">
        <v>16846.332761099999</v>
      </c>
      <c r="L83">
        <f t="shared" si="3"/>
        <v>27.353955515359573</v>
      </c>
    </row>
    <row r="84" spans="1:12" x14ac:dyDescent="0.25">
      <c r="A84">
        <v>83</v>
      </c>
      <c r="B84">
        <v>623132.14119999995</v>
      </c>
      <c r="C84">
        <v>622301.30759999994</v>
      </c>
      <c r="D84">
        <v>830.83360000000005</v>
      </c>
      <c r="E84">
        <v>0.63121154700000004</v>
      </c>
      <c r="F84" s="1">
        <v>8.5599999999999996E-2</v>
      </c>
      <c r="H84">
        <v>83</v>
      </c>
      <c r="I84" t="str">
        <f t="shared" si="2"/>
        <v>YES</v>
      </c>
      <c r="J84" t="s">
        <v>94</v>
      </c>
      <c r="K84">
        <v>17061.2847549</v>
      </c>
      <c r="L84">
        <f t="shared" si="3"/>
        <v>27.966769130232915</v>
      </c>
    </row>
    <row r="85" spans="1:12" x14ac:dyDescent="0.25">
      <c r="A85">
        <v>84</v>
      </c>
      <c r="B85">
        <v>636199.67539999995</v>
      </c>
      <c r="C85">
        <v>635368.84180000005</v>
      </c>
      <c r="D85">
        <v>830.83360000000005</v>
      </c>
      <c r="E85">
        <v>23.94850525</v>
      </c>
      <c r="F85" s="1">
        <v>3.32</v>
      </c>
      <c r="H85">
        <v>84</v>
      </c>
      <c r="I85" t="str">
        <f t="shared" si="2"/>
        <v>YES</v>
      </c>
      <c r="J85" t="s">
        <v>95</v>
      </c>
      <c r="K85">
        <v>16576.711416999999</v>
      </c>
      <c r="L85">
        <f t="shared" si="3"/>
        <v>26.61360721141806</v>
      </c>
    </row>
    <row r="86" spans="1:12" x14ac:dyDescent="0.25">
      <c r="A86">
        <v>85</v>
      </c>
      <c r="B86">
        <v>643987.61529999995</v>
      </c>
      <c r="C86">
        <v>643156.78170000005</v>
      </c>
      <c r="D86">
        <v>830.83360000000005</v>
      </c>
      <c r="E86">
        <v>1.0299E-4</v>
      </c>
      <c r="F86" s="1">
        <v>1.4399999999999999E-5</v>
      </c>
      <c r="H86">
        <v>85</v>
      </c>
      <c r="I86" t="str">
        <f t="shared" si="2"/>
        <v>YES</v>
      </c>
      <c r="J86" t="s">
        <v>96</v>
      </c>
      <c r="K86">
        <v>15275.41577</v>
      </c>
      <c r="L86">
        <f t="shared" si="3"/>
        <v>24.22743660156139</v>
      </c>
    </row>
    <row r="87" spans="1:12" x14ac:dyDescent="0.25">
      <c r="A87">
        <v>86</v>
      </c>
      <c r="B87">
        <v>673288.38260000001</v>
      </c>
      <c r="C87">
        <v>664435.13749999995</v>
      </c>
      <c r="D87">
        <v>8853.2451000000001</v>
      </c>
      <c r="E87">
        <v>1.5865475529999999</v>
      </c>
      <c r="F87" s="1">
        <v>0.23300000000000001</v>
      </c>
      <c r="H87">
        <v>86</v>
      </c>
      <c r="I87" t="str">
        <f t="shared" si="2"/>
        <v>YES</v>
      </c>
      <c r="J87" t="s">
        <v>97</v>
      </c>
      <c r="K87">
        <v>12122.559662199999</v>
      </c>
      <c r="L87">
        <f t="shared" si="3"/>
        <v>198.31768962942715</v>
      </c>
    </row>
    <row r="88" spans="1:12" x14ac:dyDescent="0.25">
      <c r="A88">
        <v>87</v>
      </c>
      <c r="B88">
        <v>692244.76710000006</v>
      </c>
      <c r="C88">
        <v>681737.19609999994</v>
      </c>
      <c r="D88">
        <v>10507.571</v>
      </c>
      <c r="E88">
        <v>1.0299E-4</v>
      </c>
      <c r="F88" s="1">
        <v>1.5500000000000001E-5</v>
      </c>
      <c r="H88">
        <v>87</v>
      </c>
      <c r="I88" t="str">
        <f t="shared" si="2"/>
        <v>YES</v>
      </c>
      <c r="J88" t="s">
        <v>98</v>
      </c>
      <c r="K88">
        <v>11853.139100799999</v>
      </c>
      <c r="L88">
        <f t="shared" si="3"/>
        <v>224.3034491576631</v>
      </c>
    </row>
    <row r="89" spans="1:12" x14ac:dyDescent="0.25">
      <c r="A89">
        <v>88</v>
      </c>
      <c r="B89">
        <v>540322.37150000001</v>
      </c>
      <c r="C89">
        <v>540322.37150000001</v>
      </c>
      <c r="D89">
        <v>0</v>
      </c>
      <c r="E89">
        <v>440.09873379999999</v>
      </c>
      <c r="F89" s="1">
        <v>51.8</v>
      </c>
      <c r="H89">
        <v>88</v>
      </c>
      <c r="I89" t="str">
        <f t="shared" si="2"/>
        <v>YES</v>
      </c>
      <c r="J89" t="s">
        <v>99</v>
      </c>
      <c r="K89">
        <v>39939.4050174</v>
      </c>
      <c r="L89">
        <f t="shared" si="3"/>
        <v>0</v>
      </c>
    </row>
    <row r="90" spans="1:12" x14ac:dyDescent="0.25">
      <c r="A90">
        <v>89</v>
      </c>
      <c r="B90">
        <v>500885.06209999998</v>
      </c>
      <c r="C90">
        <v>500885.06209999998</v>
      </c>
      <c r="D90">
        <v>0</v>
      </c>
      <c r="E90">
        <v>6.4195903349999996</v>
      </c>
      <c r="F90" s="1">
        <v>0.7</v>
      </c>
      <c r="H90">
        <v>89</v>
      </c>
      <c r="I90" t="str">
        <f t="shared" si="2"/>
        <v>YES</v>
      </c>
      <c r="J90" t="s">
        <v>100</v>
      </c>
      <c r="K90">
        <v>93823.679296699993</v>
      </c>
      <c r="L90">
        <f t="shared" si="3"/>
        <v>0</v>
      </c>
    </row>
    <row r="91" spans="1:12" x14ac:dyDescent="0.25">
      <c r="A91">
        <v>90</v>
      </c>
      <c r="B91">
        <v>540831.18400000001</v>
      </c>
      <c r="C91">
        <v>536905.21440000006</v>
      </c>
      <c r="D91">
        <v>3925.9695999999999</v>
      </c>
      <c r="E91">
        <v>6.1163541610000003</v>
      </c>
      <c r="F91" s="1">
        <v>0.72</v>
      </c>
      <c r="H91">
        <v>90</v>
      </c>
      <c r="I91" t="str">
        <f t="shared" si="2"/>
        <v>YES</v>
      </c>
      <c r="J91" t="s">
        <v>101</v>
      </c>
      <c r="K91">
        <v>12729.917926599999</v>
      </c>
      <c r="L91">
        <f t="shared" si="3"/>
        <v>114.28576557914982</v>
      </c>
    </row>
    <row r="92" spans="1:12" x14ac:dyDescent="0.25">
      <c r="A92">
        <v>91</v>
      </c>
      <c r="B92">
        <v>507687.76699999999</v>
      </c>
      <c r="C92">
        <v>507687.76699999999</v>
      </c>
      <c r="D92">
        <v>0</v>
      </c>
      <c r="E92">
        <v>1.0299E-4</v>
      </c>
      <c r="F92" s="1">
        <v>1.1399999999999999E-5</v>
      </c>
      <c r="H92">
        <v>91</v>
      </c>
      <c r="I92" t="str">
        <f t="shared" si="2"/>
        <v>YES</v>
      </c>
      <c r="J92" t="s">
        <v>102</v>
      </c>
      <c r="K92">
        <v>28385.951228499998</v>
      </c>
      <c r="L92">
        <f t="shared" si="3"/>
        <v>0</v>
      </c>
    </row>
    <row r="93" spans="1:12" x14ac:dyDescent="0.25">
      <c r="A93">
        <v>92</v>
      </c>
      <c r="B93">
        <v>634479.08810000005</v>
      </c>
      <c r="C93">
        <v>627792.07209999999</v>
      </c>
      <c r="D93">
        <v>6687.0159999999996</v>
      </c>
      <c r="E93">
        <v>333.15032880000001</v>
      </c>
      <c r="F93" s="1">
        <v>46</v>
      </c>
      <c r="H93">
        <v>92</v>
      </c>
      <c r="I93" t="str">
        <f t="shared" si="2"/>
        <v>YES</v>
      </c>
      <c r="J93" t="s">
        <v>103</v>
      </c>
      <c r="K93">
        <v>18947.315939600001</v>
      </c>
      <c r="L93">
        <f t="shared" si="3"/>
        <v>247.78867870331692</v>
      </c>
    </row>
    <row r="94" spans="1:12" x14ac:dyDescent="0.25">
      <c r="A94">
        <v>93</v>
      </c>
      <c r="B94">
        <v>678674.92020000005</v>
      </c>
      <c r="C94">
        <v>670392.42839999998</v>
      </c>
      <c r="D94">
        <v>8282.4917999999998</v>
      </c>
      <c r="E94">
        <v>230.06994119999999</v>
      </c>
      <c r="F94" s="1">
        <v>34</v>
      </c>
      <c r="H94">
        <v>93</v>
      </c>
      <c r="I94" t="str">
        <f t="shared" si="2"/>
        <v>YES</v>
      </c>
      <c r="J94" t="s">
        <v>104</v>
      </c>
      <c r="K94">
        <v>12537.2995794</v>
      </c>
      <c r="L94">
        <f t="shared" si="3"/>
        <v>190.17487748340173</v>
      </c>
    </row>
    <row r="95" spans="1:12" x14ac:dyDescent="0.25">
      <c r="A95">
        <v>94</v>
      </c>
      <c r="B95">
        <v>703827.6986</v>
      </c>
      <c r="C95">
        <v>694974.45360000001</v>
      </c>
      <c r="D95">
        <v>8853.2450000000008</v>
      </c>
      <c r="E95">
        <v>55.347714259999997</v>
      </c>
      <c r="F95" s="1">
        <v>8.48</v>
      </c>
      <c r="H95">
        <v>94</v>
      </c>
      <c r="I95" t="str">
        <f t="shared" si="2"/>
        <v>YES</v>
      </c>
      <c r="J95" t="s">
        <v>105</v>
      </c>
      <c r="K95">
        <v>15443.309788799999</v>
      </c>
      <c r="L95">
        <f t="shared" si="3"/>
        <v>241.54121864963912</v>
      </c>
    </row>
    <row r="96" spans="1:12" x14ac:dyDescent="0.25">
      <c r="A96">
        <v>95</v>
      </c>
      <c r="B96">
        <v>718007.97239999997</v>
      </c>
      <c r="C96">
        <v>709154.72730000003</v>
      </c>
      <c r="D96">
        <v>8853.2451000000001</v>
      </c>
      <c r="E96">
        <v>6.1162436099999997</v>
      </c>
      <c r="F96" s="1">
        <v>0.95599999999999996</v>
      </c>
      <c r="H96">
        <v>95</v>
      </c>
      <c r="I96" t="str">
        <f t="shared" si="2"/>
        <v>YES</v>
      </c>
      <c r="J96" t="s">
        <v>106</v>
      </c>
      <c r="K96">
        <v>11986.261244900001</v>
      </c>
      <c r="L96">
        <f t="shared" si="3"/>
        <v>183.72254473580196</v>
      </c>
    </row>
    <row r="97" spans="1:12" x14ac:dyDescent="0.25">
      <c r="A97">
        <v>96</v>
      </c>
      <c r="B97">
        <v>712212.58909999998</v>
      </c>
      <c r="C97">
        <v>703359.34409999999</v>
      </c>
      <c r="D97">
        <v>8853.2450000000008</v>
      </c>
      <c r="E97">
        <v>45.550498070000003</v>
      </c>
      <c r="F97" s="1">
        <v>7.06</v>
      </c>
      <c r="H97">
        <v>96</v>
      </c>
      <c r="I97" t="str">
        <f t="shared" si="2"/>
        <v>YES</v>
      </c>
      <c r="J97" t="s">
        <v>107</v>
      </c>
      <c r="K97">
        <v>28064.5926076</v>
      </c>
      <c r="L97">
        <f t="shared" si="3"/>
        <v>433.71175326826705</v>
      </c>
    </row>
    <row r="98" spans="1:12" x14ac:dyDescent="0.25">
      <c r="A98">
        <v>97</v>
      </c>
      <c r="B98">
        <v>666669.88520000002</v>
      </c>
      <c r="C98">
        <v>659982.86919999996</v>
      </c>
      <c r="D98">
        <v>6687.0159999999996</v>
      </c>
      <c r="E98">
        <v>15.504594239999999</v>
      </c>
      <c r="F98" s="1">
        <v>2.25</v>
      </c>
      <c r="H98">
        <v>97</v>
      </c>
      <c r="I98" t="str">
        <f t="shared" si="2"/>
        <v>YES</v>
      </c>
      <c r="J98" t="s">
        <v>108</v>
      </c>
      <c r="K98">
        <v>28769.267505899999</v>
      </c>
      <c r="L98">
        <f t="shared" si="3"/>
        <v>357.88684203069192</v>
      </c>
    </row>
    <row r="99" spans="1:12" x14ac:dyDescent="0.25">
      <c r="A99">
        <v>98</v>
      </c>
      <c r="B99">
        <v>679483.70169999998</v>
      </c>
      <c r="C99">
        <v>672796.68579999998</v>
      </c>
      <c r="D99">
        <v>6687.0159000000003</v>
      </c>
      <c r="E99">
        <v>53.490652660000002</v>
      </c>
      <c r="F99" s="1">
        <v>7.91</v>
      </c>
      <c r="H99">
        <v>98</v>
      </c>
      <c r="I99" t="str">
        <f t="shared" si="2"/>
        <v>YES</v>
      </c>
      <c r="J99" t="s">
        <v>109</v>
      </c>
      <c r="K99">
        <v>19184.576759399999</v>
      </c>
      <c r="L99">
        <f t="shared" si="3"/>
        <v>234.10892056817366</v>
      </c>
    </row>
    <row r="100" spans="1:12" x14ac:dyDescent="0.25">
      <c r="A100">
        <v>99</v>
      </c>
      <c r="B100">
        <v>580554.18909999996</v>
      </c>
      <c r="C100">
        <v>579723.35549999995</v>
      </c>
      <c r="D100">
        <v>830.83360000000005</v>
      </c>
      <c r="E100">
        <v>25.073630120000001</v>
      </c>
      <c r="F100" s="1">
        <v>3.17</v>
      </c>
      <c r="H100">
        <v>99</v>
      </c>
      <c r="I100" t="str">
        <f t="shared" si="2"/>
        <v>YES</v>
      </c>
      <c r="J100" t="s">
        <v>110</v>
      </c>
      <c r="K100">
        <v>20220.246472999999</v>
      </c>
      <c r="L100">
        <f t="shared" si="3"/>
        <v>35.579261313469203</v>
      </c>
    </row>
    <row r="101" spans="1:12" x14ac:dyDescent="0.25">
      <c r="A101">
        <v>100</v>
      </c>
      <c r="B101">
        <v>540474.54550000001</v>
      </c>
      <c r="C101">
        <v>539643.71189999999</v>
      </c>
      <c r="D101">
        <v>830.83360000000005</v>
      </c>
      <c r="E101">
        <v>17.638747710000001</v>
      </c>
      <c r="F101" s="1">
        <v>2.08</v>
      </c>
      <c r="H101">
        <v>100</v>
      </c>
      <c r="I101" t="str">
        <f t="shared" si="2"/>
        <v>YES</v>
      </c>
      <c r="J101" t="s">
        <v>111</v>
      </c>
      <c r="K101">
        <v>186788.438513</v>
      </c>
      <c r="L101">
        <f t="shared" si="3"/>
        <v>353.0808390983816</v>
      </c>
    </row>
    <row r="102" spans="1:12" x14ac:dyDescent="0.25">
      <c r="A102">
        <v>101</v>
      </c>
      <c r="B102">
        <v>635904.80799999996</v>
      </c>
      <c r="C102">
        <v>629217.79200000002</v>
      </c>
      <c r="D102">
        <v>6687.0159999999996</v>
      </c>
      <c r="E102">
        <v>135.38193319999999</v>
      </c>
      <c r="F102" s="1">
        <v>18.7</v>
      </c>
      <c r="H102">
        <v>101</v>
      </c>
      <c r="I102" t="str">
        <f t="shared" si="2"/>
        <v>YES</v>
      </c>
      <c r="J102" t="s">
        <v>112</v>
      </c>
      <c r="K102">
        <v>15834.8729332</v>
      </c>
      <c r="L102">
        <f t="shared" si="3"/>
        <v>206.61563311217404</v>
      </c>
    </row>
    <row r="103" spans="1:12" x14ac:dyDescent="0.25">
      <c r="A103">
        <v>102</v>
      </c>
      <c r="B103">
        <v>651259.63340000005</v>
      </c>
      <c r="C103">
        <v>642977.14159999997</v>
      </c>
      <c r="D103">
        <v>8282.4917999999998</v>
      </c>
      <c r="E103">
        <v>287.00597729999998</v>
      </c>
      <c r="F103" s="1">
        <v>40.700000000000003</v>
      </c>
      <c r="H103">
        <v>102</v>
      </c>
      <c r="I103" t="str">
        <f t="shared" si="2"/>
        <v>YES</v>
      </c>
      <c r="J103" t="s">
        <v>113</v>
      </c>
      <c r="K103">
        <v>13826.3320824</v>
      </c>
      <c r="L103">
        <f t="shared" si="3"/>
        <v>218.67024534823315</v>
      </c>
    </row>
    <row r="104" spans="1:12" x14ac:dyDescent="0.25">
      <c r="A104">
        <v>103</v>
      </c>
      <c r="B104">
        <v>748168.88260000001</v>
      </c>
      <c r="C104">
        <v>738848.34259999997</v>
      </c>
      <c r="D104">
        <v>9320.5400000000009</v>
      </c>
      <c r="E104">
        <v>40.315519029999997</v>
      </c>
      <c r="F104" s="1">
        <v>6.57</v>
      </c>
      <c r="H104">
        <v>103</v>
      </c>
      <c r="I104" t="str">
        <f t="shared" si="2"/>
        <v>YES</v>
      </c>
      <c r="J104" t="s">
        <v>114</v>
      </c>
      <c r="K104">
        <v>26694.846183400001</v>
      </c>
      <c r="L104">
        <f t="shared" si="3"/>
        <v>413.45706904290421</v>
      </c>
    </row>
    <row r="105" spans="1:12" x14ac:dyDescent="0.25">
      <c r="A105">
        <v>104</v>
      </c>
      <c r="B105">
        <v>783075.6078</v>
      </c>
      <c r="C105">
        <v>774605.9852</v>
      </c>
      <c r="D105">
        <v>8469.6226000000006</v>
      </c>
      <c r="E105">
        <v>51.960508400000002</v>
      </c>
      <c r="F105" s="1">
        <v>8.86</v>
      </c>
      <c r="H105">
        <v>104</v>
      </c>
      <c r="I105" t="str">
        <f t="shared" si="2"/>
        <v>YES</v>
      </c>
      <c r="J105" t="s">
        <v>115</v>
      </c>
      <c r="K105">
        <v>16072.830883500001</v>
      </c>
      <c r="L105">
        <f t="shared" si="3"/>
        <v>215.7708703574406</v>
      </c>
    </row>
    <row r="106" spans="1:12" x14ac:dyDescent="0.25">
      <c r="A106">
        <v>105</v>
      </c>
      <c r="B106">
        <v>757602.06279999996</v>
      </c>
      <c r="C106">
        <v>748468.65359999996</v>
      </c>
      <c r="D106">
        <v>9133.4092000000001</v>
      </c>
      <c r="E106">
        <v>765.56498599999998</v>
      </c>
      <c r="F106" s="1">
        <v>126</v>
      </c>
      <c r="H106">
        <v>105</v>
      </c>
      <c r="I106" t="str">
        <f t="shared" si="2"/>
        <v>YES</v>
      </c>
      <c r="J106" t="s">
        <v>116</v>
      </c>
      <c r="K106">
        <v>14487.8944978</v>
      </c>
      <c r="L106">
        <f t="shared" si="3"/>
        <v>217.0610010210568</v>
      </c>
    </row>
    <row r="107" spans="1:12" x14ac:dyDescent="0.25">
      <c r="A107">
        <v>106</v>
      </c>
      <c r="B107">
        <v>716040.18429999996</v>
      </c>
      <c r="C107">
        <v>709353.16830000002</v>
      </c>
      <c r="D107">
        <v>6687.0159999999996</v>
      </c>
      <c r="E107">
        <v>1.0299E-4</v>
      </c>
      <c r="F107" s="1">
        <v>1.6099999999999998E-5</v>
      </c>
      <c r="H107">
        <v>106</v>
      </c>
      <c r="I107" t="str">
        <f t="shared" si="2"/>
        <v>YES</v>
      </c>
      <c r="J107" t="s">
        <v>117</v>
      </c>
      <c r="K107">
        <v>9942.0129282300004</v>
      </c>
      <c r="L107">
        <f t="shared" si="3"/>
        <v>115.0698112535195</v>
      </c>
    </row>
    <row r="108" spans="1:12" x14ac:dyDescent="0.25">
      <c r="A108">
        <v>107</v>
      </c>
      <c r="B108">
        <v>688672.86510000005</v>
      </c>
      <c r="C108">
        <v>681985.84909999999</v>
      </c>
      <c r="D108">
        <v>6687.0159999999996</v>
      </c>
      <c r="E108">
        <v>18.864683339999999</v>
      </c>
      <c r="F108" s="1">
        <v>2.83</v>
      </c>
      <c r="H108">
        <v>107</v>
      </c>
      <c r="I108" t="str">
        <f t="shared" si="2"/>
        <v>YES</v>
      </c>
      <c r="J108" t="s">
        <v>118</v>
      </c>
      <c r="K108">
        <v>193075.44948000001</v>
      </c>
      <c r="L108">
        <f t="shared" si="3"/>
        <v>2324.3486975816299</v>
      </c>
    </row>
    <row r="109" spans="1:12" x14ac:dyDescent="0.25">
      <c r="A109">
        <v>108</v>
      </c>
      <c r="B109">
        <v>479547.31530000002</v>
      </c>
      <c r="C109">
        <v>479547.31530000002</v>
      </c>
      <c r="D109">
        <v>0</v>
      </c>
      <c r="E109">
        <v>3.8538967</v>
      </c>
      <c r="F109" s="1">
        <v>0.40200000000000002</v>
      </c>
      <c r="H109">
        <v>108</v>
      </c>
      <c r="I109" t="str">
        <f t="shared" si="2"/>
        <v>YES</v>
      </c>
      <c r="J109" t="s">
        <v>119</v>
      </c>
      <c r="K109">
        <v>150505.348134</v>
      </c>
      <c r="L109">
        <f t="shared" si="3"/>
        <v>0</v>
      </c>
    </row>
    <row r="110" spans="1:12" x14ac:dyDescent="0.25">
      <c r="A110">
        <v>109</v>
      </c>
      <c r="B110">
        <v>606983.17229999998</v>
      </c>
      <c r="C110">
        <v>606152.33869999996</v>
      </c>
      <c r="D110">
        <v>830.83360000000005</v>
      </c>
      <c r="E110">
        <v>1615.752238</v>
      </c>
      <c r="F110" s="1">
        <v>214</v>
      </c>
      <c r="H110">
        <v>109</v>
      </c>
      <c r="I110" t="str">
        <f t="shared" si="2"/>
        <v>YES</v>
      </c>
      <c r="J110" t="s">
        <v>120</v>
      </c>
      <c r="K110">
        <v>22973.257625800001</v>
      </c>
      <c r="L110">
        <f t="shared" si="3"/>
        <v>38.660910431025613</v>
      </c>
    </row>
    <row r="111" spans="1:12" x14ac:dyDescent="0.25">
      <c r="A111">
        <v>110</v>
      </c>
      <c r="B111">
        <v>644070.28859999997</v>
      </c>
      <c r="C111">
        <v>635787.79680000001</v>
      </c>
      <c r="D111">
        <v>8282.4917999999998</v>
      </c>
      <c r="E111">
        <v>2041.139664</v>
      </c>
      <c r="F111" s="1">
        <v>286</v>
      </c>
      <c r="H111">
        <v>110</v>
      </c>
      <c r="I111" t="str">
        <f t="shared" si="2"/>
        <v>YES</v>
      </c>
      <c r="J111" t="s">
        <v>121</v>
      </c>
      <c r="K111">
        <v>20750.756013900002</v>
      </c>
      <c r="L111">
        <f t="shared" si="3"/>
        <v>331.89444105038638</v>
      </c>
    </row>
    <row r="112" spans="1:12" x14ac:dyDescent="0.25">
      <c r="A112">
        <v>111</v>
      </c>
      <c r="B112">
        <v>713845.09990000003</v>
      </c>
      <c r="C112">
        <v>705289.56099999999</v>
      </c>
      <c r="D112">
        <v>8555.5388999999996</v>
      </c>
      <c r="E112">
        <v>819.03635610000003</v>
      </c>
      <c r="F112" s="1">
        <v>127</v>
      </c>
      <c r="H112">
        <v>111</v>
      </c>
      <c r="I112" t="str">
        <f t="shared" si="2"/>
        <v>YES</v>
      </c>
      <c r="J112" t="s">
        <v>122</v>
      </c>
      <c r="K112">
        <v>22793.4834515</v>
      </c>
      <c r="L112">
        <f t="shared" si="3"/>
        <v>339.47503680798997</v>
      </c>
    </row>
    <row r="113" spans="1:12" x14ac:dyDescent="0.25">
      <c r="A113">
        <v>112</v>
      </c>
      <c r="B113">
        <v>755612.94090000005</v>
      </c>
      <c r="C113">
        <v>746292.40090000001</v>
      </c>
      <c r="D113">
        <v>9320.5400000000009</v>
      </c>
      <c r="E113">
        <v>1.0299E-4</v>
      </c>
      <c r="F113" s="1">
        <v>1.6900000000000001E-5</v>
      </c>
      <c r="H113">
        <v>112</v>
      </c>
      <c r="I113" t="str">
        <f t="shared" si="2"/>
        <v>YES</v>
      </c>
      <c r="J113" t="s">
        <v>123</v>
      </c>
      <c r="K113">
        <v>11404.2847422</v>
      </c>
      <c r="L113">
        <f t="shared" si="3"/>
        <v>174.87081539174869</v>
      </c>
    </row>
    <row r="114" spans="1:12" x14ac:dyDescent="0.25">
      <c r="A114">
        <v>113</v>
      </c>
      <c r="B114">
        <v>708082.55310000002</v>
      </c>
      <c r="C114">
        <v>699229.30810000002</v>
      </c>
      <c r="D114">
        <v>8853.2450000000008</v>
      </c>
      <c r="E114">
        <v>725.59333549999997</v>
      </c>
      <c r="F114" s="1">
        <v>112</v>
      </c>
      <c r="H114">
        <v>113</v>
      </c>
      <c r="I114" t="str">
        <f t="shared" si="2"/>
        <v>YES</v>
      </c>
      <c r="J114" t="s">
        <v>124</v>
      </c>
      <c r="K114">
        <v>5237.6216038100001</v>
      </c>
      <c r="L114">
        <f t="shared" si="3"/>
        <v>81.420582740993027</v>
      </c>
    </row>
    <row r="115" spans="1:12" x14ac:dyDescent="0.25">
      <c r="A115">
        <v>114</v>
      </c>
      <c r="B115">
        <v>654481.90190000006</v>
      </c>
      <c r="C115">
        <v>646199.41009999998</v>
      </c>
      <c r="D115">
        <v>8282.4917999999998</v>
      </c>
      <c r="E115">
        <v>97.408377079999994</v>
      </c>
      <c r="F115" s="1">
        <v>13.9</v>
      </c>
      <c r="H115">
        <v>114</v>
      </c>
      <c r="I115" t="str">
        <f t="shared" si="2"/>
        <v>YES</v>
      </c>
      <c r="J115" t="s">
        <v>125</v>
      </c>
      <c r="K115">
        <v>15263.088208200001</v>
      </c>
      <c r="L115">
        <f t="shared" si="3"/>
        <v>240.18954482782402</v>
      </c>
    </row>
    <row r="116" spans="1:12" x14ac:dyDescent="0.25">
      <c r="A116">
        <v>115</v>
      </c>
      <c r="B116">
        <v>686653.5246</v>
      </c>
      <c r="C116">
        <v>679966.50859999994</v>
      </c>
      <c r="D116">
        <v>6687.0159999999996</v>
      </c>
      <c r="E116">
        <v>543.2621322</v>
      </c>
      <c r="F116" s="1">
        <v>81.2</v>
      </c>
      <c r="H116">
        <v>115</v>
      </c>
      <c r="I116" t="str">
        <f t="shared" si="2"/>
        <v>YES</v>
      </c>
      <c r="J116" t="s">
        <v>126</v>
      </c>
      <c r="K116">
        <v>21789.644526600001</v>
      </c>
      <c r="L116">
        <f t="shared" si="3"/>
        <v>263.09476884249631</v>
      </c>
    </row>
    <row r="117" spans="1:12" x14ac:dyDescent="0.25">
      <c r="A117">
        <v>116</v>
      </c>
      <c r="B117">
        <v>701951.44180000003</v>
      </c>
      <c r="C117">
        <v>695264.42579999997</v>
      </c>
      <c r="D117">
        <v>6687.0159999999996</v>
      </c>
      <c r="E117">
        <v>191.8006225</v>
      </c>
      <c r="F117" s="1">
        <v>29.3</v>
      </c>
      <c r="H117">
        <v>116</v>
      </c>
      <c r="I117" t="str">
        <f t="shared" si="2"/>
        <v>YES</v>
      </c>
      <c r="J117" t="s">
        <v>127</v>
      </c>
      <c r="K117">
        <v>15744.0423947</v>
      </c>
      <c r="L117">
        <f t="shared" si="3"/>
        <v>185.91559972856425</v>
      </c>
    </row>
    <row r="118" spans="1:12" x14ac:dyDescent="0.25">
      <c r="A118">
        <v>117</v>
      </c>
      <c r="B118">
        <v>585592.82700000005</v>
      </c>
      <c r="C118">
        <v>584761.99340000004</v>
      </c>
      <c r="D118">
        <v>830.83360000000005</v>
      </c>
      <c r="E118">
        <v>1096.8770770000001</v>
      </c>
      <c r="F118" s="1">
        <v>140</v>
      </c>
      <c r="H118">
        <v>117</v>
      </c>
      <c r="I118" t="str">
        <f t="shared" si="2"/>
        <v>YES</v>
      </c>
      <c r="J118" t="s">
        <v>128</v>
      </c>
      <c r="K118">
        <v>19668.809261599999</v>
      </c>
      <c r="L118">
        <f t="shared" si="3"/>
        <v>34.310749905102043</v>
      </c>
    </row>
    <row r="119" spans="1:12" x14ac:dyDescent="0.25">
      <c r="A119">
        <v>118</v>
      </c>
      <c r="B119">
        <v>638959.42409999995</v>
      </c>
      <c r="C119">
        <v>632272.4081</v>
      </c>
      <c r="D119">
        <v>6687.0159999999996</v>
      </c>
      <c r="E119">
        <v>1537.346575</v>
      </c>
      <c r="F119" s="1">
        <v>214</v>
      </c>
      <c r="H119">
        <v>118</v>
      </c>
      <c r="I119" t="str">
        <f t="shared" si="2"/>
        <v>YES</v>
      </c>
      <c r="J119" t="s">
        <v>129</v>
      </c>
      <c r="K119">
        <v>19684.192805800001</v>
      </c>
      <c r="L119">
        <f t="shared" si="3"/>
        <v>255.60124822585973</v>
      </c>
    </row>
    <row r="120" spans="1:12" x14ac:dyDescent="0.25">
      <c r="A120">
        <v>119</v>
      </c>
      <c r="B120">
        <v>670299.88159999996</v>
      </c>
      <c r="C120">
        <v>663612.86560000002</v>
      </c>
      <c r="D120">
        <v>6687.0159999999996</v>
      </c>
      <c r="E120">
        <v>1733.533719</v>
      </c>
      <c r="F120" s="1">
        <v>253</v>
      </c>
      <c r="H120">
        <v>119</v>
      </c>
      <c r="I120" t="str">
        <f t="shared" si="2"/>
        <v>YES</v>
      </c>
      <c r="J120" t="s">
        <v>130</v>
      </c>
      <c r="K120">
        <v>26149.040529000002</v>
      </c>
      <c r="L120">
        <f t="shared" si="3"/>
        <v>323.5121165594652</v>
      </c>
    </row>
    <row r="121" spans="1:12" x14ac:dyDescent="0.25">
      <c r="A121">
        <v>120</v>
      </c>
      <c r="B121">
        <v>664417.19519999996</v>
      </c>
      <c r="C121">
        <v>663586.36159999995</v>
      </c>
      <c r="D121">
        <v>830.83360000000005</v>
      </c>
      <c r="E121">
        <v>402.68706409999999</v>
      </c>
      <c r="F121" s="1">
        <v>58.3</v>
      </c>
      <c r="H121">
        <v>120</v>
      </c>
      <c r="I121" t="str">
        <f t="shared" si="2"/>
        <v>YES</v>
      </c>
      <c r="J121" t="s">
        <v>131</v>
      </c>
      <c r="K121">
        <v>16347.606543399999</v>
      </c>
      <c r="L121">
        <f t="shared" si="3"/>
        <v>25.129740520380626</v>
      </c>
    </row>
    <row r="122" spans="1:12" x14ac:dyDescent="0.25">
      <c r="A122">
        <v>121</v>
      </c>
      <c r="B122">
        <v>680067.67379999999</v>
      </c>
      <c r="C122">
        <v>679236.84019999998</v>
      </c>
      <c r="D122">
        <v>830.83360000000005</v>
      </c>
      <c r="E122">
        <v>1.0299E-4</v>
      </c>
      <c r="F122" s="1">
        <v>1.5299999999999999E-5</v>
      </c>
      <c r="H122">
        <v>121</v>
      </c>
      <c r="I122" t="str">
        <f t="shared" si="2"/>
        <v>YES</v>
      </c>
      <c r="J122" t="s">
        <v>132</v>
      </c>
      <c r="K122">
        <v>10757.6098241</v>
      </c>
      <c r="L122">
        <f t="shared" si="3"/>
        <v>16.155702038891405</v>
      </c>
    </row>
    <row r="123" spans="1:12" x14ac:dyDescent="0.25">
      <c r="A123">
        <v>122</v>
      </c>
      <c r="B123">
        <v>675115.93819999998</v>
      </c>
      <c r="C123">
        <v>668175.5527</v>
      </c>
      <c r="D123">
        <v>6940.3855000000003</v>
      </c>
      <c r="E123">
        <v>725.76376040000002</v>
      </c>
      <c r="F123" s="1">
        <v>107</v>
      </c>
      <c r="H123">
        <v>122</v>
      </c>
      <c r="I123" t="str">
        <f t="shared" si="2"/>
        <v>YES</v>
      </c>
      <c r="J123" t="s">
        <v>133</v>
      </c>
      <c r="K123">
        <v>13472.459227200001</v>
      </c>
      <c r="L123">
        <f t="shared" si="3"/>
        <v>171.81343390292449</v>
      </c>
    </row>
    <row r="124" spans="1:12" x14ac:dyDescent="0.25">
      <c r="A124">
        <v>123</v>
      </c>
      <c r="B124">
        <v>626318.17180000001</v>
      </c>
      <c r="C124">
        <v>626318.17180000001</v>
      </c>
      <c r="D124">
        <v>0</v>
      </c>
      <c r="E124">
        <v>267.15329309999998</v>
      </c>
      <c r="F124" s="1">
        <v>36.4</v>
      </c>
      <c r="H124">
        <v>123</v>
      </c>
      <c r="I124" t="str">
        <f t="shared" si="2"/>
        <v>YES</v>
      </c>
      <c r="J124" t="s">
        <v>134</v>
      </c>
      <c r="K124">
        <v>15796.499711300001</v>
      </c>
      <c r="L124">
        <f t="shared" si="3"/>
        <v>0</v>
      </c>
    </row>
    <row r="125" spans="1:12" x14ac:dyDescent="0.25">
      <c r="A125">
        <v>124</v>
      </c>
      <c r="B125">
        <v>614657.81920000003</v>
      </c>
      <c r="C125">
        <v>614657.81920000003</v>
      </c>
      <c r="D125">
        <v>0</v>
      </c>
      <c r="E125">
        <v>616.90857119999998</v>
      </c>
      <c r="F125" s="1">
        <v>82.6</v>
      </c>
      <c r="H125">
        <v>124</v>
      </c>
      <c r="I125" t="str">
        <f t="shared" si="2"/>
        <v>YES</v>
      </c>
      <c r="J125" t="s">
        <v>135</v>
      </c>
      <c r="K125">
        <v>10162.976006499999</v>
      </c>
      <c r="L125">
        <f t="shared" si="3"/>
        <v>0</v>
      </c>
    </row>
    <row r="126" spans="1:12" x14ac:dyDescent="0.25">
      <c r="A126">
        <v>125</v>
      </c>
      <c r="B126">
        <v>549709.18810000003</v>
      </c>
      <c r="C126">
        <v>549709.18810000003</v>
      </c>
      <c r="D126">
        <v>0</v>
      </c>
      <c r="E126">
        <v>32.235511070000001</v>
      </c>
      <c r="F126" s="1">
        <v>3.86</v>
      </c>
      <c r="H126">
        <v>125</v>
      </c>
      <c r="I126" t="str">
        <f t="shared" si="2"/>
        <v>YES</v>
      </c>
      <c r="J126" t="s">
        <v>136</v>
      </c>
      <c r="K126">
        <v>53119.855900000002</v>
      </c>
      <c r="L126">
        <f t="shared" si="3"/>
        <v>0</v>
      </c>
    </row>
    <row r="127" spans="1:12" x14ac:dyDescent="0.25">
      <c r="A127">
        <v>126</v>
      </c>
      <c r="B127">
        <v>584714.89150000003</v>
      </c>
      <c r="C127">
        <v>577774.50600000005</v>
      </c>
      <c r="D127">
        <v>6940.3855000000003</v>
      </c>
      <c r="E127">
        <v>124.29879409999999</v>
      </c>
      <c r="F127" s="1">
        <v>15.8</v>
      </c>
      <c r="H127">
        <v>126</v>
      </c>
      <c r="I127" t="str">
        <f t="shared" si="2"/>
        <v>YES</v>
      </c>
      <c r="J127" t="s">
        <v>137</v>
      </c>
      <c r="K127">
        <v>14490.3553242</v>
      </c>
      <c r="L127">
        <f t="shared" si="3"/>
        <v>213.70834530168619</v>
      </c>
    </row>
    <row r="128" spans="1:12" x14ac:dyDescent="0.25">
      <c r="A128">
        <v>127</v>
      </c>
      <c r="B128">
        <v>617877.71340000001</v>
      </c>
      <c r="C128">
        <v>617046.87990000006</v>
      </c>
      <c r="D128">
        <v>830.83349999999996</v>
      </c>
      <c r="E128">
        <v>26.363467570000001</v>
      </c>
      <c r="F128" s="1">
        <v>3.55</v>
      </c>
      <c r="H128">
        <v>127</v>
      </c>
      <c r="I128" t="str">
        <f t="shared" si="2"/>
        <v>YES</v>
      </c>
      <c r="J128" t="s">
        <v>138</v>
      </c>
      <c r="K128">
        <v>8467.1530206099997</v>
      </c>
      <c r="L128">
        <f t="shared" si="3"/>
        <v>13.997499960897448</v>
      </c>
    </row>
    <row r="129" spans="1:12" x14ac:dyDescent="0.25">
      <c r="A129">
        <v>128</v>
      </c>
      <c r="B129">
        <v>644598.87529999996</v>
      </c>
      <c r="C129">
        <v>637911.85930000001</v>
      </c>
      <c r="D129">
        <v>6687.0159999999996</v>
      </c>
      <c r="E129">
        <v>2.9258339850000001</v>
      </c>
      <c r="F129" s="1">
        <v>0.41099999999999998</v>
      </c>
      <c r="H129">
        <v>128</v>
      </c>
      <c r="I129" t="str">
        <f t="shared" si="2"/>
        <v>YES</v>
      </c>
      <c r="J129" t="s">
        <v>139</v>
      </c>
      <c r="K129">
        <v>5928.6152934900001</v>
      </c>
      <c r="L129">
        <f t="shared" si="3"/>
        <v>76.303100230049068</v>
      </c>
    </row>
    <row r="130" spans="1:12" x14ac:dyDescent="0.25">
      <c r="A130">
        <v>129</v>
      </c>
      <c r="B130">
        <v>661434.43440000003</v>
      </c>
      <c r="C130">
        <v>654747.41839999997</v>
      </c>
      <c r="D130">
        <v>6687.0159999999996</v>
      </c>
      <c r="E130">
        <v>47.585182279999998</v>
      </c>
      <c r="F130" s="1">
        <v>6.85</v>
      </c>
      <c r="H130">
        <v>129</v>
      </c>
      <c r="I130" t="str">
        <f t="shared" si="2"/>
        <v>YES</v>
      </c>
      <c r="J130" t="s">
        <v>140</v>
      </c>
      <c r="K130">
        <v>14109.954685500001</v>
      </c>
      <c r="L130">
        <f t="shared" si="3"/>
        <v>176.92997425142974</v>
      </c>
    </row>
    <row r="131" spans="1:12" x14ac:dyDescent="0.25">
      <c r="A131">
        <v>130</v>
      </c>
      <c r="B131">
        <v>645977.67489999998</v>
      </c>
      <c r="C131">
        <v>639290.65890000004</v>
      </c>
      <c r="D131">
        <v>6687.0159999999996</v>
      </c>
      <c r="E131">
        <v>988.81302989999995</v>
      </c>
      <c r="F131" s="1">
        <v>139</v>
      </c>
      <c r="H131">
        <v>130</v>
      </c>
      <c r="I131" t="str">
        <f t="shared" ref="I131:I194" si="4">IF(A131=H131,"YES","NO")</f>
        <v>YES</v>
      </c>
      <c r="J131" t="s">
        <v>141</v>
      </c>
      <c r="K131">
        <v>22704.042365400001</v>
      </c>
      <c r="L131">
        <f t="shared" ref="L131:L194" si="5">EXP(0.2052)*K131*(D131/C131)</f>
        <v>291.57777649669777</v>
      </c>
    </row>
    <row r="132" spans="1:12" x14ac:dyDescent="0.25">
      <c r="A132">
        <v>131</v>
      </c>
      <c r="B132">
        <v>616418.23600000003</v>
      </c>
      <c r="C132">
        <v>616418.23600000003</v>
      </c>
      <c r="D132">
        <v>0</v>
      </c>
      <c r="E132">
        <v>3289.806615</v>
      </c>
      <c r="F132" s="1">
        <v>442</v>
      </c>
      <c r="H132">
        <v>131</v>
      </c>
      <c r="I132" t="str">
        <f t="shared" si="4"/>
        <v>YES</v>
      </c>
      <c r="J132" t="s">
        <v>142</v>
      </c>
      <c r="K132">
        <v>18089.786802899998</v>
      </c>
      <c r="L132">
        <f t="shared" si="5"/>
        <v>0</v>
      </c>
    </row>
    <row r="133" spans="1:12" x14ac:dyDescent="0.25">
      <c r="A133">
        <v>132</v>
      </c>
      <c r="B133">
        <v>642089.01930000004</v>
      </c>
      <c r="C133">
        <v>642089.01930000004</v>
      </c>
      <c r="D133">
        <v>0</v>
      </c>
      <c r="E133">
        <v>29.928429019999999</v>
      </c>
      <c r="F133" s="1">
        <v>4.18</v>
      </c>
      <c r="H133">
        <v>132</v>
      </c>
      <c r="I133" t="str">
        <f t="shared" si="4"/>
        <v>YES</v>
      </c>
      <c r="J133" t="s">
        <v>143</v>
      </c>
      <c r="K133">
        <v>20109.462245800001</v>
      </c>
      <c r="L133">
        <f t="shared" si="5"/>
        <v>0</v>
      </c>
    </row>
    <row r="134" spans="1:12" x14ac:dyDescent="0.25">
      <c r="A134">
        <v>133</v>
      </c>
      <c r="B134">
        <v>651996.64069999999</v>
      </c>
      <c r="C134">
        <v>645309.62470000004</v>
      </c>
      <c r="D134">
        <v>6687.0159999999996</v>
      </c>
      <c r="E134">
        <v>8.7281550370000005</v>
      </c>
      <c r="F134" s="1">
        <v>1.24</v>
      </c>
      <c r="H134">
        <v>133</v>
      </c>
      <c r="I134" t="str">
        <f t="shared" si="4"/>
        <v>YES</v>
      </c>
      <c r="J134" t="s">
        <v>144</v>
      </c>
      <c r="K134">
        <v>11803.274909</v>
      </c>
      <c r="L134">
        <f t="shared" si="5"/>
        <v>150.17027282600691</v>
      </c>
    </row>
    <row r="135" spans="1:12" x14ac:dyDescent="0.25">
      <c r="A135">
        <v>134</v>
      </c>
      <c r="B135">
        <v>678085.56189999997</v>
      </c>
      <c r="C135">
        <v>677362.09600000002</v>
      </c>
      <c r="D135">
        <v>723.46590000000003</v>
      </c>
      <c r="E135">
        <v>38.030117199999999</v>
      </c>
      <c r="F135" s="1">
        <v>5.61</v>
      </c>
      <c r="H135">
        <v>134</v>
      </c>
      <c r="I135" t="str">
        <f t="shared" si="4"/>
        <v>YES</v>
      </c>
      <c r="J135" t="s">
        <v>145</v>
      </c>
      <c r="K135">
        <v>63159.931726199997</v>
      </c>
      <c r="L135">
        <f t="shared" si="5"/>
        <v>82.823972106968796</v>
      </c>
    </row>
    <row r="136" spans="1:12" x14ac:dyDescent="0.25">
      <c r="A136">
        <v>135</v>
      </c>
      <c r="B136">
        <v>618693.06209999998</v>
      </c>
      <c r="C136">
        <v>617862.22849999997</v>
      </c>
      <c r="D136">
        <v>830.83360000000005</v>
      </c>
      <c r="E136">
        <v>981.55207659999996</v>
      </c>
      <c r="F136" s="1">
        <v>132</v>
      </c>
      <c r="H136">
        <v>135</v>
      </c>
      <c r="I136" t="str">
        <f t="shared" si="4"/>
        <v>YES</v>
      </c>
      <c r="J136" t="s">
        <v>146</v>
      </c>
      <c r="K136">
        <v>19807.016431399999</v>
      </c>
      <c r="L136">
        <f t="shared" si="5"/>
        <v>32.70082388696526</v>
      </c>
    </row>
    <row r="137" spans="1:12" x14ac:dyDescent="0.25">
      <c r="A137">
        <v>136</v>
      </c>
      <c r="B137">
        <v>487476.47600000002</v>
      </c>
      <c r="C137">
        <v>487476.47600000002</v>
      </c>
      <c r="D137">
        <v>0</v>
      </c>
      <c r="E137">
        <v>681.83162370000002</v>
      </c>
      <c r="F137" s="1">
        <v>72.400000000000006</v>
      </c>
      <c r="H137">
        <v>136</v>
      </c>
      <c r="I137" t="str">
        <f t="shared" si="4"/>
        <v>YES</v>
      </c>
      <c r="J137" t="s">
        <v>147</v>
      </c>
      <c r="K137">
        <v>37750.6975523</v>
      </c>
      <c r="L137">
        <f t="shared" si="5"/>
        <v>0</v>
      </c>
    </row>
    <row r="138" spans="1:12" x14ac:dyDescent="0.25">
      <c r="A138">
        <v>137</v>
      </c>
      <c r="B138">
        <v>618693.06209999998</v>
      </c>
      <c r="C138">
        <v>617862.22849999997</v>
      </c>
      <c r="D138">
        <v>830.83360000000005</v>
      </c>
      <c r="E138">
        <v>0.40563550599999998</v>
      </c>
      <c r="F138" s="1">
        <v>5.4600000000000003E-2</v>
      </c>
      <c r="H138">
        <v>137</v>
      </c>
      <c r="I138" t="str">
        <f t="shared" si="4"/>
        <v>YES</v>
      </c>
      <c r="J138" t="s">
        <v>148</v>
      </c>
      <c r="K138">
        <v>6217.8841805499997</v>
      </c>
      <c r="L138">
        <f t="shared" si="5"/>
        <v>10.265550909291646</v>
      </c>
    </row>
    <row r="139" spans="1:12" x14ac:dyDescent="0.25">
      <c r="A139">
        <v>138</v>
      </c>
      <c r="B139">
        <v>690760.39820000005</v>
      </c>
      <c r="C139">
        <v>684073.38219999999</v>
      </c>
      <c r="D139">
        <v>6687.0159999999996</v>
      </c>
      <c r="E139">
        <v>10.63032909</v>
      </c>
      <c r="F139" s="1">
        <v>1.6</v>
      </c>
      <c r="H139">
        <v>138</v>
      </c>
      <c r="I139" t="str">
        <f t="shared" si="4"/>
        <v>YES</v>
      </c>
      <c r="J139" t="s">
        <v>149</v>
      </c>
      <c r="K139">
        <v>6141.05932355</v>
      </c>
      <c r="L139">
        <f t="shared" si="5"/>
        <v>73.703852791428318</v>
      </c>
    </row>
    <row r="140" spans="1:12" x14ac:dyDescent="0.25">
      <c r="A140">
        <v>139</v>
      </c>
      <c r="B140">
        <v>662109.00679999997</v>
      </c>
      <c r="C140">
        <v>661278.17319999996</v>
      </c>
      <c r="D140">
        <v>830.83360000000005</v>
      </c>
      <c r="E140">
        <v>1.0299E-4</v>
      </c>
      <c r="F140" s="1">
        <v>1.4800000000000001E-5</v>
      </c>
      <c r="H140">
        <v>139</v>
      </c>
      <c r="I140" t="str">
        <f t="shared" si="4"/>
        <v>YES</v>
      </c>
      <c r="J140" t="s">
        <v>150</v>
      </c>
      <c r="K140">
        <v>4997.0405858200002</v>
      </c>
      <c r="L140">
        <f t="shared" si="5"/>
        <v>7.7083241259521422</v>
      </c>
    </row>
    <row r="141" spans="1:12" x14ac:dyDescent="0.25">
      <c r="A141">
        <v>140</v>
      </c>
      <c r="B141">
        <v>624075.21420000005</v>
      </c>
      <c r="C141">
        <v>617134.82869999995</v>
      </c>
      <c r="D141">
        <v>6940.3855000000003</v>
      </c>
      <c r="E141">
        <v>1.0299E-4</v>
      </c>
      <c r="F141" s="1">
        <v>1.4E-5</v>
      </c>
      <c r="H141">
        <v>140</v>
      </c>
      <c r="I141" t="str">
        <f t="shared" si="4"/>
        <v>YES</v>
      </c>
      <c r="J141" t="s">
        <v>151</v>
      </c>
      <c r="K141">
        <v>10195.4328585</v>
      </c>
      <c r="L141">
        <f t="shared" si="5"/>
        <v>140.77529089300936</v>
      </c>
    </row>
    <row r="142" spans="1:12" x14ac:dyDescent="0.25">
      <c r="A142">
        <v>141</v>
      </c>
      <c r="B142">
        <v>588073.7831</v>
      </c>
      <c r="C142">
        <v>588073.7831</v>
      </c>
      <c r="D142">
        <v>0</v>
      </c>
      <c r="E142">
        <v>15.298466700000001</v>
      </c>
      <c r="F142" s="1">
        <v>1.96</v>
      </c>
      <c r="H142">
        <v>141</v>
      </c>
      <c r="I142" t="str">
        <f t="shared" si="4"/>
        <v>YES</v>
      </c>
      <c r="J142" t="s">
        <v>152</v>
      </c>
      <c r="K142">
        <v>8099.0111090299997</v>
      </c>
      <c r="L142">
        <f t="shared" si="5"/>
        <v>0</v>
      </c>
    </row>
    <row r="143" spans="1:12" x14ac:dyDescent="0.25">
      <c r="A143">
        <v>142</v>
      </c>
      <c r="B143">
        <v>655561.56980000006</v>
      </c>
      <c r="C143">
        <v>654730.73620000004</v>
      </c>
      <c r="D143">
        <v>830.83360000000005</v>
      </c>
      <c r="E143">
        <v>365.17488320000001</v>
      </c>
      <c r="F143" s="1">
        <v>52.1</v>
      </c>
      <c r="H143">
        <v>142</v>
      </c>
      <c r="I143" t="str">
        <f t="shared" si="4"/>
        <v>YES</v>
      </c>
      <c r="J143" t="s">
        <v>153</v>
      </c>
      <c r="K143">
        <v>22076.001835899999</v>
      </c>
      <c r="L143">
        <f t="shared" si="5"/>
        <v>34.394497717970737</v>
      </c>
    </row>
    <row r="144" spans="1:12" x14ac:dyDescent="0.25">
      <c r="A144">
        <v>143</v>
      </c>
      <c r="B144">
        <v>698331.62040000001</v>
      </c>
      <c r="C144">
        <v>691644.60439999995</v>
      </c>
      <c r="D144">
        <v>6687.0159999999996</v>
      </c>
      <c r="E144">
        <v>1.0299E-4</v>
      </c>
      <c r="F144" s="1">
        <v>1.5699999999999999E-5</v>
      </c>
      <c r="H144">
        <v>143</v>
      </c>
      <c r="I144" t="str">
        <f t="shared" si="4"/>
        <v>YES</v>
      </c>
      <c r="J144" t="s">
        <v>154</v>
      </c>
      <c r="K144">
        <v>6937.2846391700004</v>
      </c>
      <c r="L144">
        <f t="shared" si="5"/>
        <v>82.348579267477604</v>
      </c>
    </row>
    <row r="145" spans="1:12" x14ac:dyDescent="0.25">
      <c r="A145">
        <v>144</v>
      </c>
      <c r="B145">
        <v>589337.86609999998</v>
      </c>
      <c r="C145">
        <v>589337.86609999998</v>
      </c>
      <c r="D145">
        <v>0</v>
      </c>
      <c r="E145">
        <v>1119.3992270000001</v>
      </c>
      <c r="F145" s="1">
        <v>144</v>
      </c>
      <c r="H145">
        <v>144</v>
      </c>
      <c r="I145" t="str">
        <f t="shared" si="4"/>
        <v>YES</v>
      </c>
      <c r="J145" t="s">
        <v>155</v>
      </c>
      <c r="K145">
        <v>26313.202573999999</v>
      </c>
      <c r="L145">
        <f t="shared" si="5"/>
        <v>0</v>
      </c>
    </row>
    <row r="146" spans="1:12" x14ac:dyDescent="0.25">
      <c r="A146">
        <v>145</v>
      </c>
      <c r="B146">
        <v>701774.527</v>
      </c>
      <c r="C146">
        <v>695087.51100000006</v>
      </c>
      <c r="D146">
        <v>6687.0159999999996</v>
      </c>
      <c r="E146">
        <v>56.682207099999999</v>
      </c>
      <c r="F146" s="1">
        <v>8.66</v>
      </c>
      <c r="H146">
        <v>145</v>
      </c>
      <c r="I146" t="str">
        <f t="shared" si="4"/>
        <v>YES</v>
      </c>
      <c r="J146" t="s">
        <v>156</v>
      </c>
      <c r="K146">
        <v>14492.188678099999</v>
      </c>
      <c r="L146">
        <f t="shared" si="5"/>
        <v>171.17647714634467</v>
      </c>
    </row>
    <row r="147" spans="1:12" x14ac:dyDescent="0.25">
      <c r="A147">
        <v>146</v>
      </c>
      <c r="B147">
        <v>757978.71059999999</v>
      </c>
      <c r="C147">
        <v>757147.87699999998</v>
      </c>
      <c r="D147">
        <v>830.83360000000005</v>
      </c>
      <c r="E147">
        <v>140.17218869999999</v>
      </c>
      <c r="F147" s="1">
        <v>23.1</v>
      </c>
      <c r="H147">
        <v>146</v>
      </c>
      <c r="I147" t="str">
        <f t="shared" si="4"/>
        <v>YES</v>
      </c>
      <c r="J147" t="s">
        <v>157</v>
      </c>
      <c r="K147">
        <v>133134.54147200001</v>
      </c>
      <c r="L147">
        <f t="shared" si="5"/>
        <v>179.36649317702265</v>
      </c>
    </row>
    <row r="148" spans="1:12" x14ac:dyDescent="0.25">
      <c r="A148">
        <v>147</v>
      </c>
      <c r="B148">
        <v>16745.536899999999</v>
      </c>
      <c r="C148">
        <v>16745.536899999999</v>
      </c>
      <c r="D148">
        <v>0</v>
      </c>
      <c r="E148">
        <v>1.0299E-4</v>
      </c>
      <c r="F148" s="1">
        <v>3.7599999999999998E-7</v>
      </c>
      <c r="H148">
        <v>147</v>
      </c>
      <c r="I148" t="str">
        <f t="shared" si="4"/>
        <v>YES</v>
      </c>
      <c r="J148" t="s">
        <v>158</v>
      </c>
      <c r="K148">
        <v>64184.287314200003</v>
      </c>
      <c r="L148">
        <f t="shared" si="5"/>
        <v>0</v>
      </c>
    </row>
    <row r="149" spans="1:12" x14ac:dyDescent="0.25">
      <c r="A149">
        <v>148</v>
      </c>
      <c r="B149">
        <v>83546.303509999998</v>
      </c>
      <c r="C149">
        <v>83546.303509999998</v>
      </c>
      <c r="D149">
        <v>0</v>
      </c>
      <c r="E149">
        <v>1.0299E-4</v>
      </c>
      <c r="F149" s="1">
        <v>1.8700000000000001E-6</v>
      </c>
      <c r="H149">
        <v>148</v>
      </c>
      <c r="I149" t="str">
        <f t="shared" si="4"/>
        <v>YES</v>
      </c>
      <c r="J149" t="s">
        <v>159</v>
      </c>
      <c r="K149">
        <v>4123.1521796400002</v>
      </c>
      <c r="L149">
        <f t="shared" si="5"/>
        <v>0</v>
      </c>
    </row>
    <row r="150" spans="1:12" x14ac:dyDescent="0.25">
      <c r="A150">
        <v>149</v>
      </c>
      <c r="B150">
        <v>528047.92740000004</v>
      </c>
      <c r="C150">
        <v>528047.92740000004</v>
      </c>
      <c r="D150">
        <v>0</v>
      </c>
      <c r="E150">
        <v>802.88369320000004</v>
      </c>
      <c r="F150" s="1">
        <v>92.3</v>
      </c>
      <c r="H150">
        <v>149</v>
      </c>
      <c r="I150" t="str">
        <f t="shared" si="4"/>
        <v>YES</v>
      </c>
      <c r="J150" t="s">
        <v>160</v>
      </c>
      <c r="K150">
        <v>17113.302184700002</v>
      </c>
      <c r="L150">
        <f t="shared" si="5"/>
        <v>0</v>
      </c>
    </row>
    <row r="151" spans="1:12" x14ac:dyDescent="0.25">
      <c r="A151">
        <v>150</v>
      </c>
      <c r="B151">
        <v>521584.07689999999</v>
      </c>
      <c r="C151">
        <v>521584.07689999999</v>
      </c>
      <c r="D151">
        <v>0</v>
      </c>
      <c r="E151">
        <v>1.0299E-4</v>
      </c>
      <c r="F151" s="1">
        <v>1.17E-5</v>
      </c>
      <c r="H151">
        <v>150</v>
      </c>
      <c r="I151" t="str">
        <f t="shared" si="4"/>
        <v>YES</v>
      </c>
      <c r="J151" t="s">
        <v>76</v>
      </c>
      <c r="K151">
        <v>12229.096071100001</v>
      </c>
      <c r="L151">
        <f t="shared" si="5"/>
        <v>0</v>
      </c>
    </row>
    <row r="152" spans="1:12" x14ac:dyDescent="0.25">
      <c r="A152">
        <v>151</v>
      </c>
      <c r="B152">
        <v>432159.64059999998</v>
      </c>
      <c r="C152">
        <v>432159.64059999998</v>
      </c>
      <c r="D152">
        <v>0</v>
      </c>
      <c r="E152">
        <v>401.81655560000002</v>
      </c>
      <c r="F152" s="1">
        <v>37.799999999999997</v>
      </c>
      <c r="H152">
        <v>151</v>
      </c>
      <c r="I152" t="str">
        <f t="shared" si="4"/>
        <v>YES</v>
      </c>
      <c r="J152" t="s">
        <v>161</v>
      </c>
      <c r="K152">
        <v>112076.020034</v>
      </c>
      <c r="L152">
        <f t="shared" si="5"/>
        <v>0</v>
      </c>
    </row>
    <row r="153" spans="1:12" x14ac:dyDescent="0.25">
      <c r="A153">
        <v>152</v>
      </c>
      <c r="B153">
        <v>407131.11700000003</v>
      </c>
      <c r="C153">
        <v>407131.11700000003</v>
      </c>
      <c r="D153">
        <v>0</v>
      </c>
      <c r="E153">
        <v>3737.7436389999998</v>
      </c>
      <c r="F153" s="1">
        <v>331</v>
      </c>
      <c r="H153">
        <v>152</v>
      </c>
      <c r="I153" t="str">
        <f t="shared" si="4"/>
        <v>YES</v>
      </c>
      <c r="J153" t="s">
        <v>162</v>
      </c>
      <c r="K153">
        <v>190243.612864</v>
      </c>
      <c r="L153">
        <f t="shared" si="5"/>
        <v>0</v>
      </c>
    </row>
    <row r="154" spans="1:12" x14ac:dyDescent="0.25">
      <c r="A154">
        <v>153</v>
      </c>
      <c r="B154">
        <v>478992.022</v>
      </c>
      <c r="C154">
        <v>478992.022</v>
      </c>
      <c r="D154">
        <v>0</v>
      </c>
      <c r="E154">
        <v>1510.1467950000001</v>
      </c>
      <c r="F154" s="1">
        <v>157</v>
      </c>
      <c r="H154">
        <v>153</v>
      </c>
      <c r="I154" t="str">
        <f t="shared" si="4"/>
        <v>YES</v>
      </c>
      <c r="J154" t="s">
        <v>163</v>
      </c>
      <c r="K154">
        <v>170909.71325500001</v>
      </c>
      <c r="L154">
        <f t="shared" si="5"/>
        <v>0</v>
      </c>
    </row>
    <row r="155" spans="1:12" x14ac:dyDescent="0.25">
      <c r="A155">
        <v>154</v>
      </c>
      <c r="B155">
        <v>577520.01850000001</v>
      </c>
      <c r="C155">
        <v>577520.01850000001</v>
      </c>
      <c r="D155">
        <v>0</v>
      </c>
      <c r="E155">
        <v>1559.560076</v>
      </c>
      <c r="F155" s="1">
        <v>196</v>
      </c>
      <c r="H155">
        <v>154</v>
      </c>
      <c r="I155" t="str">
        <f t="shared" si="4"/>
        <v>YES</v>
      </c>
      <c r="J155" t="s">
        <v>164</v>
      </c>
      <c r="K155">
        <v>35693.5671468</v>
      </c>
      <c r="L155">
        <f t="shared" si="5"/>
        <v>0</v>
      </c>
    </row>
    <row r="156" spans="1:12" x14ac:dyDescent="0.25">
      <c r="A156">
        <v>155</v>
      </c>
      <c r="B156">
        <v>507464.4423</v>
      </c>
      <c r="C156">
        <v>507464.4423</v>
      </c>
      <c r="D156">
        <v>0</v>
      </c>
      <c r="E156">
        <v>943.80322820000004</v>
      </c>
      <c r="F156" s="1">
        <v>104</v>
      </c>
      <c r="H156">
        <v>155</v>
      </c>
      <c r="I156" t="str">
        <f t="shared" si="4"/>
        <v>YES</v>
      </c>
      <c r="J156" t="s">
        <v>165</v>
      </c>
      <c r="K156">
        <v>26340.3678745</v>
      </c>
      <c r="L156">
        <f t="shared" si="5"/>
        <v>0</v>
      </c>
    </row>
    <row r="157" spans="1:12" x14ac:dyDescent="0.25">
      <c r="A157">
        <v>156</v>
      </c>
      <c r="B157">
        <v>461071.71620000002</v>
      </c>
      <c r="C157">
        <v>461071.71620000002</v>
      </c>
      <c r="D157">
        <v>0</v>
      </c>
      <c r="E157">
        <v>3633.8752829999999</v>
      </c>
      <c r="F157" s="1">
        <v>365</v>
      </c>
      <c r="H157">
        <v>156</v>
      </c>
      <c r="I157" t="str">
        <f t="shared" si="4"/>
        <v>YES</v>
      </c>
      <c r="J157" t="s">
        <v>166</v>
      </c>
      <c r="K157">
        <v>128912.908335</v>
      </c>
      <c r="L157">
        <f t="shared" si="5"/>
        <v>0</v>
      </c>
    </row>
    <row r="158" spans="1:12" x14ac:dyDescent="0.25">
      <c r="A158">
        <v>157</v>
      </c>
      <c r="B158">
        <v>428680.88860000001</v>
      </c>
      <c r="C158">
        <v>428680.88860000001</v>
      </c>
      <c r="D158">
        <v>0</v>
      </c>
      <c r="E158">
        <v>3800.730356</v>
      </c>
      <c r="F158" s="1">
        <v>355</v>
      </c>
      <c r="H158">
        <v>157</v>
      </c>
      <c r="I158" t="str">
        <f t="shared" si="4"/>
        <v>YES</v>
      </c>
      <c r="J158" t="s">
        <v>167</v>
      </c>
      <c r="K158">
        <v>216002.29129200001</v>
      </c>
      <c r="L158">
        <f t="shared" si="5"/>
        <v>0</v>
      </c>
    </row>
    <row r="159" spans="1:12" x14ac:dyDescent="0.25">
      <c r="A159">
        <v>158</v>
      </c>
      <c r="B159">
        <v>402037.01280000003</v>
      </c>
      <c r="C159">
        <v>402037.01280000003</v>
      </c>
      <c r="D159">
        <v>0</v>
      </c>
      <c r="E159">
        <v>3283.296511</v>
      </c>
      <c r="F159" s="1">
        <v>287</v>
      </c>
      <c r="H159">
        <v>158</v>
      </c>
      <c r="I159" t="str">
        <f t="shared" si="4"/>
        <v>YES</v>
      </c>
      <c r="J159" t="s">
        <v>168</v>
      </c>
      <c r="K159">
        <v>127790.318143</v>
      </c>
      <c r="L159">
        <f t="shared" si="5"/>
        <v>0</v>
      </c>
    </row>
    <row r="160" spans="1:12" x14ac:dyDescent="0.25">
      <c r="A160">
        <v>159</v>
      </c>
      <c r="B160">
        <v>491875.39429999999</v>
      </c>
      <c r="C160">
        <v>491875.39429999999</v>
      </c>
      <c r="D160">
        <v>0</v>
      </c>
      <c r="E160">
        <v>1500.507026</v>
      </c>
      <c r="F160" s="1">
        <v>161</v>
      </c>
      <c r="H160">
        <v>159</v>
      </c>
      <c r="I160" t="str">
        <f t="shared" si="4"/>
        <v>YES</v>
      </c>
      <c r="J160" t="s">
        <v>169</v>
      </c>
      <c r="K160">
        <v>186450.68426000001</v>
      </c>
      <c r="L160">
        <f t="shared" si="5"/>
        <v>0</v>
      </c>
    </row>
    <row r="161" spans="1:12" x14ac:dyDescent="0.25">
      <c r="A161">
        <v>160</v>
      </c>
      <c r="B161">
        <v>552867.91269999999</v>
      </c>
      <c r="C161">
        <v>552867.91269999999</v>
      </c>
      <c r="D161">
        <v>0</v>
      </c>
      <c r="E161">
        <v>875.29586089999998</v>
      </c>
      <c r="F161" s="1">
        <v>105</v>
      </c>
      <c r="H161">
        <v>160</v>
      </c>
      <c r="I161" t="str">
        <f t="shared" si="4"/>
        <v>YES</v>
      </c>
      <c r="J161" t="s">
        <v>170</v>
      </c>
      <c r="K161">
        <v>24653.016673900001</v>
      </c>
      <c r="L161">
        <f t="shared" si="5"/>
        <v>0</v>
      </c>
    </row>
    <row r="162" spans="1:12" x14ac:dyDescent="0.25">
      <c r="A162">
        <v>161</v>
      </c>
      <c r="B162">
        <v>685591.65</v>
      </c>
      <c r="C162">
        <v>676738.40500000003</v>
      </c>
      <c r="D162">
        <v>8853.2450000000008</v>
      </c>
      <c r="E162">
        <v>106.3106535</v>
      </c>
      <c r="F162" s="1">
        <v>15.9</v>
      </c>
      <c r="H162">
        <v>161</v>
      </c>
      <c r="I162" t="str">
        <f t="shared" si="4"/>
        <v>YES</v>
      </c>
      <c r="J162" t="s">
        <v>171</v>
      </c>
      <c r="K162">
        <v>13745.7199893</v>
      </c>
      <c r="L162">
        <f t="shared" si="5"/>
        <v>220.78338105841291</v>
      </c>
    </row>
    <row r="163" spans="1:12" x14ac:dyDescent="0.25">
      <c r="A163">
        <v>162</v>
      </c>
      <c r="B163">
        <v>670766.20349999995</v>
      </c>
      <c r="C163">
        <v>664079.1875</v>
      </c>
      <c r="D163">
        <v>6687.0159999999996</v>
      </c>
      <c r="E163">
        <v>156.40573649999999</v>
      </c>
      <c r="F163" s="1">
        <v>22.8</v>
      </c>
      <c r="H163">
        <v>162</v>
      </c>
      <c r="I163" t="str">
        <f t="shared" si="4"/>
        <v>YES</v>
      </c>
      <c r="J163" t="s">
        <v>172</v>
      </c>
      <c r="K163">
        <v>10138.7144768</v>
      </c>
      <c r="L163">
        <f t="shared" si="5"/>
        <v>125.34661587025018</v>
      </c>
    </row>
    <row r="164" spans="1:12" x14ac:dyDescent="0.25">
      <c r="A164">
        <v>163</v>
      </c>
      <c r="B164">
        <v>102828.5062</v>
      </c>
      <c r="C164">
        <v>102828.5062</v>
      </c>
      <c r="D164">
        <v>0</v>
      </c>
      <c r="E164">
        <v>4206.0230840000004</v>
      </c>
      <c r="F164" s="1">
        <v>94.2</v>
      </c>
      <c r="H164">
        <v>163</v>
      </c>
      <c r="I164" t="str">
        <f t="shared" si="4"/>
        <v>YES</v>
      </c>
      <c r="J164" t="s">
        <v>173</v>
      </c>
      <c r="K164">
        <v>381186.06232600001</v>
      </c>
      <c r="L164">
        <f t="shared" si="5"/>
        <v>0</v>
      </c>
    </row>
    <row r="165" spans="1:12" x14ac:dyDescent="0.25">
      <c r="A165">
        <v>164</v>
      </c>
      <c r="B165">
        <v>245372.50649999999</v>
      </c>
      <c r="C165">
        <v>245372.50649999999</v>
      </c>
      <c r="D165">
        <v>0</v>
      </c>
      <c r="E165">
        <v>400.996756</v>
      </c>
      <c r="F165" s="1">
        <v>21.4</v>
      </c>
      <c r="H165">
        <v>164</v>
      </c>
      <c r="I165" t="str">
        <f t="shared" si="4"/>
        <v>YES</v>
      </c>
      <c r="J165" t="s">
        <v>174</v>
      </c>
      <c r="K165">
        <v>52090.213642800001</v>
      </c>
      <c r="L165">
        <f t="shared" si="5"/>
        <v>0</v>
      </c>
    </row>
    <row r="166" spans="1:12" x14ac:dyDescent="0.25">
      <c r="A166">
        <v>165</v>
      </c>
      <c r="B166">
        <v>395553.07699999999</v>
      </c>
      <c r="C166">
        <v>394722.24339999998</v>
      </c>
      <c r="D166">
        <v>830.83360000000005</v>
      </c>
      <c r="E166">
        <v>1920.097246</v>
      </c>
      <c r="F166" s="1">
        <v>165</v>
      </c>
      <c r="H166">
        <v>165</v>
      </c>
      <c r="I166" t="str">
        <f t="shared" si="4"/>
        <v>YES</v>
      </c>
      <c r="J166" t="s">
        <v>175</v>
      </c>
      <c r="K166">
        <v>151331.18467799999</v>
      </c>
      <c r="L166">
        <f t="shared" si="5"/>
        <v>391.0822550970916</v>
      </c>
    </row>
    <row r="167" spans="1:12" x14ac:dyDescent="0.25">
      <c r="A167">
        <v>166</v>
      </c>
      <c r="B167">
        <v>284018.71779999998</v>
      </c>
      <c r="C167">
        <v>277078.3322</v>
      </c>
      <c r="D167">
        <v>6940.3855999999996</v>
      </c>
      <c r="E167">
        <v>1941.2375159999999</v>
      </c>
      <c r="F167" s="1">
        <v>120</v>
      </c>
      <c r="H167">
        <v>166</v>
      </c>
      <c r="I167" t="str">
        <f t="shared" si="4"/>
        <v>YES</v>
      </c>
      <c r="J167" t="s">
        <v>176</v>
      </c>
      <c r="K167">
        <v>86089.023524599994</v>
      </c>
      <c r="L167">
        <f t="shared" si="5"/>
        <v>2647.5614243430009</v>
      </c>
    </row>
    <row r="168" spans="1:12" x14ac:dyDescent="0.25">
      <c r="A168">
        <v>167</v>
      </c>
      <c r="B168">
        <v>189340.1764</v>
      </c>
      <c r="C168">
        <v>185414.20689999999</v>
      </c>
      <c r="D168">
        <v>3925.9695000000002</v>
      </c>
      <c r="E168">
        <v>3317.8572570000001</v>
      </c>
      <c r="F168" s="1">
        <v>137</v>
      </c>
      <c r="H168">
        <v>167</v>
      </c>
      <c r="I168" t="str">
        <f t="shared" si="4"/>
        <v>YES</v>
      </c>
      <c r="J168" t="s">
        <v>177</v>
      </c>
      <c r="K168">
        <v>170159.01730499999</v>
      </c>
      <c r="L168">
        <f t="shared" si="5"/>
        <v>4423.6026544639526</v>
      </c>
    </row>
    <row r="169" spans="1:12" x14ac:dyDescent="0.25">
      <c r="A169">
        <v>168</v>
      </c>
      <c r="B169">
        <v>548999.27469999995</v>
      </c>
      <c r="C169">
        <v>548999.27469999995</v>
      </c>
      <c r="D169">
        <v>0</v>
      </c>
      <c r="E169">
        <v>962.36295789999997</v>
      </c>
      <c r="F169" s="1">
        <v>115</v>
      </c>
      <c r="H169">
        <v>168</v>
      </c>
      <c r="I169" t="str">
        <f t="shared" si="4"/>
        <v>YES</v>
      </c>
      <c r="J169" t="s">
        <v>178</v>
      </c>
      <c r="K169">
        <v>91441.368566200006</v>
      </c>
      <c r="L169">
        <f t="shared" si="5"/>
        <v>0</v>
      </c>
    </row>
    <row r="170" spans="1:12" x14ac:dyDescent="0.25">
      <c r="A170">
        <v>169</v>
      </c>
      <c r="B170">
        <v>477833.56469999999</v>
      </c>
      <c r="C170">
        <v>477002.73109999998</v>
      </c>
      <c r="D170">
        <v>830.83360000000005</v>
      </c>
      <c r="E170">
        <v>988.02312900000004</v>
      </c>
      <c r="F170" s="1">
        <v>103</v>
      </c>
      <c r="H170">
        <v>169</v>
      </c>
      <c r="I170" t="str">
        <f t="shared" si="4"/>
        <v>YES</v>
      </c>
      <c r="J170" t="s">
        <v>179</v>
      </c>
      <c r="K170">
        <v>84997.093034499994</v>
      </c>
      <c r="L170">
        <f t="shared" si="5"/>
        <v>181.76676858866807</v>
      </c>
    </row>
    <row r="171" spans="1:12" x14ac:dyDescent="0.25">
      <c r="A171">
        <v>170</v>
      </c>
      <c r="B171">
        <v>500669.79719999997</v>
      </c>
      <c r="C171">
        <v>489271.78539999999</v>
      </c>
      <c r="D171">
        <v>11398.0118</v>
      </c>
      <c r="E171">
        <v>1398.1242420000001</v>
      </c>
      <c r="F171" s="1">
        <v>152</v>
      </c>
      <c r="H171">
        <v>170</v>
      </c>
      <c r="I171" t="str">
        <f t="shared" si="4"/>
        <v>YES</v>
      </c>
      <c r="J171" t="s">
        <v>180</v>
      </c>
      <c r="K171">
        <v>102648.539024</v>
      </c>
      <c r="L171">
        <f t="shared" si="5"/>
        <v>2935.9518595561381</v>
      </c>
    </row>
    <row r="172" spans="1:12" x14ac:dyDescent="0.25">
      <c r="A172">
        <v>171</v>
      </c>
      <c r="B172">
        <v>545214.63419999997</v>
      </c>
      <c r="C172">
        <v>532755.79310000001</v>
      </c>
      <c r="D172">
        <v>12458.8411</v>
      </c>
      <c r="E172">
        <v>2755.4750130000002</v>
      </c>
      <c r="F172" s="1">
        <v>327</v>
      </c>
      <c r="H172">
        <v>171</v>
      </c>
      <c r="I172" t="str">
        <f t="shared" si="4"/>
        <v>YES</v>
      </c>
      <c r="J172" t="s">
        <v>181</v>
      </c>
      <c r="K172">
        <v>99450.843708800006</v>
      </c>
      <c r="L172">
        <f t="shared" si="5"/>
        <v>2855.4539823240052</v>
      </c>
    </row>
    <row r="173" spans="1:12" x14ac:dyDescent="0.25">
      <c r="A173">
        <v>172</v>
      </c>
      <c r="B173">
        <v>461876.36300000001</v>
      </c>
      <c r="C173">
        <v>450180.64510000002</v>
      </c>
      <c r="D173">
        <v>11695.7179</v>
      </c>
      <c r="E173">
        <v>855.88165309999999</v>
      </c>
      <c r="F173" s="1">
        <v>86.1</v>
      </c>
      <c r="H173">
        <v>172</v>
      </c>
      <c r="I173" t="str">
        <f t="shared" si="4"/>
        <v>YES</v>
      </c>
      <c r="J173" t="s">
        <v>182</v>
      </c>
      <c r="K173">
        <v>32089.492605799998</v>
      </c>
      <c r="L173">
        <f t="shared" si="5"/>
        <v>1023.5761152759917</v>
      </c>
    </row>
    <row r="174" spans="1:12" x14ac:dyDescent="0.25">
      <c r="A174">
        <v>173</v>
      </c>
      <c r="B174">
        <v>321473.39299999998</v>
      </c>
      <c r="C174">
        <v>320642.55940000003</v>
      </c>
      <c r="D174">
        <v>830.83360000000005</v>
      </c>
      <c r="E174">
        <v>4026.9211449999998</v>
      </c>
      <c r="F174" s="1">
        <v>282</v>
      </c>
      <c r="H174">
        <v>173</v>
      </c>
      <c r="I174" t="str">
        <f t="shared" si="4"/>
        <v>YES</v>
      </c>
      <c r="J174" t="s">
        <v>183</v>
      </c>
      <c r="K174">
        <v>205467.09468099999</v>
      </c>
      <c r="L174">
        <f t="shared" si="5"/>
        <v>653.66072742968595</v>
      </c>
    </row>
    <row r="175" spans="1:12" x14ac:dyDescent="0.25">
      <c r="A175">
        <v>174</v>
      </c>
      <c r="B175">
        <v>656828.65419999999</v>
      </c>
      <c r="C175">
        <v>648546.16240000003</v>
      </c>
      <c r="D175">
        <v>8282.4917999999998</v>
      </c>
      <c r="E175">
        <v>1.0299E-4</v>
      </c>
      <c r="F175" s="1">
        <v>1.47E-5</v>
      </c>
      <c r="H175">
        <v>174</v>
      </c>
      <c r="I175" t="str">
        <f t="shared" si="4"/>
        <v>YES</v>
      </c>
      <c r="J175" t="s">
        <v>184</v>
      </c>
      <c r="K175">
        <v>8448.4735214800003</v>
      </c>
      <c r="L175">
        <f t="shared" si="5"/>
        <v>132.46940806886747</v>
      </c>
    </row>
    <row r="176" spans="1:12" x14ac:dyDescent="0.25">
      <c r="A176">
        <v>175</v>
      </c>
      <c r="B176">
        <v>481915.28080000001</v>
      </c>
      <c r="C176">
        <v>481084.4472</v>
      </c>
      <c r="D176">
        <v>830.83360000000005</v>
      </c>
      <c r="E176">
        <v>416.73840139999999</v>
      </c>
      <c r="F176" s="1">
        <v>43.7</v>
      </c>
      <c r="H176">
        <v>175</v>
      </c>
      <c r="I176" t="str">
        <f t="shared" si="4"/>
        <v>YES</v>
      </c>
      <c r="J176" t="s">
        <v>185</v>
      </c>
      <c r="K176">
        <v>54079.376491100003</v>
      </c>
      <c r="L176">
        <f t="shared" si="5"/>
        <v>114.66784167496522</v>
      </c>
    </row>
    <row r="177" spans="1:12" x14ac:dyDescent="0.25">
      <c r="A177">
        <v>176</v>
      </c>
      <c r="B177">
        <v>592949.82389999996</v>
      </c>
      <c r="C177">
        <v>586009.43830000004</v>
      </c>
      <c r="D177">
        <v>6940.3855999999996</v>
      </c>
      <c r="E177">
        <v>396.93471169999998</v>
      </c>
      <c r="F177" s="1">
        <v>51.2</v>
      </c>
      <c r="H177">
        <v>176</v>
      </c>
      <c r="I177" t="str">
        <f t="shared" si="4"/>
        <v>YES</v>
      </c>
      <c r="J177" t="s">
        <v>186</v>
      </c>
      <c r="K177">
        <v>44556.3558147</v>
      </c>
      <c r="L177">
        <f t="shared" si="5"/>
        <v>647.89686769437697</v>
      </c>
    </row>
    <row r="178" spans="1:12" x14ac:dyDescent="0.25">
      <c r="A178">
        <v>177</v>
      </c>
      <c r="B178">
        <v>614430.53370000003</v>
      </c>
      <c r="C178">
        <v>614430.53370000003</v>
      </c>
      <c r="D178">
        <v>0</v>
      </c>
      <c r="E178">
        <v>431.33458209999998</v>
      </c>
      <c r="F178" s="1">
        <v>57.7</v>
      </c>
      <c r="H178">
        <v>177</v>
      </c>
      <c r="I178" t="str">
        <f t="shared" si="4"/>
        <v>YES</v>
      </c>
      <c r="J178" t="s">
        <v>187</v>
      </c>
      <c r="K178">
        <v>7837.5620812799998</v>
      </c>
      <c r="L178">
        <f t="shared" si="5"/>
        <v>0</v>
      </c>
    </row>
    <row r="179" spans="1:12" x14ac:dyDescent="0.25">
      <c r="A179">
        <v>178</v>
      </c>
      <c r="B179">
        <v>543579.96250000002</v>
      </c>
      <c r="C179">
        <v>543579.96250000002</v>
      </c>
      <c r="D179">
        <v>0</v>
      </c>
      <c r="E179">
        <v>1694.388197</v>
      </c>
      <c r="F179" s="1">
        <v>201</v>
      </c>
      <c r="H179">
        <v>178</v>
      </c>
      <c r="I179" t="str">
        <f t="shared" si="4"/>
        <v>YES</v>
      </c>
      <c r="J179" t="s">
        <v>188</v>
      </c>
      <c r="K179">
        <v>150101.89371800001</v>
      </c>
      <c r="L179">
        <f t="shared" si="5"/>
        <v>0</v>
      </c>
    </row>
    <row r="180" spans="1:12" x14ac:dyDescent="0.25">
      <c r="A180">
        <v>179</v>
      </c>
      <c r="B180">
        <v>506064.23560000001</v>
      </c>
      <c r="C180">
        <v>494666.22379999998</v>
      </c>
      <c r="D180">
        <v>11398.0118</v>
      </c>
      <c r="E180">
        <v>2088.5730950000002</v>
      </c>
      <c r="F180" s="1">
        <v>230</v>
      </c>
      <c r="H180">
        <v>179</v>
      </c>
      <c r="I180" t="str">
        <f t="shared" si="4"/>
        <v>YES</v>
      </c>
      <c r="J180" t="s">
        <v>189</v>
      </c>
      <c r="K180">
        <v>103746.99770599999</v>
      </c>
      <c r="L180">
        <f t="shared" si="5"/>
        <v>2935.0101684553388</v>
      </c>
    </row>
    <row r="181" spans="1:12" x14ac:dyDescent="0.25">
      <c r="A181">
        <v>180</v>
      </c>
      <c r="B181">
        <v>394690.54920000001</v>
      </c>
      <c r="C181">
        <v>388003.53320000001</v>
      </c>
      <c r="D181">
        <v>6687.0159999999996</v>
      </c>
      <c r="E181">
        <v>3215.932292</v>
      </c>
      <c r="F181" s="1">
        <v>276</v>
      </c>
      <c r="H181">
        <v>180</v>
      </c>
      <c r="I181" t="str">
        <f t="shared" si="4"/>
        <v>YES</v>
      </c>
      <c r="J181" t="s">
        <v>190</v>
      </c>
      <c r="K181">
        <v>195724.383761</v>
      </c>
      <c r="L181">
        <f t="shared" si="5"/>
        <v>4141.5112369096241</v>
      </c>
    </row>
    <row r="182" spans="1:12" x14ac:dyDescent="0.25">
      <c r="A182">
        <v>181</v>
      </c>
      <c r="B182">
        <v>554074.38130000001</v>
      </c>
      <c r="C182">
        <v>554074.38130000001</v>
      </c>
      <c r="D182">
        <v>0</v>
      </c>
      <c r="E182">
        <v>154.03312</v>
      </c>
      <c r="F182" s="1">
        <v>18.600000000000001</v>
      </c>
      <c r="H182">
        <v>181</v>
      </c>
      <c r="I182" t="str">
        <f t="shared" si="4"/>
        <v>YES</v>
      </c>
      <c r="J182" t="s">
        <v>191</v>
      </c>
      <c r="K182">
        <v>8356.2177822199992</v>
      </c>
      <c r="L182">
        <f t="shared" si="5"/>
        <v>0</v>
      </c>
    </row>
    <row r="183" spans="1:12" x14ac:dyDescent="0.25">
      <c r="A183">
        <v>182</v>
      </c>
      <c r="B183">
        <v>526005.20640000002</v>
      </c>
      <c r="C183">
        <v>520149.02399999998</v>
      </c>
      <c r="D183">
        <v>5856.1823999999997</v>
      </c>
      <c r="E183">
        <v>1785.9650839999999</v>
      </c>
      <c r="F183" s="1">
        <v>205</v>
      </c>
      <c r="H183">
        <v>182</v>
      </c>
      <c r="I183" t="str">
        <f t="shared" si="4"/>
        <v>YES</v>
      </c>
      <c r="J183" t="s">
        <v>192</v>
      </c>
      <c r="K183">
        <v>96565.147953399995</v>
      </c>
      <c r="L183">
        <f t="shared" si="5"/>
        <v>1334.8253475236741</v>
      </c>
    </row>
    <row r="184" spans="1:12" x14ac:dyDescent="0.25">
      <c r="A184">
        <v>183</v>
      </c>
      <c r="B184">
        <v>420738.10129999998</v>
      </c>
      <c r="C184">
        <v>419907.26770000003</v>
      </c>
      <c r="D184">
        <v>830.83360000000005</v>
      </c>
      <c r="E184">
        <v>559.8478427</v>
      </c>
      <c r="F184" s="1">
        <v>51.3</v>
      </c>
      <c r="H184">
        <v>183</v>
      </c>
      <c r="I184" t="str">
        <f t="shared" si="4"/>
        <v>YES</v>
      </c>
      <c r="J184" t="s">
        <v>193</v>
      </c>
      <c r="K184">
        <v>109892.86444999999</v>
      </c>
      <c r="L184">
        <f t="shared" si="5"/>
        <v>266.960730301794</v>
      </c>
    </row>
    <row r="185" spans="1:12" x14ac:dyDescent="0.25">
      <c r="A185">
        <v>184</v>
      </c>
      <c r="B185">
        <v>537012.94620000001</v>
      </c>
      <c r="C185">
        <v>531156.76379999996</v>
      </c>
      <c r="D185">
        <v>5856.1823999999997</v>
      </c>
      <c r="E185">
        <v>733.02188130000002</v>
      </c>
      <c r="F185" s="1">
        <v>85.7</v>
      </c>
      <c r="H185">
        <v>184</v>
      </c>
      <c r="I185" t="str">
        <f t="shared" si="4"/>
        <v>YES</v>
      </c>
      <c r="J185" t="s">
        <v>194</v>
      </c>
      <c r="K185">
        <v>37771.287750700001</v>
      </c>
      <c r="L185">
        <f t="shared" si="5"/>
        <v>511.29423762597162</v>
      </c>
    </row>
    <row r="186" spans="1:12" x14ac:dyDescent="0.25">
      <c r="A186">
        <v>185</v>
      </c>
      <c r="B186">
        <v>441353.17739999999</v>
      </c>
      <c r="C186">
        <v>441353.17739999999</v>
      </c>
      <c r="D186">
        <v>0</v>
      </c>
      <c r="E186">
        <v>765.23079280000002</v>
      </c>
      <c r="F186" s="1">
        <v>73.5</v>
      </c>
      <c r="H186">
        <v>185</v>
      </c>
      <c r="I186" t="str">
        <f t="shared" si="4"/>
        <v>YES</v>
      </c>
      <c r="J186" t="s">
        <v>195</v>
      </c>
      <c r="K186">
        <v>46879.107253100003</v>
      </c>
      <c r="L186">
        <f t="shared" si="5"/>
        <v>0</v>
      </c>
    </row>
    <row r="187" spans="1:12" x14ac:dyDescent="0.25">
      <c r="A187">
        <v>186</v>
      </c>
      <c r="B187">
        <v>404581.50770000002</v>
      </c>
      <c r="C187">
        <v>404581.50770000002</v>
      </c>
      <c r="D187">
        <v>0</v>
      </c>
      <c r="E187">
        <v>1401.717228</v>
      </c>
      <c r="F187" s="1">
        <v>123</v>
      </c>
      <c r="H187">
        <v>186</v>
      </c>
      <c r="I187" t="str">
        <f t="shared" si="4"/>
        <v>YES</v>
      </c>
      <c r="J187" t="s">
        <v>196</v>
      </c>
      <c r="K187">
        <v>142837.36891799999</v>
      </c>
      <c r="L187">
        <f t="shared" si="5"/>
        <v>0</v>
      </c>
    </row>
    <row r="188" spans="1:12" x14ac:dyDescent="0.25">
      <c r="A188">
        <v>187</v>
      </c>
      <c r="B188">
        <v>531248.28249999997</v>
      </c>
      <c r="C188">
        <v>531248.28249999997</v>
      </c>
      <c r="D188">
        <v>0</v>
      </c>
      <c r="E188">
        <v>463.50743940000001</v>
      </c>
      <c r="F188" s="1">
        <v>53.6</v>
      </c>
      <c r="H188">
        <v>187</v>
      </c>
      <c r="I188" t="str">
        <f t="shared" si="4"/>
        <v>YES</v>
      </c>
      <c r="J188" t="s">
        <v>197</v>
      </c>
      <c r="K188">
        <v>126462.592275</v>
      </c>
      <c r="L188">
        <f t="shared" si="5"/>
        <v>0</v>
      </c>
    </row>
    <row r="189" spans="1:12" x14ac:dyDescent="0.25">
      <c r="A189">
        <v>188</v>
      </c>
      <c r="B189">
        <v>579759.68830000004</v>
      </c>
      <c r="C189">
        <v>579759.68830000004</v>
      </c>
      <c r="D189">
        <v>0</v>
      </c>
      <c r="E189">
        <v>2082.7887900000001</v>
      </c>
      <c r="F189" s="1">
        <v>263</v>
      </c>
      <c r="H189">
        <v>188</v>
      </c>
      <c r="I189" t="str">
        <f t="shared" si="4"/>
        <v>YES</v>
      </c>
      <c r="J189" t="s">
        <v>198</v>
      </c>
      <c r="K189">
        <v>47579.919989499998</v>
      </c>
      <c r="L189">
        <f t="shared" si="5"/>
        <v>0</v>
      </c>
    </row>
    <row r="190" spans="1:12" x14ac:dyDescent="0.25">
      <c r="A190">
        <v>189</v>
      </c>
      <c r="B190">
        <v>573563.61809999996</v>
      </c>
      <c r="C190">
        <v>573563.61809999996</v>
      </c>
      <c r="D190">
        <v>0</v>
      </c>
      <c r="E190">
        <v>335.50024619999999</v>
      </c>
      <c r="F190" s="1">
        <v>41.9</v>
      </c>
      <c r="H190">
        <v>189</v>
      </c>
      <c r="I190" t="str">
        <f t="shared" si="4"/>
        <v>YES</v>
      </c>
      <c r="J190" t="s">
        <v>199</v>
      </c>
      <c r="K190">
        <v>29150.998792300001</v>
      </c>
      <c r="L190">
        <f t="shared" si="5"/>
        <v>0</v>
      </c>
    </row>
    <row r="191" spans="1:12" x14ac:dyDescent="0.25">
      <c r="A191">
        <v>190</v>
      </c>
      <c r="B191">
        <v>532768.24300000002</v>
      </c>
      <c r="C191">
        <v>532768.24300000002</v>
      </c>
      <c r="D191">
        <v>0</v>
      </c>
      <c r="E191">
        <v>18.651571489999998</v>
      </c>
      <c r="F191" s="1">
        <v>2.16</v>
      </c>
      <c r="H191">
        <v>190</v>
      </c>
      <c r="I191" t="str">
        <f t="shared" si="4"/>
        <v>YES</v>
      </c>
      <c r="J191" t="s">
        <v>200</v>
      </c>
      <c r="K191">
        <v>30316.650122300001</v>
      </c>
      <c r="L191">
        <f t="shared" si="5"/>
        <v>0</v>
      </c>
    </row>
    <row r="192" spans="1:12" x14ac:dyDescent="0.25">
      <c r="A192">
        <v>191</v>
      </c>
      <c r="B192">
        <v>514073.04979999998</v>
      </c>
      <c r="C192">
        <v>514073.04979999998</v>
      </c>
      <c r="D192">
        <v>0</v>
      </c>
      <c r="E192">
        <v>276.42887080000003</v>
      </c>
      <c r="F192" s="1">
        <v>30.9</v>
      </c>
      <c r="H192">
        <v>191</v>
      </c>
      <c r="I192" t="str">
        <f t="shared" si="4"/>
        <v>YES</v>
      </c>
      <c r="J192" t="s">
        <v>201</v>
      </c>
      <c r="K192">
        <v>10865.468479700001</v>
      </c>
      <c r="L192">
        <f t="shared" si="5"/>
        <v>0</v>
      </c>
    </row>
    <row r="193" spans="1:12" x14ac:dyDescent="0.25">
      <c r="A193">
        <v>192</v>
      </c>
      <c r="B193">
        <v>643873.63230000006</v>
      </c>
      <c r="C193">
        <v>643873.63230000006</v>
      </c>
      <c r="D193">
        <v>0</v>
      </c>
      <c r="E193">
        <v>779.05165039999997</v>
      </c>
      <c r="F193" s="1">
        <v>109</v>
      </c>
      <c r="H193">
        <v>192</v>
      </c>
      <c r="I193" t="str">
        <f t="shared" si="4"/>
        <v>YES</v>
      </c>
      <c r="J193" t="s">
        <v>202</v>
      </c>
      <c r="K193">
        <v>27883.4625566</v>
      </c>
      <c r="L193">
        <f t="shared" si="5"/>
        <v>0</v>
      </c>
    </row>
    <row r="194" spans="1:12" x14ac:dyDescent="0.25">
      <c r="A194">
        <v>193</v>
      </c>
      <c r="B194">
        <v>539487.03980000003</v>
      </c>
      <c r="C194">
        <v>539487.03980000003</v>
      </c>
      <c r="D194">
        <v>0</v>
      </c>
      <c r="E194">
        <v>1397.8515540000001</v>
      </c>
      <c r="F194" s="1">
        <v>164</v>
      </c>
      <c r="H194">
        <v>193</v>
      </c>
      <c r="I194" t="str">
        <f t="shared" si="4"/>
        <v>YES</v>
      </c>
      <c r="J194" t="s">
        <v>203</v>
      </c>
      <c r="K194">
        <v>87823.028528900002</v>
      </c>
      <c r="L194">
        <f t="shared" si="5"/>
        <v>0</v>
      </c>
    </row>
    <row r="195" spans="1:12" x14ac:dyDescent="0.25">
      <c r="A195">
        <v>194</v>
      </c>
      <c r="B195">
        <v>746118.08050000004</v>
      </c>
      <c r="C195">
        <v>745287.24690000003</v>
      </c>
      <c r="D195">
        <v>830.83360000000005</v>
      </c>
      <c r="E195">
        <v>5.8064882999999998E-2</v>
      </c>
      <c r="F195" s="1">
        <v>9.4299999999999991E-3</v>
      </c>
      <c r="H195">
        <v>194</v>
      </c>
      <c r="I195" t="str">
        <f t="shared" ref="I195:I258" si="6">IF(A195=H195,"YES","NO")</f>
        <v>YES</v>
      </c>
      <c r="J195" t="s">
        <v>204</v>
      </c>
      <c r="K195">
        <v>19079.874304199999</v>
      </c>
      <c r="L195">
        <f t="shared" ref="L195:L258" si="7">EXP(0.2052)*K195*(D195/C195)</f>
        <v>26.114583208814288</v>
      </c>
    </row>
    <row r="196" spans="1:12" x14ac:dyDescent="0.25">
      <c r="A196">
        <v>195</v>
      </c>
      <c r="B196">
        <v>617195.20539999998</v>
      </c>
      <c r="C196">
        <v>617195.20539999998</v>
      </c>
      <c r="D196">
        <v>0</v>
      </c>
      <c r="E196">
        <v>768.49210230000006</v>
      </c>
      <c r="F196" s="1">
        <v>103</v>
      </c>
      <c r="H196">
        <v>195</v>
      </c>
      <c r="I196" t="str">
        <f t="shared" si="6"/>
        <v>YES</v>
      </c>
      <c r="J196" t="s">
        <v>205</v>
      </c>
      <c r="K196">
        <v>61938.171877799999</v>
      </c>
      <c r="L196">
        <f t="shared" si="7"/>
        <v>0</v>
      </c>
    </row>
    <row r="197" spans="1:12" x14ac:dyDescent="0.25">
      <c r="A197">
        <v>196</v>
      </c>
      <c r="B197">
        <v>439019.63370000001</v>
      </c>
      <c r="C197">
        <v>439019.63370000001</v>
      </c>
      <c r="D197">
        <v>0</v>
      </c>
      <c r="E197">
        <v>2570.0085039999999</v>
      </c>
      <c r="F197" s="1">
        <v>246</v>
      </c>
      <c r="H197">
        <v>196</v>
      </c>
      <c r="I197" t="str">
        <f t="shared" si="6"/>
        <v>YES</v>
      </c>
      <c r="J197" t="s">
        <v>206</v>
      </c>
      <c r="K197">
        <v>200637.248915</v>
      </c>
      <c r="L197">
        <f t="shared" si="7"/>
        <v>0</v>
      </c>
    </row>
    <row r="198" spans="1:12" x14ac:dyDescent="0.25">
      <c r="A198">
        <v>197</v>
      </c>
      <c r="B198">
        <v>745715.77040000004</v>
      </c>
      <c r="C198">
        <v>744884.93689999997</v>
      </c>
      <c r="D198">
        <v>830.83349999999996</v>
      </c>
      <c r="E198">
        <v>596.50806599999999</v>
      </c>
      <c r="F198" s="1">
        <v>96.9</v>
      </c>
      <c r="H198">
        <v>197</v>
      </c>
      <c r="I198" t="str">
        <f t="shared" si="6"/>
        <v>YES</v>
      </c>
      <c r="J198" t="s">
        <v>207</v>
      </c>
      <c r="K198">
        <v>48153.173009799997</v>
      </c>
      <c r="L198">
        <f t="shared" si="7"/>
        <v>65.942733355368475</v>
      </c>
    </row>
    <row r="199" spans="1:12" x14ac:dyDescent="0.25">
      <c r="A199">
        <v>198</v>
      </c>
      <c r="B199">
        <v>609018.96869999997</v>
      </c>
      <c r="C199">
        <v>608295.50289999996</v>
      </c>
      <c r="D199">
        <v>723.46579999999994</v>
      </c>
      <c r="E199">
        <v>1190.2902570000001</v>
      </c>
      <c r="F199" s="1">
        <v>158</v>
      </c>
      <c r="H199">
        <v>198</v>
      </c>
      <c r="I199" t="str">
        <f t="shared" si="6"/>
        <v>YES</v>
      </c>
      <c r="J199" t="s">
        <v>208</v>
      </c>
      <c r="K199">
        <v>107285.52272399999</v>
      </c>
      <c r="L199">
        <f t="shared" si="7"/>
        <v>156.66130836374276</v>
      </c>
    </row>
    <row r="200" spans="1:12" x14ac:dyDescent="0.25">
      <c r="A200">
        <v>199</v>
      </c>
      <c r="B200">
        <v>419798.50959999999</v>
      </c>
      <c r="C200">
        <v>419798.50959999999</v>
      </c>
      <c r="D200">
        <v>0</v>
      </c>
      <c r="E200">
        <v>2572.9469210000002</v>
      </c>
      <c r="F200" s="1">
        <v>235</v>
      </c>
      <c r="H200">
        <v>199</v>
      </c>
      <c r="I200" t="str">
        <f t="shared" si="6"/>
        <v>YES</v>
      </c>
      <c r="J200" t="s">
        <v>209</v>
      </c>
      <c r="K200">
        <v>207204.52523599999</v>
      </c>
      <c r="L200">
        <f t="shared" si="7"/>
        <v>0</v>
      </c>
    </row>
    <row r="201" spans="1:12" x14ac:dyDescent="0.25">
      <c r="A201">
        <v>200</v>
      </c>
      <c r="B201">
        <v>630542.27709999995</v>
      </c>
      <c r="C201">
        <v>629711.44350000005</v>
      </c>
      <c r="D201">
        <v>830.83360000000005</v>
      </c>
      <c r="E201">
        <v>19.592650670000001</v>
      </c>
      <c r="F201" s="1">
        <v>2.69</v>
      </c>
      <c r="H201">
        <v>200</v>
      </c>
      <c r="I201" t="str">
        <f t="shared" si="6"/>
        <v>YES</v>
      </c>
      <c r="J201" t="s">
        <v>210</v>
      </c>
      <c r="K201">
        <v>90732.586008300001</v>
      </c>
      <c r="L201">
        <f t="shared" si="7"/>
        <v>146.97821975624487</v>
      </c>
    </row>
    <row r="202" spans="1:12" x14ac:dyDescent="0.25">
      <c r="A202">
        <v>201</v>
      </c>
      <c r="B202">
        <v>581606.75760000001</v>
      </c>
      <c r="C202">
        <v>580883.29169999994</v>
      </c>
      <c r="D202">
        <v>723.46590000000003</v>
      </c>
      <c r="E202">
        <v>3319.6092100000001</v>
      </c>
      <c r="F202" s="1">
        <v>420</v>
      </c>
      <c r="H202">
        <v>201</v>
      </c>
      <c r="I202" t="str">
        <f t="shared" si="6"/>
        <v>YES</v>
      </c>
      <c r="J202" t="s">
        <v>211</v>
      </c>
      <c r="K202">
        <v>190652.97341800001</v>
      </c>
      <c r="L202">
        <f t="shared" si="7"/>
        <v>291.53452373773513</v>
      </c>
    </row>
    <row r="203" spans="1:12" x14ac:dyDescent="0.25">
      <c r="A203">
        <v>202</v>
      </c>
      <c r="B203">
        <v>415699.413</v>
      </c>
      <c r="C203">
        <v>415699.413</v>
      </c>
      <c r="D203">
        <v>0</v>
      </c>
      <c r="E203">
        <v>1818.2215430000001</v>
      </c>
      <c r="F203" s="1">
        <v>165</v>
      </c>
      <c r="H203">
        <v>202</v>
      </c>
      <c r="I203" t="str">
        <f t="shared" si="6"/>
        <v>YES</v>
      </c>
      <c r="J203" t="s">
        <v>212</v>
      </c>
      <c r="K203">
        <v>154619.20773699999</v>
      </c>
      <c r="L203">
        <f t="shared" si="7"/>
        <v>0</v>
      </c>
    </row>
    <row r="204" spans="1:12" x14ac:dyDescent="0.25">
      <c r="A204">
        <v>205</v>
      </c>
      <c r="B204">
        <v>563691.94189999998</v>
      </c>
      <c r="C204">
        <v>563691.94189999998</v>
      </c>
      <c r="D204">
        <v>0</v>
      </c>
      <c r="E204">
        <v>1176.2681990000001</v>
      </c>
      <c r="F204" s="1">
        <v>144</v>
      </c>
      <c r="H204">
        <v>205</v>
      </c>
      <c r="I204" t="str">
        <f t="shared" si="6"/>
        <v>YES</v>
      </c>
      <c r="J204" t="s">
        <v>213</v>
      </c>
      <c r="K204">
        <v>32822.569647199998</v>
      </c>
      <c r="L204">
        <f t="shared" si="7"/>
        <v>0</v>
      </c>
    </row>
    <row r="205" spans="1:12" x14ac:dyDescent="0.25">
      <c r="A205">
        <v>206</v>
      </c>
      <c r="B205">
        <v>470594.70309999998</v>
      </c>
      <c r="C205">
        <v>470594.70309999998</v>
      </c>
      <c r="D205">
        <v>0</v>
      </c>
      <c r="E205">
        <v>3788.9130019999998</v>
      </c>
      <c r="F205" s="1">
        <v>388</v>
      </c>
      <c r="H205">
        <v>206</v>
      </c>
      <c r="I205" t="str">
        <f t="shared" si="6"/>
        <v>YES</v>
      </c>
      <c r="J205" t="s">
        <v>214</v>
      </c>
      <c r="K205">
        <v>67788.954510299998</v>
      </c>
      <c r="L205">
        <f t="shared" si="7"/>
        <v>0</v>
      </c>
    </row>
    <row r="206" spans="1:12" x14ac:dyDescent="0.25">
      <c r="A206">
        <v>207</v>
      </c>
      <c r="B206">
        <v>334235.24349999998</v>
      </c>
      <c r="C206">
        <v>334235.24349999998</v>
      </c>
      <c r="D206">
        <v>0</v>
      </c>
      <c r="E206">
        <v>3293.2888600000001</v>
      </c>
      <c r="F206" s="1">
        <v>240</v>
      </c>
      <c r="H206">
        <v>207</v>
      </c>
      <c r="I206" t="str">
        <f t="shared" si="6"/>
        <v>YES</v>
      </c>
      <c r="J206" t="s">
        <v>215</v>
      </c>
      <c r="K206">
        <v>187159.210991</v>
      </c>
      <c r="L206">
        <f t="shared" si="7"/>
        <v>0</v>
      </c>
    </row>
    <row r="207" spans="1:12" x14ac:dyDescent="0.25">
      <c r="A207">
        <v>208</v>
      </c>
      <c r="B207">
        <v>643221.9754</v>
      </c>
      <c r="C207">
        <v>639296.00589999999</v>
      </c>
      <c r="D207">
        <v>3925.9695000000002</v>
      </c>
      <c r="E207">
        <v>1.0665799999999999E-4</v>
      </c>
      <c r="F207" s="1">
        <v>1.49E-5</v>
      </c>
      <c r="H207">
        <v>208</v>
      </c>
      <c r="I207" t="str">
        <f t="shared" si="6"/>
        <v>YES</v>
      </c>
      <c r="J207" t="s">
        <v>216</v>
      </c>
      <c r="K207">
        <v>98898.459081699999</v>
      </c>
      <c r="L207">
        <f t="shared" si="7"/>
        <v>745.67860567770322</v>
      </c>
    </row>
    <row r="208" spans="1:12" x14ac:dyDescent="0.25">
      <c r="A208">
        <v>209</v>
      </c>
      <c r="B208">
        <v>416643.86499999999</v>
      </c>
      <c r="C208">
        <v>416643.86499999999</v>
      </c>
      <c r="D208">
        <v>0</v>
      </c>
      <c r="E208">
        <v>888.31248270000003</v>
      </c>
      <c r="F208" s="1">
        <v>80.599999999999994</v>
      </c>
      <c r="H208">
        <v>209</v>
      </c>
      <c r="I208" t="str">
        <f t="shared" si="6"/>
        <v>YES</v>
      </c>
      <c r="J208" t="s">
        <v>217</v>
      </c>
      <c r="K208">
        <v>76395.850902299993</v>
      </c>
      <c r="L208">
        <f t="shared" si="7"/>
        <v>0</v>
      </c>
    </row>
    <row r="209" spans="1:12" x14ac:dyDescent="0.25">
      <c r="A209">
        <v>210</v>
      </c>
      <c r="B209">
        <v>590325.72459999996</v>
      </c>
      <c r="C209">
        <v>590325.72459999996</v>
      </c>
      <c r="D209">
        <v>0</v>
      </c>
      <c r="E209">
        <v>1051.113321</v>
      </c>
      <c r="F209" s="1">
        <v>135</v>
      </c>
      <c r="H209">
        <v>210</v>
      </c>
      <c r="I209" t="str">
        <f t="shared" si="6"/>
        <v>YES</v>
      </c>
      <c r="J209" t="s">
        <v>218</v>
      </c>
      <c r="K209">
        <v>82407.676145899997</v>
      </c>
      <c r="L209">
        <f t="shared" si="7"/>
        <v>0</v>
      </c>
    </row>
    <row r="210" spans="1:12" x14ac:dyDescent="0.25">
      <c r="A210">
        <v>211</v>
      </c>
      <c r="B210">
        <v>577821.91980000003</v>
      </c>
      <c r="C210">
        <v>573895.95030000003</v>
      </c>
      <c r="D210">
        <v>3925.9695000000002</v>
      </c>
      <c r="E210">
        <v>880.19826809999995</v>
      </c>
      <c r="F210" s="1">
        <v>111</v>
      </c>
      <c r="H210">
        <v>211</v>
      </c>
      <c r="I210" t="str">
        <f t="shared" si="6"/>
        <v>YES</v>
      </c>
      <c r="J210" t="s">
        <v>219</v>
      </c>
      <c r="K210">
        <v>48427.516733500001</v>
      </c>
      <c r="L210">
        <f t="shared" si="7"/>
        <v>406.7459044857103</v>
      </c>
    </row>
    <row r="211" spans="1:12" x14ac:dyDescent="0.25">
      <c r="A211">
        <v>212</v>
      </c>
      <c r="B211">
        <v>450404.78600000002</v>
      </c>
      <c r="C211">
        <v>450404.78600000002</v>
      </c>
      <c r="D211">
        <v>0</v>
      </c>
      <c r="E211">
        <v>2241.4251100000001</v>
      </c>
      <c r="F211" s="1">
        <v>220</v>
      </c>
      <c r="H211">
        <v>212</v>
      </c>
      <c r="I211" t="str">
        <f t="shared" si="6"/>
        <v>YES</v>
      </c>
      <c r="J211" t="s">
        <v>220</v>
      </c>
      <c r="K211">
        <v>183141.678166</v>
      </c>
      <c r="L211">
        <f t="shared" si="7"/>
        <v>0</v>
      </c>
    </row>
    <row r="212" spans="1:12" x14ac:dyDescent="0.25">
      <c r="A212">
        <v>213</v>
      </c>
      <c r="B212">
        <v>421201.83020000003</v>
      </c>
      <c r="C212">
        <v>421201.83020000003</v>
      </c>
      <c r="D212">
        <v>0</v>
      </c>
      <c r="E212">
        <v>732.48794640000006</v>
      </c>
      <c r="F212" s="1">
        <v>67.2</v>
      </c>
      <c r="H212">
        <v>213</v>
      </c>
      <c r="I212" t="str">
        <f t="shared" si="6"/>
        <v>YES</v>
      </c>
      <c r="J212" t="s">
        <v>221</v>
      </c>
      <c r="K212">
        <v>84579.031005900004</v>
      </c>
      <c r="L212">
        <f t="shared" si="7"/>
        <v>0</v>
      </c>
    </row>
    <row r="213" spans="1:12" x14ac:dyDescent="0.25">
      <c r="A213">
        <v>214</v>
      </c>
      <c r="B213">
        <v>263222.04350000003</v>
      </c>
      <c r="C213">
        <v>263222.04350000003</v>
      </c>
      <c r="D213">
        <v>0</v>
      </c>
      <c r="E213">
        <v>1761.467124</v>
      </c>
      <c r="F213" s="1">
        <v>101</v>
      </c>
      <c r="H213">
        <v>214</v>
      </c>
      <c r="I213" t="str">
        <f t="shared" si="6"/>
        <v>YES</v>
      </c>
      <c r="J213" t="s">
        <v>222</v>
      </c>
      <c r="K213">
        <v>198242.54141199999</v>
      </c>
      <c r="L213">
        <f t="shared" si="7"/>
        <v>0</v>
      </c>
    </row>
    <row r="214" spans="1:12" x14ac:dyDescent="0.25">
      <c r="A214">
        <v>215</v>
      </c>
      <c r="B214">
        <v>686703.14619999996</v>
      </c>
      <c r="C214">
        <v>685872.31259999995</v>
      </c>
      <c r="D214">
        <v>830.83360000000005</v>
      </c>
      <c r="E214">
        <v>1537.885857</v>
      </c>
      <c r="F214" s="1">
        <v>230</v>
      </c>
      <c r="H214">
        <v>215</v>
      </c>
      <c r="I214" t="str">
        <f t="shared" si="6"/>
        <v>YES</v>
      </c>
      <c r="J214" t="s">
        <v>223</v>
      </c>
      <c r="K214">
        <v>125999.11801200001</v>
      </c>
      <c r="L214">
        <f t="shared" si="7"/>
        <v>187.39392724844518</v>
      </c>
    </row>
    <row r="215" spans="1:12" x14ac:dyDescent="0.25">
      <c r="A215">
        <v>216</v>
      </c>
      <c r="B215">
        <v>395633.13380000001</v>
      </c>
      <c r="C215">
        <v>395633.13380000001</v>
      </c>
      <c r="D215">
        <v>0</v>
      </c>
      <c r="E215">
        <v>178.26571279999999</v>
      </c>
      <c r="F215" s="1">
        <v>15.4</v>
      </c>
      <c r="H215">
        <v>216</v>
      </c>
      <c r="I215" t="str">
        <f t="shared" si="6"/>
        <v>YES</v>
      </c>
      <c r="J215" t="s">
        <v>224</v>
      </c>
      <c r="K215">
        <v>142960.503719</v>
      </c>
      <c r="L215">
        <f t="shared" si="7"/>
        <v>0</v>
      </c>
    </row>
    <row r="216" spans="1:12" x14ac:dyDescent="0.25">
      <c r="A216">
        <v>217</v>
      </c>
      <c r="B216">
        <v>517120.9486</v>
      </c>
      <c r="C216">
        <v>517120.9486</v>
      </c>
      <c r="D216">
        <v>0</v>
      </c>
      <c r="E216">
        <v>422.04360209999999</v>
      </c>
      <c r="F216" s="1">
        <v>47.5</v>
      </c>
      <c r="H216">
        <v>217</v>
      </c>
      <c r="I216" t="str">
        <f t="shared" si="6"/>
        <v>YES</v>
      </c>
      <c r="J216" t="s">
        <v>225</v>
      </c>
      <c r="K216">
        <v>51585.442320499998</v>
      </c>
      <c r="L216">
        <f t="shared" si="7"/>
        <v>0</v>
      </c>
    </row>
    <row r="217" spans="1:12" x14ac:dyDescent="0.25">
      <c r="A217">
        <v>218</v>
      </c>
      <c r="B217">
        <v>432414.26069999998</v>
      </c>
      <c r="C217">
        <v>432414.26069999998</v>
      </c>
      <c r="D217">
        <v>0</v>
      </c>
      <c r="E217">
        <v>1438.3977170000001</v>
      </c>
      <c r="F217" s="1">
        <v>135</v>
      </c>
      <c r="H217">
        <v>218</v>
      </c>
      <c r="I217" t="str">
        <f t="shared" si="6"/>
        <v>YES</v>
      </c>
      <c r="J217" t="s">
        <v>226</v>
      </c>
      <c r="K217">
        <v>100300.52172600001</v>
      </c>
      <c r="L217">
        <f t="shared" si="7"/>
        <v>0</v>
      </c>
    </row>
    <row r="218" spans="1:12" x14ac:dyDescent="0.25">
      <c r="A218">
        <v>219</v>
      </c>
      <c r="B218">
        <v>433588.02720000001</v>
      </c>
      <c r="C218">
        <v>433588.02720000001</v>
      </c>
      <c r="D218">
        <v>0</v>
      </c>
      <c r="E218">
        <v>1533.7233739999999</v>
      </c>
      <c r="F218" s="1">
        <v>145</v>
      </c>
      <c r="H218">
        <v>219</v>
      </c>
      <c r="I218" t="str">
        <f t="shared" si="6"/>
        <v>YES</v>
      </c>
      <c r="J218" t="s">
        <v>227</v>
      </c>
      <c r="K218">
        <v>145169.575893</v>
      </c>
      <c r="L218">
        <f t="shared" si="7"/>
        <v>0</v>
      </c>
    </row>
    <row r="219" spans="1:12" x14ac:dyDescent="0.25">
      <c r="A219">
        <v>220</v>
      </c>
      <c r="B219">
        <v>324633.54479999997</v>
      </c>
      <c r="C219">
        <v>324633.54479999997</v>
      </c>
      <c r="D219">
        <v>0</v>
      </c>
      <c r="E219">
        <v>880.37327149999999</v>
      </c>
      <c r="F219" s="1">
        <v>62.2</v>
      </c>
      <c r="H219">
        <v>220</v>
      </c>
      <c r="I219" t="str">
        <f t="shared" si="6"/>
        <v>YES</v>
      </c>
      <c r="J219" t="s">
        <v>228</v>
      </c>
      <c r="K219">
        <v>91638.843314500002</v>
      </c>
      <c r="L219">
        <f t="shared" si="7"/>
        <v>0</v>
      </c>
    </row>
    <row r="220" spans="1:12" x14ac:dyDescent="0.25">
      <c r="A220">
        <v>221</v>
      </c>
      <c r="B220">
        <v>143340.44750000001</v>
      </c>
      <c r="C220">
        <v>143340.44750000001</v>
      </c>
      <c r="D220">
        <v>0</v>
      </c>
      <c r="E220">
        <v>1456.997777</v>
      </c>
      <c r="F220" s="1">
        <v>45.5</v>
      </c>
      <c r="H220">
        <v>221</v>
      </c>
      <c r="I220" t="str">
        <f t="shared" si="6"/>
        <v>YES</v>
      </c>
      <c r="J220" t="s">
        <v>229</v>
      </c>
      <c r="K220">
        <v>58148.036612800002</v>
      </c>
      <c r="L220">
        <f t="shared" si="7"/>
        <v>0</v>
      </c>
    </row>
    <row r="221" spans="1:12" x14ac:dyDescent="0.25">
      <c r="A221">
        <v>222</v>
      </c>
      <c r="B221">
        <v>433501.27429999999</v>
      </c>
      <c r="C221">
        <v>433501.27429999999</v>
      </c>
      <c r="D221">
        <v>0</v>
      </c>
      <c r="E221">
        <v>1.0665799999999999E-4</v>
      </c>
      <c r="F221" s="1">
        <v>1.01E-5</v>
      </c>
      <c r="H221">
        <v>222</v>
      </c>
      <c r="I221" t="str">
        <f t="shared" si="6"/>
        <v>YES</v>
      </c>
      <c r="J221" t="s">
        <v>230</v>
      </c>
      <c r="K221">
        <v>99706.283757199999</v>
      </c>
      <c r="L221">
        <f t="shared" si="7"/>
        <v>0</v>
      </c>
    </row>
    <row r="222" spans="1:12" x14ac:dyDescent="0.25">
      <c r="A222">
        <v>223</v>
      </c>
      <c r="B222">
        <v>58253.439870000002</v>
      </c>
      <c r="C222">
        <v>58253.439870000002</v>
      </c>
      <c r="D222">
        <v>0</v>
      </c>
      <c r="E222">
        <v>524.83795439999994</v>
      </c>
      <c r="F222" s="1">
        <v>6.66</v>
      </c>
      <c r="H222">
        <v>223</v>
      </c>
      <c r="I222" t="str">
        <f t="shared" si="6"/>
        <v>YES</v>
      </c>
      <c r="J222" t="s">
        <v>231</v>
      </c>
      <c r="K222">
        <v>42544.257112300002</v>
      </c>
      <c r="L222">
        <f t="shared" si="7"/>
        <v>0</v>
      </c>
    </row>
    <row r="223" spans="1:12" x14ac:dyDescent="0.25">
      <c r="A223">
        <v>224</v>
      </c>
      <c r="B223">
        <v>503984.79830000002</v>
      </c>
      <c r="C223">
        <v>503984.79830000002</v>
      </c>
      <c r="D223">
        <v>0</v>
      </c>
      <c r="E223">
        <v>1.0665799999999999E-4</v>
      </c>
      <c r="F223" s="1">
        <v>1.17E-5</v>
      </c>
      <c r="H223">
        <v>224</v>
      </c>
      <c r="I223" t="str">
        <f t="shared" si="6"/>
        <v>YES</v>
      </c>
      <c r="J223" t="s">
        <v>232</v>
      </c>
      <c r="K223">
        <v>103762.07808799999</v>
      </c>
      <c r="L223">
        <f t="shared" si="7"/>
        <v>0</v>
      </c>
    </row>
    <row r="224" spans="1:12" x14ac:dyDescent="0.25">
      <c r="A224">
        <v>225</v>
      </c>
      <c r="B224">
        <v>78841.585590000002</v>
      </c>
      <c r="C224">
        <v>78841.585590000002</v>
      </c>
      <c r="D224">
        <v>0</v>
      </c>
      <c r="E224">
        <v>1.0665799999999999E-4</v>
      </c>
      <c r="F224" s="1">
        <v>1.8300000000000001E-6</v>
      </c>
      <c r="H224">
        <v>225</v>
      </c>
      <c r="I224" t="str">
        <f t="shared" si="6"/>
        <v>YES</v>
      </c>
      <c r="J224" t="s">
        <v>233</v>
      </c>
      <c r="K224">
        <v>137200.346984</v>
      </c>
      <c r="L224">
        <f t="shared" si="7"/>
        <v>0</v>
      </c>
    </row>
    <row r="225" spans="1:12" x14ac:dyDescent="0.25">
      <c r="A225">
        <v>226</v>
      </c>
      <c r="B225">
        <v>90553.539789999995</v>
      </c>
      <c r="C225">
        <v>90553.539789999995</v>
      </c>
      <c r="D225">
        <v>0</v>
      </c>
      <c r="E225">
        <v>1780.4744519999999</v>
      </c>
      <c r="F225" s="1">
        <v>35.1</v>
      </c>
      <c r="H225">
        <v>226</v>
      </c>
      <c r="I225" t="str">
        <f t="shared" si="6"/>
        <v>YES</v>
      </c>
      <c r="J225" t="s">
        <v>234</v>
      </c>
      <c r="K225">
        <v>160810.355128</v>
      </c>
      <c r="L225">
        <f t="shared" si="7"/>
        <v>0</v>
      </c>
    </row>
    <row r="226" spans="1:12" x14ac:dyDescent="0.25">
      <c r="A226">
        <v>227</v>
      </c>
      <c r="B226">
        <v>208498.3518</v>
      </c>
      <c r="C226">
        <v>208498.3518</v>
      </c>
      <c r="D226">
        <v>0</v>
      </c>
      <c r="E226">
        <v>3008.3231019999998</v>
      </c>
      <c r="F226" s="1">
        <v>137</v>
      </c>
      <c r="H226">
        <v>227</v>
      </c>
      <c r="I226" t="str">
        <f t="shared" si="6"/>
        <v>YES</v>
      </c>
      <c r="J226" t="s">
        <v>235</v>
      </c>
      <c r="K226">
        <v>399240.73665199999</v>
      </c>
      <c r="L226">
        <f t="shared" si="7"/>
        <v>0</v>
      </c>
    </row>
    <row r="227" spans="1:12" x14ac:dyDescent="0.25">
      <c r="A227">
        <v>228</v>
      </c>
      <c r="B227">
        <v>218467.32519999999</v>
      </c>
      <c r="C227">
        <v>218467.32519999999</v>
      </c>
      <c r="D227">
        <v>0</v>
      </c>
      <c r="E227">
        <v>2692.3168660000001</v>
      </c>
      <c r="F227" s="1">
        <v>128</v>
      </c>
      <c r="H227">
        <v>228</v>
      </c>
      <c r="I227" t="str">
        <f t="shared" si="6"/>
        <v>YES</v>
      </c>
      <c r="J227" t="s">
        <v>236</v>
      </c>
      <c r="K227">
        <v>490216.23717099999</v>
      </c>
      <c r="L227">
        <f t="shared" si="7"/>
        <v>0</v>
      </c>
    </row>
    <row r="228" spans="1:12" x14ac:dyDescent="0.25">
      <c r="A228">
        <v>229</v>
      </c>
      <c r="B228">
        <v>164668.56630000001</v>
      </c>
      <c r="C228">
        <v>164668.56630000001</v>
      </c>
      <c r="D228">
        <v>0</v>
      </c>
      <c r="E228">
        <v>3334.6550240000001</v>
      </c>
      <c r="F228" s="1">
        <v>120</v>
      </c>
      <c r="H228">
        <v>229</v>
      </c>
      <c r="I228" t="str">
        <f t="shared" si="6"/>
        <v>YES</v>
      </c>
      <c r="J228" t="s">
        <v>237</v>
      </c>
      <c r="K228">
        <v>315047.71427599998</v>
      </c>
      <c r="L228">
        <f t="shared" si="7"/>
        <v>0</v>
      </c>
    </row>
    <row r="229" spans="1:12" x14ac:dyDescent="0.25">
      <c r="A229">
        <v>230</v>
      </c>
      <c r="B229">
        <v>75715.346449999997</v>
      </c>
      <c r="C229">
        <v>75715.346449999997</v>
      </c>
      <c r="D229">
        <v>0</v>
      </c>
      <c r="E229">
        <v>3590.0567080000001</v>
      </c>
      <c r="F229" s="1">
        <v>59.2</v>
      </c>
      <c r="H229">
        <v>230</v>
      </c>
      <c r="I229" t="str">
        <f t="shared" si="6"/>
        <v>YES</v>
      </c>
      <c r="J229" t="s">
        <v>238</v>
      </c>
      <c r="K229">
        <v>264510.42208599998</v>
      </c>
      <c r="L229">
        <f t="shared" si="7"/>
        <v>0</v>
      </c>
    </row>
    <row r="230" spans="1:12" x14ac:dyDescent="0.25">
      <c r="A230">
        <v>231</v>
      </c>
      <c r="B230">
        <v>161914.2738</v>
      </c>
      <c r="C230">
        <v>161914.2738</v>
      </c>
      <c r="D230">
        <v>0</v>
      </c>
      <c r="E230">
        <v>2661.3493659999999</v>
      </c>
      <c r="F230" s="1">
        <v>93.8</v>
      </c>
      <c r="H230">
        <v>231</v>
      </c>
      <c r="I230" t="str">
        <f t="shared" si="6"/>
        <v>YES</v>
      </c>
      <c r="J230" t="s">
        <v>239</v>
      </c>
      <c r="K230">
        <v>173239.01969099999</v>
      </c>
      <c r="L230">
        <f t="shared" si="7"/>
        <v>0</v>
      </c>
    </row>
    <row r="231" spans="1:12" x14ac:dyDescent="0.25">
      <c r="A231">
        <v>232</v>
      </c>
      <c r="B231">
        <v>237218.9607</v>
      </c>
      <c r="C231">
        <v>237218.9607</v>
      </c>
      <c r="D231">
        <v>0</v>
      </c>
      <c r="E231">
        <v>1745.4194440000001</v>
      </c>
      <c r="F231" s="1">
        <v>90.2</v>
      </c>
      <c r="H231">
        <v>232</v>
      </c>
      <c r="I231" t="str">
        <f t="shared" si="6"/>
        <v>YES</v>
      </c>
      <c r="J231" t="s">
        <v>240</v>
      </c>
      <c r="K231">
        <v>232952.14946399999</v>
      </c>
      <c r="L231">
        <f t="shared" si="7"/>
        <v>0</v>
      </c>
    </row>
    <row r="232" spans="1:12" x14ac:dyDescent="0.25">
      <c r="A232">
        <v>233</v>
      </c>
      <c r="B232">
        <v>210765.98149999999</v>
      </c>
      <c r="C232">
        <v>210765.98149999999</v>
      </c>
      <c r="D232">
        <v>0</v>
      </c>
      <c r="E232">
        <v>2017.4050380000001</v>
      </c>
      <c r="F232" s="1">
        <v>92.6</v>
      </c>
      <c r="H232">
        <v>233</v>
      </c>
      <c r="I232" t="str">
        <f t="shared" si="6"/>
        <v>YES</v>
      </c>
      <c r="J232" t="s">
        <v>241</v>
      </c>
      <c r="K232">
        <v>261480.14518799999</v>
      </c>
      <c r="L232">
        <f t="shared" si="7"/>
        <v>0</v>
      </c>
    </row>
    <row r="233" spans="1:12" x14ac:dyDescent="0.25">
      <c r="A233">
        <v>236</v>
      </c>
      <c r="B233">
        <v>140646.4762</v>
      </c>
      <c r="C233">
        <v>140646.4762</v>
      </c>
      <c r="D233">
        <v>0</v>
      </c>
      <c r="E233">
        <v>1422.957496</v>
      </c>
      <c r="F233" s="1">
        <v>43.6</v>
      </c>
      <c r="H233">
        <v>236</v>
      </c>
      <c r="I233" t="str">
        <f t="shared" si="6"/>
        <v>YES</v>
      </c>
      <c r="J233" t="s">
        <v>242</v>
      </c>
      <c r="K233">
        <v>676764.973245</v>
      </c>
      <c r="L233">
        <f t="shared" si="7"/>
        <v>0</v>
      </c>
    </row>
    <row r="234" spans="1:12" x14ac:dyDescent="0.25">
      <c r="A234">
        <v>237</v>
      </c>
      <c r="B234">
        <v>86075.258010000005</v>
      </c>
      <c r="C234">
        <v>86075.258010000005</v>
      </c>
      <c r="D234">
        <v>0</v>
      </c>
      <c r="E234">
        <v>1643.6753570000001</v>
      </c>
      <c r="F234" s="1">
        <v>30.8</v>
      </c>
      <c r="H234">
        <v>237</v>
      </c>
      <c r="I234" t="str">
        <f t="shared" si="6"/>
        <v>YES</v>
      </c>
      <c r="J234" t="s">
        <v>243</v>
      </c>
      <c r="K234">
        <v>218120.30025599999</v>
      </c>
      <c r="L234">
        <f t="shared" si="7"/>
        <v>0</v>
      </c>
    </row>
    <row r="235" spans="1:12" x14ac:dyDescent="0.25">
      <c r="A235">
        <v>238</v>
      </c>
      <c r="B235">
        <v>95617.404110000003</v>
      </c>
      <c r="C235">
        <v>95617.404110000003</v>
      </c>
      <c r="D235">
        <v>0</v>
      </c>
      <c r="E235">
        <v>342.88755859999998</v>
      </c>
      <c r="F235" s="1">
        <v>7.14</v>
      </c>
      <c r="H235">
        <v>238</v>
      </c>
      <c r="I235" t="str">
        <f t="shared" si="6"/>
        <v>YES</v>
      </c>
      <c r="J235" t="s">
        <v>244</v>
      </c>
      <c r="K235">
        <v>121114.571343</v>
      </c>
      <c r="L235">
        <f t="shared" si="7"/>
        <v>0</v>
      </c>
    </row>
    <row r="236" spans="1:12" x14ac:dyDescent="0.25">
      <c r="A236">
        <v>239</v>
      </c>
      <c r="B236">
        <v>334482.40590000001</v>
      </c>
      <c r="C236">
        <v>334482.40590000001</v>
      </c>
      <c r="D236">
        <v>0</v>
      </c>
      <c r="E236">
        <v>625.91792529999998</v>
      </c>
      <c r="F236" s="1">
        <v>45.6</v>
      </c>
      <c r="H236">
        <v>239</v>
      </c>
      <c r="I236" t="str">
        <f t="shared" si="6"/>
        <v>YES</v>
      </c>
      <c r="J236" t="s">
        <v>245</v>
      </c>
      <c r="K236">
        <v>164191.11499199999</v>
      </c>
      <c r="L236">
        <f t="shared" si="7"/>
        <v>0</v>
      </c>
    </row>
    <row r="237" spans="1:12" x14ac:dyDescent="0.25">
      <c r="A237">
        <v>240</v>
      </c>
      <c r="B237">
        <v>549104.14610000001</v>
      </c>
      <c r="C237">
        <v>549104.14610000001</v>
      </c>
      <c r="D237">
        <v>0</v>
      </c>
      <c r="E237">
        <v>1301.419214</v>
      </c>
      <c r="F237" s="1">
        <v>156</v>
      </c>
      <c r="H237">
        <v>240</v>
      </c>
      <c r="I237" t="str">
        <f t="shared" si="6"/>
        <v>YES</v>
      </c>
      <c r="J237" t="s">
        <v>246</v>
      </c>
      <c r="K237">
        <v>101330.165139</v>
      </c>
      <c r="L237">
        <f t="shared" si="7"/>
        <v>0</v>
      </c>
    </row>
    <row r="238" spans="1:12" x14ac:dyDescent="0.25">
      <c r="A238">
        <v>241</v>
      </c>
      <c r="B238">
        <v>99051.173569999999</v>
      </c>
      <c r="C238">
        <v>99051.173569999999</v>
      </c>
      <c r="D238">
        <v>0</v>
      </c>
      <c r="E238">
        <v>1628.0085409999999</v>
      </c>
      <c r="F238" s="1">
        <v>35.1</v>
      </c>
      <c r="H238">
        <v>241</v>
      </c>
      <c r="I238" t="str">
        <f t="shared" si="6"/>
        <v>YES</v>
      </c>
      <c r="J238" t="s">
        <v>247</v>
      </c>
      <c r="K238">
        <v>154119.91726300001</v>
      </c>
      <c r="L238">
        <f t="shared" si="7"/>
        <v>0</v>
      </c>
    </row>
    <row r="239" spans="1:12" x14ac:dyDescent="0.25">
      <c r="A239">
        <v>242</v>
      </c>
      <c r="B239">
        <v>192899.9613</v>
      </c>
      <c r="C239">
        <v>192899.9613</v>
      </c>
      <c r="D239">
        <v>0</v>
      </c>
      <c r="E239">
        <v>2617.9745979999998</v>
      </c>
      <c r="F239" s="1">
        <v>110</v>
      </c>
      <c r="H239">
        <v>242</v>
      </c>
      <c r="I239" t="str">
        <f t="shared" si="6"/>
        <v>YES</v>
      </c>
      <c r="J239" t="s">
        <v>248</v>
      </c>
      <c r="K239">
        <v>182355.61012900001</v>
      </c>
      <c r="L239">
        <f t="shared" si="7"/>
        <v>0</v>
      </c>
    </row>
    <row r="240" spans="1:12" x14ac:dyDescent="0.25">
      <c r="A240">
        <v>243</v>
      </c>
      <c r="B240">
        <v>213602.50959999999</v>
      </c>
      <c r="C240">
        <v>213602.50959999999</v>
      </c>
      <c r="D240">
        <v>0</v>
      </c>
      <c r="E240">
        <v>1173.830968</v>
      </c>
      <c r="F240" s="1">
        <v>54.6</v>
      </c>
      <c r="H240">
        <v>243</v>
      </c>
      <c r="I240" t="str">
        <f t="shared" si="6"/>
        <v>YES</v>
      </c>
      <c r="J240" t="s">
        <v>249</v>
      </c>
      <c r="K240">
        <v>106463.636128</v>
      </c>
      <c r="L240">
        <f t="shared" si="7"/>
        <v>0</v>
      </c>
    </row>
    <row r="241" spans="1:12" x14ac:dyDescent="0.25">
      <c r="A241">
        <v>244</v>
      </c>
      <c r="B241">
        <v>545795.65090000001</v>
      </c>
      <c r="C241">
        <v>545795.65090000001</v>
      </c>
      <c r="D241">
        <v>0</v>
      </c>
      <c r="E241">
        <v>553.03953779999995</v>
      </c>
      <c r="F241" s="1">
        <v>65.7</v>
      </c>
      <c r="H241">
        <v>244</v>
      </c>
      <c r="I241" t="str">
        <f t="shared" si="6"/>
        <v>YES</v>
      </c>
      <c r="J241" t="s">
        <v>250</v>
      </c>
      <c r="K241">
        <v>47056.823153899997</v>
      </c>
      <c r="L241">
        <f t="shared" si="7"/>
        <v>0</v>
      </c>
    </row>
    <row r="242" spans="1:12" x14ac:dyDescent="0.25">
      <c r="A242">
        <v>245</v>
      </c>
      <c r="B242">
        <v>307154.05619999999</v>
      </c>
      <c r="C242">
        <v>307154.05619999999</v>
      </c>
      <c r="D242">
        <v>0</v>
      </c>
      <c r="E242">
        <v>2212.3229310000002</v>
      </c>
      <c r="F242" s="1">
        <v>148</v>
      </c>
      <c r="H242">
        <v>245</v>
      </c>
      <c r="I242" t="str">
        <f t="shared" si="6"/>
        <v>YES</v>
      </c>
      <c r="J242" t="s">
        <v>251</v>
      </c>
      <c r="K242">
        <v>303163.57981800003</v>
      </c>
      <c r="L242">
        <f t="shared" si="7"/>
        <v>0</v>
      </c>
    </row>
    <row r="243" spans="1:12" x14ac:dyDescent="0.25">
      <c r="A243">
        <v>246</v>
      </c>
      <c r="B243">
        <v>258574.82550000001</v>
      </c>
      <c r="C243">
        <v>258574.82550000001</v>
      </c>
      <c r="D243">
        <v>0</v>
      </c>
      <c r="E243">
        <v>1917.1498799999999</v>
      </c>
      <c r="F243" s="1">
        <v>108</v>
      </c>
      <c r="H243">
        <v>246</v>
      </c>
      <c r="I243" t="str">
        <f t="shared" si="6"/>
        <v>YES</v>
      </c>
      <c r="J243" t="s">
        <v>252</v>
      </c>
      <c r="K243">
        <v>150254.72179899999</v>
      </c>
      <c r="L243">
        <f t="shared" si="7"/>
        <v>0</v>
      </c>
    </row>
    <row r="244" spans="1:12" x14ac:dyDescent="0.25">
      <c r="A244">
        <v>247</v>
      </c>
      <c r="B244">
        <v>321713.114</v>
      </c>
      <c r="C244">
        <v>321713.114</v>
      </c>
      <c r="D244">
        <v>0</v>
      </c>
      <c r="E244">
        <v>1191.4796369999999</v>
      </c>
      <c r="F244" s="1">
        <v>83.5</v>
      </c>
      <c r="H244">
        <v>247</v>
      </c>
      <c r="I244" t="str">
        <f t="shared" si="6"/>
        <v>YES</v>
      </c>
      <c r="J244" t="s">
        <v>253</v>
      </c>
      <c r="K244">
        <v>126811.313474</v>
      </c>
      <c r="L244">
        <f t="shared" si="7"/>
        <v>0</v>
      </c>
    </row>
    <row r="245" spans="1:12" x14ac:dyDescent="0.25">
      <c r="A245">
        <v>248</v>
      </c>
      <c r="B245">
        <v>360390.43219999998</v>
      </c>
      <c r="C245">
        <v>360390.43219999998</v>
      </c>
      <c r="D245">
        <v>0</v>
      </c>
      <c r="E245">
        <v>1636.834087</v>
      </c>
      <c r="F245" s="1">
        <v>128</v>
      </c>
      <c r="H245">
        <v>248</v>
      </c>
      <c r="I245" t="str">
        <f t="shared" si="6"/>
        <v>YES</v>
      </c>
      <c r="J245" t="s">
        <v>254</v>
      </c>
      <c r="K245">
        <v>164566.96104600001</v>
      </c>
      <c r="L245">
        <f t="shared" si="7"/>
        <v>0</v>
      </c>
    </row>
    <row r="246" spans="1:12" x14ac:dyDescent="0.25">
      <c r="A246">
        <v>249</v>
      </c>
      <c r="B246">
        <v>364607.7169</v>
      </c>
      <c r="C246">
        <v>364607.7169</v>
      </c>
      <c r="D246">
        <v>0</v>
      </c>
      <c r="E246">
        <v>1571.4256479999999</v>
      </c>
      <c r="F246" s="1">
        <v>125</v>
      </c>
      <c r="H246">
        <v>249</v>
      </c>
      <c r="I246" t="str">
        <f t="shared" si="6"/>
        <v>YES</v>
      </c>
      <c r="J246" t="s">
        <v>255</v>
      </c>
      <c r="K246">
        <v>196527.579509</v>
      </c>
      <c r="L246">
        <f t="shared" si="7"/>
        <v>0</v>
      </c>
    </row>
    <row r="247" spans="1:12" x14ac:dyDescent="0.25">
      <c r="A247">
        <v>250</v>
      </c>
      <c r="B247">
        <v>126703.47380000001</v>
      </c>
      <c r="C247">
        <v>126703.47380000001</v>
      </c>
      <c r="D247">
        <v>0</v>
      </c>
      <c r="E247">
        <v>1418.779207</v>
      </c>
      <c r="F247" s="1">
        <v>39.1</v>
      </c>
      <c r="H247">
        <v>250</v>
      </c>
      <c r="I247" t="str">
        <f t="shared" si="6"/>
        <v>YES</v>
      </c>
      <c r="J247" t="s">
        <v>256</v>
      </c>
      <c r="K247">
        <v>112151.927454</v>
      </c>
      <c r="L247">
        <f t="shared" si="7"/>
        <v>0</v>
      </c>
    </row>
    <row r="248" spans="1:12" x14ac:dyDescent="0.25">
      <c r="A248">
        <v>251</v>
      </c>
      <c r="B248">
        <v>73531.840920000002</v>
      </c>
      <c r="C248">
        <v>73531.840920000002</v>
      </c>
      <c r="D248">
        <v>0</v>
      </c>
      <c r="E248">
        <v>3283.8285089999999</v>
      </c>
      <c r="F248" s="1">
        <v>52.6</v>
      </c>
      <c r="H248">
        <v>251</v>
      </c>
      <c r="I248" t="str">
        <f t="shared" si="6"/>
        <v>YES</v>
      </c>
      <c r="J248" t="s">
        <v>257</v>
      </c>
      <c r="K248">
        <v>327894.75998500001</v>
      </c>
      <c r="L248">
        <f t="shared" si="7"/>
        <v>0</v>
      </c>
    </row>
    <row r="249" spans="1:12" x14ac:dyDescent="0.25">
      <c r="A249">
        <v>252</v>
      </c>
      <c r="B249">
        <v>110316.3572</v>
      </c>
      <c r="C249">
        <v>110316.3572</v>
      </c>
      <c r="D249">
        <v>0</v>
      </c>
      <c r="E249">
        <v>1812.4689040000001</v>
      </c>
      <c r="F249" s="1">
        <v>43.5</v>
      </c>
      <c r="H249">
        <v>252</v>
      </c>
      <c r="I249" t="str">
        <f t="shared" si="6"/>
        <v>YES</v>
      </c>
      <c r="J249" t="s">
        <v>258</v>
      </c>
      <c r="K249">
        <v>122246.057323</v>
      </c>
      <c r="L249">
        <f t="shared" si="7"/>
        <v>0</v>
      </c>
    </row>
    <row r="250" spans="1:12" x14ac:dyDescent="0.25">
      <c r="A250">
        <v>253</v>
      </c>
      <c r="B250">
        <v>57746.273459999997</v>
      </c>
      <c r="C250">
        <v>57746.273459999997</v>
      </c>
      <c r="D250">
        <v>0</v>
      </c>
      <c r="E250">
        <v>2197.1843020000001</v>
      </c>
      <c r="F250" s="1">
        <v>27.6</v>
      </c>
      <c r="H250">
        <v>253</v>
      </c>
      <c r="I250" t="str">
        <f t="shared" si="6"/>
        <v>YES</v>
      </c>
      <c r="J250" t="s">
        <v>259</v>
      </c>
      <c r="K250">
        <v>81151.131588400007</v>
      </c>
      <c r="L250">
        <f t="shared" si="7"/>
        <v>0</v>
      </c>
    </row>
    <row r="251" spans="1:12" x14ac:dyDescent="0.25">
      <c r="A251">
        <v>254</v>
      </c>
      <c r="B251">
        <v>452590.24739999999</v>
      </c>
      <c r="C251">
        <v>452590.24739999999</v>
      </c>
      <c r="D251">
        <v>0</v>
      </c>
      <c r="E251">
        <v>755.8512121</v>
      </c>
      <c r="F251" s="1">
        <v>74.5</v>
      </c>
      <c r="H251">
        <v>254</v>
      </c>
      <c r="I251" t="str">
        <f t="shared" si="6"/>
        <v>YES</v>
      </c>
      <c r="J251" t="s">
        <v>260</v>
      </c>
      <c r="K251">
        <v>83338.538764900004</v>
      </c>
      <c r="L251">
        <f t="shared" si="7"/>
        <v>0</v>
      </c>
    </row>
    <row r="252" spans="1:12" x14ac:dyDescent="0.25">
      <c r="A252">
        <v>255</v>
      </c>
      <c r="B252">
        <v>322396.67940000002</v>
      </c>
      <c r="C252">
        <v>322396.67940000002</v>
      </c>
      <c r="D252">
        <v>0</v>
      </c>
      <c r="E252">
        <v>1102.5046299999999</v>
      </c>
      <c r="F252" s="1">
        <v>77.400000000000006</v>
      </c>
      <c r="H252">
        <v>255</v>
      </c>
      <c r="I252" t="str">
        <f t="shared" si="6"/>
        <v>YES</v>
      </c>
      <c r="J252" t="s">
        <v>261</v>
      </c>
      <c r="K252">
        <v>98362.935576400007</v>
      </c>
      <c r="L252">
        <f t="shared" si="7"/>
        <v>0</v>
      </c>
    </row>
    <row r="253" spans="1:12" x14ac:dyDescent="0.25">
      <c r="A253">
        <v>256</v>
      </c>
      <c r="B253">
        <v>191964.511</v>
      </c>
      <c r="C253">
        <v>191964.511</v>
      </c>
      <c r="D253">
        <v>0</v>
      </c>
      <c r="E253">
        <v>1326.111275</v>
      </c>
      <c r="F253" s="1">
        <v>55.4</v>
      </c>
      <c r="H253">
        <v>256</v>
      </c>
      <c r="I253" t="str">
        <f t="shared" si="6"/>
        <v>YES</v>
      </c>
      <c r="J253" t="s">
        <v>262</v>
      </c>
      <c r="K253">
        <v>214555.239393</v>
      </c>
      <c r="L253">
        <f t="shared" si="7"/>
        <v>0</v>
      </c>
    </row>
    <row r="254" spans="1:12" x14ac:dyDescent="0.25">
      <c r="A254">
        <v>257</v>
      </c>
      <c r="B254">
        <v>93446.281390000004</v>
      </c>
      <c r="C254">
        <v>93446.281390000004</v>
      </c>
      <c r="D254">
        <v>0</v>
      </c>
      <c r="E254">
        <v>1462.122678</v>
      </c>
      <c r="F254" s="1">
        <v>29.7</v>
      </c>
      <c r="H254">
        <v>257</v>
      </c>
      <c r="I254" t="str">
        <f t="shared" si="6"/>
        <v>YES</v>
      </c>
      <c r="J254" t="s">
        <v>263</v>
      </c>
      <c r="K254">
        <v>153909.551461</v>
      </c>
      <c r="L254">
        <f t="shared" si="7"/>
        <v>0</v>
      </c>
    </row>
    <row r="255" spans="1:12" x14ac:dyDescent="0.25">
      <c r="A255">
        <v>258</v>
      </c>
      <c r="B255">
        <v>204693.90100000001</v>
      </c>
      <c r="C255">
        <v>204693.90100000001</v>
      </c>
      <c r="D255">
        <v>0</v>
      </c>
      <c r="E255">
        <v>2632.8026909999999</v>
      </c>
      <c r="F255" s="1">
        <v>117</v>
      </c>
      <c r="H255">
        <v>258</v>
      </c>
      <c r="I255" t="str">
        <f t="shared" si="6"/>
        <v>YES</v>
      </c>
      <c r="J255" t="s">
        <v>264</v>
      </c>
      <c r="K255">
        <v>333521.51918900001</v>
      </c>
      <c r="L255">
        <f t="shared" si="7"/>
        <v>0</v>
      </c>
    </row>
    <row r="256" spans="1:12" x14ac:dyDescent="0.25">
      <c r="A256">
        <v>259</v>
      </c>
      <c r="B256">
        <v>90204.001199999999</v>
      </c>
      <c r="C256">
        <v>90204.001199999999</v>
      </c>
      <c r="D256">
        <v>0</v>
      </c>
      <c r="E256">
        <v>1728.913998</v>
      </c>
      <c r="F256" s="1">
        <v>34</v>
      </c>
      <c r="H256">
        <v>259</v>
      </c>
      <c r="I256" t="str">
        <f t="shared" si="6"/>
        <v>YES</v>
      </c>
      <c r="J256" t="s">
        <v>265</v>
      </c>
      <c r="K256">
        <v>142567.73358100001</v>
      </c>
      <c r="L256">
        <f t="shared" si="7"/>
        <v>0</v>
      </c>
    </row>
    <row r="257" spans="1:12" x14ac:dyDescent="0.25">
      <c r="A257">
        <v>260</v>
      </c>
      <c r="B257">
        <v>79086.844429999997</v>
      </c>
      <c r="C257">
        <v>79086.844429999997</v>
      </c>
      <c r="D257">
        <v>0</v>
      </c>
      <c r="E257">
        <v>1491.1251090000001</v>
      </c>
      <c r="F257" s="1">
        <v>25.7</v>
      </c>
      <c r="H257">
        <v>260</v>
      </c>
      <c r="I257" t="str">
        <f t="shared" si="6"/>
        <v>YES</v>
      </c>
      <c r="J257" t="s">
        <v>266</v>
      </c>
      <c r="K257">
        <v>192649.89945200001</v>
      </c>
      <c r="L257">
        <f t="shared" si="7"/>
        <v>0</v>
      </c>
    </row>
    <row r="258" spans="1:12" x14ac:dyDescent="0.25">
      <c r="A258">
        <v>261</v>
      </c>
      <c r="B258">
        <v>61089.344449999997</v>
      </c>
      <c r="C258">
        <v>61089.344449999997</v>
      </c>
      <c r="D258">
        <v>0</v>
      </c>
      <c r="E258">
        <v>2561.214821</v>
      </c>
      <c r="F258" s="1">
        <v>34.1</v>
      </c>
      <c r="H258">
        <v>261</v>
      </c>
      <c r="I258" t="str">
        <f t="shared" si="6"/>
        <v>YES</v>
      </c>
      <c r="J258" t="s">
        <v>267</v>
      </c>
      <c r="K258">
        <v>232287.64271700001</v>
      </c>
      <c r="L258">
        <f t="shared" si="7"/>
        <v>0</v>
      </c>
    </row>
    <row r="259" spans="1:12" x14ac:dyDescent="0.25">
      <c r="A259">
        <v>262</v>
      </c>
      <c r="B259">
        <v>94947.286030000003</v>
      </c>
      <c r="C259">
        <v>94947.286030000003</v>
      </c>
      <c r="D259">
        <v>0</v>
      </c>
      <c r="E259">
        <v>1202.100878</v>
      </c>
      <c r="F259" s="1">
        <v>24.9</v>
      </c>
      <c r="H259">
        <v>262</v>
      </c>
      <c r="I259" t="str">
        <f t="shared" ref="I259:I322" si="8">IF(A259=H259,"YES","NO")</f>
        <v>YES</v>
      </c>
      <c r="J259" t="s">
        <v>268</v>
      </c>
      <c r="K259">
        <v>306073.32696400001</v>
      </c>
      <c r="L259">
        <f t="shared" ref="L259:L322" si="9">EXP(0.2052)*K259*(D259/C259)</f>
        <v>0</v>
      </c>
    </row>
    <row r="260" spans="1:12" x14ac:dyDescent="0.25">
      <c r="A260">
        <v>263</v>
      </c>
      <c r="B260">
        <v>54043.056790000002</v>
      </c>
      <c r="C260">
        <v>54043.056790000002</v>
      </c>
      <c r="D260">
        <v>0</v>
      </c>
      <c r="E260" s="1">
        <v>9.9599999999999995E-5</v>
      </c>
      <c r="F260" s="1">
        <v>1.17E-6</v>
      </c>
      <c r="H260">
        <v>263</v>
      </c>
      <c r="I260" t="str">
        <f t="shared" si="8"/>
        <v>YES</v>
      </c>
      <c r="J260" t="s">
        <v>269</v>
      </c>
      <c r="K260">
        <v>274743.58152800001</v>
      </c>
      <c r="L260">
        <f t="shared" si="9"/>
        <v>0</v>
      </c>
    </row>
    <row r="261" spans="1:12" x14ac:dyDescent="0.25">
      <c r="A261">
        <v>264</v>
      </c>
      <c r="B261">
        <v>337505.43310000002</v>
      </c>
      <c r="C261">
        <v>337505.43310000002</v>
      </c>
      <c r="D261">
        <v>0</v>
      </c>
      <c r="E261" s="1">
        <v>9.9599999999999995E-5</v>
      </c>
      <c r="F261" s="1">
        <v>7.3200000000000002E-6</v>
      </c>
      <c r="H261">
        <v>264</v>
      </c>
      <c r="I261" t="str">
        <f t="shared" si="8"/>
        <v>YES</v>
      </c>
      <c r="J261" t="s">
        <v>270</v>
      </c>
      <c r="K261">
        <v>223836.18910300001</v>
      </c>
      <c r="L261">
        <f t="shared" si="9"/>
        <v>0</v>
      </c>
    </row>
    <row r="262" spans="1:12" x14ac:dyDescent="0.25">
      <c r="A262">
        <v>265</v>
      </c>
      <c r="B262">
        <v>47060.565990000003</v>
      </c>
      <c r="C262">
        <v>47060.565990000003</v>
      </c>
      <c r="D262">
        <v>0</v>
      </c>
      <c r="E262">
        <v>30.00261394</v>
      </c>
      <c r="F262" s="1">
        <v>0.307</v>
      </c>
      <c r="H262">
        <v>265</v>
      </c>
      <c r="I262" t="str">
        <f t="shared" si="8"/>
        <v>YES</v>
      </c>
      <c r="J262" t="s">
        <v>271</v>
      </c>
      <c r="K262">
        <v>730290.70625199995</v>
      </c>
      <c r="L262">
        <f t="shared" si="9"/>
        <v>0</v>
      </c>
    </row>
    <row r="263" spans="1:12" x14ac:dyDescent="0.25">
      <c r="A263">
        <v>266</v>
      </c>
      <c r="B263">
        <v>76903.596640000003</v>
      </c>
      <c r="C263">
        <v>76903.596640000003</v>
      </c>
      <c r="D263">
        <v>0</v>
      </c>
      <c r="E263" s="1">
        <v>9.9599999999999995E-5</v>
      </c>
      <c r="F263" s="1">
        <v>1.6700000000000001E-6</v>
      </c>
      <c r="H263">
        <v>266</v>
      </c>
      <c r="I263" t="str">
        <f t="shared" si="8"/>
        <v>YES</v>
      </c>
      <c r="J263" t="s">
        <v>272</v>
      </c>
      <c r="K263">
        <v>805396.88119600003</v>
      </c>
      <c r="L263">
        <f t="shared" si="9"/>
        <v>0</v>
      </c>
    </row>
    <row r="264" spans="1:12" x14ac:dyDescent="0.25">
      <c r="A264">
        <v>267</v>
      </c>
      <c r="B264">
        <v>43515.826520000002</v>
      </c>
      <c r="C264">
        <v>43515.826520000002</v>
      </c>
      <c r="D264">
        <v>0</v>
      </c>
      <c r="E264">
        <v>780.06549659999996</v>
      </c>
      <c r="F264" s="1">
        <v>7.39</v>
      </c>
      <c r="H264">
        <v>267</v>
      </c>
      <c r="I264" t="str">
        <f t="shared" si="8"/>
        <v>YES</v>
      </c>
      <c r="J264" t="s">
        <v>273</v>
      </c>
      <c r="K264">
        <v>439773.87841900002</v>
      </c>
      <c r="L264">
        <f t="shared" si="9"/>
        <v>0</v>
      </c>
    </row>
    <row r="265" spans="1:12" x14ac:dyDescent="0.25">
      <c r="A265">
        <v>268</v>
      </c>
      <c r="B265">
        <v>207485.71460000001</v>
      </c>
      <c r="C265">
        <v>207485.71460000001</v>
      </c>
      <c r="D265">
        <v>0</v>
      </c>
      <c r="E265">
        <v>1428.763101</v>
      </c>
      <c r="F265" s="1">
        <v>64.5</v>
      </c>
      <c r="H265">
        <v>268</v>
      </c>
      <c r="I265" t="str">
        <f t="shared" si="8"/>
        <v>YES</v>
      </c>
      <c r="J265" t="s">
        <v>274</v>
      </c>
      <c r="K265">
        <v>107346.679638</v>
      </c>
      <c r="L265">
        <f t="shared" si="9"/>
        <v>0</v>
      </c>
    </row>
    <row r="266" spans="1:12" x14ac:dyDescent="0.25">
      <c r="A266">
        <v>270</v>
      </c>
      <c r="B266">
        <v>371603.51650000003</v>
      </c>
      <c r="C266">
        <v>371603.51650000003</v>
      </c>
      <c r="D266">
        <v>0</v>
      </c>
      <c r="E266">
        <v>2268.7886290000001</v>
      </c>
      <c r="F266" s="1">
        <v>184</v>
      </c>
      <c r="H266">
        <v>270</v>
      </c>
      <c r="I266" t="str">
        <f t="shared" si="8"/>
        <v>YES</v>
      </c>
      <c r="J266" t="s">
        <v>275</v>
      </c>
      <c r="K266">
        <v>130306.768645</v>
      </c>
      <c r="L266">
        <f t="shared" si="9"/>
        <v>0</v>
      </c>
    </row>
    <row r="267" spans="1:12" x14ac:dyDescent="0.25">
      <c r="A267">
        <v>271</v>
      </c>
      <c r="B267">
        <v>386853.9118</v>
      </c>
      <c r="C267">
        <v>386853.9118</v>
      </c>
      <c r="D267">
        <v>0</v>
      </c>
      <c r="E267">
        <v>1856.6921159999999</v>
      </c>
      <c r="F267" s="1">
        <v>156</v>
      </c>
      <c r="H267">
        <v>271</v>
      </c>
      <c r="I267" t="str">
        <f t="shared" si="8"/>
        <v>YES</v>
      </c>
      <c r="J267" t="s">
        <v>276</v>
      </c>
      <c r="K267">
        <v>191812.97403000001</v>
      </c>
      <c r="L267">
        <f t="shared" si="9"/>
        <v>0</v>
      </c>
    </row>
    <row r="268" spans="1:12" x14ac:dyDescent="0.25">
      <c r="A268">
        <v>272</v>
      </c>
      <c r="B268">
        <v>146451.09229999999</v>
      </c>
      <c r="C268">
        <v>146451.09229999999</v>
      </c>
      <c r="D268">
        <v>0</v>
      </c>
      <c r="E268">
        <v>686.92744400000004</v>
      </c>
      <c r="F268" s="1">
        <v>21.9</v>
      </c>
      <c r="H268">
        <v>272</v>
      </c>
      <c r="I268" t="str">
        <f t="shared" si="8"/>
        <v>YES</v>
      </c>
      <c r="J268" t="s">
        <v>277</v>
      </c>
      <c r="K268">
        <v>141414.00645799999</v>
      </c>
      <c r="L268">
        <f t="shared" si="9"/>
        <v>0</v>
      </c>
    </row>
    <row r="269" spans="1:12" x14ac:dyDescent="0.25">
      <c r="A269">
        <v>273</v>
      </c>
      <c r="B269">
        <v>155405.3193</v>
      </c>
      <c r="C269">
        <v>155405.3193</v>
      </c>
      <c r="D269">
        <v>0</v>
      </c>
      <c r="E269">
        <v>4770.6462540000002</v>
      </c>
      <c r="F269" s="1">
        <v>161</v>
      </c>
      <c r="H269">
        <v>273</v>
      </c>
      <c r="I269" t="str">
        <f t="shared" si="8"/>
        <v>YES</v>
      </c>
      <c r="J269" t="s">
        <v>278</v>
      </c>
      <c r="K269">
        <v>128222.629686</v>
      </c>
      <c r="L269">
        <f t="shared" si="9"/>
        <v>0</v>
      </c>
    </row>
    <row r="270" spans="1:12" x14ac:dyDescent="0.25">
      <c r="A270">
        <v>274</v>
      </c>
      <c r="B270">
        <v>327176.9363</v>
      </c>
      <c r="C270">
        <v>327176.9363</v>
      </c>
      <c r="D270">
        <v>0</v>
      </c>
      <c r="E270">
        <v>1222.797266</v>
      </c>
      <c r="F270" s="1">
        <v>87.1</v>
      </c>
      <c r="H270">
        <v>274</v>
      </c>
      <c r="I270" t="str">
        <f t="shared" si="8"/>
        <v>YES</v>
      </c>
      <c r="J270" t="s">
        <v>279</v>
      </c>
      <c r="K270">
        <v>151506.53970200001</v>
      </c>
      <c r="L270">
        <f t="shared" si="9"/>
        <v>0</v>
      </c>
    </row>
    <row r="271" spans="1:12" x14ac:dyDescent="0.25">
      <c r="A271">
        <v>275</v>
      </c>
      <c r="B271">
        <v>241638.8063</v>
      </c>
      <c r="C271">
        <v>241638.8063</v>
      </c>
      <c r="D271">
        <v>0</v>
      </c>
      <c r="E271">
        <v>674.88815309999995</v>
      </c>
      <c r="F271" s="1">
        <v>35.5</v>
      </c>
      <c r="H271">
        <v>275</v>
      </c>
      <c r="I271" t="str">
        <f t="shared" si="8"/>
        <v>YES</v>
      </c>
      <c r="J271" t="s">
        <v>280</v>
      </c>
      <c r="K271">
        <v>86600.007959800001</v>
      </c>
      <c r="L271">
        <f t="shared" si="9"/>
        <v>0</v>
      </c>
    </row>
    <row r="272" spans="1:12" x14ac:dyDescent="0.25">
      <c r="A272">
        <v>276</v>
      </c>
      <c r="B272">
        <v>89936.182539999994</v>
      </c>
      <c r="C272">
        <v>89936.182539999994</v>
      </c>
      <c r="D272">
        <v>0</v>
      </c>
      <c r="E272">
        <v>2632.172885</v>
      </c>
      <c r="F272" s="1">
        <v>51.5</v>
      </c>
      <c r="H272">
        <v>276</v>
      </c>
      <c r="I272" t="str">
        <f t="shared" si="8"/>
        <v>YES</v>
      </c>
      <c r="J272" t="s">
        <v>281</v>
      </c>
      <c r="K272">
        <v>194544.93660700001</v>
      </c>
      <c r="L272">
        <f t="shared" si="9"/>
        <v>0</v>
      </c>
    </row>
    <row r="273" spans="1:12" x14ac:dyDescent="0.25">
      <c r="A273">
        <v>277</v>
      </c>
      <c r="B273">
        <v>264170.80579999997</v>
      </c>
      <c r="C273">
        <v>264170.80579999997</v>
      </c>
      <c r="D273">
        <v>0</v>
      </c>
      <c r="E273">
        <v>1461.7576280000001</v>
      </c>
      <c r="F273" s="1">
        <v>84.1</v>
      </c>
      <c r="H273">
        <v>277</v>
      </c>
      <c r="I273" t="str">
        <f t="shared" si="8"/>
        <v>YES</v>
      </c>
      <c r="J273" t="s">
        <v>282</v>
      </c>
      <c r="K273">
        <v>96489.696217499994</v>
      </c>
      <c r="L273">
        <f t="shared" si="9"/>
        <v>0</v>
      </c>
    </row>
    <row r="274" spans="1:12" x14ac:dyDescent="0.25">
      <c r="A274">
        <v>278</v>
      </c>
      <c r="B274">
        <v>77731.703399999999</v>
      </c>
      <c r="C274">
        <v>77731.703399999999</v>
      </c>
      <c r="D274">
        <v>0</v>
      </c>
      <c r="E274">
        <v>3054.493426</v>
      </c>
      <c r="F274" s="1">
        <v>51.7</v>
      </c>
      <c r="H274">
        <v>278</v>
      </c>
      <c r="I274" t="str">
        <f t="shared" si="8"/>
        <v>YES</v>
      </c>
      <c r="J274" t="s">
        <v>283</v>
      </c>
      <c r="K274">
        <v>143279.707395</v>
      </c>
      <c r="L274">
        <f t="shared" si="9"/>
        <v>0</v>
      </c>
    </row>
    <row r="275" spans="1:12" x14ac:dyDescent="0.25">
      <c r="A275">
        <v>279</v>
      </c>
      <c r="B275">
        <v>418131.7953</v>
      </c>
      <c r="C275">
        <v>418131.7953</v>
      </c>
      <c r="D275">
        <v>0</v>
      </c>
      <c r="E275">
        <v>1.0416000000000001E-4</v>
      </c>
      <c r="F275" s="1">
        <v>9.4800000000000007E-6</v>
      </c>
      <c r="H275">
        <v>279</v>
      </c>
      <c r="I275" t="str">
        <f t="shared" si="8"/>
        <v>YES</v>
      </c>
      <c r="J275" t="s">
        <v>284</v>
      </c>
      <c r="K275">
        <v>105880.061216</v>
      </c>
      <c r="L275">
        <f t="shared" si="9"/>
        <v>0</v>
      </c>
    </row>
    <row r="276" spans="1:12" x14ac:dyDescent="0.25">
      <c r="A276">
        <v>280</v>
      </c>
      <c r="B276">
        <v>62849.982669999998</v>
      </c>
      <c r="C276">
        <v>62849.982669999998</v>
      </c>
      <c r="D276">
        <v>0</v>
      </c>
      <c r="E276">
        <v>3371.4021579999999</v>
      </c>
      <c r="F276" s="1">
        <v>46.1</v>
      </c>
      <c r="H276">
        <v>280</v>
      </c>
      <c r="I276" t="str">
        <f t="shared" si="8"/>
        <v>YES</v>
      </c>
      <c r="J276" t="s">
        <v>285</v>
      </c>
      <c r="K276">
        <v>102145.134546</v>
      </c>
      <c r="L276">
        <f t="shared" si="9"/>
        <v>0</v>
      </c>
    </row>
    <row r="277" spans="1:12" x14ac:dyDescent="0.25">
      <c r="A277">
        <v>281</v>
      </c>
      <c r="B277">
        <v>140439.45259999999</v>
      </c>
      <c r="C277">
        <v>140439.45259999999</v>
      </c>
      <c r="D277">
        <v>0</v>
      </c>
      <c r="E277">
        <v>1027.8296069999999</v>
      </c>
      <c r="F277" s="1">
        <v>31.4</v>
      </c>
      <c r="H277">
        <v>281</v>
      </c>
      <c r="I277" t="str">
        <f t="shared" si="8"/>
        <v>YES</v>
      </c>
      <c r="J277" t="s">
        <v>286</v>
      </c>
      <c r="K277">
        <v>106939.54245399999</v>
      </c>
      <c r="L277">
        <f t="shared" si="9"/>
        <v>0</v>
      </c>
    </row>
    <row r="278" spans="1:12" x14ac:dyDescent="0.25">
      <c r="A278">
        <v>282</v>
      </c>
      <c r="B278">
        <v>48231.631529999999</v>
      </c>
      <c r="C278">
        <v>48231.631529999999</v>
      </c>
      <c r="D278">
        <v>0</v>
      </c>
      <c r="E278">
        <v>1062.217232</v>
      </c>
      <c r="F278" s="1">
        <v>11.2</v>
      </c>
      <c r="H278">
        <v>282</v>
      </c>
      <c r="I278" t="str">
        <f t="shared" si="8"/>
        <v>YES</v>
      </c>
      <c r="J278" t="s">
        <v>287</v>
      </c>
      <c r="K278">
        <v>125553.80327600001</v>
      </c>
      <c r="L278">
        <f t="shared" si="9"/>
        <v>0</v>
      </c>
    </row>
    <row r="279" spans="1:12" x14ac:dyDescent="0.25">
      <c r="A279">
        <v>283</v>
      </c>
      <c r="B279">
        <v>164759.89509999999</v>
      </c>
      <c r="C279">
        <v>164759.89509999999</v>
      </c>
      <c r="D279">
        <v>0</v>
      </c>
      <c r="E279">
        <v>1100.8175000000001</v>
      </c>
      <c r="F279" s="1">
        <v>39.5</v>
      </c>
      <c r="H279">
        <v>283</v>
      </c>
      <c r="I279" t="str">
        <f t="shared" si="8"/>
        <v>YES</v>
      </c>
      <c r="J279" t="s">
        <v>288</v>
      </c>
      <c r="K279">
        <v>175716.34531</v>
      </c>
      <c r="L279">
        <f t="shared" si="9"/>
        <v>0</v>
      </c>
    </row>
    <row r="280" spans="1:12" x14ac:dyDescent="0.25">
      <c r="A280">
        <v>284</v>
      </c>
      <c r="B280">
        <v>170373.04019999999</v>
      </c>
      <c r="C280">
        <v>170373.04019999999</v>
      </c>
      <c r="D280">
        <v>0</v>
      </c>
      <c r="E280">
        <v>1099.5281930000001</v>
      </c>
      <c r="F280" s="1">
        <v>40.799999999999997</v>
      </c>
      <c r="H280">
        <v>284</v>
      </c>
      <c r="I280" t="str">
        <f t="shared" si="8"/>
        <v>YES</v>
      </c>
      <c r="J280" t="s">
        <v>289</v>
      </c>
      <c r="K280">
        <v>172817.829164</v>
      </c>
      <c r="L280">
        <f t="shared" si="9"/>
        <v>0</v>
      </c>
    </row>
    <row r="281" spans="1:12" x14ac:dyDescent="0.25">
      <c r="A281">
        <v>285</v>
      </c>
      <c r="B281">
        <v>106466.5851</v>
      </c>
      <c r="C281">
        <v>106466.5851</v>
      </c>
      <c r="D281">
        <v>0</v>
      </c>
      <c r="E281">
        <v>711.19316349999997</v>
      </c>
      <c r="F281" s="1">
        <v>16.5</v>
      </c>
      <c r="H281">
        <v>285</v>
      </c>
      <c r="I281" t="str">
        <f t="shared" si="8"/>
        <v>YES</v>
      </c>
      <c r="J281" t="s">
        <v>290</v>
      </c>
      <c r="K281">
        <v>146419.50279500001</v>
      </c>
      <c r="L281">
        <f t="shared" si="9"/>
        <v>0</v>
      </c>
    </row>
    <row r="282" spans="1:12" x14ac:dyDescent="0.25">
      <c r="A282">
        <v>286</v>
      </c>
      <c r="B282">
        <v>39230.60469</v>
      </c>
      <c r="C282">
        <v>39230.60469</v>
      </c>
      <c r="D282">
        <v>0</v>
      </c>
      <c r="E282">
        <v>2441.2841119999998</v>
      </c>
      <c r="F282" s="1">
        <v>20.9</v>
      </c>
      <c r="H282">
        <v>286</v>
      </c>
      <c r="I282" t="str">
        <f t="shared" si="8"/>
        <v>YES</v>
      </c>
      <c r="J282" t="s">
        <v>291</v>
      </c>
      <c r="K282">
        <v>161852.775796</v>
      </c>
      <c r="L282">
        <f t="shared" si="9"/>
        <v>0</v>
      </c>
    </row>
    <row r="283" spans="1:12" x14ac:dyDescent="0.25">
      <c r="A283">
        <v>287</v>
      </c>
      <c r="B283">
        <v>76483.923800000004</v>
      </c>
      <c r="C283">
        <v>76483.923800000004</v>
      </c>
      <c r="D283">
        <v>0</v>
      </c>
      <c r="E283">
        <v>948.84270960000003</v>
      </c>
      <c r="F283" s="1">
        <v>15.8</v>
      </c>
      <c r="H283">
        <v>287</v>
      </c>
      <c r="I283" t="str">
        <f t="shared" si="8"/>
        <v>YES</v>
      </c>
      <c r="J283" t="s">
        <v>292</v>
      </c>
      <c r="K283">
        <v>209569.78580000001</v>
      </c>
      <c r="L283">
        <f t="shared" si="9"/>
        <v>0</v>
      </c>
    </row>
    <row r="284" spans="1:12" x14ac:dyDescent="0.25">
      <c r="A284">
        <v>288</v>
      </c>
      <c r="B284">
        <v>50830.048459999998</v>
      </c>
      <c r="C284">
        <v>50830.048459999998</v>
      </c>
      <c r="D284">
        <v>0</v>
      </c>
      <c r="E284">
        <v>879.59609680000005</v>
      </c>
      <c r="F284" s="1">
        <v>9.73</v>
      </c>
      <c r="H284">
        <v>288</v>
      </c>
      <c r="I284" t="str">
        <f t="shared" si="8"/>
        <v>YES</v>
      </c>
      <c r="J284" t="s">
        <v>293</v>
      </c>
      <c r="K284">
        <v>259611.98126299999</v>
      </c>
      <c r="L284">
        <f t="shared" si="9"/>
        <v>0</v>
      </c>
    </row>
    <row r="285" spans="1:12" x14ac:dyDescent="0.25">
      <c r="A285">
        <v>289</v>
      </c>
      <c r="B285">
        <v>59251.543030000001</v>
      </c>
      <c r="C285">
        <v>53395.360630000003</v>
      </c>
      <c r="D285">
        <v>5856.1823999999997</v>
      </c>
      <c r="E285">
        <v>612.29375879999998</v>
      </c>
      <c r="F285" s="1">
        <v>7.9</v>
      </c>
      <c r="H285">
        <v>289</v>
      </c>
      <c r="I285" t="str">
        <f t="shared" si="8"/>
        <v>YES</v>
      </c>
      <c r="J285" t="s">
        <v>294</v>
      </c>
      <c r="K285">
        <v>204666.75245500001</v>
      </c>
      <c r="L285">
        <f t="shared" si="9"/>
        <v>27559.770525530101</v>
      </c>
    </row>
    <row r="286" spans="1:12" x14ac:dyDescent="0.25">
      <c r="A286">
        <v>290</v>
      </c>
      <c r="B286">
        <v>44091.151619999997</v>
      </c>
      <c r="C286">
        <v>44091.151619999997</v>
      </c>
      <c r="D286">
        <v>0</v>
      </c>
      <c r="E286">
        <v>1100.8175000000001</v>
      </c>
      <c r="F286" s="1">
        <v>10.6</v>
      </c>
      <c r="H286">
        <v>290</v>
      </c>
      <c r="I286" t="str">
        <f t="shared" si="8"/>
        <v>YES</v>
      </c>
      <c r="J286" t="s">
        <v>295</v>
      </c>
      <c r="K286">
        <v>308888.15665899997</v>
      </c>
      <c r="L286">
        <f t="shared" si="9"/>
        <v>0</v>
      </c>
    </row>
    <row r="287" spans="1:12" x14ac:dyDescent="0.25">
      <c r="A287">
        <v>291</v>
      </c>
      <c r="B287">
        <v>463595.05170000001</v>
      </c>
      <c r="C287">
        <v>463595.05170000001</v>
      </c>
      <c r="D287">
        <v>0</v>
      </c>
      <c r="E287">
        <v>299.95599979999997</v>
      </c>
      <c r="F287" s="1">
        <v>30.3</v>
      </c>
      <c r="H287">
        <v>291</v>
      </c>
      <c r="I287" t="str">
        <f t="shared" si="8"/>
        <v>YES</v>
      </c>
      <c r="J287" t="s">
        <v>296</v>
      </c>
      <c r="K287">
        <v>59231.173465599997</v>
      </c>
      <c r="L287">
        <f t="shared" si="9"/>
        <v>0</v>
      </c>
    </row>
    <row r="288" spans="1:12" x14ac:dyDescent="0.25">
      <c r="A288">
        <v>292</v>
      </c>
      <c r="B288">
        <v>281518.79869999998</v>
      </c>
      <c r="C288">
        <v>281518.79869999998</v>
      </c>
      <c r="D288">
        <v>0</v>
      </c>
      <c r="E288">
        <v>440.29496460000001</v>
      </c>
      <c r="F288" s="1">
        <v>27</v>
      </c>
      <c r="H288">
        <v>292</v>
      </c>
      <c r="I288" t="str">
        <f t="shared" si="8"/>
        <v>YES</v>
      </c>
      <c r="J288" t="s">
        <v>297</v>
      </c>
      <c r="K288">
        <v>63952.779797199997</v>
      </c>
      <c r="L288">
        <f t="shared" si="9"/>
        <v>0</v>
      </c>
    </row>
    <row r="289" spans="1:12" x14ac:dyDescent="0.25">
      <c r="A289">
        <v>300</v>
      </c>
      <c r="B289">
        <v>25263.138719999999</v>
      </c>
      <c r="C289">
        <v>25263.138719999999</v>
      </c>
      <c r="D289">
        <v>0</v>
      </c>
      <c r="E289">
        <v>2314.259039</v>
      </c>
      <c r="F289" s="1">
        <v>12.7</v>
      </c>
      <c r="H289">
        <v>300</v>
      </c>
      <c r="I289" t="str">
        <f t="shared" si="8"/>
        <v>YES</v>
      </c>
      <c r="J289" t="s">
        <v>298</v>
      </c>
      <c r="K289">
        <v>287447.35699599999</v>
      </c>
      <c r="L289">
        <f t="shared" si="9"/>
        <v>0</v>
      </c>
    </row>
    <row r="290" spans="1:12" x14ac:dyDescent="0.25">
      <c r="A290">
        <v>301</v>
      </c>
      <c r="B290">
        <v>20851.821790000002</v>
      </c>
      <c r="C290">
        <v>20851.821790000002</v>
      </c>
      <c r="D290">
        <v>0</v>
      </c>
      <c r="E290">
        <v>1937.4878650000001</v>
      </c>
      <c r="F290" s="1">
        <v>8.8000000000000007</v>
      </c>
      <c r="H290">
        <v>301</v>
      </c>
      <c r="I290" t="str">
        <f t="shared" si="8"/>
        <v>YES</v>
      </c>
      <c r="J290" t="s">
        <v>299</v>
      </c>
      <c r="K290">
        <v>387928.82788599998</v>
      </c>
      <c r="L290">
        <f t="shared" si="9"/>
        <v>0</v>
      </c>
    </row>
    <row r="291" spans="1:12" x14ac:dyDescent="0.25">
      <c r="A291">
        <v>302</v>
      </c>
      <c r="B291">
        <v>14496.327079999999</v>
      </c>
      <c r="C291">
        <v>14496.327079999999</v>
      </c>
      <c r="D291">
        <v>0</v>
      </c>
      <c r="E291">
        <v>2710.0286160000001</v>
      </c>
      <c r="F291" s="1">
        <v>8.5500000000000007</v>
      </c>
      <c r="H291">
        <v>302</v>
      </c>
      <c r="I291" t="str">
        <f t="shared" si="8"/>
        <v>YES</v>
      </c>
      <c r="J291" t="s">
        <v>300</v>
      </c>
      <c r="K291">
        <v>360401.20723300002</v>
      </c>
      <c r="L291">
        <f t="shared" si="9"/>
        <v>0</v>
      </c>
    </row>
    <row r="292" spans="1:12" x14ac:dyDescent="0.25">
      <c r="A292">
        <v>303</v>
      </c>
      <c r="B292">
        <v>16122.912539999999</v>
      </c>
      <c r="C292">
        <v>16122.912539999999</v>
      </c>
      <c r="D292">
        <v>0</v>
      </c>
      <c r="E292">
        <v>1163.2853459999999</v>
      </c>
      <c r="F292" s="1">
        <v>4.08</v>
      </c>
      <c r="H292">
        <v>303</v>
      </c>
      <c r="I292" t="str">
        <f t="shared" si="8"/>
        <v>YES</v>
      </c>
      <c r="J292" t="s">
        <v>301</v>
      </c>
      <c r="K292">
        <v>339404.49005000002</v>
      </c>
      <c r="L292">
        <f t="shared" si="9"/>
        <v>0</v>
      </c>
    </row>
    <row r="293" spans="1:12" x14ac:dyDescent="0.25">
      <c r="A293">
        <v>304</v>
      </c>
      <c r="B293">
        <v>21193.468570000001</v>
      </c>
      <c r="C293">
        <v>21193.468570000001</v>
      </c>
      <c r="D293">
        <v>0</v>
      </c>
      <c r="E293">
        <v>3039.4446579999999</v>
      </c>
      <c r="F293" s="1">
        <v>14</v>
      </c>
      <c r="H293">
        <v>304</v>
      </c>
      <c r="I293" t="str">
        <f t="shared" si="8"/>
        <v>YES</v>
      </c>
      <c r="J293" t="s">
        <v>302</v>
      </c>
      <c r="K293">
        <v>455644.58406000002</v>
      </c>
      <c r="L293">
        <f t="shared" si="9"/>
        <v>0</v>
      </c>
    </row>
    <row r="294" spans="1:12" x14ac:dyDescent="0.25">
      <c r="A294">
        <v>305</v>
      </c>
      <c r="B294">
        <v>73922.609479999999</v>
      </c>
      <c r="C294">
        <v>73922.609479999999</v>
      </c>
      <c r="D294">
        <v>0</v>
      </c>
      <c r="E294">
        <v>972.84538369999996</v>
      </c>
      <c r="F294" s="1">
        <v>15.7</v>
      </c>
      <c r="H294">
        <v>305</v>
      </c>
      <c r="I294" t="str">
        <f t="shared" si="8"/>
        <v>YES</v>
      </c>
      <c r="J294" t="s">
        <v>303</v>
      </c>
      <c r="K294">
        <v>804519.22749600001</v>
      </c>
      <c r="L294">
        <f t="shared" si="9"/>
        <v>0</v>
      </c>
    </row>
    <row r="295" spans="1:12" x14ac:dyDescent="0.25">
      <c r="A295">
        <v>306</v>
      </c>
      <c r="B295">
        <v>20887.552540000001</v>
      </c>
      <c r="C295">
        <v>20887.552540000001</v>
      </c>
      <c r="D295">
        <v>0</v>
      </c>
      <c r="E295">
        <v>1454.954356</v>
      </c>
      <c r="F295" s="1">
        <v>6.62</v>
      </c>
      <c r="H295">
        <v>306</v>
      </c>
      <c r="I295" t="str">
        <f t="shared" si="8"/>
        <v>YES</v>
      </c>
      <c r="J295" t="s">
        <v>304</v>
      </c>
      <c r="K295">
        <v>266719.76295599999</v>
      </c>
      <c r="L295">
        <f t="shared" si="9"/>
        <v>0</v>
      </c>
    </row>
    <row r="296" spans="1:12" x14ac:dyDescent="0.25">
      <c r="A296">
        <v>307</v>
      </c>
      <c r="B296">
        <v>30888.99394</v>
      </c>
      <c r="C296">
        <v>30888.99394</v>
      </c>
      <c r="D296">
        <v>0</v>
      </c>
      <c r="E296">
        <v>1460.4117859999999</v>
      </c>
      <c r="F296" s="1">
        <v>9.82</v>
      </c>
      <c r="H296">
        <v>307</v>
      </c>
      <c r="I296" t="str">
        <f t="shared" si="8"/>
        <v>YES</v>
      </c>
      <c r="J296" t="s">
        <v>305</v>
      </c>
      <c r="K296">
        <v>202922.43611400001</v>
      </c>
      <c r="L296">
        <f t="shared" si="9"/>
        <v>0</v>
      </c>
    </row>
    <row r="297" spans="1:12" x14ac:dyDescent="0.25">
      <c r="A297">
        <v>308</v>
      </c>
      <c r="B297">
        <v>19264.17484</v>
      </c>
      <c r="C297">
        <v>19264.17484</v>
      </c>
      <c r="D297">
        <v>0</v>
      </c>
      <c r="E297">
        <v>2252.709441</v>
      </c>
      <c r="F297" s="1">
        <v>9.4499999999999993</v>
      </c>
      <c r="H297">
        <v>308</v>
      </c>
      <c r="I297" t="str">
        <f t="shared" si="8"/>
        <v>YES</v>
      </c>
      <c r="J297" t="s">
        <v>306</v>
      </c>
      <c r="K297">
        <v>332045.902787</v>
      </c>
      <c r="L297">
        <f t="shared" si="9"/>
        <v>0</v>
      </c>
    </row>
    <row r="298" spans="1:12" x14ac:dyDescent="0.25">
      <c r="A298">
        <v>309</v>
      </c>
      <c r="B298">
        <v>256002.701</v>
      </c>
      <c r="C298">
        <v>256002.701</v>
      </c>
      <c r="D298">
        <v>0</v>
      </c>
      <c r="E298">
        <v>569.54248289999998</v>
      </c>
      <c r="F298" s="1">
        <v>31.7</v>
      </c>
      <c r="H298">
        <v>309</v>
      </c>
      <c r="I298" t="str">
        <f t="shared" si="8"/>
        <v>YES</v>
      </c>
      <c r="J298" t="s">
        <v>307</v>
      </c>
      <c r="K298">
        <v>446654.51515200001</v>
      </c>
      <c r="L298">
        <f t="shared" si="9"/>
        <v>0</v>
      </c>
    </row>
    <row r="299" spans="1:12" x14ac:dyDescent="0.25">
      <c r="A299">
        <v>310</v>
      </c>
      <c r="B299">
        <v>29906.873640000002</v>
      </c>
      <c r="C299">
        <v>29906.873640000002</v>
      </c>
      <c r="D299">
        <v>0</v>
      </c>
      <c r="E299">
        <v>1638.3672180000001</v>
      </c>
      <c r="F299" s="1">
        <v>10.7</v>
      </c>
      <c r="H299">
        <v>310</v>
      </c>
      <c r="I299" t="str">
        <f t="shared" si="8"/>
        <v>YES</v>
      </c>
      <c r="J299" t="s">
        <v>308</v>
      </c>
      <c r="K299">
        <v>324160.10235599999</v>
      </c>
      <c r="L299">
        <f t="shared" si="9"/>
        <v>0</v>
      </c>
    </row>
    <row r="300" spans="1:12" x14ac:dyDescent="0.25">
      <c r="A300">
        <v>311</v>
      </c>
      <c r="B300">
        <v>7270.8804419999997</v>
      </c>
      <c r="C300">
        <v>7270.8804419999997</v>
      </c>
      <c r="D300">
        <v>0</v>
      </c>
      <c r="E300">
        <v>3660.4660960000001</v>
      </c>
      <c r="F300" s="1">
        <v>5.79</v>
      </c>
      <c r="H300">
        <v>311</v>
      </c>
      <c r="I300" t="str">
        <f t="shared" si="8"/>
        <v>YES</v>
      </c>
      <c r="J300" t="s">
        <v>309</v>
      </c>
      <c r="K300">
        <v>628718.33312700002</v>
      </c>
      <c r="L300">
        <f t="shared" si="9"/>
        <v>0</v>
      </c>
    </row>
    <row r="301" spans="1:12" x14ac:dyDescent="0.25">
      <c r="A301">
        <v>312</v>
      </c>
      <c r="B301">
        <v>14554.317489999999</v>
      </c>
      <c r="C301">
        <v>14554.317489999999</v>
      </c>
      <c r="D301">
        <v>0</v>
      </c>
      <c r="E301">
        <v>1326.557155</v>
      </c>
      <c r="F301" s="1">
        <v>4.2</v>
      </c>
      <c r="H301">
        <v>312</v>
      </c>
      <c r="I301" t="str">
        <f t="shared" si="8"/>
        <v>YES</v>
      </c>
      <c r="J301" t="s">
        <v>310</v>
      </c>
      <c r="K301">
        <v>272911.10032500001</v>
      </c>
      <c r="L301">
        <f t="shared" si="9"/>
        <v>0</v>
      </c>
    </row>
    <row r="302" spans="1:12" x14ac:dyDescent="0.25">
      <c r="A302">
        <v>313</v>
      </c>
      <c r="B302">
        <v>11895.200339999999</v>
      </c>
      <c r="C302">
        <v>11895.200339999999</v>
      </c>
      <c r="D302">
        <v>0</v>
      </c>
      <c r="E302">
        <v>843.39607039999999</v>
      </c>
      <c r="F302" s="1">
        <v>2.1800000000000002</v>
      </c>
      <c r="H302">
        <v>313</v>
      </c>
      <c r="I302" t="str">
        <f t="shared" si="8"/>
        <v>YES</v>
      </c>
      <c r="J302" t="s">
        <v>311</v>
      </c>
      <c r="K302">
        <v>369403.12882899999</v>
      </c>
      <c r="L302">
        <f t="shared" si="9"/>
        <v>0</v>
      </c>
    </row>
    <row r="303" spans="1:12" x14ac:dyDescent="0.25">
      <c r="A303">
        <v>314</v>
      </c>
      <c r="B303">
        <v>30385.613109999998</v>
      </c>
      <c r="C303">
        <v>30385.613109999998</v>
      </c>
      <c r="D303">
        <v>0</v>
      </c>
      <c r="E303">
        <v>1603.0460169999999</v>
      </c>
      <c r="F303" s="1">
        <v>10.6</v>
      </c>
      <c r="H303">
        <v>314</v>
      </c>
      <c r="I303" t="str">
        <f t="shared" si="8"/>
        <v>YES</v>
      </c>
      <c r="J303" t="s">
        <v>312</v>
      </c>
      <c r="K303">
        <v>174219.30353</v>
      </c>
      <c r="L303">
        <f t="shared" si="9"/>
        <v>0</v>
      </c>
    </row>
    <row r="304" spans="1:12" x14ac:dyDescent="0.25">
      <c r="A304">
        <v>315</v>
      </c>
      <c r="B304">
        <v>31507.619839999999</v>
      </c>
      <c r="C304">
        <v>31507.619839999999</v>
      </c>
      <c r="D304">
        <v>0</v>
      </c>
      <c r="E304">
        <v>976.19847110000001</v>
      </c>
      <c r="F304" s="1">
        <v>6.7</v>
      </c>
      <c r="H304">
        <v>315</v>
      </c>
      <c r="I304" t="str">
        <f t="shared" si="8"/>
        <v>YES</v>
      </c>
      <c r="J304" t="s">
        <v>313</v>
      </c>
      <c r="K304">
        <v>149176.34333100001</v>
      </c>
      <c r="L304">
        <f t="shared" si="9"/>
        <v>0</v>
      </c>
    </row>
    <row r="305" spans="1:12" x14ac:dyDescent="0.25">
      <c r="A305">
        <v>316</v>
      </c>
      <c r="B305">
        <v>104723.31359999999</v>
      </c>
      <c r="C305">
        <v>104723.31359999999</v>
      </c>
      <c r="D305">
        <v>0</v>
      </c>
      <c r="E305">
        <v>2212.4932859999999</v>
      </c>
      <c r="F305" s="1">
        <v>50.4</v>
      </c>
      <c r="H305">
        <v>316</v>
      </c>
      <c r="I305" t="str">
        <f t="shared" si="8"/>
        <v>YES</v>
      </c>
      <c r="J305" t="s">
        <v>314</v>
      </c>
      <c r="K305">
        <v>298312.90299500001</v>
      </c>
      <c r="L305">
        <f t="shared" si="9"/>
        <v>0</v>
      </c>
    </row>
    <row r="306" spans="1:12" x14ac:dyDescent="0.25">
      <c r="A306">
        <v>317</v>
      </c>
      <c r="B306">
        <v>90548.718120000005</v>
      </c>
      <c r="C306">
        <v>90548.718120000005</v>
      </c>
      <c r="D306">
        <v>0</v>
      </c>
      <c r="E306">
        <v>3747.4314669999999</v>
      </c>
      <c r="F306" s="1">
        <v>73.900000000000006</v>
      </c>
      <c r="H306">
        <v>317</v>
      </c>
      <c r="I306" t="str">
        <f t="shared" si="8"/>
        <v>YES</v>
      </c>
      <c r="J306" t="s">
        <v>315</v>
      </c>
      <c r="K306">
        <v>499329.47756600002</v>
      </c>
      <c r="L306">
        <f t="shared" si="9"/>
        <v>0</v>
      </c>
    </row>
    <row r="307" spans="1:12" x14ac:dyDescent="0.25">
      <c r="A307">
        <v>318</v>
      </c>
      <c r="B307">
        <v>47831.800190000002</v>
      </c>
      <c r="C307">
        <v>47831.800190000002</v>
      </c>
      <c r="D307">
        <v>0</v>
      </c>
      <c r="E307">
        <v>873.29124730000001</v>
      </c>
      <c r="F307" s="1">
        <v>9.09</v>
      </c>
      <c r="H307">
        <v>318</v>
      </c>
      <c r="I307" t="str">
        <f t="shared" si="8"/>
        <v>YES</v>
      </c>
      <c r="J307" t="s">
        <v>316</v>
      </c>
      <c r="K307">
        <v>234728.24671499999</v>
      </c>
      <c r="L307">
        <f t="shared" si="9"/>
        <v>0</v>
      </c>
    </row>
    <row r="308" spans="1:12" x14ac:dyDescent="0.25">
      <c r="A308">
        <v>319</v>
      </c>
      <c r="B308">
        <v>218715.79070000001</v>
      </c>
      <c r="C308">
        <v>218715.79070000001</v>
      </c>
      <c r="D308">
        <v>0</v>
      </c>
      <c r="E308">
        <v>2531.4952440000002</v>
      </c>
      <c r="F308" s="1">
        <v>121</v>
      </c>
      <c r="H308">
        <v>319</v>
      </c>
      <c r="I308" t="str">
        <f t="shared" si="8"/>
        <v>YES</v>
      </c>
      <c r="J308" t="s">
        <v>317</v>
      </c>
      <c r="K308">
        <v>381332.55069</v>
      </c>
      <c r="L308">
        <f t="shared" si="9"/>
        <v>0</v>
      </c>
    </row>
    <row r="309" spans="1:12" x14ac:dyDescent="0.25">
      <c r="A309">
        <v>320</v>
      </c>
      <c r="B309">
        <v>160509.5276</v>
      </c>
      <c r="C309">
        <v>160509.5276</v>
      </c>
      <c r="D309">
        <v>0</v>
      </c>
      <c r="E309">
        <v>2761.2555299999999</v>
      </c>
      <c r="F309" s="1">
        <v>96.5</v>
      </c>
      <c r="H309">
        <v>320</v>
      </c>
      <c r="I309" t="str">
        <f t="shared" si="8"/>
        <v>YES</v>
      </c>
      <c r="J309" t="s">
        <v>318</v>
      </c>
      <c r="K309">
        <v>403021.00133599999</v>
      </c>
      <c r="L309">
        <f t="shared" si="9"/>
        <v>0</v>
      </c>
    </row>
    <row r="310" spans="1:12" x14ac:dyDescent="0.25">
      <c r="A310">
        <v>321</v>
      </c>
      <c r="B310">
        <v>65962.605330000006</v>
      </c>
      <c r="C310">
        <v>65962.605330000006</v>
      </c>
      <c r="D310">
        <v>0</v>
      </c>
      <c r="E310">
        <v>3540.6947839999998</v>
      </c>
      <c r="F310" s="1">
        <v>50.9</v>
      </c>
      <c r="H310">
        <v>321</v>
      </c>
      <c r="I310" t="str">
        <f t="shared" si="8"/>
        <v>YES</v>
      </c>
      <c r="J310" t="s">
        <v>319</v>
      </c>
      <c r="K310">
        <v>542398.87589499995</v>
      </c>
      <c r="L310">
        <f t="shared" si="9"/>
        <v>0</v>
      </c>
    </row>
    <row r="311" spans="1:12" x14ac:dyDescent="0.25">
      <c r="A311">
        <v>322</v>
      </c>
      <c r="B311">
        <v>89531.066600000006</v>
      </c>
      <c r="C311">
        <v>89531.066600000006</v>
      </c>
      <c r="D311">
        <v>0</v>
      </c>
      <c r="E311">
        <v>1139.3807449999999</v>
      </c>
      <c r="F311" s="1">
        <v>22.2</v>
      </c>
      <c r="H311">
        <v>322</v>
      </c>
      <c r="I311" t="str">
        <f t="shared" si="8"/>
        <v>YES</v>
      </c>
      <c r="J311" t="s">
        <v>320</v>
      </c>
      <c r="K311">
        <v>109466.86167100001</v>
      </c>
      <c r="L311">
        <f t="shared" si="9"/>
        <v>0</v>
      </c>
    </row>
    <row r="312" spans="1:12" x14ac:dyDescent="0.25">
      <c r="A312">
        <v>323</v>
      </c>
      <c r="B312">
        <v>36114.407070000001</v>
      </c>
      <c r="C312">
        <v>36114.407070000001</v>
      </c>
      <c r="D312">
        <v>0</v>
      </c>
      <c r="E312">
        <v>1543.49496</v>
      </c>
      <c r="F312" s="1">
        <v>12.1</v>
      </c>
      <c r="H312">
        <v>323</v>
      </c>
      <c r="I312" t="str">
        <f t="shared" si="8"/>
        <v>YES</v>
      </c>
      <c r="J312" t="s">
        <v>321</v>
      </c>
      <c r="K312">
        <v>187703.88836400001</v>
      </c>
      <c r="L312">
        <f t="shared" si="9"/>
        <v>0</v>
      </c>
    </row>
    <row r="313" spans="1:12" x14ac:dyDescent="0.25">
      <c r="A313">
        <v>324</v>
      </c>
      <c r="B313">
        <v>35578.628069999999</v>
      </c>
      <c r="C313">
        <v>35578.628069999999</v>
      </c>
      <c r="D313">
        <v>0</v>
      </c>
      <c r="E313">
        <v>1560.230556</v>
      </c>
      <c r="F313" s="1">
        <v>12.1</v>
      </c>
      <c r="H313">
        <v>324</v>
      </c>
      <c r="I313" t="str">
        <f t="shared" si="8"/>
        <v>YES</v>
      </c>
      <c r="J313" t="s">
        <v>322</v>
      </c>
      <c r="K313">
        <v>171806.89791999999</v>
      </c>
      <c r="L313">
        <f t="shared" si="9"/>
        <v>0</v>
      </c>
    </row>
    <row r="314" spans="1:12" x14ac:dyDescent="0.25">
      <c r="A314">
        <v>325</v>
      </c>
      <c r="B314">
        <v>59216.213949999998</v>
      </c>
      <c r="C314">
        <v>59216.213949999998</v>
      </c>
      <c r="D314">
        <v>0</v>
      </c>
      <c r="E314">
        <v>1432.232182</v>
      </c>
      <c r="F314" s="1">
        <v>18.5</v>
      </c>
      <c r="H314">
        <v>325</v>
      </c>
      <c r="I314" t="str">
        <f t="shared" si="8"/>
        <v>YES</v>
      </c>
      <c r="J314" t="s">
        <v>323</v>
      </c>
      <c r="K314">
        <v>169282.38773799999</v>
      </c>
      <c r="L314">
        <f t="shared" si="9"/>
        <v>0</v>
      </c>
    </row>
    <row r="315" spans="1:12" x14ac:dyDescent="0.25">
      <c r="A315">
        <v>328</v>
      </c>
      <c r="B315">
        <v>158034.23790000001</v>
      </c>
      <c r="C315">
        <v>158034.23790000001</v>
      </c>
      <c r="D315">
        <v>0</v>
      </c>
      <c r="E315">
        <v>1166.549497</v>
      </c>
      <c r="F315" s="1">
        <v>40.1</v>
      </c>
      <c r="H315">
        <v>328</v>
      </c>
      <c r="I315" t="str">
        <f t="shared" si="8"/>
        <v>YES</v>
      </c>
      <c r="J315" t="s">
        <v>324</v>
      </c>
      <c r="K315">
        <v>244535.49985200001</v>
      </c>
      <c r="L315">
        <f t="shared" si="9"/>
        <v>0</v>
      </c>
    </row>
    <row r="316" spans="1:12" x14ac:dyDescent="0.25">
      <c r="A316">
        <v>329</v>
      </c>
      <c r="B316">
        <v>52240.835679999997</v>
      </c>
      <c r="C316">
        <v>52240.835679999997</v>
      </c>
      <c r="D316">
        <v>0</v>
      </c>
      <c r="E316">
        <v>2122.3107970000001</v>
      </c>
      <c r="F316" s="1">
        <v>24.1</v>
      </c>
      <c r="H316">
        <v>329</v>
      </c>
      <c r="I316" t="str">
        <f t="shared" si="8"/>
        <v>YES</v>
      </c>
      <c r="J316" t="s">
        <v>325</v>
      </c>
      <c r="K316">
        <v>464058.76970599999</v>
      </c>
      <c r="L316">
        <f t="shared" si="9"/>
        <v>0</v>
      </c>
    </row>
    <row r="317" spans="1:12" x14ac:dyDescent="0.25">
      <c r="A317">
        <v>330</v>
      </c>
      <c r="B317">
        <v>38419.666210000003</v>
      </c>
      <c r="C317">
        <v>38419.666210000003</v>
      </c>
      <c r="D317">
        <v>0</v>
      </c>
      <c r="E317">
        <v>36.851612920000001</v>
      </c>
      <c r="F317" s="1">
        <v>0.308</v>
      </c>
      <c r="H317">
        <v>330</v>
      </c>
      <c r="I317" t="str">
        <f t="shared" si="8"/>
        <v>YES</v>
      </c>
      <c r="J317" t="s">
        <v>326</v>
      </c>
      <c r="K317">
        <v>465036.498356</v>
      </c>
      <c r="L317">
        <f t="shared" si="9"/>
        <v>0</v>
      </c>
    </row>
    <row r="318" spans="1:12" x14ac:dyDescent="0.25">
      <c r="A318">
        <v>331</v>
      </c>
      <c r="B318">
        <v>294206.04080000002</v>
      </c>
      <c r="C318">
        <v>294206.04080000002</v>
      </c>
      <c r="D318">
        <v>0</v>
      </c>
      <c r="E318">
        <v>2544.3597150000001</v>
      </c>
      <c r="F318" s="1">
        <v>163</v>
      </c>
      <c r="H318">
        <v>331</v>
      </c>
      <c r="I318" t="str">
        <f t="shared" si="8"/>
        <v>YES</v>
      </c>
      <c r="J318" t="s">
        <v>327</v>
      </c>
      <c r="K318">
        <v>509351.89146000001</v>
      </c>
      <c r="L318">
        <f t="shared" si="9"/>
        <v>0</v>
      </c>
    </row>
    <row r="319" spans="1:12" x14ac:dyDescent="0.25">
      <c r="A319">
        <v>332</v>
      </c>
      <c r="B319">
        <v>27103.115870000001</v>
      </c>
      <c r="C319">
        <v>27103.115870000001</v>
      </c>
      <c r="D319">
        <v>0</v>
      </c>
      <c r="E319">
        <v>4.747803802</v>
      </c>
      <c r="F319" s="1">
        <v>2.8000000000000001E-2</v>
      </c>
      <c r="H319">
        <v>332</v>
      </c>
      <c r="I319" t="str">
        <f t="shared" si="8"/>
        <v>YES</v>
      </c>
      <c r="J319" t="s">
        <v>328</v>
      </c>
      <c r="K319">
        <v>552961.42396100005</v>
      </c>
      <c r="L319">
        <f t="shared" si="9"/>
        <v>0</v>
      </c>
    </row>
    <row r="320" spans="1:12" x14ac:dyDescent="0.25">
      <c r="A320">
        <v>333</v>
      </c>
      <c r="B320">
        <v>63427.680910000003</v>
      </c>
      <c r="C320">
        <v>63427.680910000003</v>
      </c>
      <c r="D320">
        <v>0</v>
      </c>
      <c r="E320">
        <v>1652.965387</v>
      </c>
      <c r="F320" s="1">
        <v>22.8</v>
      </c>
      <c r="H320">
        <v>333</v>
      </c>
      <c r="I320" t="str">
        <f t="shared" si="8"/>
        <v>YES</v>
      </c>
      <c r="J320" t="s">
        <v>329</v>
      </c>
      <c r="K320">
        <v>415004.73011300003</v>
      </c>
      <c r="L320">
        <f t="shared" si="9"/>
        <v>0</v>
      </c>
    </row>
    <row r="321" spans="1:12" x14ac:dyDescent="0.25">
      <c r="A321">
        <v>334</v>
      </c>
      <c r="B321">
        <v>1324.5644649999999</v>
      </c>
      <c r="C321">
        <v>1324.5644649999999</v>
      </c>
      <c r="D321">
        <v>0</v>
      </c>
      <c r="E321">
        <v>751.21518909999998</v>
      </c>
      <c r="F321" s="1">
        <v>0.217</v>
      </c>
      <c r="H321">
        <v>334</v>
      </c>
      <c r="I321" t="str">
        <f t="shared" si="8"/>
        <v>YES</v>
      </c>
      <c r="J321" t="s">
        <v>330</v>
      </c>
      <c r="K321">
        <v>1196198.9983699999</v>
      </c>
      <c r="L321">
        <f t="shared" si="9"/>
        <v>0</v>
      </c>
    </row>
    <row r="322" spans="1:12" x14ac:dyDescent="0.25">
      <c r="A322">
        <v>400</v>
      </c>
      <c r="B322">
        <v>9822.4378319999996</v>
      </c>
      <c r="C322">
        <v>9822.4378319999996</v>
      </c>
      <c r="D322">
        <v>0</v>
      </c>
      <c r="E322">
        <v>1.344959E-3</v>
      </c>
      <c r="F322" s="1">
        <v>2.88E-6</v>
      </c>
      <c r="H322">
        <v>400</v>
      </c>
      <c r="I322" t="str">
        <f t="shared" si="8"/>
        <v>YES</v>
      </c>
      <c r="J322" t="s">
        <v>331</v>
      </c>
      <c r="K322">
        <v>1386676.05388</v>
      </c>
      <c r="L322">
        <f t="shared" si="9"/>
        <v>0</v>
      </c>
    </row>
    <row r="323" spans="1:12" x14ac:dyDescent="0.25">
      <c r="A323">
        <v>401</v>
      </c>
      <c r="B323">
        <v>11972.64092</v>
      </c>
      <c r="C323">
        <v>11972.64092</v>
      </c>
      <c r="D323">
        <v>0</v>
      </c>
      <c r="E323">
        <v>188.15422169999999</v>
      </c>
      <c r="F323" s="1">
        <v>0.49</v>
      </c>
      <c r="H323">
        <v>401</v>
      </c>
      <c r="I323" t="str">
        <f t="shared" ref="I323:I386" si="10">IF(A323=H323,"YES","NO")</f>
        <v>YES</v>
      </c>
      <c r="J323" t="s">
        <v>332</v>
      </c>
      <c r="K323">
        <v>1173102.38161</v>
      </c>
      <c r="L323">
        <f t="shared" ref="L323:L386" si="11">EXP(0.2052)*K323*(D323/C323)</f>
        <v>0</v>
      </c>
    </row>
    <row r="324" spans="1:12" x14ac:dyDescent="0.25">
      <c r="A324">
        <v>402</v>
      </c>
      <c r="B324">
        <v>12743.618469999999</v>
      </c>
      <c r="C324">
        <v>12743.618469999999</v>
      </c>
      <c r="D324">
        <v>0</v>
      </c>
      <c r="E324">
        <v>1.344959E-3</v>
      </c>
      <c r="F324" s="1">
        <v>3.7299999999999999E-6</v>
      </c>
      <c r="H324">
        <v>402</v>
      </c>
      <c r="I324" t="str">
        <f t="shared" si="10"/>
        <v>YES</v>
      </c>
      <c r="J324" t="s">
        <v>333</v>
      </c>
      <c r="K324">
        <v>802674.75168800005</v>
      </c>
      <c r="L324">
        <f t="shared" si="11"/>
        <v>0</v>
      </c>
    </row>
    <row r="325" spans="1:12" x14ac:dyDescent="0.25">
      <c r="A325">
        <v>405</v>
      </c>
      <c r="B325">
        <v>14869.957189999999</v>
      </c>
      <c r="C325">
        <v>14869.957189999999</v>
      </c>
      <c r="D325">
        <v>0</v>
      </c>
      <c r="E325">
        <v>2458.0151099999998</v>
      </c>
      <c r="F325" s="1">
        <v>7.96</v>
      </c>
      <c r="H325">
        <v>405</v>
      </c>
      <c r="I325" t="str">
        <f t="shared" si="10"/>
        <v>YES</v>
      </c>
      <c r="J325" t="s">
        <v>334</v>
      </c>
      <c r="K325">
        <v>655251.37619600003</v>
      </c>
      <c r="L325">
        <f t="shared" si="11"/>
        <v>0</v>
      </c>
    </row>
    <row r="326" spans="1:12" x14ac:dyDescent="0.25">
      <c r="A326">
        <v>406</v>
      </c>
      <c r="B326">
        <v>18489.896560000001</v>
      </c>
      <c r="C326">
        <v>18489.896560000001</v>
      </c>
      <c r="D326">
        <v>0</v>
      </c>
      <c r="E326">
        <v>2875.215287</v>
      </c>
      <c r="F326" s="1">
        <v>11.6</v>
      </c>
      <c r="H326">
        <v>406</v>
      </c>
      <c r="I326" t="str">
        <f t="shared" si="10"/>
        <v>YES</v>
      </c>
      <c r="J326" t="s">
        <v>335</v>
      </c>
      <c r="K326">
        <v>409999.88608899998</v>
      </c>
      <c r="L326">
        <f t="shared" si="11"/>
        <v>0</v>
      </c>
    </row>
    <row r="327" spans="1:12" x14ac:dyDescent="0.25">
      <c r="A327">
        <v>407</v>
      </c>
      <c r="B327">
        <v>15947.499750000001</v>
      </c>
      <c r="C327">
        <v>15947.499750000001</v>
      </c>
      <c r="D327">
        <v>0</v>
      </c>
      <c r="E327">
        <v>766.07108670000002</v>
      </c>
      <c r="F327" s="1">
        <v>2.66</v>
      </c>
      <c r="H327">
        <v>407</v>
      </c>
      <c r="I327" t="str">
        <f t="shared" si="10"/>
        <v>YES</v>
      </c>
      <c r="J327" t="s">
        <v>336</v>
      </c>
      <c r="K327">
        <v>637552.17958300002</v>
      </c>
      <c r="L327">
        <f t="shared" si="11"/>
        <v>0</v>
      </c>
    </row>
    <row r="328" spans="1:12" x14ac:dyDescent="0.25">
      <c r="A328">
        <v>408</v>
      </c>
      <c r="B328">
        <v>30654.992839999999</v>
      </c>
      <c r="C328">
        <v>30654.992839999999</v>
      </c>
      <c r="D328">
        <v>0</v>
      </c>
      <c r="E328">
        <v>5026.9327089999997</v>
      </c>
      <c r="F328" s="1">
        <v>33.6</v>
      </c>
      <c r="H328">
        <v>408</v>
      </c>
      <c r="I328" t="str">
        <f t="shared" si="10"/>
        <v>YES</v>
      </c>
      <c r="J328" t="s">
        <v>337</v>
      </c>
      <c r="K328">
        <v>1721738.65922</v>
      </c>
      <c r="L328">
        <f t="shared" si="11"/>
        <v>0</v>
      </c>
    </row>
    <row r="329" spans="1:12" x14ac:dyDescent="0.25">
      <c r="A329">
        <v>409</v>
      </c>
      <c r="B329">
        <v>63416.647799999999</v>
      </c>
      <c r="C329">
        <v>60449.392500000002</v>
      </c>
      <c r="D329">
        <v>2967.2552999999998</v>
      </c>
      <c r="E329">
        <v>1.03298E-4</v>
      </c>
      <c r="F329" s="1">
        <v>1.4300000000000001E-6</v>
      </c>
      <c r="H329">
        <v>409</v>
      </c>
      <c r="I329" t="str">
        <f t="shared" si="10"/>
        <v>YES</v>
      </c>
      <c r="J329" t="s">
        <v>338</v>
      </c>
      <c r="K329">
        <v>454663.31942199997</v>
      </c>
      <c r="L329">
        <f t="shared" si="11"/>
        <v>27401.233879239309</v>
      </c>
    </row>
    <row r="330" spans="1:12" x14ac:dyDescent="0.25">
      <c r="A330">
        <v>410</v>
      </c>
      <c r="B330">
        <v>136848.5128</v>
      </c>
      <c r="C330">
        <v>109104.80620000001</v>
      </c>
      <c r="D330">
        <v>27743.706600000001</v>
      </c>
      <c r="E330">
        <v>13.206728630000001</v>
      </c>
      <c r="F330" s="1">
        <v>0.39400000000000002</v>
      </c>
      <c r="H330">
        <v>410</v>
      </c>
      <c r="I330" t="str">
        <f t="shared" si="10"/>
        <v>YES</v>
      </c>
      <c r="J330" t="s">
        <v>339</v>
      </c>
      <c r="K330">
        <v>305741.99478800001</v>
      </c>
      <c r="L330">
        <f t="shared" si="11"/>
        <v>95453.734276563628</v>
      </c>
    </row>
    <row r="331" spans="1:12" x14ac:dyDescent="0.25">
      <c r="A331">
        <v>411</v>
      </c>
      <c r="B331">
        <v>469951.16320000001</v>
      </c>
      <c r="C331">
        <v>421255.3222</v>
      </c>
      <c r="D331">
        <v>48695.841</v>
      </c>
      <c r="E331">
        <v>6396.3060850000002</v>
      </c>
      <c r="F331" s="1">
        <v>654</v>
      </c>
      <c r="H331">
        <v>411</v>
      </c>
      <c r="I331" t="str">
        <f t="shared" si="10"/>
        <v>YES</v>
      </c>
      <c r="J331" t="s">
        <v>340</v>
      </c>
      <c r="K331">
        <v>298564.44738700002</v>
      </c>
      <c r="L331">
        <f t="shared" si="11"/>
        <v>42374.227007121211</v>
      </c>
    </row>
    <row r="332" spans="1:12" x14ac:dyDescent="0.25">
      <c r="A332">
        <v>412</v>
      </c>
      <c r="B332">
        <v>63091.424509999997</v>
      </c>
      <c r="C332">
        <v>63091.424509999997</v>
      </c>
      <c r="D332">
        <v>0</v>
      </c>
      <c r="E332">
        <v>2923.3891170000002</v>
      </c>
      <c r="F332" s="1">
        <v>40.200000000000003</v>
      </c>
      <c r="H332">
        <v>412</v>
      </c>
      <c r="I332" t="str">
        <f t="shared" si="10"/>
        <v>YES</v>
      </c>
      <c r="J332" t="s">
        <v>341</v>
      </c>
      <c r="K332">
        <v>460963.41911299998</v>
      </c>
      <c r="L332">
        <f t="shared" si="11"/>
        <v>0</v>
      </c>
    </row>
    <row r="333" spans="1:12" x14ac:dyDescent="0.25">
      <c r="A333">
        <v>413</v>
      </c>
      <c r="B333">
        <v>24383.035260000001</v>
      </c>
      <c r="C333">
        <v>24383.035260000001</v>
      </c>
      <c r="D333">
        <v>0</v>
      </c>
      <c r="E333">
        <v>3968.416976</v>
      </c>
      <c r="F333" s="1">
        <v>21.1</v>
      </c>
      <c r="H333">
        <v>413</v>
      </c>
      <c r="I333" t="str">
        <f t="shared" si="10"/>
        <v>YES</v>
      </c>
      <c r="J333" t="s">
        <v>342</v>
      </c>
      <c r="K333">
        <v>383147.386895</v>
      </c>
      <c r="L333">
        <f t="shared" si="11"/>
        <v>0</v>
      </c>
    </row>
    <row r="334" spans="1:12" x14ac:dyDescent="0.25">
      <c r="A334">
        <v>414</v>
      </c>
      <c r="B334">
        <v>63715.914400000001</v>
      </c>
      <c r="C334">
        <v>63715.914400000001</v>
      </c>
      <c r="D334">
        <v>0</v>
      </c>
      <c r="E334">
        <v>2752.8598350000002</v>
      </c>
      <c r="F334" s="1">
        <v>38.200000000000003</v>
      </c>
      <c r="H334">
        <v>414</v>
      </c>
      <c r="I334" t="str">
        <f t="shared" si="10"/>
        <v>YES</v>
      </c>
      <c r="J334" t="s">
        <v>343</v>
      </c>
      <c r="K334">
        <v>583161.68332800001</v>
      </c>
      <c r="L334">
        <f t="shared" si="11"/>
        <v>0</v>
      </c>
    </row>
    <row r="335" spans="1:12" x14ac:dyDescent="0.25">
      <c r="A335">
        <v>415</v>
      </c>
      <c r="B335">
        <v>18086.19138</v>
      </c>
      <c r="C335">
        <v>18086.19138</v>
      </c>
      <c r="D335">
        <v>0</v>
      </c>
      <c r="E335">
        <v>2832.5820410000001</v>
      </c>
      <c r="F335" s="1">
        <v>11.2</v>
      </c>
      <c r="H335">
        <v>415</v>
      </c>
      <c r="I335" t="str">
        <f t="shared" si="10"/>
        <v>YES</v>
      </c>
      <c r="J335" t="s">
        <v>344</v>
      </c>
      <c r="K335">
        <v>327414.41865599999</v>
      </c>
      <c r="L335">
        <f t="shared" si="11"/>
        <v>0</v>
      </c>
    </row>
    <row r="336" spans="1:12" x14ac:dyDescent="0.25">
      <c r="A336">
        <v>416</v>
      </c>
      <c r="B336">
        <v>37056.131050000004</v>
      </c>
      <c r="C336">
        <v>37056.131050000004</v>
      </c>
      <c r="D336">
        <v>0</v>
      </c>
      <c r="E336">
        <v>2871.9962930000002</v>
      </c>
      <c r="F336" s="1">
        <v>23.2</v>
      </c>
      <c r="H336">
        <v>416</v>
      </c>
      <c r="I336" t="str">
        <f t="shared" si="10"/>
        <v>YES</v>
      </c>
      <c r="J336" t="s">
        <v>345</v>
      </c>
      <c r="K336">
        <v>466210.43894399999</v>
      </c>
      <c r="L336">
        <f t="shared" si="11"/>
        <v>0</v>
      </c>
    </row>
    <row r="337" spans="1:12" x14ac:dyDescent="0.25">
      <c r="A337">
        <v>417</v>
      </c>
      <c r="B337">
        <v>10342.41337</v>
      </c>
      <c r="C337">
        <v>10342.41337</v>
      </c>
      <c r="D337">
        <v>0</v>
      </c>
      <c r="E337">
        <v>2999.3788970000001</v>
      </c>
      <c r="F337" s="1">
        <v>6.75</v>
      </c>
      <c r="H337">
        <v>417</v>
      </c>
      <c r="I337" t="str">
        <f t="shared" si="10"/>
        <v>YES</v>
      </c>
      <c r="J337" t="s">
        <v>346</v>
      </c>
      <c r="K337">
        <v>2675453.3536999999</v>
      </c>
      <c r="L337">
        <f t="shared" si="11"/>
        <v>0</v>
      </c>
    </row>
    <row r="338" spans="1:12" x14ac:dyDescent="0.25">
      <c r="A338">
        <v>418</v>
      </c>
      <c r="B338">
        <v>95298.265150000007</v>
      </c>
      <c r="C338">
        <v>89858.504159999997</v>
      </c>
      <c r="D338">
        <v>5439.7609899999998</v>
      </c>
      <c r="E338">
        <v>846.86392599999999</v>
      </c>
      <c r="F338" s="1">
        <v>17.600000000000001</v>
      </c>
      <c r="H338">
        <v>418</v>
      </c>
      <c r="I338" t="str">
        <f t="shared" si="10"/>
        <v>YES</v>
      </c>
      <c r="J338" t="s">
        <v>347</v>
      </c>
      <c r="K338">
        <v>199624.37128200001</v>
      </c>
      <c r="L338">
        <f t="shared" si="11"/>
        <v>14837.181949359878</v>
      </c>
    </row>
    <row r="339" spans="1:12" x14ac:dyDescent="0.25">
      <c r="A339">
        <v>420</v>
      </c>
      <c r="B339">
        <v>55216.700140000001</v>
      </c>
      <c r="C339">
        <v>44315.055289999997</v>
      </c>
      <c r="D339">
        <v>10901.644850000001</v>
      </c>
      <c r="E339">
        <v>1247.9826190000001</v>
      </c>
      <c r="F339" s="1">
        <v>15</v>
      </c>
      <c r="H339">
        <v>420</v>
      </c>
      <c r="I339" t="str">
        <f t="shared" si="10"/>
        <v>YES</v>
      </c>
      <c r="J339" t="s">
        <v>348</v>
      </c>
      <c r="K339">
        <v>487078.36313000001</v>
      </c>
      <c r="L339">
        <f t="shared" si="11"/>
        <v>147114.94701960383</v>
      </c>
    </row>
    <row r="340" spans="1:12" x14ac:dyDescent="0.25">
      <c r="A340">
        <v>421</v>
      </c>
      <c r="B340">
        <v>14957.6157</v>
      </c>
      <c r="C340">
        <v>14957.6157</v>
      </c>
      <c r="D340">
        <v>0</v>
      </c>
      <c r="E340">
        <v>1425.943213</v>
      </c>
      <c r="F340" s="1">
        <v>4.6399999999999997</v>
      </c>
      <c r="H340">
        <v>421</v>
      </c>
      <c r="I340" t="str">
        <f t="shared" si="10"/>
        <v>YES</v>
      </c>
      <c r="J340" t="s">
        <v>349</v>
      </c>
      <c r="K340">
        <v>939991.74122199998</v>
      </c>
      <c r="L340">
        <f t="shared" si="11"/>
        <v>0</v>
      </c>
    </row>
    <row r="341" spans="1:12" x14ac:dyDescent="0.25">
      <c r="A341">
        <v>422</v>
      </c>
      <c r="B341">
        <v>15834.492550000001</v>
      </c>
      <c r="C341">
        <v>15834.492550000001</v>
      </c>
      <c r="D341">
        <v>0</v>
      </c>
      <c r="E341">
        <v>2537.6785209999998</v>
      </c>
      <c r="F341" s="1">
        <v>8.75</v>
      </c>
      <c r="H341">
        <v>422</v>
      </c>
      <c r="I341" t="str">
        <f t="shared" si="10"/>
        <v>YES</v>
      </c>
      <c r="J341" t="s">
        <v>350</v>
      </c>
      <c r="K341">
        <v>604707.96445900004</v>
      </c>
      <c r="L341">
        <f t="shared" si="11"/>
        <v>0</v>
      </c>
    </row>
    <row r="342" spans="1:12" x14ac:dyDescent="0.25">
      <c r="A342">
        <v>423</v>
      </c>
      <c r="B342">
        <v>13591.739740000001</v>
      </c>
      <c r="C342">
        <v>13591.739740000001</v>
      </c>
      <c r="D342">
        <v>0</v>
      </c>
      <c r="E342" s="1">
        <v>8.7600000000000002E-5</v>
      </c>
      <c r="F342" s="1">
        <v>2.5899999999999998E-7</v>
      </c>
      <c r="H342">
        <v>423</v>
      </c>
      <c r="I342" t="str">
        <f t="shared" si="10"/>
        <v>YES</v>
      </c>
      <c r="J342" t="s">
        <v>351</v>
      </c>
      <c r="K342">
        <v>112150.752058</v>
      </c>
      <c r="L342">
        <f t="shared" si="11"/>
        <v>0</v>
      </c>
    </row>
    <row r="343" spans="1:12" x14ac:dyDescent="0.25">
      <c r="A343">
        <v>424</v>
      </c>
      <c r="B343">
        <v>14954.6988</v>
      </c>
      <c r="C343">
        <v>14954.6988</v>
      </c>
      <c r="D343">
        <v>0</v>
      </c>
      <c r="E343">
        <v>3075.0339309999999</v>
      </c>
      <c r="F343" s="1">
        <v>10</v>
      </c>
      <c r="H343">
        <v>424</v>
      </c>
      <c r="I343" t="str">
        <f t="shared" si="10"/>
        <v>YES</v>
      </c>
      <c r="J343" t="s">
        <v>352</v>
      </c>
      <c r="K343">
        <v>512005.40729399998</v>
      </c>
      <c r="L343">
        <f t="shared" si="11"/>
        <v>0</v>
      </c>
    </row>
    <row r="344" spans="1:12" x14ac:dyDescent="0.25">
      <c r="A344">
        <v>425</v>
      </c>
      <c r="B344">
        <v>30056.119610000002</v>
      </c>
      <c r="C344">
        <v>14279.8513</v>
      </c>
      <c r="D344">
        <v>15776.268309999999</v>
      </c>
      <c r="E344">
        <v>3570.3615420000001</v>
      </c>
      <c r="F344" s="1">
        <v>23.4</v>
      </c>
      <c r="H344">
        <v>425</v>
      </c>
      <c r="I344" t="str">
        <f t="shared" si="10"/>
        <v>YES</v>
      </c>
      <c r="J344" t="s">
        <v>353</v>
      </c>
      <c r="K344">
        <v>269583.886023</v>
      </c>
      <c r="L344">
        <f t="shared" si="11"/>
        <v>365672.04098367959</v>
      </c>
    </row>
    <row r="345" spans="1:12" x14ac:dyDescent="0.25">
      <c r="A345">
        <v>426</v>
      </c>
      <c r="B345">
        <v>15190.869699999999</v>
      </c>
      <c r="C345">
        <v>15190.869699999999</v>
      </c>
      <c r="D345">
        <v>0</v>
      </c>
      <c r="E345" s="1">
        <v>8.7600000000000002E-5</v>
      </c>
      <c r="F345" s="1">
        <v>2.8999999999999998E-7</v>
      </c>
      <c r="H345">
        <v>426</v>
      </c>
      <c r="I345" t="str">
        <f t="shared" si="10"/>
        <v>YES</v>
      </c>
      <c r="J345" t="s">
        <v>354</v>
      </c>
      <c r="K345">
        <v>188026.465287</v>
      </c>
      <c r="L345">
        <f t="shared" si="11"/>
        <v>0</v>
      </c>
    </row>
    <row r="346" spans="1:12" x14ac:dyDescent="0.25">
      <c r="A346">
        <v>428</v>
      </c>
      <c r="B346">
        <v>9693.8143080000009</v>
      </c>
      <c r="C346">
        <v>9693.8143080000009</v>
      </c>
      <c r="D346">
        <v>0</v>
      </c>
      <c r="E346">
        <v>1.9426239510000001</v>
      </c>
      <c r="F346" s="1">
        <v>4.1000000000000003E-3</v>
      </c>
      <c r="H346" s="5">
        <v>428</v>
      </c>
      <c r="I346" t="str">
        <f t="shared" si="10"/>
        <v>YES</v>
      </c>
      <c r="J346" s="5" t="s">
        <v>355</v>
      </c>
      <c r="K346" s="5">
        <v>347360.44341399998</v>
      </c>
      <c r="L346">
        <f t="shared" si="11"/>
        <v>0</v>
      </c>
    </row>
    <row r="347" spans="1:12" x14ac:dyDescent="0.25">
      <c r="A347">
        <v>429</v>
      </c>
      <c r="B347">
        <v>8396.6571010000007</v>
      </c>
      <c r="C347">
        <v>8396.6571010000007</v>
      </c>
      <c r="D347">
        <v>0</v>
      </c>
      <c r="E347">
        <v>1.9426239510000001</v>
      </c>
      <c r="F347" s="1">
        <v>3.5500000000000002E-3</v>
      </c>
      <c r="H347" s="5">
        <v>429</v>
      </c>
      <c r="I347" t="str">
        <f t="shared" si="10"/>
        <v>YES</v>
      </c>
      <c r="J347" s="5" t="s">
        <v>356</v>
      </c>
      <c r="K347" s="5">
        <v>1273071.43554</v>
      </c>
      <c r="L347">
        <f t="shared" si="11"/>
        <v>0</v>
      </c>
    </row>
    <row r="348" spans="1:12" x14ac:dyDescent="0.25">
      <c r="A348">
        <v>430</v>
      </c>
      <c r="B348">
        <v>4668.5314689999996</v>
      </c>
      <c r="C348">
        <v>4668.5314689999996</v>
      </c>
      <c r="D348">
        <v>0</v>
      </c>
      <c r="E348">
        <v>1.9426239510000001</v>
      </c>
      <c r="F348" s="1">
        <v>1.97E-3</v>
      </c>
      <c r="H348" s="5">
        <v>430</v>
      </c>
      <c r="I348" t="str">
        <f t="shared" si="10"/>
        <v>YES</v>
      </c>
      <c r="J348" s="5" t="s">
        <v>357</v>
      </c>
      <c r="K348" s="5">
        <v>1178896.1943600001</v>
      </c>
      <c r="L348">
        <f t="shared" si="11"/>
        <v>0</v>
      </c>
    </row>
    <row r="349" spans="1:12" x14ac:dyDescent="0.25">
      <c r="A349">
        <v>433</v>
      </c>
      <c r="B349">
        <v>113714.23940000001</v>
      </c>
      <c r="C349">
        <v>109995.30220000001</v>
      </c>
      <c r="D349">
        <v>3718.9371999999998</v>
      </c>
      <c r="E349">
        <v>28.347728230000001</v>
      </c>
      <c r="F349" s="1">
        <v>0.70199999999999996</v>
      </c>
      <c r="H349">
        <v>433</v>
      </c>
      <c r="I349" t="str">
        <f t="shared" si="10"/>
        <v>YES</v>
      </c>
      <c r="J349" t="s">
        <v>358</v>
      </c>
      <c r="K349">
        <v>3301122.9986899998</v>
      </c>
      <c r="L349">
        <f t="shared" si="11"/>
        <v>137032.51906933539</v>
      </c>
    </row>
    <row r="350" spans="1:12" x14ac:dyDescent="0.25">
      <c r="A350">
        <v>434</v>
      </c>
      <c r="B350">
        <v>22853.95664</v>
      </c>
      <c r="C350">
        <v>22853.95664</v>
      </c>
      <c r="D350">
        <v>0</v>
      </c>
      <c r="E350">
        <v>27.43322096</v>
      </c>
      <c r="F350" s="1">
        <v>0.13700000000000001</v>
      </c>
      <c r="H350">
        <v>434</v>
      </c>
      <c r="I350" t="str">
        <f t="shared" si="10"/>
        <v>YES</v>
      </c>
      <c r="J350" t="s">
        <v>359</v>
      </c>
      <c r="K350">
        <v>2217937.1612999998</v>
      </c>
      <c r="L350">
        <f t="shared" si="11"/>
        <v>0</v>
      </c>
    </row>
    <row r="351" spans="1:12" x14ac:dyDescent="0.25">
      <c r="A351">
        <v>435</v>
      </c>
      <c r="B351">
        <v>3402.1453019999999</v>
      </c>
      <c r="C351">
        <v>3402.1453019999999</v>
      </c>
      <c r="D351">
        <v>0</v>
      </c>
      <c r="E351" s="1">
        <v>8.4300000000000003E-5</v>
      </c>
      <c r="F351" s="1">
        <v>6.2400000000000003E-8</v>
      </c>
      <c r="H351">
        <v>435</v>
      </c>
      <c r="I351" t="str">
        <f t="shared" si="10"/>
        <v>YES</v>
      </c>
      <c r="J351" t="s">
        <v>360</v>
      </c>
      <c r="K351">
        <v>3375902.1535</v>
      </c>
      <c r="L351">
        <f t="shared" si="11"/>
        <v>0</v>
      </c>
    </row>
    <row r="352" spans="1:12" x14ac:dyDescent="0.25">
      <c r="A352">
        <v>500</v>
      </c>
      <c r="B352">
        <v>71573.261790000004</v>
      </c>
      <c r="C352">
        <v>64866.161979999997</v>
      </c>
      <c r="D352">
        <v>6707.0998099999997</v>
      </c>
      <c r="E352">
        <v>2118.3222999999998</v>
      </c>
      <c r="F352" s="1">
        <v>33</v>
      </c>
      <c r="H352">
        <v>500</v>
      </c>
      <c r="I352" t="str">
        <f t="shared" si="10"/>
        <v>YES</v>
      </c>
      <c r="J352" s="5" t="s">
        <v>361</v>
      </c>
      <c r="K352" s="5">
        <v>138326.994833</v>
      </c>
      <c r="L352">
        <f t="shared" si="11"/>
        <v>17560.656047040568</v>
      </c>
    </row>
    <row r="353" spans="1:12" x14ac:dyDescent="0.25">
      <c r="A353">
        <v>501</v>
      </c>
      <c r="B353">
        <v>30413.220290000001</v>
      </c>
      <c r="C353">
        <v>30413.220290000001</v>
      </c>
      <c r="D353">
        <v>0</v>
      </c>
      <c r="E353">
        <v>4160.293619</v>
      </c>
      <c r="F353" s="1">
        <v>27.5</v>
      </c>
      <c r="H353">
        <v>501</v>
      </c>
      <c r="I353" t="str">
        <f t="shared" si="10"/>
        <v>YES</v>
      </c>
      <c r="J353" s="5" t="s">
        <v>362</v>
      </c>
      <c r="K353" s="5">
        <v>287445.80340799998</v>
      </c>
      <c r="L353">
        <f t="shared" si="11"/>
        <v>0</v>
      </c>
    </row>
    <row r="354" spans="1:12" x14ac:dyDescent="0.25">
      <c r="A354">
        <v>502</v>
      </c>
      <c r="B354">
        <v>42190.73388</v>
      </c>
      <c r="C354">
        <v>36334.551469999999</v>
      </c>
      <c r="D354">
        <v>5856.1824100000003</v>
      </c>
      <c r="E354">
        <v>2877.4163490000001</v>
      </c>
      <c r="F354" s="1">
        <v>26.4</v>
      </c>
      <c r="H354">
        <v>502</v>
      </c>
      <c r="I354" t="str">
        <f t="shared" si="10"/>
        <v>YES</v>
      </c>
      <c r="J354" s="5" t="s">
        <v>363</v>
      </c>
      <c r="K354" s="5">
        <v>289010.78857500001</v>
      </c>
      <c r="L354">
        <f t="shared" si="11"/>
        <v>57190.78727861341</v>
      </c>
    </row>
    <row r="355" spans="1:12" x14ac:dyDescent="0.25">
      <c r="A355">
        <v>503</v>
      </c>
      <c r="B355">
        <v>26050.398499999999</v>
      </c>
      <c r="C355">
        <v>26050.398499999999</v>
      </c>
      <c r="D355">
        <v>0</v>
      </c>
      <c r="E355">
        <v>3113.4769759999999</v>
      </c>
      <c r="F355" s="1">
        <v>17.7</v>
      </c>
      <c r="H355">
        <v>503</v>
      </c>
      <c r="I355" t="str">
        <f t="shared" si="10"/>
        <v>YES</v>
      </c>
      <c r="J355" s="5" t="s">
        <v>364</v>
      </c>
      <c r="K355" s="5">
        <v>410357.25002699997</v>
      </c>
      <c r="L355">
        <f t="shared" si="11"/>
        <v>0</v>
      </c>
    </row>
    <row r="356" spans="1:12" x14ac:dyDescent="0.25">
      <c r="A356">
        <v>504</v>
      </c>
      <c r="B356">
        <v>31557.731879999999</v>
      </c>
      <c r="C356">
        <v>25701.549470000002</v>
      </c>
      <c r="D356">
        <v>5856.1824100000003</v>
      </c>
      <c r="E356">
        <v>3641.9121960000002</v>
      </c>
      <c r="F356" s="1">
        <v>25</v>
      </c>
      <c r="H356">
        <v>504</v>
      </c>
      <c r="I356" t="str">
        <f t="shared" si="10"/>
        <v>YES</v>
      </c>
      <c r="J356" s="5" t="s">
        <v>365</v>
      </c>
      <c r="K356" s="5">
        <v>630732.86394199997</v>
      </c>
      <c r="L356">
        <f t="shared" si="11"/>
        <v>176448.50264434938</v>
      </c>
    </row>
    <row r="357" spans="1:12" x14ac:dyDescent="0.25">
      <c r="A357">
        <v>505</v>
      </c>
      <c r="B357">
        <v>36203.108310000003</v>
      </c>
      <c r="C357">
        <v>31763.556059999999</v>
      </c>
      <c r="D357">
        <v>4439.5522499999997</v>
      </c>
      <c r="E357">
        <v>3747.5785599999999</v>
      </c>
      <c r="F357" s="1">
        <v>29.5</v>
      </c>
      <c r="H357">
        <v>505</v>
      </c>
      <c r="I357" t="str">
        <f t="shared" si="10"/>
        <v>YES</v>
      </c>
      <c r="J357" s="5" t="s">
        <v>366</v>
      </c>
      <c r="K357" s="5">
        <v>736183.57658899995</v>
      </c>
      <c r="L357">
        <f t="shared" si="11"/>
        <v>126332.01011927729</v>
      </c>
    </row>
    <row r="358" spans="1:12" x14ac:dyDescent="0.25">
      <c r="A358">
        <v>508</v>
      </c>
      <c r="B358">
        <v>18431.461050000002</v>
      </c>
      <c r="C358">
        <v>18431.461050000002</v>
      </c>
      <c r="D358">
        <v>0</v>
      </c>
      <c r="E358">
        <v>4127.4199589999998</v>
      </c>
      <c r="F358" s="1">
        <v>16.600000000000001</v>
      </c>
      <c r="H358">
        <v>508</v>
      </c>
      <c r="I358" t="str">
        <f t="shared" si="10"/>
        <v>YES</v>
      </c>
      <c r="J358" s="5" t="s">
        <v>367</v>
      </c>
      <c r="K358" s="5">
        <v>474658.80682699999</v>
      </c>
      <c r="L358">
        <f t="shared" si="11"/>
        <v>0</v>
      </c>
    </row>
    <row r="359" spans="1:12" x14ac:dyDescent="0.25">
      <c r="A359">
        <v>509</v>
      </c>
      <c r="B359">
        <v>18845.249370000001</v>
      </c>
      <c r="C359">
        <v>18845.249370000001</v>
      </c>
      <c r="D359">
        <v>0</v>
      </c>
      <c r="E359">
        <v>3044.1831139999999</v>
      </c>
      <c r="F359" s="1">
        <v>12.5</v>
      </c>
      <c r="H359">
        <v>509</v>
      </c>
      <c r="I359" t="str">
        <f t="shared" si="10"/>
        <v>YES</v>
      </c>
      <c r="J359" s="5" t="s">
        <v>368</v>
      </c>
      <c r="K359" s="5">
        <v>446994.321406</v>
      </c>
      <c r="L359">
        <f t="shared" si="11"/>
        <v>0</v>
      </c>
    </row>
    <row r="360" spans="1:12" x14ac:dyDescent="0.25">
      <c r="A360">
        <v>510</v>
      </c>
      <c r="B360">
        <v>18570.2611</v>
      </c>
      <c r="C360">
        <v>18570.2611</v>
      </c>
      <c r="D360">
        <v>0</v>
      </c>
      <c r="E360">
        <v>4870.6752999999999</v>
      </c>
      <c r="F360" s="1">
        <v>19.7</v>
      </c>
      <c r="H360">
        <v>510</v>
      </c>
      <c r="I360" t="str">
        <f t="shared" si="10"/>
        <v>YES</v>
      </c>
      <c r="J360" s="5" t="s">
        <v>369</v>
      </c>
      <c r="K360" s="5">
        <v>449851.28232200001</v>
      </c>
      <c r="L360">
        <f t="shared" si="11"/>
        <v>0</v>
      </c>
    </row>
    <row r="361" spans="1:12" x14ac:dyDescent="0.25">
      <c r="A361">
        <v>511</v>
      </c>
      <c r="B361">
        <v>28429.000479999999</v>
      </c>
      <c r="C361">
        <v>27598.16689</v>
      </c>
      <c r="D361">
        <v>830.83358999999996</v>
      </c>
      <c r="E361">
        <v>4065.6581780000001</v>
      </c>
      <c r="F361" s="1">
        <v>25.2</v>
      </c>
      <c r="H361">
        <v>511</v>
      </c>
      <c r="I361" t="str">
        <f t="shared" si="10"/>
        <v>YES</v>
      </c>
      <c r="J361" s="5" t="s">
        <v>370</v>
      </c>
      <c r="K361" s="5">
        <v>369154.31645500002</v>
      </c>
      <c r="L361">
        <f t="shared" si="11"/>
        <v>13644.542816343117</v>
      </c>
    </row>
    <row r="362" spans="1:12" x14ac:dyDescent="0.25">
      <c r="A362">
        <v>512</v>
      </c>
      <c r="B362">
        <v>24975.755130000001</v>
      </c>
      <c r="C362">
        <v>24975.755130000001</v>
      </c>
      <c r="D362">
        <v>0</v>
      </c>
      <c r="E362">
        <v>2532.908966</v>
      </c>
      <c r="F362" s="1">
        <v>13.8</v>
      </c>
      <c r="H362">
        <v>512</v>
      </c>
      <c r="I362" t="str">
        <f t="shared" si="10"/>
        <v>YES</v>
      </c>
      <c r="J362" s="5" t="s">
        <v>371</v>
      </c>
      <c r="K362" s="5">
        <v>158848.85263499999</v>
      </c>
      <c r="L362">
        <f t="shared" si="11"/>
        <v>0</v>
      </c>
    </row>
    <row r="363" spans="1:12" x14ac:dyDescent="0.25">
      <c r="A363">
        <v>513</v>
      </c>
      <c r="B363">
        <v>22105.32417</v>
      </c>
      <c r="C363">
        <v>22105.32417</v>
      </c>
      <c r="D363">
        <v>0</v>
      </c>
      <c r="E363">
        <v>2011.0975040000001</v>
      </c>
      <c r="F363" s="1">
        <v>9.68</v>
      </c>
      <c r="H363">
        <v>513</v>
      </c>
      <c r="I363" t="str">
        <f t="shared" si="10"/>
        <v>YES</v>
      </c>
      <c r="J363" s="5" t="s">
        <v>372</v>
      </c>
      <c r="K363" s="5">
        <v>381822.5123</v>
      </c>
      <c r="L363">
        <f t="shared" si="11"/>
        <v>0</v>
      </c>
    </row>
    <row r="364" spans="1:12" x14ac:dyDescent="0.25">
      <c r="A364">
        <v>514</v>
      </c>
      <c r="B364">
        <v>23988.756819999999</v>
      </c>
      <c r="C364">
        <v>23988.756819999999</v>
      </c>
      <c r="D364">
        <v>0</v>
      </c>
      <c r="E364">
        <v>2119.056979</v>
      </c>
      <c r="F364" s="1">
        <v>11.1</v>
      </c>
      <c r="H364">
        <v>514</v>
      </c>
      <c r="I364" t="str">
        <f t="shared" si="10"/>
        <v>YES</v>
      </c>
      <c r="J364" s="5" t="s">
        <v>373</v>
      </c>
      <c r="K364" s="5">
        <v>174774.06849800001</v>
      </c>
      <c r="L364">
        <f t="shared" si="11"/>
        <v>0</v>
      </c>
    </row>
    <row r="365" spans="1:12" x14ac:dyDescent="0.25">
      <c r="A365">
        <v>517</v>
      </c>
      <c r="B365">
        <v>569380.63589999999</v>
      </c>
      <c r="C365">
        <v>505109.76089999999</v>
      </c>
      <c r="D365">
        <v>64270.875</v>
      </c>
      <c r="E365">
        <v>789.27657899999997</v>
      </c>
      <c r="F365" s="1">
        <v>97.8</v>
      </c>
      <c r="H365">
        <v>517</v>
      </c>
      <c r="I365" t="str">
        <f t="shared" si="10"/>
        <v>YES</v>
      </c>
      <c r="J365" s="5" t="s">
        <v>374</v>
      </c>
      <c r="K365" s="5">
        <v>70930.923352500002</v>
      </c>
      <c r="L365">
        <f t="shared" si="11"/>
        <v>11081.059646174497</v>
      </c>
    </row>
    <row r="366" spans="1:12" x14ac:dyDescent="0.25">
      <c r="A366">
        <v>518</v>
      </c>
      <c r="B366">
        <v>322708.47869999998</v>
      </c>
      <c r="C366">
        <v>305243.80800000002</v>
      </c>
      <c r="D366">
        <v>17464.670699999999</v>
      </c>
      <c r="E366">
        <v>1007.119856</v>
      </c>
      <c r="F366" s="1">
        <v>70.8</v>
      </c>
      <c r="H366">
        <v>518</v>
      </c>
      <c r="I366" t="str">
        <f t="shared" si="10"/>
        <v>YES</v>
      </c>
      <c r="J366" s="5" t="s">
        <v>375</v>
      </c>
      <c r="K366" s="5">
        <v>131667.27494900001</v>
      </c>
      <c r="L366">
        <f t="shared" si="11"/>
        <v>9249.2946220769754</v>
      </c>
    </row>
    <row r="367" spans="1:12" x14ac:dyDescent="0.25">
      <c r="A367">
        <v>519</v>
      </c>
      <c r="B367">
        <v>171870.01310000001</v>
      </c>
      <c r="C367">
        <v>168017.5343</v>
      </c>
      <c r="D367">
        <v>3852.4787999999999</v>
      </c>
      <c r="E367">
        <v>2080.3512569999998</v>
      </c>
      <c r="F367" s="1">
        <v>77.900000000000006</v>
      </c>
      <c r="H367">
        <v>519</v>
      </c>
      <c r="I367" t="str">
        <f t="shared" si="10"/>
        <v>YES</v>
      </c>
      <c r="J367" s="5" t="s">
        <v>376</v>
      </c>
      <c r="K367" s="5">
        <v>178178.08342499999</v>
      </c>
      <c r="L367">
        <f t="shared" si="11"/>
        <v>5015.9957664600579</v>
      </c>
    </row>
    <row r="368" spans="1:12" x14ac:dyDescent="0.25">
      <c r="A368">
        <v>520</v>
      </c>
      <c r="B368">
        <v>228487.93830000001</v>
      </c>
      <c r="C368">
        <v>215741.15539999999</v>
      </c>
      <c r="D368">
        <v>12746.7829</v>
      </c>
      <c r="E368">
        <v>2383.7005690000001</v>
      </c>
      <c r="F368" s="1">
        <v>119</v>
      </c>
      <c r="H368">
        <v>520</v>
      </c>
      <c r="I368" t="str">
        <f t="shared" si="10"/>
        <v>YES</v>
      </c>
      <c r="J368" s="5" t="s">
        <v>377</v>
      </c>
      <c r="K368" s="5">
        <v>270139.73694600002</v>
      </c>
      <c r="L368">
        <f t="shared" si="11"/>
        <v>19596.264338704284</v>
      </c>
    </row>
    <row r="369" spans="1:12" x14ac:dyDescent="0.25">
      <c r="A369">
        <v>521</v>
      </c>
      <c r="B369">
        <v>154734.60200000001</v>
      </c>
      <c r="C369">
        <v>110364.02650000001</v>
      </c>
      <c r="D369">
        <v>44370.575499999999</v>
      </c>
      <c r="E369">
        <v>2291.9157169999999</v>
      </c>
      <c r="F369" s="1">
        <v>77.2</v>
      </c>
      <c r="H369">
        <v>521</v>
      </c>
      <c r="I369" t="str">
        <f t="shared" si="10"/>
        <v>YES</v>
      </c>
      <c r="J369" s="5" t="s">
        <v>378</v>
      </c>
      <c r="K369" s="5">
        <v>311784.35954600002</v>
      </c>
      <c r="L369">
        <f t="shared" si="11"/>
        <v>153900.16231297015</v>
      </c>
    </row>
    <row r="370" spans="1:12" x14ac:dyDescent="0.25">
      <c r="A370">
        <v>522</v>
      </c>
      <c r="B370">
        <v>327663.51309999998</v>
      </c>
      <c r="C370">
        <v>47779.049429999999</v>
      </c>
      <c r="D370">
        <v>279884.46370000002</v>
      </c>
      <c r="E370">
        <v>1967.840995</v>
      </c>
      <c r="F370" s="1">
        <v>140</v>
      </c>
      <c r="H370">
        <v>522</v>
      </c>
      <c r="I370" t="str">
        <f t="shared" si="10"/>
        <v>YES</v>
      </c>
      <c r="J370" s="5" t="s">
        <v>379</v>
      </c>
      <c r="K370" s="5">
        <v>279092.887506</v>
      </c>
      <c r="L370">
        <f t="shared" si="11"/>
        <v>2007276.8830265345</v>
      </c>
    </row>
    <row r="371" spans="1:12" x14ac:dyDescent="0.25">
      <c r="A371">
        <v>523</v>
      </c>
      <c r="B371">
        <v>149269.16759999999</v>
      </c>
      <c r="C371">
        <v>56643.795940000004</v>
      </c>
      <c r="D371">
        <v>92625.371660000004</v>
      </c>
      <c r="E371">
        <v>3279.0197440000002</v>
      </c>
      <c r="F371" s="1">
        <v>107</v>
      </c>
      <c r="H371">
        <v>523</v>
      </c>
      <c r="I371" t="str">
        <f t="shared" si="10"/>
        <v>YES</v>
      </c>
      <c r="J371" s="5" t="s">
        <v>380</v>
      </c>
      <c r="K371" s="5">
        <v>852690.67176099995</v>
      </c>
      <c r="L371">
        <f t="shared" si="11"/>
        <v>1711931.3837550245</v>
      </c>
    </row>
    <row r="372" spans="1:12" x14ac:dyDescent="0.25">
      <c r="A372">
        <v>524</v>
      </c>
      <c r="B372">
        <v>80103.523249999998</v>
      </c>
      <c r="C372">
        <v>34616.190430000002</v>
      </c>
      <c r="D372">
        <v>45487.332820000003</v>
      </c>
      <c r="E372">
        <v>2702.0231509999999</v>
      </c>
      <c r="F372" s="1">
        <v>47.1</v>
      </c>
      <c r="H372">
        <v>524</v>
      </c>
      <c r="I372" t="str">
        <f t="shared" si="10"/>
        <v>YES</v>
      </c>
      <c r="J372" s="5" t="s">
        <v>4</v>
      </c>
      <c r="K372" s="5">
        <v>310109.163092</v>
      </c>
      <c r="L372">
        <f t="shared" si="11"/>
        <v>500314.42862013506</v>
      </c>
    </row>
    <row r="373" spans="1:12" x14ac:dyDescent="0.25">
      <c r="A373">
        <v>525</v>
      </c>
      <c r="B373">
        <v>415589.7403</v>
      </c>
      <c r="C373">
        <v>396580.56969999999</v>
      </c>
      <c r="D373">
        <v>19009.170600000001</v>
      </c>
      <c r="E373">
        <v>1559.752131</v>
      </c>
      <c r="F373" s="1">
        <v>141</v>
      </c>
      <c r="H373">
        <v>525</v>
      </c>
      <c r="I373" t="str">
        <f t="shared" si="10"/>
        <v>YES</v>
      </c>
      <c r="J373" s="5" t="s">
        <v>381</v>
      </c>
      <c r="K373" s="5">
        <v>114421.779922</v>
      </c>
      <c r="L373">
        <f t="shared" si="11"/>
        <v>6733.7604570094172</v>
      </c>
    </row>
    <row r="374" spans="1:12" x14ac:dyDescent="0.25">
      <c r="A374">
        <v>527</v>
      </c>
      <c r="B374">
        <v>16785.715209999998</v>
      </c>
      <c r="C374">
        <v>16785.715209999998</v>
      </c>
      <c r="D374">
        <v>0</v>
      </c>
      <c r="E374">
        <v>2.8770255599999999</v>
      </c>
      <c r="F374" s="1">
        <v>1.0500000000000001E-2</v>
      </c>
      <c r="H374">
        <v>527</v>
      </c>
      <c r="I374" t="str">
        <f t="shared" si="10"/>
        <v>YES</v>
      </c>
      <c r="J374" s="5" t="s">
        <v>382</v>
      </c>
      <c r="K374" s="5">
        <v>1975068.0403400001</v>
      </c>
      <c r="L374">
        <f t="shared" si="11"/>
        <v>0</v>
      </c>
    </row>
    <row r="375" spans="1:12" x14ac:dyDescent="0.25">
      <c r="A375">
        <v>530</v>
      </c>
      <c r="B375">
        <v>14753.635469999999</v>
      </c>
      <c r="C375">
        <v>14753.635469999999</v>
      </c>
      <c r="D375">
        <v>0</v>
      </c>
      <c r="E375">
        <v>1538.1185379999999</v>
      </c>
      <c r="F375" s="1">
        <v>4.9400000000000004</v>
      </c>
      <c r="H375">
        <v>530</v>
      </c>
      <c r="I375" t="str">
        <f t="shared" si="10"/>
        <v>YES</v>
      </c>
      <c r="J375" s="5" t="s">
        <v>383</v>
      </c>
      <c r="K375" s="5">
        <v>241004.722244</v>
      </c>
      <c r="L375">
        <f t="shared" si="11"/>
        <v>0</v>
      </c>
    </row>
    <row r="376" spans="1:12" x14ac:dyDescent="0.25">
      <c r="A376">
        <v>531</v>
      </c>
      <c r="B376">
        <v>121627.5782</v>
      </c>
      <c r="C376">
        <v>120796.7447</v>
      </c>
      <c r="D376">
        <v>830.83349999999996</v>
      </c>
      <c r="E376">
        <v>2010.8098789999999</v>
      </c>
      <c r="F376" s="1">
        <v>53.3</v>
      </c>
      <c r="H376">
        <v>531</v>
      </c>
      <c r="I376" t="str">
        <f t="shared" si="10"/>
        <v>YES</v>
      </c>
      <c r="J376" s="5" t="s">
        <v>384</v>
      </c>
      <c r="K376" s="5">
        <v>250751.41913699999</v>
      </c>
      <c r="L376">
        <f t="shared" si="11"/>
        <v>2117.4803843095438</v>
      </c>
    </row>
    <row r="377" spans="1:12" x14ac:dyDescent="0.25">
      <c r="A377">
        <v>532</v>
      </c>
      <c r="B377">
        <v>33297.340640000002</v>
      </c>
      <c r="C377">
        <v>33297.340640000002</v>
      </c>
      <c r="D377">
        <v>0</v>
      </c>
      <c r="E377">
        <v>2330.7546029999999</v>
      </c>
      <c r="F377" s="1">
        <v>16.899999999999999</v>
      </c>
      <c r="H377">
        <v>532</v>
      </c>
      <c r="I377" t="str">
        <f t="shared" si="10"/>
        <v>YES</v>
      </c>
      <c r="J377" s="5" t="s">
        <v>385</v>
      </c>
      <c r="K377" s="5">
        <v>610371.30581399996</v>
      </c>
      <c r="L377">
        <f t="shared" si="11"/>
        <v>0</v>
      </c>
    </row>
    <row r="378" spans="1:12" x14ac:dyDescent="0.25">
      <c r="A378">
        <v>533</v>
      </c>
      <c r="B378">
        <v>18253.937809999999</v>
      </c>
      <c r="C378">
        <v>18253.937809999999</v>
      </c>
      <c r="D378">
        <v>0</v>
      </c>
      <c r="E378">
        <v>2165.2680049999999</v>
      </c>
      <c r="F378" s="1">
        <v>8.61</v>
      </c>
      <c r="H378">
        <v>533</v>
      </c>
      <c r="I378" t="str">
        <f t="shared" si="10"/>
        <v>YES</v>
      </c>
      <c r="J378" s="5" t="s">
        <v>386</v>
      </c>
      <c r="K378" s="5">
        <v>369763.728787</v>
      </c>
      <c r="L378">
        <f t="shared" si="11"/>
        <v>0</v>
      </c>
    </row>
    <row r="379" spans="1:12" x14ac:dyDescent="0.25">
      <c r="A379">
        <v>534</v>
      </c>
      <c r="B379">
        <v>355233.82010000001</v>
      </c>
      <c r="C379">
        <v>343835.80829999998</v>
      </c>
      <c r="D379">
        <v>11398.0118</v>
      </c>
      <c r="E379">
        <v>1511.870197</v>
      </c>
      <c r="F379" s="1">
        <v>117</v>
      </c>
      <c r="H379">
        <v>534</v>
      </c>
      <c r="I379" t="str">
        <f t="shared" si="10"/>
        <v>YES</v>
      </c>
      <c r="J379" s="5" t="s">
        <v>387</v>
      </c>
      <c r="K379" s="5">
        <v>245114.403276</v>
      </c>
      <c r="L379">
        <f t="shared" si="11"/>
        <v>9976.1749808938985</v>
      </c>
    </row>
    <row r="380" spans="1:12" x14ac:dyDescent="0.25">
      <c r="A380">
        <v>535</v>
      </c>
      <c r="B380">
        <v>95073.98242</v>
      </c>
      <c r="C380">
        <v>94243.148839999994</v>
      </c>
      <c r="D380">
        <v>830.83357999999998</v>
      </c>
      <c r="E380">
        <v>868.65234929999997</v>
      </c>
      <c r="F380" s="1">
        <v>18</v>
      </c>
      <c r="H380">
        <v>535</v>
      </c>
      <c r="I380" t="str">
        <f t="shared" si="10"/>
        <v>YES</v>
      </c>
      <c r="J380" s="5" t="s">
        <v>388</v>
      </c>
      <c r="K380" s="5">
        <v>146327.702139</v>
      </c>
      <c r="L380">
        <f t="shared" si="11"/>
        <v>1583.8280614623272</v>
      </c>
    </row>
    <row r="381" spans="1:12" x14ac:dyDescent="0.25">
      <c r="A381">
        <v>536</v>
      </c>
      <c r="B381">
        <v>207332.54329999999</v>
      </c>
      <c r="C381">
        <v>200645.52729999999</v>
      </c>
      <c r="D381">
        <v>6687.0159999999996</v>
      </c>
      <c r="E381">
        <v>492.08632649999998</v>
      </c>
      <c r="F381" s="1">
        <v>22.2</v>
      </c>
      <c r="H381">
        <v>536</v>
      </c>
      <c r="I381" t="str">
        <f t="shared" si="10"/>
        <v>YES</v>
      </c>
      <c r="J381" s="5" t="s">
        <v>389</v>
      </c>
      <c r="K381" s="5">
        <v>101894.002824</v>
      </c>
      <c r="L381">
        <f t="shared" si="11"/>
        <v>4169.3536146352035</v>
      </c>
    </row>
    <row r="382" spans="1:12" x14ac:dyDescent="0.25">
      <c r="A382">
        <v>537</v>
      </c>
      <c r="B382">
        <v>457472.4498</v>
      </c>
      <c r="C382">
        <v>444844.63760000002</v>
      </c>
      <c r="D382">
        <v>12627.8122</v>
      </c>
      <c r="E382">
        <v>1091.697457</v>
      </c>
      <c r="F382" s="1">
        <v>109</v>
      </c>
      <c r="H382">
        <v>537</v>
      </c>
      <c r="I382" t="str">
        <f t="shared" si="10"/>
        <v>YES</v>
      </c>
      <c r="J382" s="5" t="s">
        <v>390</v>
      </c>
      <c r="K382" s="5">
        <v>106703.729847</v>
      </c>
      <c r="L382">
        <f t="shared" si="11"/>
        <v>3718.9178325753596</v>
      </c>
    </row>
    <row r="383" spans="1:12" x14ac:dyDescent="0.25">
      <c r="A383">
        <v>538</v>
      </c>
      <c r="B383">
        <v>15733.547689999999</v>
      </c>
      <c r="C383">
        <v>15733.547689999999</v>
      </c>
      <c r="D383">
        <v>0</v>
      </c>
      <c r="E383">
        <v>1767.5588270000001</v>
      </c>
      <c r="F383" s="1">
        <v>6.06</v>
      </c>
      <c r="H383">
        <v>538</v>
      </c>
      <c r="I383" t="str">
        <f t="shared" si="10"/>
        <v>YES</v>
      </c>
      <c r="J383" s="5" t="s">
        <v>391</v>
      </c>
      <c r="K383" s="5">
        <v>466235.22775199998</v>
      </c>
      <c r="L383">
        <f t="shared" si="11"/>
        <v>0</v>
      </c>
    </row>
    <row r="384" spans="1:12" x14ac:dyDescent="0.25">
      <c r="A384">
        <v>539</v>
      </c>
      <c r="B384">
        <v>529480.55110000004</v>
      </c>
      <c r="C384">
        <v>503027.81449999998</v>
      </c>
      <c r="D384">
        <v>26452.7366</v>
      </c>
      <c r="E384">
        <v>1566.5254600000001</v>
      </c>
      <c r="F384" s="1">
        <v>181</v>
      </c>
      <c r="H384">
        <v>539</v>
      </c>
      <c r="I384" t="str">
        <f t="shared" si="10"/>
        <v>YES</v>
      </c>
      <c r="J384" s="5" t="s">
        <v>392</v>
      </c>
      <c r="K384" s="5">
        <v>158550.29369600001</v>
      </c>
      <c r="L384">
        <f t="shared" si="11"/>
        <v>10236.76860275475</v>
      </c>
    </row>
    <row r="385" spans="1:12" x14ac:dyDescent="0.25">
      <c r="A385">
        <v>540</v>
      </c>
      <c r="B385">
        <v>10752.94736</v>
      </c>
      <c r="C385">
        <v>10752.94736</v>
      </c>
      <c r="D385">
        <v>0</v>
      </c>
      <c r="E385">
        <v>2089.4862459999999</v>
      </c>
      <c r="F385" s="1">
        <v>4.8899999999999997</v>
      </c>
      <c r="H385">
        <v>540</v>
      </c>
      <c r="I385" t="str">
        <f t="shared" si="10"/>
        <v>YES</v>
      </c>
      <c r="J385" s="5" t="s">
        <v>393</v>
      </c>
      <c r="K385" s="5">
        <v>499799.23625800002</v>
      </c>
      <c r="L385">
        <f t="shared" si="11"/>
        <v>0</v>
      </c>
    </row>
    <row r="386" spans="1:12" x14ac:dyDescent="0.25">
      <c r="A386">
        <v>541</v>
      </c>
      <c r="B386">
        <v>300152.15220000001</v>
      </c>
      <c r="C386">
        <v>288456.43430000002</v>
      </c>
      <c r="D386">
        <v>11695.7179</v>
      </c>
      <c r="E386">
        <v>1364.2322670000001</v>
      </c>
      <c r="F386" s="1">
        <v>89.2</v>
      </c>
      <c r="H386">
        <v>541</v>
      </c>
      <c r="I386" t="str">
        <f t="shared" si="10"/>
        <v>YES</v>
      </c>
      <c r="J386" s="5" t="s">
        <v>394</v>
      </c>
      <c r="K386" s="5">
        <v>183763.25498100001</v>
      </c>
      <c r="L386">
        <f t="shared" si="11"/>
        <v>9147.9241791430013</v>
      </c>
    </row>
    <row r="387" spans="1:12" x14ac:dyDescent="0.25">
      <c r="A387">
        <v>542</v>
      </c>
      <c r="B387">
        <v>31867.563119999999</v>
      </c>
      <c r="C387">
        <v>31867.563119999999</v>
      </c>
      <c r="D387">
        <v>0</v>
      </c>
      <c r="E387">
        <v>1431.665336</v>
      </c>
      <c r="F387" s="1">
        <v>9.93</v>
      </c>
      <c r="H387">
        <v>542</v>
      </c>
      <c r="I387" t="str">
        <f t="shared" ref="I387:I450" si="12">IF(A387=H387,"YES","NO")</f>
        <v>YES</v>
      </c>
      <c r="J387" s="5" t="s">
        <v>395</v>
      </c>
      <c r="K387" s="5">
        <v>303154.62166499998</v>
      </c>
      <c r="L387">
        <f t="shared" ref="L387:L450" si="13">EXP(0.2052)*K387*(D387/C387)</f>
        <v>0</v>
      </c>
    </row>
    <row r="388" spans="1:12" x14ac:dyDescent="0.25">
      <c r="A388">
        <v>543</v>
      </c>
      <c r="B388">
        <v>24679.214970000001</v>
      </c>
      <c r="C388">
        <v>24679.214970000001</v>
      </c>
      <c r="D388">
        <v>0</v>
      </c>
      <c r="E388">
        <v>1124.4032299999999</v>
      </c>
      <c r="F388" s="1">
        <v>6.04</v>
      </c>
      <c r="H388">
        <v>543</v>
      </c>
      <c r="I388" t="str">
        <f t="shared" si="12"/>
        <v>YES</v>
      </c>
      <c r="J388" s="5" t="s">
        <v>396</v>
      </c>
      <c r="K388" s="5">
        <v>248536.15888199999</v>
      </c>
      <c r="L388">
        <f t="shared" si="13"/>
        <v>0</v>
      </c>
    </row>
    <row r="389" spans="1:12" x14ac:dyDescent="0.25">
      <c r="A389">
        <v>544</v>
      </c>
      <c r="B389">
        <v>24217.011689999999</v>
      </c>
      <c r="C389">
        <v>24217.011689999999</v>
      </c>
      <c r="D389">
        <v>0</v>
      </c>
      <c r="E389">
        <v>1299.806394</v>
      </c>
      <c r="F389" s="1">
        <v>6.85</v>
      </c>
      <c r="H389">
        <v>544</v>
      </c>
      <c r="I389" t="str">
        <f t="shared" si="12"/>
        <v>YES</v>
      </c>
      <c r="J389" s="5" t="s">
        <v>397</v>
      </c>
      <c r="K389" s="5">
        <v>351842.60576200002</v>
      </c>
      <c r="L389">
        <f t="shared" si="13"/>
        <v>0</v>
      </c>
    </row>
    <row r="390" spans="1:12" x14ac:dyDescent="0.25">
      <c r="A390">
        <v>545</v>
      </c>
      <c r="B390">
        <v>42147.409879999999</v>
      </c>
      <c r="C390">
        <v>36291.227480000001</v>
      </c>
      <c r="D390">
        <v>5856.1823999999997</v>
      </c>
      <c r="E390">
        <v>3892.064883</v>
      </c>
      <c r="F390" s="1">
        <v>35.700000000000003</v>
      </c>
      <c r="H390">
        <v>545</v>
      </c>
      <c r="I390" t="str">
        <f t="shared" si="12"/>
        <v>YES</v>
      </c>
      <c r="J390" s="5" t="s">
        <v>398</v>
      </c>
      <c r="K390" s="5">
        <v>420914.779912</v>
      </c>
      <c r="L390">
        <f t="shared" si="13"/>
        <v>83391.99062221944</v>
      </c>
    </row>
    <row r="391" spans="1:12" x14ac:dyDescent="0.25">
      <c r="A391">
        <v>548</v>
      </c>
      <c r="B391">
        <v>6632.596415</v>
      </c>
      <c r="C391">
        <v>6632.596415</v>
      </c>
      <c r="D391">
        <v>0</v>
      </c>
      <c r="E391">
        <v>3087.9219670000002</v>
      </c>
      <c r="F391" s="1">
        <v>4.46</v>
      </c>
      <c r="H391">
        <v>548</v>
      </c>
      <c r="I391" t="str">
        <f t="shared" si="12"/>
        <v>YES</v>
      </c>
      <c r="J391" s="5" t="s">
        <v>399</v>
      </c>
      <c r="K391" s="5">
        <v>406087.36606600002</v>
      </c>
      <c r="L391">
        <f t="shared" si="13"/>
        <v>0</v>
      </c>
    </row>
    <row r="392" spans="1:12" x14ac:dyDescent="0.25">
      <c r="A392">
        <v>549</v>
      </c>
      <c r="B392">
        <v>6319.2327670000004</v>
      </c>
      <c r="C392">
        <v>6319.2327670000004</v>
      </c>
      <c r="D392">
        <v>0</v>
      </c>
      <c r="E392">
        <v>3260.4167259999999</v>
      </c>
      <c r="F392" s="1">
        <v>4.49</v>
      </c>
      <c r="H392">
        <v>549</v>
      </c>
      <c r="I392" t="str">
        <f t="shared" si="12"/>
        <v>YES</v>
      </c>
      <c r="J392" s="5" t="s">
        <v>400</v>
      </c>
      <c r="K392" s="5">
        <v>571988.22317000001</v>
      </c>
      <c r="L392">
        <f t="shared" si="13"/>
        <v>0</v>
      </c>
    </row>
    <row r="393" spans="1:12" x14ac:dyDescent="0.25">
      <c r="A393">
        <v>550</v>
      </c>
      <c r="B393">
        <v>19062.927169999999</v>
      </c>
      <c r="C393">
        <v>19062.927169999999</v>
      </c>
      <c r="D393">
        <v>0</v>
      </c>
      <c r="E393">
        <v>3392.4335959999999</v>
      </c>
      <c r="F393" s="1">
        <v>14.1</v>
      </c>
      <c r="H393">
        <v>550</v>
      </c>
      <c r="I393" t="str">
        <f t="shared" si="12"/>
        <v>YES</v>
      </c>
      <c r="J393" s="5" t="s">
        <v>401</v>
      </c>
      <c r="K393" s="5">
        <v>361923.99520399998</v>
      </c>
      <c r="L393">
        <f t="shared" si="13"/>
        <v>0</v>
      </c>
    </row>
    <row r="394" spans="1:12" x14ac:dyDescent="0.25">
      <c r="A394">
        <v>551</v>
      </c>
      <c r="B394">
        <v>8137.5718539999998</v>
      </c>
      <c r="C394">
        <v>8137.5718539999998</v>
      </c>
      <c r="D394">
        <v>0</v>
      </c>
      <c r="E394">
        <v>1781.2277099999999</v>
      </c>
      <c r="F394" s="1">
        <v>3.16</v>
      </c>
      <c r="H394">
        <v>551</v>
      </c>
      <c r="I394" t="str">
        <f t="shared" si="12"/>
        <v>YES</v>
      </c>
      <c r="J394" s="5" t="s">
        <v>402</v>
      </c>
      <c r="K394" s="5">
        <v>526869.68992000003</v>
      </c>
      <c r="L394">
        <f t="shared" si="13"/>
        <v>0</v>
      </c>
    </row>
    <row r="395" spans="1:12" x14ac:dyDescent="0.25">
      <c r="A395">
        <v>554</v>
      </c>
      <c r="B395">
        <v>179265.9509</v>
      </c>
      <c r="C395">
        <v>178435.11730000001</v>
      </c>
      <c r="D395">
        <v>830.83360000000005</v>
      </c>
      <c r="E395">
        <v>163.85178590000001</v>
      </c>
      <c r="F395" s="1">
        <v>6.4</v>
      </c>
      <c r="H395">
        <v>554</v>
      </c>
      <c r="I395" t="str">
        <f t="shared" si="12"/>
        <v>YES</v>
      </c>
      <c r="J395" s="5" t="s">
        <v>403</v>
      </c>
      <c r="K395" s="5">
        <v>110978.18109899999</v>
      </c>
      <c r="L395">
        <f t="shared" si="13"/>
        <v>634.43707066020227</v>
      </c>
    </row>
    <row r="396" spans="1:12" x14ac:dyDescent="0.25">
      <c r="A396">
        <v>555</v>
      </c>
      <c r="B396">
        <v>297712.71620000002</v>
      </c>
      <c r="C396">
        <v>297712.71620000002</v>
      </c>
      <c r="D396">
        <v>0</v>
      </c>
      <c r="E396">
        <v>1897.6764920000001</v>
      </c>
      <c r="F396" s="1">
        <v>123</v>
      </c>
      <c r="H396">
        <v>555</v>
      </c>
      <c r="I396" t="str">
        <f t="shared" si="12"/>
        <v>YES</v>
      </c>
      <c r="J396" s="5" t="s">
        <v>404</v>
      </c>
      <c r="K396" s="5">
        <v>170257.593762</v>
      </c>
      <c r="L396">
        <f t="shared" si="13"/>
        <v>0</v>
      </c>
    </row>
    <row r="397" spans="1:12" x14ac:dyDescent="0.25">
      <c r="A397">
        <v>556</v>
      </c>
      <c r="B397">
        <v>403402.43150000001</v>
      </c>
      <c r="C397">
        <v>402571.59789999999</v>
      </c>
      <c r="D397">
        <v>830.83360000000005</v>
      </c>
      <c r="E397">
        <v>1619.075333</v>
      </c>
      <c r="F397" s="1">
        <v>142</v>
      </c>
      <c r="H397">
        <v>556</v>
      </c>
      <c r="I397" t="str">
        <f t="shared" si="12"/>
        <v>YES</v>
      </c>
      <c r="J397" s="5" t="s">
        <v>405</v>
      </c>
      <c r="K397" s="5">
        <v>148291.283138</v>
      </c>
      <c r="L397">
        <f t="shared" si="13"/>
        <v>375.75413715158555</v>
      </c>
    </row>
    <row r="398" spans="1:12" x14ac:dyDescent="0.25">
      <c r="A398">
        <v>557</v>
      </c>
      <c r="B398">
        <v>227066.4277</v>
      </c>
      <c r="C398">
        <v>227066.4277</v>
      </c>
      <c r="D398">
        <v>0</v>
      </c>
      <c r="E398">
        <v>2693.7976950000002</v>
      </c>
      <c r="F398" s="1">
        <v>133</v>
      </c>
      <c r="H398">
        <v>557</v>
      </c>
      <c r="I398" t="str">
        <f t="shared" si="12"/>
        <v>YES</v>
      </c>
      <c r="J398" s="5" t="s">
        <v>406</v>
      </c>
      <c r="K398" s="5">
        <v>252131.16286899999</v>
      </c>
      <c r="L398">
        <f t="shared" si="13"/>
        <v>0</v>
      </c>
    </row>
    <row r="399" spans="1:12" x14ac:dyDescent="0.25">
      <c r="A399">
        <v>558</v>
      </c>
      <c r="B399">
        <v>310170.02399999998</v>
      </c>
      <c r="C399">
        <v>303165.2181</v>
      </c>
      <c r="D399">
        <v>7004.8059000000003</v>
      </c>
      <c r="E399">
        <v>2634.9672639999999</v>
      </c>
      <c r="F399" s="1">
        <v>178</v>
      </c>
      <c r="H399">
        <v>558</v>
      </c>
      <c r="I399" t="str">
        <f t="shared" si="12"/>
        <v>YES</v>
      </c>
      <c r="J399" s="5" t="s">
        <v>407</v>
      </c>
      <c r="K399" s="5">
        <v>315197.58829500002</v>
      </c>
      <c r="L399">
        <f t="shared" si="13"/>
        <v>8941.6331017183948</v>
      </c>
    </row>
    <row r="400" spans="1:12" x14ac:dyDescent="0.25">
      <c r="A400">
        <v>559</v>
      </c>
      <c r="B400">
        <v>394301.38130000001</v>
      </c>
      <c r="C400">
        <v>394301.38130000001</v>
      </c>
      <c r="D400">
        <v>0</v>
      </c>
      <c r="E400">
        <v>1207.292551</v>
      </c>
      <c r="F400" s="1">
        <v>104</v>
      </c>
      <c r="H400">
        <v>559</v>
      </c>
      <c r="I400" t="str">
        <f t="shared" si="12"/>
        <v>YES</v>
      </c>
      <c r="J400" t="s">
        <v>408</v>
      </c>
      <c r="K400">
        <v>98502.788325999994</v>
      </c>
      <c r="L400">
        <f t="shared" si="13"/>
        <v>0</v>
      </c>
    </row>
    <row r="401" spans="1:12" x14ac:dyDescent="0.25">
      <c r="A401">
        <v>560</v>
      </c>
      <c r="B401">
        <v>206737.09779999999</v>
      </c>
      <c r="C401">
        <v>206737.09779999999</v>
      </c>
      <c r="D401">
        <v>0</v>
      </c>
      <c r="E401">
        <v>159.2700973</v>
      </c>
      <c r="F401" s="1">
        <v>7.17</v>
      </c>
      <c r="H401">
        <v>560</v>
      </c>
      <c r="I401" t="str">
        <f t="shared" si="12"/>
        <v>YES</v>
      </c>
      <c r="J401" t="s">
        <v>409</v>
      </c>
      <c r="K401">
        <v>158442.63007700001</v>
      </c>
      <c r="L401">
        <f t="shared" si="13"/>
        <v>0</v>
      </c>
    </row>
    <row r="402" spans="1:12" x14ac:dyDescent="0.25">
      <c r="A402">
        <v>561</v>
      </c>
      <c r="B402">
        <v>248417.15650000001</v>
      </c>
      <c r="C402">
        <v>242560.97409999999</v>
      </c>
      <c r="D402">
        <v>5856.1823999999997</v>
      </c>
      <c r="E402">
        <v>1552.1365040000001</v>
      </c>
      <c r="F402" s="1">
        <v>84</v>
      </c>
      <c r="H402">
        <v>561</v>
      </c>
      <c r="I402" t="str">
        <f t="shared" si="12"/>
        <v>YES</v>
      </c>
      <c r="J402" s="5" t="s">
        <v>410</v>
      </c>
      <c r="K402" s="5">
        <v>147485.254659</v>
      </c>
      <c r="L402">
        <f t="shared" si="13"/>
        <v>4371.7920613026427</v>
      </c>
    </row>
    <row r="403" spans="1:12" x14ac:dyDescent="0.25">
      <c r="A403">
        <v>562</v>
      </c>
      <c r="B403">
        <v>290362.46759999997</v>
      </c>
      <c r="C403">
        <v>283675.45159999997</v>
      </c>
      <c r="D403">
        <v>6687.0159999999996</v>
      </c>
      <c r="E403">
        <v>1558.4501749999999</v>
      </c>
      <c r="F403" s="1">
        <v>98.5</v>
      </c>
      <c r="H403">
        <v>562</v>
      </c>
      <c r="I403" t="str">
        <f t="shared" si="12"/>
        <v>YES</v>
      </c>
      <c r="J403" t="s">
        <v>411</v>
      </c>
      <c r="K403">
        <v>127589.18627999999</v>
      </c>
      <c r="L403">
        <f t="shared" si="13"/>
        <v>3692.6802427345738</v>
      </c>
    </row>
    <row r="404" spans="1:12" x14ac:dyDescent="0.25">
      <c r="A404">
        <v>563</v>
      </c>
      <c r="B404">
        <v>350270.96539999999</v>
      </c>
      <c r="C404">
        <v>340554.25020000001</v>
      </c>
      <c r="D404">
        <v>9716.7152000000006</v>
      </c>
      <c r="E404">
        <v>222.06173949999999</v>
      </c>
      <c r="F404" s="1">
        <v>16.899999999999999</v>
      </c>
      <c r="H404">
        <v>563</v>
      </c>
      <c r="I404" t="str">
        <f t="shared" si="12"/>
        <v>YES</v>
      </c>
      <c r="J404" t="s">
        <v>412</v>
      </c>
      <c r="K404">
        <v>73325.691857400001</v>
      </c>
      <c r="L404">
        <f t="shared" si="13"/>
        <v>2568.6596638121564</v>
      </c>
    </row>
    <row r="405" spans="1:12" x14ac:dyDescent="0.25">
      <c r="A405">
        <v>564</v>
      </c>
      <c r="B405">
        <v>90111.844989999998</v>
      </c>
      <c r="C405">
        <v>84255.662590000007</v>
      </c>
      <c r="D405">
        <v>5856.1823999999997</v>
      </c>
      <c r="E405">
        <v>2536.9829289999998</v>
      </c>
      <c r="F405" s="1">
        <v>49.8</v>
      </c>
      <c r="H405">
        <v>564</v>
      </c>
      <c r="I405" t="str">
        <f t="shared" si="12"/>
        <v>YES</v>
      </c>
      <c r="J405" t="s">
        <v>413</v>
      </c>
      <c r="K405">
        <v>250452.879869</v>
      </c>
      <c r="L405">
        <f t="shared" si="13"/>
        <v>21372.668727743297</v>
      </c>
    </row>
    <row r="406" spans="1:12" x14ac:dyDescent="0.25">
      <c r="A406">
        <v>565</v>
      </c>
      <c r="B406">
        <v>142798.01029999999</v>
      </c>
      <c r="C406">
        <v>142798.01029999999</v>
      </c>
      <c r="D406">
        <v>0</v>
      </c>
      <c r="E406">
        <v>1.03157E-4</v>
      </c>
      <c r="F406" s="1">
        <v>3.2100000000000002E-6</v>
      </c>
      <c r="H406">
        <v>565</v>
      </c>
      <c r="I406" t="str">
        <f t="shared" si="12"/>
        <v>YES</v>
      </c>
      <c r="J406" t="s">
        <v>414</v>
      </c>
      <c r="K406">
        <v>855654.20608899998</v>
      </c>
      <c r="L406">
        <f t="shared" si="13"/>
        <v>0</v>
      </c>
    </row>
    <row r="407" spans="1:12" x14ac:dyDescent="0.25">
      <c r="A407">
        <v>566</v>
      </c>
      <c r="B407">
        <v>168280.97080000001</v>
      </c>
      <c r="C407">
        <v>168280.97080000001</v>
      </c>
      <c r="D407">
        <v>0</v>
      </c>
      <c r="E407">
        <v>1.03157E-4</v>
      </c>
      <c r="F407" s="1">
        <v>3.7799999999999998E-6</v>
      </c>
      <c r="H407">
        <v>566</v>
      </c>
      <c r="I407" t="str">
        <f t="shared" si="12"/>
        <v>YES</v>
      </c>
      <c r="J407" t="s">
        <v>415</v>
      </c>
      <c r="K407">
        <v>730212.98466099997</v>
      </c>
      <c r="L407">
        <f t="shared" si="13"/>
        <v>0</v>
      </c>
    </row>
    <row r="408" spans="1:12" x14ac:dyDescent="0.25">
      <c r="A408">
        <v>567</v>
      </c>
      <c r="B408">
        <v>88993.969620000003</v>
      </c>
      <c r="C408">
        <v>88993.969620000003</v>
      </c>
      <c r="D408">
        <v>0</v>
      </c>
      <c r="E408">
        <v>34.56020565</v>
      </c>
      <c r="F408" s="1">
        <v>0.67</v>
      </c>
      <c r="H408">
        <v>567</v>
      </c>
      <c r="I408" t="str">
        <f t="shared" si="12"/>
        <v>YES</v>
      </c>
      <c r="J408" t="s">
        <v>416</v>
      </c>
      <c r="K408">
        <v>279379.75765799999</v>
      </c>
      <c r="L408">
        <f t="shared" si="13"/>
        <v>0</v>
      </c>
    </row>
    <row r="409" spans="1:12" x14ac:dyDescent="0.25">
      <c r="A409">
        <v>570</v>
      </c>
      <c r="B409">
        <v>1746.533132</v>
      </c>
      <c r="C409">
        <v>1746.533132</v>
      </c>
      <c r="D409">
        <v>0</v>
      </c>
      <c r="E409">
        <v>899.34312299999999</v>
      </c>
      <c r="F409" s="1">
        <v>0.34200000000000003</v>
      </c>
      <c r="H409">
        <v>570</v>
      </c>
      <c r="I409" t="str">
        <f t="shared" si="12"/>
        <v>YES</v>
      </c>
      <c r="J409" s="5" t="s">
        <v>417</v>
      </c>
      <c r="K409" s="5">
        <v>606436.412732</v>
      </c>
      <c r="L409">
        <f t="shared" si="13"/>
        <v>0</v>
      </c>
    </row>
    <row r="410" spans="1:12" x14ac:dyDescent="0.25">
      <c r="A410">
        <v>571</v>
      </c>
      <c r="B410">
        <v>4219.4067370000002</v>
      </c>
      <c r="C410">
        <v>4219.4067370000002</v>
      </c>
      <c r="D410">
        <v>0</v>
      </c>
      <c r="E410">
        <v>1877.1924570000001</v>
      </c>
      <c r="F410" s="1">
        <v>1.72</v>
      </c>
      <c r="H410">
        <v>571</v>
      </c>
      <c r="I410" t="str">
        <f t="shared" si="12"/>
        <v>YES</v>
      </c>
      <c r="J410" s="5" t="s">
        <v>418</v>
      </c>
      <c r="K410" s="5">
        <v>621630.39249400003</v>
      </c>
      <c r="L410">
        <f t="shared" si="13"/>
        <v>0</v>
      </c>
    </row>
    <row r="411" spans="1:12" x14ac:dyDescent="0.25">
      <c r="A411">
        <v>572</v>
      </c>
      <c r="B411">
        <v>5662.1937090000001</v>
      </c>
      <c r="C411">
        <v>5662.1937090000001</v>
      </c>
      <c r="D411">
        <v>0</v>
      </c>
      <c r="E411">
        <v>1662.9240159999999</v>
      </c>
      <c r="F411" s="1">
        <v>2.0499999999999998</v>
      </c>
      <c r="H411">
        <v>572</v>
      </c>
      <c r="I411" t="str">
        <f t="shared" si="12"/>
        <v>YES</v>
      </c>
      <c r="J411" s="5" t="s">
        <v>419</v>
      </c>
      <c r="K411" s="5">
        <v>1104113.26183</v>
      </c>
      <c r="L411">
        <f t="shared" si="13"/>
        <v>0</v>
      </c>
    </row>
    <row r="412" spans="1:12" x14ac:dyDescent="0.25">
      <c r="A412">
        <v>573</v>
      </c>
      <c r="B412">
        <v>9370.5683229999995</v>
      </c>
      <c r="C412">
        <v>9370.5683229999995</v>
      </c>
      <c r="D412">
        <v>0</v>
      </c>
      <c r="E412">
        <v>2091.703634</v>
      </c>
      <c r="F412" s="1">
        <v>4.2699999999999996</v>
      </c>
      <c r="H412">
        <v>573</v>
      </c>
      <c r="I412" t="str">
        <f t="shared" si="12"/>
        <v>YES</v>
      </c>
      <c r="J412" s="5" t="s">
        <v>420</v>
      </c>
      <c r="K412" s="5">
        <v>519201.62673199998</v>
      </c>
      <c r="L412">
        <f t="shared" si="13"/>
        <v>0</v>
      </c>
    </row>
    <row r="413" spans="1:12" x14ac:dyDescent="0.25">
      <c r="A413">
        <v>574</v>
      </c>
      <c r="B413">
        <v>10147.71408</v>
      </c>
      <c r="C413">
        <v>10147.71408</v>
      </c>
      <c r="D413">
        <v>0</v>
      </c>
      <c r="E413">
        <v>3546.0872319999999</v>
      </c>
      <c r="F413" s="1">
        <v>7.84</v>
      </c>
      <c r="H413">
        <v>574</v>
      </c>
      <c r="I413" t="str">
        <f t="shared" si="12"/>
        <v>YES</v>
      </c>
      <c r="J413" s="5" t="s">
        <v>421</v>
      </c>
      <c r="K413" s="5">
        <v>1497776.8209800001</v>
      </c>
      <c r="L413">
        <f t="shared" si="13"/>
        <v>0</v>
      </c>
    </row>
    <row r="414" spans="1:12" x14ac:dyDescent="0.25">
      <c r="A414">
        <v>575</v>
      </c>
      <c r="B414">
        <v>3235.7220419999999</v>
      </c>
      <c r="C414">
        <v>3235.7220419999999</v>
      </c>
      <c r="D414">
        <v>0</v>
      </c>
      <c r="E414">
        <v>2492.749538</v>
      </c>
      <c r="F414" s="1">
        <v>1.76</v>
      </c>
      <c r="H414">
        <v>575</v>
      </c>
      <c r="I414" t="str">
        <f t="shared" si="12"/>
        <v>YES</v>
      </c>
      <c r="J414" s="5" t="s">
        <v>422</v>
      </c>
      <c r="K414" s="5">
        <v>777348.13166099996</v>
      </c>
      <c r="L414">
        <f t="shared" si="13"/>
        <v>0</v>
      </c>
    </row>
    <row r="415" spans="1:12" x14ac:dyDescent="0.25">
      <c r="A415">
        <v>577</v>
      </c>
      <c r="B415">
        <v>101706.1079</v>
      </c>
      <c r="C415">
        <v>100875.2743</v>
      </c>
      <c r="D415">
        <v>830.83360000000005</v>
      </c>
      <c r="E415">
        <v>2646.4045270000001</v>
      </c>
      <c r="F415" s="1">
        <v>58.6</v>
      </c>
      <c r="H415">
        <v>577</v>
      </c>
      <c r="I415" t="str">
        <f t="shared" si="12"/>
        <v>YES</v>
      </c>
      <c r="J415" s="5" t="s">
        <v>423</v>
      </c>
      <c r="K415" s="5">
        <v>402151.381758</v>
      </c>
      <c r="L415">
        <f t="shared" si="13"/>
        <v>4066.6436313230374</v>
      </c>
    </row>
    <row r="416" spans="1:12" x14ac:dyDescent="0.25">
      <c r="A416">
        <v>578</v>
      </c>
      <c r="B416">
        <v>189873.81210000001</v>
      </c>
      <c r="C416">
        <v>180165.15100000001</v>
      </c>
      <c r="D416">
        <v>9708.6610999999994</v>
      </c>
      <c r="E416">
        <v>3113.0729670000001</v>
      </c>
      <c r="F416" s="1">
        <v>129</v>
      </c>
      <c r="H416">
        <v>578</v>
      </c>
      <c r="I416" t="str">
        <f t="shared" si="12"/>
        <v>YES</v>
      </c>
      <c r="J416" s="5" t="s">
        <v>424</v>
      </c>
      <c r="K416" s="5">
        <v>446630.075266</v>
      </c>
      <c r="L416">
        <f t="shared" si="13"/>
        <v>29549.745405659993</v>
      </c>
    </row>
    <row r="417" spans="1:12" x14ac:dyDescent="0.25">
      <c r="A417">
        <v>579</v>
      </c>
      <c r="B417">
        <v>362085.50550000003</v>
      </c>
      <c r="C417">
        <v>340741.16680000001</v>
      </c>
      <c r="D417">
        <v>21344.3387</v>
      </c>
      <c r="E417">
        <v>1503.44136</v>
      </c>
      <c r="F417" s="1">
        <v>119</v>
      </c>
      <c r="H417">
        <v>579</v>
      </c>
      <c r="I417" t="str">
        <f t="shared" si="12"/>
        <v>YES</v>
      </c>
      <c r="J417" s="5" t="s">
        <v>3</v>
      </c>
      <c r="K417" s="5">
        <v>258314.25924000001</v>
      </c>
      <c r="L417">
        <f t="shared" si="13"/>
        <v>19866.607229031659</v>
      </c>
    </row>
    <row r="418" spans="1:12" x14ac:dyDescent="0.25">
      <c r="A418">
        <v>580</v>
      </c>
      <c r="B418">
        <v>112869.6946</v>
      </c>
      <c r="C418">
        <v>103161.03350000001</v>
      </c>
      <c r="D418">
        <v>9708.6610999999994</v>
      </c>
      <c r="E418">
        <v>794.08114639999997</v>
      </c>
      <c r="F418" s="1">
        <v>19.5</v>
      </c>
      <c r="H418">
        <v>580</v>
      </c>
      <c r="I418" t="str">
        <f t="shared" si="12"/>
        <v>YES</v>
      </c>
      <c r="J418" s="5" t="s">
        <v>425</v>
      </c>
      <c r="K418" s="5">
        <v>171059.22847900001</v>
      </c>
      <c r="L418">
        <f t="shared" si="13"/>
        <v>19765.481279615651</v>
      </c>
    </row>
    <row r="419" spans="1:12" x14ac:dyDescent="0.25">
      <c r="A419">
        <v>600</v>
      </c>
      <c r="B419">
        <v>41786.238160000001</v>
      </c>
      <c r="C419">
        <v>36623.220020000001</v>
      </c>
      <c r="D419">
        <v>5163.0181400000001</v>
      </c>
      <c r="E419">
        <v>1436.253013</v>
      </c>
      <c r="F419" s="1">
        <v>13.1</v>
      </c>
      <c r="H419">
        <v>600</v>
      </c>
      <c r="I419" t="str">
        <f t="shared" si="12"/>
        <v>YES</v>
      </c>
      <c r="J419" s="5" t="s">
        <v>426</v>
      </c>
      <c r="K419" s="5">
        <v>211226.16104499999</v>
      </c>
      <c r="L419">
        <f t="shared" si="13"/>
        <v>36560.494275975121</v>
      </c>
    </row>
    <row r="420" spans="1:12" x14ac:dyDescent="0.25">
      <c r="A420">
        <v>601</v>
      </c>
      <c r="B420">
        <v>19013.956699999999</v>
      </c>
      <c r="C420">
        <v>19013.956699999999</v>
      </c>
      <c r="D420">
        <v>0</v>
      </c>
      <c r="E420">
        <v>3357.9154549999998</v>
      </c>
      <c r="F420" s="1">
        <v>13.9</v>
      </c>
      <c r="H420">
        <v>601</v>
      </c>
      <c r="I420" t="str">
        <f t="shared" si="12"/>
        <v>YES</v>
      </c>
      <c r="J420" s="5" t="s">
        <v>427</v>
      </c>
      <c r="K420" s="5">
        <v>540224.55687099998</v>
      </c>
      <c r="L420">
        <f t="shared" si="13"/>
        <v>0</v>
      </c>
    </row>
    <row r="421" spans="1:12" x14ac:dyDescent="0.25">
      <c r="A421">
        <v>602</v>
      </c>
      <c r="B421">
        <v>31121.914870000001</v>
      </c>
      <c r="C421">
        <v>31121.914870000001</v>
      </c>
      <c r="D421">
        <v>0</v>
      </c>
      <c r="E421">
        <v>3370.8996609999999</v>
      </c>
      <c r="F421" s="1">
        <v>22.8</v>
      </c>
      <c r="H421">
        <v>602</v>
      </c>
      <c r="I421" t="str">
        <f t="shared" si="12"/>
        <v>YES</v>
      </c>
      <c r="J421" s="5" t="s">
        <v>428</v>
      </c>
      <c r="K421" s="5">
        <v>462768.02923799999</v>
      </c>
      <c r="L421">
        <f t="shared" si="13"/>
        <v>0</v>
      </c>
    </row>
    <row r="422" spans="1:12" x14ac:dyDescent="0.25">
      <c r="A422">
        <v>603</v>
      </c>
      <c r="B422">
        <v>17824.366429999998</v>
      </c>
      <c r="C422">
        <v>17824.366429999998</v>
      </c>
      <c r="D422">
        <v>0</v>
      </c>
      <c r="E422">
        <v>3306.3629299999998</v>
      </c>
      <c r="F422" s="1">
        <v>12.8</v>
      </c>
      <c r="H422">
        <v>603</v>
      </c>
      <c r="I422" t="str">
        <f t="shared" si="12"/>
        <v>YES</v>
      </c>
      <c r="J422" s="5" t="s">
        <v>429</v>
      </c>
      <c r="K422" s="5">
        <v>429383.94459500001</v>
      </c>
      <c r="L422">
        <f t="shared" si="13"/>
        <v>0</v>
      </c>
    </row>
    <row r="423" spans="1:12" x14ac:dyDescent="0.25">
      <c r="A423">
        <v>604</v>
      </c>
      <c r="B423">
        <v>37040.109020000004</v>
      </c>
      <c r="C423">
        <v>31793.696479999999</v>
      </c>
      <c r="D423">
        <v>5246.4125400000003</v>
      </c>
      <c r="E423">
        <v>4246.7067770000003</v>
      </c>
      <c r="F423" s="1">
        <v>34.200000000000003</v>
      </c>
      <c r="H423">
        <v>604</v>
      </c>
      <c r="I423" t="str">
        <f t="shared" si="12"/>
        <v>YES</v>
      </c>
      <c r="J423" s="5" t="s">
        <v>430</v>
      </c>
      <c r="K423" s="5">
        <v>418759.24745999998</v>
      </c>
      <c r="L423">
        <f t="shared" si="13"/>
        <v>84840.467279945486</v>
      </c>
    </row>
    <row r="424" spans="1:12" x14ac:dyDescent="0.25">
      <c r="A424">
        <v>605</v>
      </c>
      <c r="B424">
        <v>39683.903680000003</v>
      </c>
      <c r="C424">
        <v>33606.65756</v>
      </c>
      <c r="D424">
        <v>6077.2461199999998</v>
      </c>
      <c r="E424">
        <v>2809.1251729999999</v>
      </c>
      <c r="F424" s="1">
        <v>24.3</v>
      </c>
      <c r="H424">
        <v>605</v>
      </c>
      <c r="I424" t="str">
        <f t="shared" si="12"/>
        <v>YES</v>
      </c>
      <c r="J424" s="5" t="s">
        <v>431</v>
      </c>
      <c r="K424" s="5">
        <v>307450.28752700001</v>
      </c>
      <c r="L424">
        <f t="shared" si="13"/>
        <v>68261.155493986647</v>
      </c>
    </row>
    <row r="425" spans="1:12" x14ac:dyDescent="0.25">
      <c r="A425">
        <v>606</v>
      </c>
      <c r="B425">
        <v>31448.088779999998</v>
      </c>
      <c r="C425">
        <v>29044.149099999999</v>
      </c>
      <c r="D425">
        <v>2403.93968</v>
      </c>
      <c r="E425">
        <v>2864.9511000000002</v>
      </c>
      <c r="F425" s="1">
        <v>19.600000000000001</v>
      </c>
      <c r="H425">
        <v>606</v>
      </c>
      <c r="I425" t="str">
        <f t="shared" si="12"/>
        <v>YES</v>
      </c>
      <c r="J425" s="5" t="s">
        <v>432</v>
      </c>
      <c r="K425" s="5">
        <v>329850.830074</v>
      </c>
      <c r="L425">
        <f t="shared" si="13"/>
        <v>33519.668700691815</v>
      </c>
    </row>
    <row r="426" spans="1:12" x14ac:dyDescent="0.25">
      <c r="A426">
        <v>607</v>
      </c>
      <c r="B426">
        <v>17435.517540000001</v>
      </c>
      <c r="C426">
        <v>17435.517540000001</v>
      </c>
      <c r="D426">
        <v>0</v>
      </c>
      <c r="E426">
        <v>1713.915258</v>
      </c>
      <c r="F426" s="1">
        <v>6.51</v>
      </c>
      <c r="H426">
        <v>607</v>
      </c>
      <c r="I426" t="str">
        <f t="shared" si="12"/>
        <v>YES</v>
      </c>
      <c r="J426" s="5" t="s">
        <v>433</v>
      </c>
      <c r="K426" s="5">
        <v>321746.5012</v>
      </c>
      <c r="L426">
        <f t="shared" si="13"/>
        <v>0</v>
      </c>
    </row>
    <row r="427" spans="1:12" x14ac:dyDescent="0.25">
      <c r="A427">
        <v>608</v>
      </c>
      <c r="B427">
        <v>23136.888169999998</v>
      </c>
      <c r="C427">
        <v>23136.888169999998</v>
      </c>
      <c r="D427">
        <v>0</v>
      </c>
      <c r="E427">
        <v>4189.8706330000005</v>
      </c>
      <c r="F427" s="1">
        <v>21.1</v>
      </c>
      <c r="H427">
        <v>608</v>
      </c>
      <c r="I427" t="str">
        <f t="shared" si="12"/>
        <v>YES</v>
      </c>
      <c r="J427" s="5" t="s">
        <v>434</v>
      </c>
      <c r="K427" s="5">
        <v>808431.73872699996</v>
      </c>
      <c r="L427">
        <f t="shared" si="13"/>
        <v>0</v>
      </c>
    </row>
    <row r="428" spans="1:12" x14ac:dyDescent="0.25">
      <c r="A428">
        <v>609</v>
      </c>
      <c r="B428">
        <v>107648.913</v>
      </c>
      <c r="C428">
        <v>75617.0236</v>
      </c>
      <c r="D428">
        <v>32031.8894</v>
      </c>
      <c r="E428">
        <v>2934.4896720000002</v>
      </c>
      <c r="F428" s="1">
        <v>68.8</v>
      </c>
      <c r="H428">
        <v>609</v>
      </c>
      <c r="I428" t="str">
        <f t="shared" si="12"/>
        <v>YES</v>
      </c>
      <c r="J428" s="5" t="s">
        <v>435</v>
      </c>
      <c r="K428" s="5">
        <v>197602.531036</v>
      </c>
      <c r="L428">
        <f t="shared" si="13"/>
        <v>102771.50303051995</v>
      </c>
    </row>
    <row r="429" spans="1:12" x14ac:dyDescent="0.25">
      <c r="A429">
        <v>610</v>
      </c>
      <c r="B429">
        <v>38289.765299999999</v>
      </c>
      <c r="C429">
        <v>38289.765299999999</v>
      </c>
      <c r="D429">
        <v>0</v>
      </c>
      <c r="E429">
        <v>1269.013158</v>
      </c>
      <c r="F429" s="1">
        <v>10.6</v>
      </c>
      <c r="H429">
        <v>610</v>
      </c>
      <c r="I429" t="str">
        <f t="shared" si="12"/>
        <v>YES</v>
      </c>
      <c r="J429" s="5" t="s">
        <v>436</v>
      </c>
      <c r="K429" s="5">
        <v>274251.32787699997</v>
      </c>
      <c r="L429">
        <f t="shared" si="13"/>
        <v>0</v>
      </c>
    </row>
    <row r="430" spans="1:12" x14ac:dyDescent="0.25">
      <c r="A430">
        <v>611</v>
      </c>
      <c r="B430">
        <v>210330.5674</v>
      </c>
      <c r="C430">
        <v>207488.09450000001</v>
      </c>
      <c r="D430">
        <v>2842.4729000000002</v>
      </c>
      <c r="E430">
        <v>3474.2754450000002</v>
      </c>
      <c r="F430" s="1">
        <v>159</v>
      </c>
      <c r="H430">
        <v>611</v>
      </c>
      <c r="I430" t="str">
        <f t="shared" si="12"/>
        <v>YES</v>
      </c>
      <c r="J430" s="5" t="s">
        <v>437</v>
      </c>
      <c r="K430" s="5">
        <v>294725.88608800003</v>
      </c>
      <c r="L430">
        <f t="shared" si="13"/>
        <v>4957.2253317080722</v>
      </c>
    </row>
    <row r="431" spans="1:12" x14ac:dyDescent="0.25">
      <c r="A431">
        <v>612</v>
      </c>
      <c r="B431">
        <v>37665.722500000003</v>
      </c>
      <c r="C431">
        <v>37665.722500000003</v>
      </c>
      <c r="D431">
        <v>0</v>
      </c>
      <c r="E431">
        <v>3195.47453</v>
      </c>
      <c r="F431" s="1">
        <v>26.2</v>
      </c>
      <c r="H431">
        <v>612</v>
      </c>
      <c r="I431" t="str">
        <f t="shared" si="12"/>
        <v>YES</v>
      </c>
      <c r="J431" s="5" t="s">
        <v>438</v>
      </c>
      <c r="K431" s="5">
        <v>517066.74026300001</v>
      </c>
      <c r="L431">
        <f t="shared" si="13"/>
        <v>0</v>
      </c>
    </row>
    <row r="432" spans="1:12" x14ac:dyDescent="0.25">
      <c r="A432">
        <v>613</v>
      </c>
      <c r="B432">
        <v>223122.3921</v>
      </c>
      <c r="C432">
        <v>223122.3921</v>
      </c>
      <c r="D432">
        <v>0</v>
      </c>
      <c r="E432">
        <v>2818.8702269999999</v>
      </c>
      <c r="F432" s="1">
        <v>137</v>
      </c>
      <c r="H432">
        <v>613</v>
      </c>
      <c r="I432" t="str">
        <f t="shared" si="12"/>
        <v>YES</v>
      </c>
      <c r="J432" s="5" t="s">
        <v>439</v>
      </c>
      <c r="K432" s="5">
        <v>225722.858829</v>
      </c>
      <c r="L432">
        <f t="shared" si="13"/>
        <v>0</v>
      </c>
    </row>
    <row r="433" spans="1:12" x14ac:dyDescent="0.25">
      <c r="A433">
        <v>614</v>
      </c>
      <c r="B433">
        <v>36675.468849999997</v>
      </c>
      <c r="C433">
        <v>36675.468849999997</v>
      </c>
      <c r="D433">
        <v>0</v>
      </c>
      <c r="E433">
        <v>1862.8738109999999</v>
      </c>
      <c r="F433" s="1">
        <v>14.9</v>
      </c>
      <c r="H433">
        <v>614</v>
      </c>
      <c r="I433" t="str">
        <f t="shared" si="12"/>
        <v>YES</v>
      </c>
      <c r="J433" s="5" t="s">
        <v>440</v>
      </c>
      <c r="K433" s="5">
        <v>392001.64136399998</v>
      </c>
      <c r="L433">
        <f t="shared" si="13"/>
        <v>0</v>
      </c>
    </row>
    <row r="434" spans="1:12" x14ac:dyDescent="0.25">
      <c r="A434">
        <v>615</v>
      </c>
      <c r="B434">
        <v>66558.764710000003</v>
      </c>
      <c r="C434">
        <v>60481.518580000004</v>
      </c>
      <c r="D434">
        <v>6077.2461300000004</v>
      </c>
      <c r="E434">
        <v>3412.7317849999999</v>
      </c>
      <c r="F434" s="1">
        <v>49.5</v>
      </c>
      <c r="H434">
        <v>615</v>
      </c>
      <c r="I434" t="str">
        <f t="shared" si="12"/>
        <v>YES</v>
      </c>
      <c r="J434" s="5" t="s">
        <v>441</v>
      </c>
      <c r="K434" s="5">
        <v>420582.62326399999</v>
      </c>
      <c r="L434">
        <f t="shared" si="13"/>
        <v>51886.29875333434</v>
      </c>
    </row>
    <row r="435" spans="1:12" x14ac:dyDescent="0.25">
      <c r="A435">
        <v>616</v>
      </c>
      <c r="B435">
        <v>21173.518929999998</v>
      </c>
      <c r="C435">
        <v>21173.518929999998</v>
      </c>
      <c r="D435">
        <v>0</v>
      </c>
      <c r="E435">
        <v>1.05442E-4</v>
      </c>
      <c r="F435" s="1">
        <v>4.8599999999999998E-7</v>
      </c>
      <c r="H435">
        <v>616</v>
      </c>
      <c r="I435" t="str">
        <f t="shared" si="12"/>
        <v>YES</v>
      </c>
      <c r="J435" s="5" t="s">
        <v>442</v>
      </c>
      <c r="K435" s="5">
        <v>637441.91010900005</v>
      </c>
      <c r="L435">
        <f t="shared" si="13"/>
        <v>0</v>
      </c>
    </row>
    <row r="436" spans="1:12" x14ac:dyDescent="0.25">
      <c r="A436">
        <v>617</v>
      </c>
      <c r="B436">
        <v>39159.889210000001</v>
      </c>
      <c r="C436">
        <v>36317.416360000003</v>
      </c>
      <c r="D436">
        <v>2842.4728500000001</v>
      </c>
      <c r="E436">
        <v>946.77409729999999</v>
      </c>
      <c r="F436" s="1">
        <v>8.07</v>
      </c>
      <c r="H436">
        <v>617</v>
      </c>
      <c r="I436" t="str">
        <f t="shared" si="12"/>
        <v>YES</v>
      </c>
      <c r="J436" s="5" t="s">
        <v>443</v>
      </c>
      <c r="K436" s="5">
        <v>150105.551446</v>
      </c>
      <c r="L436">
        <f t="shared" si="13"/>
        <v>14424.320453537493</v>
      </c>
    </row>
    <row r="437" spans="1:12" x14ac:dyDescent="0.25">
      <c r="A437">
        <v>618</v>
      </c>
      <c r="B437">
        <v>155773.22279999999</v>
      </c>
      <c r="C437">
        <v>70816.307310000004</v>
      </c>
      <c r="D437">
        <v>84956.915489999999</v>
      </c>
      <c r="E437">
        <v>2732.4736699999999</v>
      </c>
      <c r="F437" s="1">
        <v>92.7</v>
      </c>
      <c r="H437">
        <v>618</v>
      </c>
      <c r="I437" t="str">
        <f t="shared" si="12"/>
        <v>YES</v>
      </c>
      <c r="J437" s="5" t="s">
        <v>444</v>
      </c>
      <c r="K437" s="5">
        <v>163333.49665099999</v>
      </c>
      <c r="L437">
        <f t="shared" si="13"/>
        <v>240579.12808088126</v>
      </c>
    </row>
    <row r="438" spans="1:12" x14ac:dyDescent="0.25">
      <c r="A438">
        <v>619</v>
      </c>
      <c r="B438">
        <v>49880.547720000002</v>
      </c>
      <c r="C438">
        <v>32321.082170000001</v>
      </c>
      <c r="D438">
        <v>17559.465550000001</v>
      </c>
      <c r="E438">
        <v>3341.57924</v>
      </c>
      <c r="F438" s="1">
        <v>36.299999999999997</v>
      </c>
      <c r="H438">
        <v>619</v>
      </c>
      <c r="I438" t="str">
        <f t="shared" si="12"/>
        <v>YES</v>
      </c>
      <c r="J438" s="5" t="s">
        <v>445</v>
      </c>
      <c r="K438" s="5">
        <v>266386.26060799998</v>
      </c>
      <c r="L438">
        <f t="shared" si="13"/>
        <v>177686.50666751247</v>
      </c>
    </row>
    <row r="439" spans="1:12" x14ac:dyDescent="0.25">
      <c r="A439">
        <v>620</v>
      </c>
      <c r="B439">
        <v>115127.9295</v>
      </c>
      <c r="C439">
        <v>38628.572840000001</v>
      </c>
      <c r="D439">
        <v>76499.356660000005</v>
      </c>
      <c r="E439">
        <v>2086.5140379999998</v>
      </c>
      <c r="F439" s="1">
        <v>52.3</v>
      </c>
      <c r="H439">
        <v>620</v>
      </c>
      <c r="I439" t="str">
        <f t="shared" si="12"/>
        <v>YES</v>
      </c>
      <c r="J439" s="5" t="s">
        <v>446</v>
      </c>
      <c r="K439" s="5">
        <v>354172.67484300002</v>
      </c>
      <c r="L439">
        <f t="shared" si="13"/>
        <v>861155.1414592145</v>
      </c>
    </row>
    <row r="440" spans="1:12" x14ac:dyDescent="0.25">
      <c r="A440">
        <v>621</v>
      </c>
      <c r="B440">
        <v>51624.784420000004</v>
      </c>
      <c r="C440">
        <v>39478.271959999998</v>
      </c>
      <c r="D440">
        <v>12146.51246</v>
      </c>
      <c r="E440">
        <v>2932.5083410000002</v>
      </c>
      <c r="F440" s="1">
        <v>33</v>
      </c>
      <c r="H440">
        <v>621</v>
      </c>
      <c r="I440" t="str">
        <f t="shared" si="12"/>
        <v>YES</v>
      </c>
      <c r="J440" s="5" t="s">
        <v>447</v>
      </c>
      <c r="K440" s="5">
        <v>527864.87074799999</v>
      </c>
      <c r="L440">
        <f t="shared" si="13"/>
        <v>199403.81086278523</v>
      </c>
    </row>
    <row r="441" spans="1:12" x14ac:dyDescent="0.25">
      <c r="A441">
        <v>622</v>
      </c>
      <c r="B441">
        <v>40987.505069999999</v>
      </c>
      <c r="C441">
        <v>40987.505069999999</v>
      </c>
      <c r="D441">
        <v>0</v>
      </c>
      <c r="E441">
        <v>1130.421881</v>
      </c>
      <c r="F441" s="1">
        <v>10.1</v>
      </c>
      <c r="H441">
        <v>622</v>
      </c>
      <c r="I441" t="str">
        <f t="shared" si="12"/>
        <v>YES</v>
      </c>
      <c r="J441" s="5" t="s">
        <v>448</v>
      </c>
      <c r="K441" s="5">
        <v>226714.74114200001</v>
      </c>
      <c r="L441">
        <f t="shared" si="13"/>
        <v>0</v>
      </c>
    </row>
    <row r="442" spans="1:12" x14ac:dyDescent="0.25">
      <c r="A442">
        <v>624</v>
      </c>
      <c r="B442">
        <v>19574.724569999998</v>
      </c>
      <c r="C442">
        <v>19080.807830000002</v>
      </c>
      <c r="D442">
        <v>493.91674</v>
      </c>
      <c r="E442">
        <v>2806.9339869999999</v>
      </c>
      <c r="F442" s="1">
        <v>12</v>
      </c>
      <c r="H442">
        <v>624</v>
      </c>
      <c r="I442" t="str">
        <f t="shared" si="12"/>
        <v>YES</v>
      </c>
      <c r="J442" s="5" t="s">
        <v>449</v>
      </c>
      <c r="K442" s="5">
        <v>525263.55310799996</v>
      </c>
      <c r="L442">
        <f t="shared" si="13"/>
        <v>16693.656881538154</v>
      </c>
    </row>
    <row r="443" spans="1:12" x14ac:dyDescent="0.25">
      <c r="A443">
        <v>625</v>
      </c>
      <c r="B443">
        <v>71222.635750000001</v>
      </c>
      <c r="C443">
        <v>17223.300879999999</v>
      </c>
      <c r="D443">
        <v>53999.334869999999</v>
      </c>
      <c r="E443">
        <v>1756.7903449999999</v>
      </c>
      <c r="F443" s="1">
        <v>27.2</v>
      </c>
      <c r="H443">
        <v>625</v>
      </c>
      <c r="I443" t="str">
        <f t="shared" si="12"/>
        <v>YES</v>
      </c>
      <c r="J443" s="5" t="s">
        <v>450</v>
      </c>
      <c r="K443" s="5">
        <v>405074.08144400001</v>
      </c>
      <c r="L443">
        <f t="shared" si="13"/>
        <v>1559278.553280493</v>
      </c>
    </row>
    <row r="444" spans="1:12" x14ac:dyDescent="0.25">
      <c r="A444">
        <v>626</v>
      </c>
      <c r="B444">
        <v>492.78501030000001</v>
      </c>
      <c r="C444">
        <v>492.78501030000001</v>
      </c>
      <c r="D444">
        <v>0</v>
      </c>
      <c r="E444">
        <v>1751.2101110000001</v>
      </c>
      <c r="F444" s="1">
        <v>0.188</v>
      </c>
      <c r="H444">
        <v>626</v>
      </c>
      <c r="I444" t="str">
        <f t="shared" si="12"/>
        <v>YES</v>
      </c>
      <c r="J444" s="5" t="s">
        <v>451</v>
      </c>
      <c r="K444" s="5">
        <v>2425211.8429</v>
      </c>
      <c r="L444">
        <f t="shared" si="13"/>
        <v>0</v>
      </c>
    </row>
    <row r="445" spans="1:12" x14ac:dyDescent="0.25">
      <c r="A445">
        <v>627</v>
      </c>
      <c r="B445">
        <v>14787.806500000001</v>
      </c>
      <c r="C445">
        <v>14787.806500000001</v>
      </c>
      <c r="D445">
        <v>0</v>
      </c>
      <c r="E445">
        <v>2607.3612079999998</v>
      </c>
      <c r="F445" s="1">
        <v>8.4</v>
      </c>
      <c r="H445">
        <v>627</v>
      </c>
      <c r="I445" t="str">
        <f t="shared" si="12"/>
        <v>YES</v>
      </c>
      <c r="J445" s="5" t="s">
        <v>452</v>
      </c>
      <c r="K445" s="5">
        <v>687136.57313499996</v>
      </c>
      <c r="L445">
        <f t="shared" si="13"/>
        <v>0</v>
      </c>
    </row>
    <row r="446" spans="1:12" x14ac:dyDescent="0.25">
      <c r="A446">
        <v>628</v>
      </c>
      <c r="B446">
        <v>38546.790650000003</v>
      </c>
      <c r="C446">
        <v>14843.494489999999</v>
      </c>
      <c r="D446">
        <v>23703.296160000002</v>
      </c>
      <c r="E446">
        <v>2169.2288410000001</v>
      </c>
      <c r="F446" s="1">
        <v>18.2</v>
      </c>
      <c r="H446">
        <v>628</v>
      </c>
      <c r="I446" t="str">
        <f t="shared" si="12"/>
        <v>YES</v>
      </c>
      <c r="J446" s="5" t="s">
        <v>453</v>
      </c>
      <c r="K446" s="5">
        <v>453949.03150099999</v>
      </c>
      <c r="L446">
        <f t="shared" si="13"/>
        <v>890014.14467477193</v>
      </c>
    </row>
    <row r="447" spans="1:12" x14ac:dyDescent="0.25">
      <c r="A447">
        <v>629</v>
      </c>
      <c r="B447">
        <v>14805.54212</v>
      </c>
      <c r="C447">
        <v>14805.54212</v>
      </c>
      <c r="D447">
        <v>0</v>
      </c>
      <c r="E447">
        <v>4121.7249330000004</v>
      </c>
      <c r="F447" s="1">
        <v>13.3</v>
      </c>
      <c r="H447">
        <v>629</v>
      </c>
      <c r="I447" t="str">
        <f t="shared" si="12"/>
        <v>YES</v>
      </c>
      <c r="J447" s="5" t="s">
        <v>454</v>
      </c>
      <c r="K447" s="5">
        <v>1336944.5992099999</v>
      </c>
      <c r="L447">
        <f t="shared" si="13"/>
        <v>0</v>
      </c>
    </row>
    <row r="448" spans="1:12" x14ac:dyDescent="0.25">
      <c r="A448">
        <v>630</v>
      </c>
      <c r="B448">
        <v>14860.122069999999</v>
      </c>
      <c r="C448">
        <v>14860.122069999999</v>
      </c>
      <c r="D448">
        <v>0</v>
      </c>
      <c r="E448">
        <v>1960.764054</v>
      </c>
      <c r="F448" s="1">
        <v>6.34</v>
      </c>
      <c r="H448">
        <v>630</v>
      </c>
      <c r="I448" t="str">
        <f t="shared" si="12"/>
        <v>YES</v>
      </c>
      <c r="J448" s="5" t="s">
        <v>455</v>
      </c>
      <c r="K448" s="5">
        <v>421826.59905000002</v>
      </c>
      <c r="L448">
        <f t="shared" si="13"/>
        <v>0</v>
      </c>
    </row>
    <row r="449" spans="1:12" x14ac:dyDescent="0.25">
      <c r="A449">
        <v>631</v>
      </c>
      <c r="B449">
        <v>8389.6977330000009</v>
      </c>
      <c r="C449">
        <v>8389.6977330000009</v>
      </c>
      <c r="D449">
        <v>0</v>
      </c>
      <c r="E449">
        <v>2094.4558069999998</v>
      </c>
      <c r="F449" s="1">
        <v>3.83</v>
      </c>
      <c r="H449">
        <v>631</v>
      </c>
      <c r="I449" t="str">
        <f t="shared" si="12"/>
        <v>YES</v>
      </c>
      <c r="J449" s="5" t="s">
        <v>456</v>
      </c>
      <c r="K449" s="5">
        <v>720115.46834799997</v>
      </c>
      <c r="L449">
        <f t="shared" si="13"/>
        <v>0</v>
      </c>
    </row>
    <row r="450" spans="1:12" x14ac:dyDescent="0.25">
      <c r="A450">
        <v>632</v>
      </c>
      <c r="B450">
        <v>4017.5058859999999</v>
      </c>
      <c r="C450">
        <v>4017.5058859999999</v>
      </c>
      <c r="D450">
        <v>0</v>
      </c>
      <c r="E450">
        <v>2658.4839619999998</v>
      </c>
      <c r="F450" s="1">
        <v>2.33</v>
      </c>
      <c r="H450">
        <v>632</v>
      </c>
      <c r="I450" t="str">
        <f t="shared" si="12"/>
        <v>YES</v>
      </c>
      <c r="J450" s="5" t="s">
        <v>457</v>
      </c>
      <c r="K450" s="5">
        <v>1357189.2027</v>
      </c>
      <c r="L450">
        <f t="shared" si="13"/>
        <v>0</v>
      </c>
    </row>
    <row r="451" spans="1:12" x14ac:dyDescent="0.25">
      <c r="A451">
        <v>633</v>
      </c>
      <c r="B451">
        <v>5557.3761029999996</v>
      </c>
      <c r="C451">
        <v>5557.3761029999996</v>
      </c>
      <c r="D451">
        <v>0</v>
      </c>
      <c r="E451">
        <v>2347.9678279999998</v>
      </c>
      <c r="F451" s="1">
        <v>2.84</v>
      </c>
      <c r="H451">
        <v>633</v>
      </c>
      <c r="I451" t="str">
        <f t="shared" ref="I451:I514" si="14">IF(A451=H451,"YES","NO")</f>
        <v>YES</v>
      </c>
      <c r="J451" s="5" t="s">
        <v>458</v>
      </c>
      <c r="K451" s="5">
        <v>1015243.23402</v>
      </c>
      <c r="L451">
        <f t="shared" ref="L451:L514" si="15">EXP(0.2052)*K451*(D451/C451)</f>
        <v>0</v>
      </c>
    </row>
    <row r="452" spans="1:12" x14ac:dyDescent="0.25">
      <c r="A452">
        <v>634</v>
      </c>
      <c r="B452">
        <v>3296.027619</v>
      </c>
      <c r="C452">
        <v>3296.027619</v>
      </c>
      <c r="D452">
        <v>0</v>
      </c>
      <c r="E452">
        <v>770.07881259999999</v>
      </c>
      <c r="F452" s="1">
        <v>0.55300000000000005</v>
      </c>
      <c r="H452">
        <v>634</v>
      </c>
      <c r="I452" t="str">
        <f t="shared" si="14"/>
        <v>YES</v>
      </c>
      <c r="J452" s="5" t="s">
        <v>459</v>
      </c>
      <c r="K452" s="5">
        <v>681547.02685000002</v>
      </c>
      <c r="L452">
        <f t="shared" si="15"/>
        <v>0</v>
      </c>
    </row>
    <row r="453" spans="1:12" x14ac:dyDescent="0.25">
      <c r="A453">
        <v>635</v>
      </c>
      <c r="B453">
        <v>240.5971844</v>
      </c>
      <c r="C453">
        <v>240.5971844</v>
      </c>
      <c r="D453">
        <v>0</v>
      </c>
      <c r="E453">
        <v>1.12281E-4</v>
      </c>
      <c r="F453" s="1">
        <v>5.8800000000000004E-9</v>
      </c>
      <c r="H453">
        <v>635</v>
      </c>
      <c r="I453" t="str">
        <f t="shared" si="14"/>
        <v>YES</v>
      </c>
      <c r="J453" s="5" t="s">
        <v>460</v>
      </c>
      <c r="K453" s="5">
        <v>1775609.40472</v>
      </c>
      <c r="L453">
        <f t="shared" si="15"/>
        <v>0</v>
      </c>
    </row>
    <row r="454" spans="1:12" x14ac:dyDescent="0.25">
      <c r="A454">
        <v>636</v>
      </c>
      <c r="B454">
        <v>59631.934869999997</v>
      </c>
      <c r="C454">
        <v>33288.516130000004</v>
      </c>
      <c r="D454">
        <v>26343.418740000001</v>
      </c>
      <c r="E454">
        <v>2509.102249</v>
      </c>
      <c r="F454" s="1">
        <v>32.6</v>
      </c>
      <c r="H454">
        <v>636</v>
      </c>
      <c r="I454" t="str">
        <f t="shared" si="14"/>
        <v>YES</v>
      </c>
      <c r="J454" s="5" t="s">
        <v>461</v>
      </c>
      <c r="K454" s="5">
        <v>337262.12666499999</v>
      </c>
      <c r="L454">
        <f t="shared" si="15"/>
        <v>327689.48109299451</v>
      </c>
    </row>
    <row r="455" spans="1:12" x14ac:dyDescent="0.25">
      <c r="A455">
        <v>637</v>
      </c>
      <c r="B455">
        <v>71696.194879999995</v>
      </c>
      <c r="C455">
        <v>34250.602720000003</v>
      </c>
      <c r="D455">
        <v>37445.59216</v>
      </c>
      <c r="E455">
        <v>3839.253404</v>
      </c>
      <c r="F455" s="1">
        <v>59.9</v>
      </c>
      <c r="H455">
        <v>637</v>
      </c>
      <c r="I455" t="str">
        <f t="shared" si="14"/>
        <v>YES</v>
      </c>
      <c r="J455" s="5" t="s">
        <v>462</v>
      </c>
      <c r="K455" s="5">
        <v>230904.96950199999</v>
      </c>
      <c r="L455">
        <f t="shared" si="15"/>
        <v>309943.82764886256</v>
      </c>
    </row>
    <row r="456" spans="1:12" x14ac:dyDescent="0.25">
      <c r="A456">
        <v>638</v>
      </c>
      <c r="B456">
        <v>23719.093799999999</v>
      </c>
      <c r="C456">
        <v>11018.893609999999</v>
      </c>
      <c r="D456">
        <v>12700.20019</v>
      </c>
      <c r="E456">
        <v>2897.2306659999999</v>
      </c>
      <c r="F456" s="1">
        <v>15</v>
      </c>
      <c r="H456">
        <v>638</v>
      </c>
      <c r="I456" t="str">
        <f t="shared" si="14"/>
        <v>YES</v>
      </c>
      <c r="J456" s="5" t="s">
        <v>463</v>
      </c>
      <c r="K456" s="5">
        <v>484029.79142899998</v>
      </c>
      <c r="L456">
        <f t="shared" si="15"/>
        <v>684954.77444605133</v>
      </c>
    </row>
    <row r="457" spans="1:12" x14ac:dyDescent="0.25">
      <c r="A457">
        <v>639</v>
      </c>
      <c r="B457">
        <v>15795.2544</v>
      </c>
      <c r="C457">
        <v>9939.0719950000002</v>
      </c>
      <c r="D457">
        <v>5856.1824049999996</v>
      </c>
      <c r="E457">
        <v>1624.390985</v>
      </c>
      <c r="F457" s="1">
        <v>5.59</v>
      </c>
      <c r="H457">
        <v>639</v>
      </c>
      <c r="I457" t="str">
        <f t="shared" si="14"/>
        <v>YES</v>
      </c>
      <c r="J457" s="5" t="s">
        <v>464</v>
      </c>
      <c r="K457" s="5">
        <v>389079.53957299999</v>
      </c>
      <c r="L457">
        <f t="shared" si="15"/>
        <v>281464.98807300394</v>
      </c>
    </row>
    <row r="458" spans="1:12" x14ac:dyDescent="0.25">
      <c r="A458">
        <v>640</v>
      </c>
      <c r="B458">
        <v>47166.217360000002</v>
      </c>
      <c r="C458">
        <v>27721.051100000001</v>
      </c>
      <c r="D458">
        <v>19445.166260000002</v>
      </c>
      <c r="E458">
        <v>4261.8598259999999</v>
      </c>
      <c r="F458" s="1">
        <v>43.8</v>
      </c>
      <c r="H458">
        <v>640</v>
      </c>
      <c r="I458" t="str">
        <f t="shared" si="14"/>
        <v>YES</v>
      </c>
      <c r="J458" s="5" t="s">
        <v>465</v>
      </c>
      <c r="K458" s="5">
        <v>850737.997783</v>
      </c>
      <c r="L458">
        <f t="shared" si="15"/>
        <v>732681.16258103657</v>
      </c>
    </row>
    <row r="459" spans="1:12" x14ac:dyDescent="0.25">
      <c r="A459">
        <v>641</v>
      </c>
      <c r="B459">
        <v>18885.373950000001</v>
      </c>
      <c r="C459">
        <v>18885.373950000001</v>
      </c>
      <c r="D459">
        <v>0</v>
      </c>
      <c r="E459">
        <v>3427.2761</v>
      </c>
      <c r="F459" s="1">
        <v>14.1</v>
      </c>
      <c r="H459">
        <v>641</v>
      </c>
      <c r="I459" t="str">
        <f t="shared" si="14"/>
        <v>YES</v>
      </c>
      <c r="J459" s="5" t="s">
        <v>466</v>
      </c>
      <c r="K459" s="5">
        <v>597927.85224399995</v>
      </c>
      <c r="L459">
        <f t="shared" si="15"/>
        <v>0</v>
      </c>
    </row>
    <row r="460" spans="1:12" x14ac:dyDescent="0.25">
      <c r="A460">
        <v>642</v>
      </c>
      <c r="B460">
        <v>35939.752460000003</v>
      </c>
      <c r="C460">
        <v>16338.67324</v>
      </c>
      <c r="D460">
        <v>19601.07922</v>
      </c>
      <c r="E460">
        <v>1963.641114</v>
      </c>
      <c r="F460" s="1">
        <v>15.4</v>
      </c>
      <c r="H460">
        <v>642</v>
      </c>
      <c r="I460" t="str">
        <f t="shared" si="14"/>
        <v>YES</v>
      </c>
      <c r="J460" s="5" t="s">
        <v>467</v>
      </c>
      <c r="K460" s="5">
        <v>315118.21292999998</v>
      </c>
      <c r="L460">
        <f t="shared" si="15"/>
        <v>464145.27015721268</v>
      </c>
    </row>
    <row r="461" spans="1:12" x14ac:dyDescent="0.25">
      <c r="A461">
        <v>643</v>
      </c>
      <c r="B461">
        <v>23967.562020000001</v>
      </c>
      <c r="C461">
        <v>12034.13349</v>
      </c>
      <c r="D461">
        <v>11933.428529999999</v>
      </c>
      <c r="E461">
        <v>3018.3469439999999</v>
      </c>
      <c r="F461" s="1">
        <v>15.8</v>
      </c>
      <c r="H461">
        <v>643</v>
      </c>
      <c r="I461" t="str">
        <f t="shared" si="14"/>
        <v>YES</v>
      </c>
      <c r="J461" s="5" t="s">
        <v>468</v>
      </c>
      <c r="K461" s="5">
        <v>507125.28531399998</v>
      </c>
      <c r="L461">
        <f t="shared" si="15"/>
        <v>617423.14347293065</v>
      </c>
    </row>
    <row r="462" spans="1:12" x14ac:dyDescent="0.25">
      <c r="A462">
        <v>644</v>
      </c>
      <c r="B462">
        <v>27329.85053</v>
      </c>
      <c r="C462">
        <v>27329.85053</v>
      </c>
      <c r="D462">
        <v>0</v>
      </c>
      <c r="E462">
        <v>2470.46551</v>
      </c>
      <c r="F462" s="1">
        <v>14.7</v>
      </c>
      <c r="H462">
        <v>644</v>
      </c>
      <c r="I462" t="str">
        <f t="shared" si="14"/>
        <v>YES</v>
      </c>
      <c r="J462" s="5" t="s">
        <v>469</v>
      </c>
      <c r="K462" s="5">
        <v>622258.04372700001</v>
      </c>
      <c r="L462">
        <f t="shared" si="15"/>
        <v>0</v>
      </c>
    </row>
    <row r="463" spans="1:12" x14ac:dyDescent="0.25">
      <c r="A463">
        <v>645</v>
      </c>
      <c r="B463">
        <v>14236.28282</v>
      </c>
      <c r="C463">
        <v>14236.28282</v>
      </c>
      <c r="D463">
        <v>0</v>
      </c>
      <c r="E463">
        <v>752.24565600000005</v>
      </c>
      <c r="F463" s="1">
        <v>2.33</v>
      </c>
      <c r="H463">
        <v>645</v>
      </c>
      <c r="I463" t="str">
        <f t="shared" si="14"/>
        <v>YES</v>
      </c>
      <c r="J463" s="5" t="s">
        <v>470</v>
      </c>
      <c r="K463" s="5">
        <v>646452.83574600006</v>
      </c>
      <c r="L463">
        <f t="shared" si="15"/>
        <v>0</v>
      </c>
    </row>
    <row r="464" spans="1:12" x14ac:dyDescent="0.25">
      <c r="A464">
        <v>646</v>
      </c>
      <c r="B464">
        <v>12968.25432</v>
      </c>
      <c r="C464">
        <v>12968.25432</v>
      </c>
      <c r="D464">
        <v>0</v>
      </c>
      <c r="E464">
        <v>3673.6608080000001</v>
      </c>
      <c r="F464" s="1">
        <v>10.4</v>
      </c>
      <c r="H464">
        <v>646</v>
      </c>
      <c r="I464" t="str">
        <f t="shared" si="14"/>
        <v>YES</v>
      </c>
      <c r="J464" s="5" t="s">
        <v>471</v>
      </c>
      <c r="K464" s="5">
        <v>550035.07368100004</v>
      </c>
      <c r="L464">
        <f t="shared" si="15"/>
        <v>0</v>
      </c>
    </row>
    <row r="465" spans="1:12" x14ac:dyDescent="0.25">
      <c r="A465">
        <v>647</v>
      </c>
      <c r="B465">
        <v>12496.165069999999</v>
      </c>
      <c r="C465">
        <v>12496.165069999999</v>
      </c>
      <c r="D465">
        <v>0</v>
      </c>
      <c r="E465">
        <v>2187.526738</v>
      </c>
      <c r="F465" s="1">
        <v>5.95</v>
      </c>
      <c r="H465">
        <v>647</v>
      </c>
      <c r="I465" t="str">
        <f t="shared" si="14"/>
        <v>YES</v>
      </c>
      <c r="J465" s="5" t="s">
        <v>472</v>
      </c>
      <c r="K465" s="5">
        <v>382200.20727200003</v>
      </c>
      <c r="L465">
        <f t="shared" si="15"/>
        <v>0</v>
      </c>
    </row>
    <row r="466" spans="1:12" x14ac:dyDescent="0.25">
      <c r="A466">
        <v>650</v>
      </c>
      <c r="B466">
        <v>33109.785389999997</v>
      </c>
      <c r="C466">
        <v>30705.845700000002</v>
      </c>
      <c r="D466">
        <v>2403.9396900000002</v>
      </c>
      <c r="E466">
        <v>2866.8187389999998</v>
      </c>
      <c r="F466" s="1">
        <v>20.7</v>
      </c>
      <c r="H466">
        <v>650</v>
      </c>
      <c r="I466" t="str">
        <f t="shared" si="14"/>
        <v>YES</v>
      </c>
      <c r="J466" s="5" t="s">
        <v>473</v>
      </c>
      <c r="K466" s="5">
        <v>333322.29264</v>
      </c>
      <c r="L466">
        <f t="shared" si="15"/>
        <v>32039.37920991996</v>
      </c>
    </row>
    <row r="467" spans="1:12" x14ac:dyDescent="0.25">
      <c r="A467">
        <v>651</v>
      </c>
      <c r="B467">
        <v>50234.286359999998</v>
      </c>
      <c r="C467">
        <v>45071.268219999998</v>
      </c>
      <c r="D467">
        <v>5163.0181400000001</v>
      </c>
      <c r="E467">
        <v>3678.510945</v>
      </c>
      <c r="F467" s="1">
        <v>40.200000000000003</v>
      </c>
      <c r="H467">
        <v>651</v>
      </c>
      <c r="I467" t="str">
        <f t="shared" si="14"/>
        <v>YES</v>
      </c>
      <c r="J467" s="5" t="s">
        <v>474</v>
      </c>
      <c r="K467" s="5">
        <v>400869.096059</v>
      </c>
      <c r="L467">
        <f t="shared" si="15"/>
        <v>56379.818949107488</v>
      </c>
    </row>
    <row r="468" spans="1:12" x14ac:dyDescent="0.25">
      <c r="A468">
        <v>652</v>
      </c>
      <c r="B468">
        <v>27093.59722</v>
      </c>
      <c r="C468">
        <v>27093.59722</v>
      </c>
      <c r="D468">
        <v>0</v>
      </c>
      <c r="E468">
        <v>2263.0258050000002</v>
      </c>
      <c r="F468" s="1">
        <v>13.4</v>
      </c>
      <c r="H468">
        <v>652</v>
      </c>
      <c r="I468" t="str">
        <f t="shared" si="14"/>
        <v>YES</v>
      </c>
      <c r="J468" s="5" t="s">
        <v>475</v>
      </c>
      <c r="K468" s="5">
        <v>313533.065267</v>
      </c>
      <c r="L468">
        <f t="shared" si="15"/>
        <v>0</v>
      </c>
    </row>
    <row r="469" spans="1:12" x14ac:dyDescent="0.25">
      <c r="A469">
        <v>653</v>
      </c>
      <c r="B469">
        <v>53461.265489999998</v>
      </c>
      <c r="C469">
        <v>45654.624470000002</v>
      </c>
      <c r="D469">
        <v>7806.64102</v>
      </c>
      <c r="E469">
        <v>1511.78053</v>
      </c>
      <c r="F469" s="1">
        <v>17.600000000000001</v>
      </c>
      <c r="H469">
        <v>653</v>
      </c>
      <c r="I469" t="str">
        <f t="shared" si="14"/>
        <v>YES</v>
      </c>
      <c r="J469" s="5" t="s">
        <v>476</v>
      </c>
      <c r="K469" s="5">
        <v>167658.63504200001</v>
      </c>
      <c r="L469">
        <f t="shared" si="15"/>
        <v>35198.372916464548</v>
      </c>
    </row>
    <row r="470" spans="1:12" x14ac:dyDescent="0.25">
      <c r="A470">
        <v>654</v>
      </c>
      <c r="B470">
        <v>186064.21969999999</v>
      </c>
      <c r="C470">
        <v>162619.7028</v>
      </c>
      <c r="D470">
        <v>23444.516899999999</v>
      </c>
      <c r="E470">
        <v>2687.4852959999998</v>
      </c>
      <c r="F470" s="1">
        <v>109</v>
      </c>
      <c r="H470">
        <v>654</v>
      </c>
      <c r="I470" t="str">
        <f t="shared" si="14"/>
        <v>YES</v>
      </c>
      <c r="J470" s="5" t="s">
        <v>477</v>
      </c>
      <c r="K470" s="5">
        <v>285675.56859899999</v>
      </c>
      <c r="L470">
        <f t="shared" si="15"/>
        <v>50565.982866673963</v>
      </c>
    </row>
    <row r="471" spans="1:12" x14ac:dyDescent="0.25">
      <c r="A471">
        <v>655</v>
      </c>
      <c r="B471">
        <v>45019.055590000004</v>
      </c>
      <c r="C471">
        <v>31310.227640000001</v>
      </c>
      <c r="D471">
        <v>13708.827950000001</v>
      </c>
      <c r="E471">
        <v>4841.3786849999997</v>
      </c>
      <c r="F471" s="1">
        <v>47.5</v>
      </c>
      <c r="H471">
        <v>655</v>
      </c>
      <c r="I471" t="str">
        <f t="shared" si="14"/>
        <v>YES</v>
      </c>
      <c r="J471" s="5" t="s">
        <v>5</v>
      </c>
      <c r="K471" s="5">
        <v>431904.82660600002</v>
      </c>
      <c r="L471">
        <f t="shared" si="15"/>
        <v>232177.10187146446</v>
      </c>
    </row>
    <row r="472" spans="1:12" x14ac:dyDescent="0.25">
      <c r="A472">
        <v>656</v>
      </c>
      <c r="B472">
        <v>247567.2003</v>
      </c>
      <c r="C472">
        <v>220385.34830000001</v>
      </c>
      <c r="D472">
        <v>27181.851999999999</v>
      </c>
      <c r="E472">
        <v>70.040468250000004</v>
      </c>
      <c r="F472" s="1">
        <v>3.78</v>
      </c>
      <c r="H472">
        <v>656</v>
      </c>
      <c r="I472" t="str">
        <f t="shared" si="14"/>
        <v>YES</v>
      </c>
      <c r="J472" s="5" t="s">
        <v>478</v>
      </c>
      <c r="K472" s="5">
        <v>871293.05357600003</v>
      </c>
      <c r="L472">
        <f t="shared" si="15"/>
        <v>131940.40246585349</v>
      </c>
    </row>
    <row r="473" spans="1:12" x14ac:dyDescent="0.25">
      <c r="A473">
        <v>657</v>
      </c>
      <c r="B473">
        <v>299632.6961</v>
      </c>
      <c r="C473">
        <v>50289.980539999997</v>
      </c>
      <c r="D473">
        <v>249342.7156</v>
      </c>
      <c r="E473">
        <v>4472.0027410000002</v>
      </c>
      <c r="F473" s="1">
        <v>292</v>
      </c>
      <c r="H473">
        <v>657</v>
      </c>
      <c r="I473" t="str">
        <f t="shared" si="14"/>
        <v>YES</v>
      </c>
      <c r="J473" s="5" t="s">
        <v>479</v>
      </c>
      <c r="K473" s="5">
        <v>426259.27444900002</v>
      </c>
      <c r="L473">
        <f t="shared" si="15"/>
        <v>2594814.3234452014</v>
      </c>
    </row>
    <row r="474" spans="1:12" x14ac:dyDescent="0.25">
      <c r="A474">
        <v>658</v>
      </c>
      <c r="B474">
        <v>77049.074269999997</v>
      </c>
      <c r="C474">
        <v>31434.613359999999</v>
      </c>
      <c r="D474">
        <v>45614.460910000002</v>
      </c>
      <c r="E474">
        <v>2308.031923</v>
      </c>
      <c r="F474" s="1">
        <v>38.700000000000003</v>
      </c>
      <c r="H474">
        <v>658</v>
      </c>
      <c r="I474" t="str">
        <f t="shared" si="14"/>
        <v>YES</v>
      </c>
      <c r="J474" s="5" t="s">
        <v>480</v>
      </c>
      <c r="K474" s="5">
        <v>243430.32448800001</v>
      </c>
      <c r="L474">
        <f t="shared" si="15"/>
        <v>433696.91136204771</v>
      </c>
    </row>
    <row r="475" spans="1:12" x14ac:dyDescent="0.25">
      <c r="A475">
        <v>659</v>
      </c>
      <c r="B475">
        <v>62379.442139999999</v>
      </c>
      <c r="C475">
        <v>29674.379949999999</v>
      </c>
      <c r="D475">
        <v>32705.062190000001</v>
      </c>
      <c r="E475">
        <v>651.09728640000003</v>
      </c>
      <c r="F475" s="1">
        <v>8.84</v>
      </c>
      <c r="H475">
        <v>659</v>
      </c>
      <c r="I475" t="str">
        <f t="shared" si="14"/>
        <v>YES</v>
      </c>
      <c r="J475" s="5" t="s">
        <v>481</v>
      </c>
      <c r="K475" s="5">
        <v>206269.20445799999</v>
      </c>
      <c r="L475">
        <f t="shared" si="15"/>
        <v>279116.13809329813</v>
      </c>
    </row>
    <row r="476" spans="1:12" x14ac:dyDescent="0.25">
      <c r="A476">
        <v>660</v>
      </c>
      <c r="B476">
        <v>80682.575620000003</v>
      </c>
      <c r="C476">
        <v>34998.118540000003</v>
      </c>
      <c r="D476">
        <v>45684.45708</v>
      </c>
      <c r="E476">
        <v>3216.795286</v>
      </c>
      <c r="F476" s="1">
        <v>56.5</v>
      </c>
      <c r="H476">
        <v>660</v>
      </c>
      <c r="I476" t="str">
        <f t="shared" si="14"/>
        <v>YES</v>
      </c>
      <c r="J476" s="5" t="s">
        <v>482</v>
      </c>
      <c r="K476" s="5">
        <v>381568.62238100002</v>
      </c>
      <c r="L476">
        <f t="shared" si="15"/>
        <v>611524.20545207791</v>
      </c>
    </row>
    <row r="477" spans="1:12" x14ac:dyDescent="0.25">
      <c r="A477">
        <v>661</v>
      </c>
      <c r="B477">
        <v>42075.998829999997</v>
      </c>
      <c r="C477">
        <v>35998.752699999997</v>
      </c>
      <c r="D477">
        <v>6077.2461300000004</v>
      </c>
      <c r="E477">
        <v>2205.192446</v>
      </c>
      <c r="F477" s="1">
        <v>20.2</v>
      </c>
      <c r="H477">
        <v>661</v>
      </c>
      <c r="I477" t="str">
        <f t="shared" si="14"/>
        <v>YES</v>
      </c>
      <c r="J477" s="5" t="s">
        <v>483</v>
      </c>
      <c r="K477" s="5">
        <v>326162.98734599998</v>
      </c>
      <c r="L477">
        <f t="shared" si="15"/>
        <v>67603.826143529499</v>
      </c>
    </row>
    <row r="478" spans="1:12" x14ac:dyDescent="0.25">
      <c r="A478">
        <v>662</v>
      </c>
      <c r="B478">
        <v>14784.060289999999</v>
      </c>
      <c r="C478">
        <v>14784.060289999999</v>
      </c>
      <c r="D478">
        <v>0</v>
      </c>
      <c r="E478">
        <v>810.33151169999996</v>
      </c>
      <c r="F478" s="1">
        <v>2.61</v>
      </c>
      <c r="H478">
        <v>662</v>
      </c>
      <c r="I478" t="str">
        <f t="shared" si="14"/>
        <v>YES</v>
      </c>
      <c r="J478" s="5" t="s">
        <v>484</v>
      </c>
      <c r="K478" s="5">
        <v>691520.52652399999</v>
      </c>
      <c r="L478">
        <f t="shared" si="15"/>
        <v>0</v>
      </c>
    </row>
    <row r="479" spans="1:12" x14ac:dyDescent="0.25">
      <c r="A479">
        <v>663</v>
      </c>
      <c r="B479">
        <v>47767.139770000002</v>
      </c>
      <c r="C479">
        <v>31694.657729999999</v>
      </c>
      <c r="D479">
        <v>16072.482040000001</v>
      </c>
      <c r="E479">
        <v>225.50833779999999</v>
      </c>
      <c r="F479" s="1">
        <v>2.35</v>
      </c>
      <c r="H479">
        <v>663</v>
      </c>
      <c r="I479" t="str">
        <f t="shared" si="14"/>
        <v>YES</v>
      </c>
      <c r="J479" s="5" t="s">
        <v>485</v>
      </c>
      <c r="K479" s="5">
        <v>220232.79694900001</v>
      </c>
      <c r="L479">
        <f t="shared" si="15"/>
        <v>137118.51620105866</v>
      </c>
    </row>
    <row r="480" spans="1:12" x14ac:dyDescent="0.25">
      <c r="A480">
        <v>664</v>
      </c>
      <c r="B480">
        <v>8330.3015570000007</v>
      </c>
      <c r="C480">
        <v>8330.3015570000007</v>
      </c>
      <c r="D480">
        <v>0</v>
      </c>
      <c r="E480">
        <v>2758.692998</v>
      </c>
      <c r="F480" s="1">
        <v>5</v>
      </c>
      <c r="H480">
        <v>664</v>
      </c>
      <c r="I480" t="str">
        <f t="shared" si="14"/>
        <v>YES</v>
      </c>
      <c r="J480" t="s">
        <v>486</v>
      </c>
      <c r="K480">
        <v>271053.54430299997</v>
      </c>
      <c r="L480">
        <f t="shared" si="15"/>
        <v>0</v>
      </c>
    </row>
    <row r="481" spans="1:12" x14ac:dyDescent="0.25">
      <c r="A481">
        <v>665</v>
      </c>
      <c r="B481">
        <v>30626.603370000001</v>
      </c>
      <c r="C481">
        <v>30626.603370000001</v>
      </c>
      <c r="D481">
        <v>0</v>
      </c>
      <c r="E481">
        <v>1511.593588</v>
      </c>
      <c r="F481" s="1">
        <v>10.1</v>
      </c>
      <c r="H481">
        <v>665</v>
      </c>
      <c r="I481" t="str">
        <f t="shared" si="14"/>
        <v>YES</v>
      </c>
      <c r="J481" t="s">
        <v>487</v>
      </c>
      <c r="K481">
        <v>343129.371056</v>
      </c>
      <c r="L481">
        <f t="shared" si="15"/>
        <v>0</v>
      </c>
    </row>
    <row r="482" spans="1:12" x14ac:dyDescent="0.25">
      <c r="A482">
        <v>666</v>
      </c>
      <c r="B482">
        <v>292110.3162</v>
      </c>
      <c r="C482">
        <v>292110.3162</v>
      </c>
      <c r="D482">
        <v>0</v>
      </c>
      <c r="E482">
        <v>1567.136113</v>
      </c>
      <c r="F482" s="1">
        <v>99.7</v>
      </c>
      <c r="H482">
        <v>666</v>
      </c>
      <c r="I482" t="str">
        <f t="shared" si="14"/>
        <v>YES</v>
      </c>
      <c r="J482" t="s">
        <v>488</v>
      </c>
      <c r="K482">
        <v>169927.904802</v>
      </c>
      <c r="L482">
        <f t="shared" si="15"/>
        <v>0</v>
      </c>
    </row>
    <row r="483" spans="1:12" x14ac:dyDescent="0.25">
      <c r="A483">
        <v>667</v>
      </c>
      <c r="B483">
        <v>39983.585500000001</v>
      </c>
      <c r="C483">
        <v>39983.585500000001</v>
      </c>
      <c r="D483">
        <v>0</v>
      </c>
      <c r="E483">
        <v>696.73938910000004</v>
      </c>
      <c r="F483" s="1">
        <v>6.07</v>
      </c>
      <c r="H483">
        <v>667</v>
      </c>
      <c r="I483" t="str">
        <f t="shared" si="14"/>
        <v>YES</v>
      </c>
      <c r="J483" t="s">
        <v>489</v>
      </c>
      <c r="K483">
        <v>318140.20745300001</v>
      </c>
      <c r="L483">
        <f t="shared" si="15"/>
        <v>0</v>
      </c>
    </row>
    <row r="484" spans="1:12" x14ac:dyDescent="0.25">
      <c r="A484">
        <v>668</v>
      </c>
      <c r="B484">
        <v>58212.035629999998</v>
      </c>
      <c r="C484">
        <v>58212.035629999998</v>
      </c>
      <c r="D484">
        <v>0</v>
      </c>
      <c r="E484">
        <v>2117.934632</v>
      </c>
      <c r="F484" s="1">
        <v>26.8</v>
      </c>
      <c r="H484">
        <v>668</v>
      </c>
      <c r="I484" t="str">
        <f t="shared" si="14"/>
        <v>YES</v>
      </c>
      <c r="J484" t="s">
        <v>490</v>
      </c>
      <c r="K484">
        <v>113226.03176899999</v>
      </c>
      <c r="L484">
        <f t="shared" si="15"/>
        <v>0</v>
      </c>
    </row>
    <row r="485" spans="1:12" x14ac:dyDescent="0.25">
      <c r="A485">
        <v>700</v>
      </c>
      <c r="B485">
        <v>8330.3015570000007</v>
      </c>
      <c r="C485">
        <v>8330.3015570000007</v>
      </c>
      <c r="D485">
        <v>0</v>
      </c>
      <c r="E485">
        <v>2009.1309650000001</v>
      </c>
      <c r="F485" s="1">
        <v>3.64</v>
      </c>
      <c r="H485">
        <v>700</v>
      </c>
      <c r="I485" t="str">
        <f t="shared" si="14"/>
        <v>YES</v>
      </c>
      <c r="J485" t="s">
        <v>491</v>
      </c>
      <c r="K485">
        <v>276720.60133400001</v>
      </c>
      <c r="L485">
        <f t="shared" si="15"/>
        <v>0</v>
      </c>
    </row>
    <row r="486" spans="1:12" x14ac:dyDescent="0.25">
      <c r="A486">
        <v>701</v>
      </c>
      <c r="B486">
        <v>3446.3236339999999</v>
      </c>
      <c r="C486">
        <v>3446.3236339999999</v>
      </c>
      <c r="D486">
        <v>0</v>
      </c>
      <c r="E486">
        <v>2793.4322900000002</v>
      </c>
      <c r="F486" s="1">
        <v>2.1</v>
      </c>
      <c r="H486">
        <v>701</v>
      </c>
      <c r="I486" t="str">
        <f t="shared" si="14"/>
        <v>YES</v>
      </c>
      <c r="J486" t="s">
        <v>492</v>
      </c>
      <c r="K486">
        <v>712007.23987100006</v>
      </c>
      <c r="L486">
        <f t="shared" si="15"/>
        <v>0</v>
      </c>
    </row>
    <row r="487" spans="1:12" x14ac:dyDescent="0.25">
      <c r="A487">
        <v>702</v>
      </c>
      <c r="B487">
        <v>13560.35079</v>
      </c>
      <c r="C487">
        <v>13560.35079</v>
      </c>
      <c r="D487">
        <v>0</v>
      </c>
      <c r="E487">
        <v>3371.8980179999999</v>
      </c>
      <c r="F487" s="1">
        <v>9.9600000000000009</v>
      </c>
      <c r="H487">
        <v>702</v>
      </c>
      <c r="I487" t="str">
        <f t="shared" si="14"/>
        <v>YES</v>
      </c>
      <c r="J487" t="s">
        <v>493</v>
      </c>
      <c r="K487">
        <v>857375.82786099997</v>
      </c>
      <c r="L487">
        <f t="shared" si="15"/>
        <v>0</v>
      </c>
    </row>
    <row r="488" spans="1:12" x14ac:dyDescent="0.25">
      <c r="A488">
        <v>703</v>
      </c>
      <c r="B488">
        <v>11459.47284</v>
      </c>
      <c r="C488">
        <v>11459.47284</v>
      </c>
      <c r="D488">
        <v>0</v>
      </c>
      <c r="E488">
        <v>2223.2514860000001</v>
      </c>
      <c r="F488" s="1">
        <v>5.55</v>
      </c>
      <c r="H488">
        <v>703</v>
      </c>
      <c r="I488" t="str">
        <f t="shared" si="14"/>
        <v>YES</v>
      </c>
      <c r="J488" t="s">
        <v>494</v>
      </c>
      <c r="K488">
        <v>1184309.53795</v>
      </c>
      <c r="L488">
        <f t="shared" si="15"/>
        <v>0</v>
      </c>
    </row>
    <row r="489" spans="1:12" x14ac:dyDescent="0.25">
      <c r="A489">
        <v>704</v>
      </c>
      <c r="B489">
        <v>9695.1674669999993</v>
      </c>
      <c r="C489">
        <v>9695.1674669999993</v>
      </c>
      <c r="D489">
        <v>0</v>
      </c>
      <c r="E489">
        <v>2115.4481380000002</v>
      </c>
      <c r="F489" s="1">
        <v>4.47</v>
      </c>
      <c r="H489">
        <v>704</v>
      </c>
      <c r="I489" t="str">
        <f t="shared" si="14"/>
        <v>YES</v>
      </c>
      <c r="J489" t="s">
        <v>495</v>
      </c>
      <c r="K489">
        <v>809045.92725199996</v>
      </c>
      <c r="L489">
        <f t="shared" si="15"/>
        <v>0</v>
      </c>
    </row>
    <row r="490" spans="1:12" x14ac:dyDescent="0.25">
      <c r="A490">
        <v>705</v>
      </c>
      <c r="B490">
        <v>55727.411160000003</v>
      </c>
      <c r="C490">
        <v>55727.411160000003</v>
      </c>
      <c r="D490">
        <v>0</v>
      </c>
      <c r="E490">
        <v>2363.3303310000001</v>
      </c>
      <c r="F490" s="1">
        <v>28.7</v>
      </c>
      <c r="H490">
        <v>705</v>
      </c>
      <c r="I490" t="str">
        <f t="shared" si="14"/>
        <v>YES</v>
      </c>
      <c r="J490" t="s">
        <v>496</v>
      </c>
      <c r="K490">
        <v>580439.27816400002</v>
      </c>
      <c r="L490">
        <f t="shared" si="15"/>
        <v>0</v>
      </c>
    </row>
    <row r="491" spans="1:12" x14ac:dyDescent="0.25">
      <c r="A491">
        <v>706</v>
      </c>
      <c r="B491">
        <v>54658.289069999999</v>
      </c>
      <c r="C491">
        <v>54658.289069999999</v>
      </c>
      <c r="D491">
        <v>0</v>
      </c>
      <c r="E491">
        <v>1409.481407</v>
      </c>
      <c r="F491" s="1">
        <v>16.8</v>
      </c>
      <c r="H491">
        <v>706</v>
      </c>
      <c r="I491" t="str">
        <f t="shared" si="14"/>
        <v>YES</v>
      </c>
      <c r="J491" t="s">
        <v>497</v>
      </c>
      <c r="K491">
        <v>645827.26095400006</v>
      </c>
      <c r="L491">
        <f t="shared" si="15"/>
        <v>0</v>
      </c>
    </row>
    <row r="492" spans="1:12" x14ac:dyDescent="0.25">
      <c r="A492">
        <v>707</v>
      </c>
      <c r="B492">
        <v>29504.423640000001</v>
      </c>
      <c r="C492">
        <v>29504.423640000001</v>
      </c>
      <c r="D492">
        <v>0</v>
      </c>
      <c r="E492">
        <v>2203.7407800000001</v>
      </c>
      <c r="F492" s="1">
        <v>14.2</v>
      </c>
      <c r="H492">
        <v>707</v>
      </c>
      <c r="I492" t="str">
        <f t="shared" si="14"/>
        <v>YES</v>
      </c>
      <c r="J492" t="s">
        <v>498</v>
      </c>
      <c r="K492">
        <v>628152.10441399994</v>
      </c>
      <c r="L492">
        <f t="shared" si="15"/>
        <v>0</v>
      </c>
    </row>
    <row r="493" spans="1:12" x14ac:dyDescent="0.25">
      <c r="A493">
        <v>710</v>
      </c>
      <c r="B493">
        <v>38506.50258</v>
      </c>
      <c r="C493">
        <v>38506.50258</v>
      </c>
      <c r="D493">
        <v>0</v>
      </c>
      <c r="E493">
        <v>6234.6981599999999</v>
      </c>
      <c r="F493" s="1">
        <v>52.3</v>
      </c>
      <c r="H493">
        <v>710</v>
      </c>
      <c r="I493" t="str">
        <f t="shared" si="14"/>
        <v>YES</v>
      </c>
      <c r="J493" t="s">
        <v>499</v>
      </c>
      <c r="K493">
        <v>163556.362719</v>
      </c>
      <c r="L493">
        <f t="shared" si="15"/>
        <v>0</v>
      </c>
    </row>
    <row r="494" spans="1:12" x14ac:dyDescent="0.25">
      <c r="A494">
        <v>711</v>
      </c>
      <c r="B494">
        <v>61727.294580000002</v>
      </c>
      <c r="C494">
        <v>61727.294580000002</v>
      </c>
      <c r="D494">
        <v>0</v>
      </c>
      <c r="E494">
        <v>95.910513750000007</v>
      </c>
      <c r="F494" s="1">
        <v>1.29</v>
      </c>
      <c r="H494">
        <v>711</v>
      </c>
      <c r="I494" t="str">
        <f t="shared" si="14"/>
        <v>YES</v>
      </c>
      <c r="J494" t="s">
        <v>500</v>
      </c>
      <c r="K494">
        <v>221686.02766399999</v>
      </c>
      <c r="L494">
        <f t="shared" si="15"/>
        <v>0</v>
      </c>
    </row>
    <row r="495" spans="1:12" x14ac:dyDescent="0.25">
      <c r="A495">
        <v>712</v>
      </c>
      <c r="B495">
        <v>44955.68677</v>
      </c>
      <c r="C495">
        <v>44955.68677</v>
      </c>
      <c r="D495">
        <v>0</v>
      </c>
      <c r="E495">
        <v>3415.1200229999999</v>
      </c>
      <c r="F495" s="1">
        <v>33.4</v>
      </c>
      <c r="H495">
        <v>712</v>
      </c>
      <c r="I495" t="str">
        <f t="shared" si="14"/>
        <v>YES</v>
      </c>
      <c r="J495" t="s">
        <v>501</v>
      </c>
      <c r="K495">
        <v>187827.81667100001</v>
      </c>
      <c r="L495">
        <f t="shared" si="15"/>
        <v>0</v>
      </c>
    </row>
    <row r="496" spans="1:12" x14ac:dyDescent="0.25">
      <c r="A496">
        <v>713</v>
      </c>
      <c r="B496">
        <v>25325.915499999999</v>
      </c>
      <c r="C496">
        <v>25325.915499999999</v>
      </c>
      <c r="D496">
        <v>0</v>
      </c>
      <c r="E496">
        <v>1613.2081439999999</v>
      </c>
      <c r="F496" s="1">
        <v>8.9</v>
      </c>
      <c r="H496">
        <v>713</v>
      </c>
      <c r="I496" t="str">
        <f t="shared" si="14"/>
        <v>YES</v>
      </c>
      <c r="J496" t="s">
        <v>502</v>
      </c>
      <c r="K496">
        <v>484794.41557800001</v>
      </c>
      <c r="L496">
        <f t="shared" si="15"/>
        <v>0</v>
      </c>
    </row>
    <row r="497" spans="1:12" x14ac:dyDescent="0.25">
      <c r="A497">
        <v>714</v>
      </c>
      <c r="B497">
        <v>20072.935509999999</v>
      </c>
      <c r="C497">
        <v>20072.935509999999</v>
      </c>
      <c r="D497">
        <v>0</v>
      </c>
      <c r="E497">
        <v>2455.2549730000001</v>
      </c>
      <c r="F497" s="1">
        <v>10.7</v>
      </c>
      <c r="H497">
        <v>714</v>
      </c>
      <c r="I497" t="str">
        <f t="shared" si="14"/>
        <v>YES</v>
      </c>
      <c r="J497" t="s">
        <v>503</v>
      </c>
      <c r="K497">
        <v>227720.82711899999</v>
      </c>
      <c r="L497">
        <f t="shared" si="15"/>
        <v>0</v>
      </c>
    </row>
    <row r="498" spans="1:12" x14ac:dyDescent="0.25">
      <c r="A498">
        <v>715</v>
      </c>
      <c r="B498">
        <v>17729.659749999999</v>
      </c>
      <c r="C498">
        <v>17729.659749999999</v>
      </c>
      <c r="D498">
        <v>0</v>
      </c>
      <c r="E498">
        <v>59.039592990000003</v>
      </c>
      <c r="F498" s="1">
        <v>0.22800000000000001</v>
      </c>
      <c r="H498">
        <v>715</v>
      </c>
      <c r="I498" t="str">
        <f t="shared" si="14"/>
        <v>YES</v>
      </c>
      <c r="J498" t="s">
        <v>504</v>
      </c>
      <c r="K498">
        <v>794976.09127400001</v>
      </c>
      <c r="L498">
        <f t="shared" si="15"/>
        <v>0</v>
      </c>
    </row>
    <row r="499" spans="1:12" x14ac:dyDescent="0.25">
      <c r="A499">
        <v>716</v>
      </c>
      <c r="B499">
        <v>16584.69556</v>
      </c>
      <c r="C499">
        <v>16584.69556</v>
      </c>
      <c r="D499">
        <v>0</v>
      </c>
      <c r="E499">
        <v>1894.4172000000001</v>
      </c>
      <c r="F499" s="1">
        <v>6.84</v>
      </c>
      <c r="H499">
        <v>716</v>
      </c>
      <c r="I499" t="str">
        <f t="shared" si="14"/>
        <v>YES</v>
      </c>
      <c r="J499" t="s">
        <v>505</v>
      </c>
      <c r="K499">
        <v>501542.149951</v>
      </c>
      <c r="L499">
        <f t="shared" si="15"/>
        <v>0</v>
      </c>
    </row>
    <row r="500" spans="1:12" x14ac:dyDescent="0.25">
      <c r="A500">
        <v>717</v>
      </c>
      <c r="B500">
        <v>10231.45579</v>
      </c>
      <c r="C500">
        <v>10231.45579</v>
      </c>
      <c r="D500">
        <v>0</v>
      </c>
      <c r="E500">
        <v>1554.0169189999999</v>
      </c>
      <c r="F500" s="1">
        <v>3.46</v>
      </c>
      <c r="H500">
        <v>717</v>
      </c>
      <c r="I500" t="str">
        <f t="shared" si="14"/>
        <v>YES</v>
      </c>
      <c r="J500" t="s">
        <v>506</v>
      </c>
      <c r="K500">
        <v>641530.16813999997</v>
      </c>
      <c r="L500">
        <f t="shared" si="15"/>
        <v>0</v>
      </c>
    </row>
    <row r="501" spans="1:12" x14ac:dyDescent="0.25">
      <c r="A501">
        <v>718</v>
      </c>
      <c r="B501">
        <v>30682.4195</v>
      </c>
      <c r="C501">
        <v>30682.4195</v>
      </c>
      <c r="D501">
        <v>0</v>
      </c>
      <c r="E501">
        <v>2299.2227990000001</v>
      </c>
      <c r="F501" s="1">
        <v>15.4</v>
      </c>
      <c r="H501">
        <v>718</v>
      </c>
      <c r="I501" t="str">
        <f t="shared" si="14"/>
        <v>YES</v>
      </c>
      <c r="J501" t="s">
        <v>507</v>
      </c>
      <c r="K501">
        <v>595504.40092599997</v>
      </c>
      <c r="L501">
        <f t="shared" si="15"/>
        <v>0</v>
      </c>
    </row>
    <row r="502" spans="1:12" x14ac:dyDescent="0.25">
      <c r="A502">
        <v>719</v>
      </c>
      <c r="B502">
        <v>233001.28570000001</v>
      </c>
      <c r="C502">
        <v>233001.28570000001</v>
      </c>
      <c r="D502">
        <v>0</v>
      </c>
      <c r="E502">
        <v>604.54234870000005</v>
      </c>
      <c r="F502" s="1">
        <v>30.7</v>
      </c>
      <c r="H502">
        <v>719</v>
      </c>
      <c r="I502" t="str">
        <f t="shared" si="14"/>
        <v>YES</v>
      </c>
      <c r="J502" t="s">
        <v>508</v>
      </c>
      <c r="K502">
        <v>165311.797987</v>
      </c>
      <c r="L502">
        <f t="shared" si="15"/>
        <v>0</v>
      </c>
    </row>
    <row r="503" spans="1:12" x14ac:dyDescent="0.25">
      <c r="A503">
        <v>720</v>
      </c>
      <c r="B503">
        <v>35595.166590000001</v>
      </c>
      <c r="C503">
        <v>35595.166590000001</v>
      </c>
      <c r="D503">
        <v>0</v>
      </c>
      <c r="E503">
        <v>576.52684720000002</v>
      </c>
      <c r="F503" s="1">
        <v>4.47</v>
      </c>
      <c r="H503">
        <v>720</v>
      </c>
      <c r="I503" t="str">
        <f t="shared" si="14"/>
        <v>YES</v>
      </c>
      <c r="J503" t="s">
        <v>509</v>
      </c>
      <c r="K503">
        <v>158518.11932699999</v>
      </c>
      <c r="L503">
        <f t="shared" si="15"/>
        <v>0</v>
      </c>
    </row>
    <row r="504" spans="1:12" x14ac:dyDescent="0.25">
      <c r="A504">
        <v>723</v>
      </c>
      <c r="B504">
        <v>36384.605519999997</v>
      </c>
      <c r="C504">
        <v>36384.605519999997</v>
      </c>
      <c r="D504">
        <v>0</v>
      </c>
      <c r="E504">
        <v>2509.8487089999999</v>
      </c>
      <c r="F504" s="1">
        <v>19.899999999999999</v>
      </c>
      <c r="H504">
        <v>723</v>
      </c>
      <c r="I504" t="str">
        <f t="shared" si="14"/>
        <v>YES</v>
      </c>
      <c r="J504" t="s">
        <v>510</v>
      </c>
      <c r="K504">
        <v>420127.085356</v>
      </c>
      <c r="L504">
        <f t="shared" si="15"/>
        <v>0</v>
      </c>
    </row>
    <row r="505" spans="1:12" x14ac:dyDescent="0.25">
      <c r="A505">
        <v>724</v>
      </c>
      <c r="B505">
        <v>12836.695970000001</v>
      </c>
      <c r="C505">
        <v>12836.695970000001</v>
      </c>
      <c r="D505">
        <v>0</v>
      </c>
      <c r="E505">
        <v>1338.0905310000001</v>
      </c>
      <c r="F505" s="1">
        <v>3.74</v>
      </c>
      <c r="H505">
        <v>724</v>
      </c>
      <c r="I505" t="str">
        <f t="shared" si="14"/>
        <v>YES</v>
      </c>
      <c r="J505" t="s">
        <v>511</v>
      </c>
      <c r="K505">
        <v>288756.28217100003</v>
      </c>
      <c r="L505">
        <f t="shared" si="15"/>
        <v>0</v>
      </c>
    </row>
    <row r="506" spans="1:12" x14ac:dyDescent="0.25">
      <c r="A506">
        <v>725</v>
      </c>
      <c r="B506">
        <v>123856.0983</v>
      </c>
      <c r="C506">
        <v>123856.0983</v>
      </c>
      <c r="D506">
        <v>0</v>
      </c>
      <c r="E506">
        <v>3723.5745569999999</v>
      </c>
      <c r="F506" s="1">
        <v>100</v>
      </c>
      <c r="H506">
        <v>725</v>
      </c>
      <c r="I506" t="str">
        <f t="shared" si="14"/>
        <v>YES</v>
      </c>
      <c r="J506" t="s">
        <v>512</v>
      </c>
      <c r="K506">
        <v>725957.94801199995</v>
      </c>
      <c r="L506">
        <f t="shared" si="15"/>
        <v>0</v>
      </c>
    </row>
    <row r="507" spans="1:12" x14ac:dyDescent="0.25">
      <c r="A507">
        <v>726</v>
      </c>
      <c r="B507">
        <v>9338.9612359999992</v>
      </c>
      <c r="C507">
        <v>9338.9612359999992</v>
      </c>
      <c r="D507">
        <v>0</v>
      </c>
      <c r="E507">
        <v>3718.9360999999999</v>
      </c>
      <c r="F507" s="1">
        <v>7.56</v>
      </c>
      <c r="H507">
        <v>726</v>
      </c>
      <c r="I507" t="str">
        <f t="shared" si="14"/>
        <v>YES</v>
      </c>
      <c r="J507" t="s">
        <v>513</v>
      </c>
      <c r="K507">
        <v>646772.109987</v>
      </c>
      <c r="L507">
        <f t="shared" si="15"/>
        <v>0</v>
      </c>
    </row>
    <row r="508" spans="1:12" x14ac:dyDescent="0.25">
      <c r="A508">
        <v>727</v>
      </c>
      <c r="B508">
        <v>12736.415360000001</v>
      </c>
      <c r="C508">
        <v>12736.415360000001</v>
      </c>
      <c r="D508">
        <v>0</v>
      </c>
      <c r="E508">
        <v>2574.7285440000001</v>
      </c>
      <c r="F508" s="1">
        <v>7.14</v>
      </c>
      <c r="H508">
        <v>727</v>
      </c>
      <c r="I508" t="str">
        <f t="shared" si="14"/>
        <v>YES</v>
      </c>
      <c r="J508" t="s">
        <v>514</v>
      </c>
      <c r="K508">
        <v>527363.46965500002</v>
      </c>
      <c r="L508">
        <f t="shared" si="15"/>
        <v>0</v>
      </c>
    </row>
    <row r="509" spans="1:12" x14ac:dyDescent="0.25">
      <c r="A509">
        <v>728</v>
      </c>
      <c r="B509">
        <v>10960.74065</v>
      </c>
      <c r="C509">
        <v>10960.74065</v>
      </c>
      <c r="D509">
        <v>0</v>
      </c>
      <c r="E509">
        <v>3013.4558179999999</v>
      </c>
      <c r="F509" s="1">
        <v>7.19</v>
      </c>
      <c r="H509">
        <v>728</v>
      </c>
      <c r="I509" t="str">
        <f t="shared" si="14"/>
        <v>YES</v>
      </c>
      <c r="J509" t="s">
        <v>515</v>
      </c>
      <c r="K509">
        <v>745212.95248800004</v>
      </c>
      <c r="L509">
        <f t="shared" si="15"/>
        <v>0</v>
      </c>
    </row>
    <row r="510" spans="1:12" x14ac:dyDescent="0.25">
      <c r="A510">
        <v>731</v>
      </c>
      <c r="B510">
        <v>7708.3923649999997</v>
      </c>
      <c r="C510">
        <v>7708.3923649999997</v>
      </c>
      <c r="D510">
        <v>0</v>
      </c>
      <c r="E510">
        <v>2341.5316870000001</v>
      </c>
      <c r="F510" s="1">
        <v>3.93</v>
      </c>
      <c r="H510">
        <v>731</v>
      </c>
      <c r="I510" t="str">
        <f t="shared" si="14"/>
        <v>YES</v>
      </c>
      <c r="J510" t="s">
        <v>516</v>
      </c>
      <c r="K510">
        <v>434541.07242600003</v>
      </c>
      <c r="L510">
        <f t="shared" si="15"/>
        <v>0</v>
      </c>
    </row>
    <row r="511" spans="1:12" x14ac:dyDescent="0.25">
      <c r="A511">
        <v>732</v>
      </c>
      <c r="B511">
        <v>9750.1300100000008</v>
      </c>
      <c r="C511">
        <v>9750.1300100000008</v>
      </c>
      <c r="D511">
        <v>0</v>
      </c>
      <c r="E511">
        <v>2537.408848</v>
      </c>
      <c r="F511" s="1">
        <v>5.39</v>
      </c>
      <c r="H511">
        <v>732</v>
      </c>
      <c r="I511" t="str">
        <f t="shared" si="14"/>
        <v>YES</v>
      </c>
      <c r="J511" t="s">
        <v>517</v>
      </c>
      <c r="K511">
        <v>478491.57460599998</v>
      </c>
      <c r="L511">
        <f t="shared" si="15"/>
        <v>0</v>
      </c>
    </row>
    <row r="512" spans="1:12" x14ac:dyDescent="0.25">
      <c r="A512">
        <v>733</v>
      </c>
      <c r="B512">
        <v>60076.389109999996</v>
      </c>
      <c r="C512">
        <v>60076.389109999996</v>
      </c>
      <c r="D512">
        <v>0</v>
      </c>
      <c r="E512">
        <v>3264.7750489999999</v>
      </c>
      <c r="F512" s="1">
        <v>42.7</v>
      </c>
      <c r="H512">
        <v>733</v>
      </c>
      <c r="I512" t="str">
        <f t="shared" si="14"/>
        <v>YES</v>
      </c>
      <c r="J512" t="s">
        <v>518</v>
      </c>
      <c r="K512">
        <v>531786.79008099996</v>
      </c>
      <c r="L512">
        <f t="shared" si="15"/>
        <v>0</v>
      </c>
    </row>
    <row r="513" spans="1:12" x14ac:dyDescent="0.25">
      <c r="A513">
        <v>734</v>
      </c>
      <c r="B513">
        <v>96731.795029999994</v>
      </c>
      <c r="C513">
        <v>96731.795029999994</v>
      </c>
      <c r="D513">
        <v>0</v>
      </c>
      <c r="E513">
        <v>3293.9344179999998</v>
      </c>
      <c r="F513" s="1">
        <v>69.400000000000006</v>
      </c>
      <c r="H513">
        <v>734</v>
      </c>
      <c r="I513" t="str">
        <f t="shared" si="14"/>
        <v>YES</v>
      </c>
      <c r="J513" t="s">
        <v>519</v>
      </c>
      <c r="K513">
        <v>664692.25810800004</v>
      </c>
      <c r="L513">
        <f t="shared" si="15"/>
        <v>0</v>
      </c>
    </row>
    <row r="514" spans="1:12" x14ac:dyDescent="0.25">
      <c r="A514">
        <v>735</v>
      </c>
      <c r="B514">
        <v>19869.147120000001</v>
      </c>
      <c r="C514">
        <v>19869.147120000001</v>
      </c>
      <c r="D514">
        <v>0</v>
      </c>
      <c r="E514">
        <v>2697.5924730000002</v>
      </c>
      <c r="F514" s="1">
        <v>11.7</v>
      </c>
      <c r="H514">
        <v>735</v>
      </c>
      <c r="I514" t="str">
        <f t="shared" si="14"/>
        <v>YES</v>
      </c>
      <c r="J514" t="s">
        <v>520</v>
      </c>
      <c r="K514">
        <v>813245.35306400002</v>
      </c>
      <c r="L514">
        <f t="shared" si="15"/>
        <v>0</v>
      </c>
    </row>
    <row r="515" spans="1:12" x14ac:dyDescent="0.25">
      <c r="A515">
        <v>736</v>
      </c>
      <c r="B515">
        <v>527613.74470000004</v>
      </c>
      <c r="C515">
        <v>527613.74470000004</v>
      </c>
      <c r="D515">
        <v>0</v>
      </c>
      <c r="E515">
        <v>133.08275860000001</v>
      </c>
      <c r="F515" s="1">
        <v>15.3</v>
      </c>
      <c r="H515">
        <v>736</v>
      </c>
      <c r="I515" t="str">
        <f t="shared" ref="I515:I578" si="16">IF(A515=H515,"YES","NO")</f>
        <v>YES</v>
      </c>
      <c r="J515" t="s">
        <v>521</v>
      </c>
      <c r="K515">
        <v>37890.827234299999</v>
      </c>
      <c r="L515">
        <f t="shared" ref="L515:L578" si="17">EXP(0.2052)*K515*(D515/C515)</f>
        <v>0</v>
      </c>
    </row>
    <row r="516" spans="1:12" x14ac:dyDescent="0.25">
      <c r="A516">
        <v>737</v>
      </c>
      <c r="B516">
        <v>164880.4981</v>
      </c>
      <c r="C516">
        <v>164880.4981</v>
      </c>
      <c r="D516">
        <v>0</v>
      </c>
      <c r="E516">
        <v>3190.2116000000001</v>
      </c>
      <c r="F516" s="1">
        <v>115</v>
      </c>
      <c r="H516">
        <v>737</v>
      </c>
      <c r="I516" t="str">
        <f t="shared" si="16"/>
        <v>YES</v>
      </c>
      <c r="J516" t="s">
        <v>522</v>
      </c>
      <c r="K516">
        <v>868277.26583799999</v>
      </c>
      <c r="L516">
        <f t="shared" si="17"/>
        <v>0</v>
      </c>
    </row>
    <row r="517" spans="1:12" x14ac:dyDescent="0.25">
      <c r="A517">
        <v>738</v>
      </c>
      <c r="B517">
        <v>327384.52409999998</v>
      </c>
      <c r="C517">
        <v>327384.52409999998</v>
      </c>
      <c r="D517">
        <v>0</v>
      </c>
      <c r="E517">
        <v>1617.107872</v>
      </c>
      <c r="F517" s="1">
        <v>115</v>
      </c>
      <c r="H517">
        <v>738</v>
      </c>
      <c r="I517" t="str">
        <f t="shared" si="16"/>
        <v>YES</v>
      </c>
      <c r="J517" t="s">
        <v>523</v>
      </c>
      <c r="K517">
        <v>333086.329425</v>
      </c>
      <c r="L517">
        <f t="shared" si="17"/>
        <v>0</v>
      </c>
    </row>
    <row r="518" spans="1:12" x14ac:dyDescent="0.25">
      <c r="A518">
        <v>739</v>
      </c>
      <c r="B518">
        <v>104718.4164</v>
      </c>
      <c r="C518">
        <v>104718.4164</v>
      </c>
      <c r="D518">
        <v>0</v>
      </c>
      <c r="E518">
        <v>1370.2519219999999</v>
      </c>
      <c r="F518" s="1">
        <v>31.2</v>
      </c>
      <c r="H518">
        <v>739</v>
      </c>
      <c r="I518" t="str">
        <f t="shared" si="16"/>
        <v>YES</v>
      </c>
      <c r="J518" t="s">
        <v>524</v>
      </c>
      <c r="K518">
        <v>143706.842924</v>
      </c>
      <c r="L518">
        <f t="shared" si="17"/>
        <v>0</v>
      </c>
    </row>
    <row r="519" spans="1:12" x14ac:dyDescent="0.25">
      <c r="A519">
        <v>740</v>
      </c>
      <c r="B519">
        <v>59704.7189</v>
      </c>
      <c r="C519">
        <v>59704.7189</v>
      </c>
      <c r="D519">
        <v>0</v>
      </c>
      <c r="E519" s="1">
        <v>8.4699999999999999E-5</v>
      </c>
      <c r="F519" s="1">
        <v>1.1000000000000001E-6</v>
      </c>
      <c r="H519">
        <v>740</v>
      </c>
      <c r="I519" t="str">
        <f t="shared" si="16"/>
        <v>YES</v>
      </c>
      <c r="J519" t="s">
        <v>525</v>
      </c>
      <c r="K519">
        <v>105820.064464</v>
      </c>
      <c r="L519">
        <f t="shared" si="17"/>
        <v>0</v>
      </c>
    </row>
    <row r="520" spans="1:12" x14ac:dyDescent="0.25">
      <c r="A520">
        <v>741</v>
      </c>
      <c r="B520">
        <v>137649.59950000001</v>
      </c>
      <c r="C520">
        <v>137649.59950000001</v>
      </c>
      <c r="D520">
        <v>0</v>
      </c>
      <c r="E520">
        <v>547.82069530000001</v>
      </c>
      <c r="F520" s="1">
        <v>16.399999999999999</v>
      </c>
      <c r="H520">
        <v>741</v>
      </c>
      <c r="I520" t="str">
        <f t="shared" si="16"/>
        <v>YES</v>
      </c>
      <c r="J520" t="s">
        <v>526</v>
      </c>
      <c r="K520">
        <v>134621.152481</v>
      </c>
      <c r="L520">
        <f t="shared" si="17"/>
        <v>0</v>
      </c>
    </row>
    <row r="521" spans="1:12" x14ac:dyDescent="0.25">
      <c r="A521">
        <v>742</v>
      </c>
      <c r="B521">
        <v>136749.69459999999</v>
      </c>
      <c r="C521">
        <v>136749.69459999999</v>
      </c>
      <c r="D521">
        <v>0</v>
      </c>
      <c r="E521">
        <v>674.29575920000002</v>
      </c>
      <c r="F521" s="1">
        <v>20.100000000000001</v>
      </c>
      <c r="H521">
        <v>742</v>
      </c>
      <c r="I521" t="str">
        <f t="shared" si="16"/>
        <v>YES</v>
      </c>
      <c r="J521" t="s">
        <v>527</v>
      </c>
      <c r="K521">
        <v>135116.71825500001</v>
      </c>
      <c r="L521">
        <f t="shared" si="17"/>
        <v>0</v>
      </c>
    </row>
    <row r="522" spans="1:12" x14ac:dyDescent="0.25">
      <c r="A522">
        <v>743</v>
      </c>
      <c r="B522">
        <v>21123.377649999999</v>
      </c>
      <c r="C522">
        <v>21123.377649999999</v>
      </c>
      <c r="D522">
        <v>0</v>
      </c>
      <c r="E522">
        <v>2434.3657410000001</v>
      </c>
      <c r="F522" s="1">
        <v>11.2</v>
      </c>
      <c r="H522">
        <v>743</v>
      </c>
      <c r="I522" t="str">
        <f t="shared" si="16"/>
        <v>YES</v>
      </c>
      <c r="J522" t="s">
        <v>528</v>
      </c>
      <c r="K522">
        <v>343977.33050699998</v>
      </c>
      <c r="L522">
        <f t="shared" si="17"/>
        <v>0</v>
      </c>
    </row>
    <row r="523" spans="1:12" x14ac:dyDescent="0.25">
      <c r="A523">
        <v>744</v>
      </c>
      <c r="B523">
        <v>202444.2567</v>
      </c>
      <c r="C523">
        <v>202444.2567</v>
      </c>
      <c r="D523">
        <v>0</v>
      </c>
      <c r="E523">
        <v>2380.3552949999998</v>
      </c>
      <c r="F523" s="1">
        <v>105</v>
      </c>
      <c r="H523">
        <v>744</v>
      </c>
      <c r="I523" t="str">
        <f t="shared" si="16"/>
        <v>YES</v>
      </c>
      <c r="J523" t="s">
        <v>529</v>
      </c>
      <c r="K523">
        <v>448842.32790700003</v>
      </c>
      <c r="L523">
        <f t="shared" si="17"/>
        <v>0</v>
      </c>
    </row>
    <row r="524" spans="1:12" x14ac:dyDescent="0.25">
      <c r="A524">
        <v>745</v>
      </c>
      <c r="B524">
        <v>49689.949919999999</v>
      </c>
      <c r="C524">
        <v>49689.949919999999</v>
      </c>
      <c r="D524">
        <v>0</v>
      </c>
      <c r="E524" s="1">
        <v>9.5099999999999994E-5</v>
      </c>
      <c r="F524" s="1">
        <v>1.0300000000000001E-6</v>
      </c>
      <c r="H524">
        <v>745</v>
      </c>
      <c r="I524" t="str">
        <f t="shared" si="16"/>
        <v>YES</v>
      </c>
      <c r="J524" t="s">
        <v>530</v>
      </c>
      <c r="K524">
        <v>163889.338797</v>
      </c>
      <c r="L524">
        <f t="shared" si="17"/>
        <v>0</v>
      </c>
    </row>
    <row r="525" spans="1:12" x14ac:dyDescent="0.25">
      <c r="A525">
        <v>800</v>
      </c>
      <c r="B525">
        <v>32.681546330000003</v>
      </c>
      <c r="C525">
        <v>32.681546330000003</v>
      </c>
      <c r="D525">
        <v>0</v>
      </c>
      <c r="E525" s="1">
        <v>9.5099999999999994E-5</v>
      </c>
      <c r="F525" s="1">
        <v>6.7700000000000004E-10</v>
      </c>
      <c r="H525">
        <v>800</v>
      </c>
      <c r="I525" t="str">
        <f t="shared" si="16"/>
        <v>YES</v>
      </c>
      <c r="J525" t="s">
        <v>531</v>
      </c>
      <c r="K525">
        <v>178832.13600900001</v>
      </c>
      <c r="L525">
        <f t="shared" si="17"/>
        <v>0</v>
      </c>
    </row>
    <row r="526" spans="1:12" x14ac:dyDescent="0.25">
      <c r="A526">
        <v>801</v>
      </c>
      <c r="B526">
        <v>10011.517400000001</v>
      </c>
      <c r="C526">
        <v>10011.517400000001</v>
      </c>
      <c r="D526">
        <v>0</v>
      </c>
      <c r="E526">
        <v>3394.2421509999999</v>
      </c>
      <c r="F526" s="1">
        <v>7.4</v>
      </c>
      <c r="H526">
        <v>801</v>
      </c>
      <c r="I526" t="str">
        <f t="shared" si="16"/>
        <v>YES</v>
      </c>
      <c r="J526" t="s">
        <v>532</v>
      </c>
      <c r="K526">
        <v>574672.13607200002</v>
      </c>
      <c r="L526">
        <f t="shared" si="17"/>
        <v>0</v>
      </c>
    </row>
    <row r="527" spans="1:12" x14ac:dyDescent="0.25">
      <c r="A527">
        <v>802</v>
      </c>
      <c r="B527">
        <v>44413.053189999999</v>
      </c>
      <c r="C527">
        <v>44413.053189999999</v>
      </c>
      <c r="D527">
        <v>0</v>
      </c>
      <c r="E527">
        <v>1634.7597639999999</v>
      </c>
      <c r="F527" s="1">
        <v>15.8</v>
      </c>
      <c r="H527">
        <v>802</v>
      </c>
      <c r="I527" t="str">
        <f t="shared" si="16"/>
        <v>YES</v>
      </c>
      <c r="J527" t="s">
        <v>533</v>
      </c>
      <c r="K527">
        <v>244694.76590299999</v>
      </c>
      <c r="L527">
        <f t="shared" si="17"/>
        <v>0</v>
      </c>
    </row>
    <row r="528" spans="1:12" x14ac:dyDescent="0.25">
      <c r="A528">
        <v>803</v>
      </c>
      <c r="B528">
        <v>11687.333350000001</v>
      </c>
      <c r="C528">
        <v>11687.333350000001</v>
      </c>
      <c r="D528">
        <v>0</v>
      </c>
      <c r="E528">
        <v>1958.4582370000001</v>
      </c>
      <c r="F528" s="1">
        <v>4.9800000000000004</v>
      </c>
      <c r="H528">
        <v>803</v>
      </c>
      <c r="I528" t="str">
        <f t="shared" si="16"/>
        <v>YES</v>
      </c>
      <c r="J528" t="s">
        <v>534</v>
      </c>
      <c r="K528">
        <v>227909.994935</v>
      </c>
      <c r="L528">
        <f t="shared" si="17"/>
        <v>0</v>
      </c>
    </row>
    <row r="529" spans="1:12" x14ac:dyDescent="0.25">
      <c r="A529">
        <v>804</v>
      </c>
      <c r="B529">
        <v>206007.8714</v>
      </c>
      <c r="C529">
        <v>206007.8714</v>
      </c>
      <c r="D529">
        <v>0</v>
      </c>
      <c r="E529">
        <v>2723.775443</v>
      </c>
      <c r="F529" s="1">
        <v>122</v>
      </c>
      <c r="H529">
        <v>804</v>
      </c>
      <c r="I529" t="str">
        <f t="shared" si="16"/>
        <v>YES</v>
      </c>
      <c r="J529" t="s">
        <v>535</v>
      </c>
      <c r="K529">
        <v>341951.85772099998</v>
      </c>
      <c r="L529">
        <f t="shared" si="17"/>
        <v>0</v>
      </c>
    </row>
    <row r="530" spans="1:12" x14ac:dyDescent="0.25">
      <c r="A530">
        <v>805</v>
      </c>
      <c r="B530">
        <v>18919.337360000001</v>
      </c>
      <c r="C530">
        <v>18919.337360000001</v>
      </c>
      <c r="D530">
        <v>0</v>
      </c>
      <c r="E530">
        <v>2056.491282</v>
      </c>
      <c r="F530" s="1">
        <v>8.4700000000000006</v>
      </c>
      <c r="H530">
        <v>805</v>
      </c>
      <c r="I530" t="str">
        <f t="shared" si="16"/>
        <v>YES</v>
      </c>
      <c r="J530" t="s">
        <v>536</v>
      </c>
      <c r="K530">
        <v>293610.08754799998</v>
      </c>
      <c r="L530">
        <f t="shared" si="17"/>
        <v>0</v>
      </c>
    </row>
    <row r="531" spans="1:12" x14ac:dyDescent="0.25">
      <c r="A531">
        <v>806</v>
      </c>
      <c r="B531">
        <v>24284.550329999998</v>
      </c>
      <c r="C531">
        <v>24284.550329999998</v>
      </c>
      <c r="D531">
        <v>0</v>
      </c>
      <c r="E531">
        <v>1602.786478</v>
      </c>
      <c r="F531" s="1">
        <v>8.4700000000000006</v>
      </c>
      <c r="H531">
        <v>806</v>
      </c>
      <c r="I531" t="str">
        <f t="shared" si="16"/>
        <v>YES</v>
      </c>
      <c r="J531" t="s">
        <v>537</v>
      </c>
      <c r="K531">
        <v>246299.46908400001</v>
      </c>
      <c r="L531">
        <f t="shared" si="17"/>
        <v>0</v>
      </c>
    </row>
    <row r="532" spans="1:12" x14ac:dyDescent="0.25">
      <c r="A532">
        <v>807</v>
      </c>
      <c r="B532">
        <v>387054.18469999998</v>
      </c>
      <c r="C532">
        <v>387054.18469999998</v>
      </c>
      <c r="D532">
        <v>0</v>
      </c>
      <c r="E532">
        <v>2018.5872959999999</v>
      </c>
      <c r="F532" s="1">
        <v>170</v>
      </c>
      <c r="H532">
        <v>807</v>
      </c>
      <c r="I532" t="str">
        <f t="shared" si="16"/>
        <v>YES</v>
      </c>
      <c r="J532" t="s">
        <v>538</v>
      </c>
      <c r="K532">
        <v>216037.229043</v>
      </c>
      <c r="L532">
        <f t="shared" si="17"/>
        <v>0</v>
      </c>
    </row>
    <row r="533" spans="1:12" x14ac:dyDescent="0.25">
      <c r="A533">
        <v>808</v>
      </c>
      <c r="B533">
        <v>270232.13260000001</v>
      </c>
      <c r="C533">
        <v>270232.13260000001</v>
      </c>
      <c r="D533">
        <v>0</v>
      </c>
      <c r="E533">
        <v>1239.899161</v>
      </c>
      <c r="F533" s="1">
        <v>73</v>
      </c>
      <c r="H533">
        <v>808</v>
      </c>
      <c r="I533" t="str">
        <f t="shared" si="16"/>
        <v>YES</v>
      </c>
      <c r="J533" t="s">
        <v>539</v>
      </c>
      <c r="K533">
        <v>88476.087532999998</v>
      </c>
      <c r="L533">
        <f t="shared" si="17"/>
        <v>0</v>
      </c>
    </row>
    <row r="534" spans="1:12" x14ac:dyDescent="0.25">
      <c r="A534">
        <v>812</v>
      </c>
      <c r="B534">
        <v>67269.361120000001</v>
      </c>
      <c r="C534">
        <v>67269.361120000001</v>
      </c>
      <c r="D534">
        <v>0</v>
      </c>
      <c r="E534">
        <v>2651.6208959999999</v>
      </c>
      <c r="F534" s="1">
        <v>38.799999999999997</v>
      </c>
      <c r="H534">
        <v>812</v>
      </c>
      <c r="I534" t="str">
        <f t="shared" si="16"/>
        <v>YES</v>
      </c>
      <c r="J534" t="s">
        <v>540</v>
      </c>
      <c r="K534">
        <v>511553.96606300003</v>
      </c>
      <c r="L534">
        <f t="shared" si="17"/>
        <v>0</v>
      </c>
    </row>
    <row r="535" spans="1:12" x14ac:dyDescent="0.25">
      <c r="A535">
        <v>813</v>
      </c>
      <c r="B535">
        <v>66916.768939999994</v>
      </c>
      <c r="C535">
        <v>66916.768939999994</v>
      </c>
      <c r="D535">
        <v>0</v>
      </c>
      <c r="E535">
        <v>2697.2684279999999</v>
      </c>
      <c r="F535" s="1">
        <v>39.299999999999997</v>
      </c>
      <c r="H535">
        <v>813</v>
      </c>
      <c r="I535" t="str">
        <f t="shared" si="16"/>
        <v>YES</v>
      </c>
      <c r="J535" t="s">
        <v>541</v>
      </c>
      <c r="K535">
        <v>600564.79259900004</v>
      </c>
      <c r="L535">
        <f t="shared" si="17"/>
        <v>0</v>
      </c>
    </row>
    <row r="536" spans="1:12" x14ac:dyDescent="0.25">
      <c r="A536">
        <v>814</v>
      </c>
      <c r="B536">
        <v>48221.89748</v>
      </c>
      <c r="C536">
        <v>48221.89748</v>
      </c>
      <c r="D536">
        <v>0</v>
      </c>
      <c r="E536">
        <v>2693.3133079999998</v>
      </c>
      <c r="F536" s="1">
        <v>28.3</v>
      </c>
      <c r="H536">
        <v>814</v>
      </c>
      <c r="I536" t="str">
        <f t="shared" si="16"/>
        <v>YES</v>
      </c>
      <c r="J536" t="s">
        <v>542</v>
      </c>
      <c r="K536">
        <v>523392.03129999997</v>
      </c>
      <c r="L536">
        <f t="shared" si="17"/>
        <v>0</v>
      </c>
    </row>
    <row r="537" spans="1:12" x14ac:dyDescent="0.25">
      <c r="A537">
        <v>815</v>
      </c>
      <c r="B537">
        <v>28302.54594</v>
      </c>
      <c r="C537">
        <v>28302.54594</v>
      </c>
      <c r="D537">
        <v>0</v>
      </c>
      <c r="E537">
        <v>1818.9478670000001</v>
      </c>
      <c r="F537" s="1">
        <v>11.2</v>
      </c>
      <c r="H537">
        <v>815</v>
      </c>
      <c r="I537" t="str">
        <f t="shared" si="16"/>
        <v>YES</v>
      </c>
      <c r="J537" t="s">
        <v>543</v>
      </c>
      <c r="K537">
        <v>284237.47723900003</v>
      </c>
      <c r="L537">
        <f t="shared" si="17"/>
        <v>0</v>
      </c>
    </row>
    <row r="538" spans="1:12" x14ac:dyDescent="0.25">
      <c r="A538">
        <v>816</v>
      </c>
      <c r="B538">
        <v>55523.49267</v>
      </c>
      <c r="C538">
        <v>55523.49267</v>
      </c>
      <c r="D538">
        <v>0</v>
      </c>
      <c r="E538">
        <v>2767.5472840000002</v>
      </c>
      <c r="F538" s="1">
        <v>33.5</v>
      </c>
      <c r="H538">
        <v>816</v>
      </c>
      <c r="I538" t="str">
        <f t="shared" si="16"/>
        <v>YES</v>
      </c>
      <c r="J538" t="s">
        <v>544</v>
      </c>
      <c r="K538">
        <v>355258.75339799997</v>
      </c>
      <c r="L538">
        <f t="shared" si="17"/>
        <v>0</v>
      </c>
    </row>
    <row r="539" spans="1:12" x14ac:dyDescent="0.25">
      <c r="A539">
        <v>817</v>
      </c>
      <c r="B539">
        <v>74550.887390000004</v>
      </c>
      <c r="C539">
        <v>74550.887390000004</v>
      </c>
      <c r="D539">
        <v>0</v>
      </c>
      <c r="E539">
        <v>1464.130404</v>
      </c>
      <c r="F539" s="1">
        <v>23.8</v>
      </c>
      <c r="H539">
        <v>817</v>
      </c>
      <c r="I539" t="str">
        <f t="shared" si="16"/>
        <v>YES</v>
      </c>
      <c r="J539" t="s">
        <v>545</v>
      </c>
      <c r="K539">
        <v>211166.85266999999</v>
      </c>
      <c r="L539">
        <f t="shared" si="17"/>
        <v>0</v>
      </c>
    </row>
    <row r="540" spans="1:12" x14ac:dyDescent="0.25">
      <c r="A540">
        <v>818</v>
      </c>
      <c r="B540">
        <v>69928.525129999995</v>
      </c>
      <c r="C540">
        <v>69928.525129999995</v>
      </c>
      <c r="D540">
        <v>0</v>
      </c>
      <c r="E540">
        <v>3479.6332830000001</v>
      </c>
      <c r="F540" s="1">
        <v>53</v>
      </c>
      <c r="H540">
        <v>818</v>
      </c>
      <c r="I540" t="str">
        <f t="shared" si="16"/>
        <v>YES</v>
      </c>
      <c r="J540" t="s">
        <v>546</v>
      </c>
      <c r="K540">
        <v>437341.81640800001</v>
      </c>
      <c r="L540">
        <f t="shared" si="17"/>
        <v>0</v>
      </c>
    </row>
    <row r="541" spans="1:12" x14ac:dyDescent="0.25">
      <c r="A541">
        <v>819</v>
      </c>
      <c r="B541">
        <v>73984.874679999994</v>
      </c>
      <c r="C541">
        <v>73984.874679999994</v>
      </c>
      <c r="D541">
        <v>0</v>
      </c>
      <c r="E541">
        <v>2714.0818749999999</v>
      </c>
      <c r="F541" s="1">
        <v>43.7</v>
      </c>
      <c r="H541">
        <v>819</v>
      </c>
      <c r="I541" t="str">
        <f t="shared" si="16"/>
        <v>YES</v>
      </c>
      <c r="J541" t="s">
        <v>547</v>
      </c>
      <c r="K541">
        <v>365859.49930899998</v>
      </c>
      <c r="L541">
        <f t="shared" si="17"/>
        <v>0</v>
      </c>
    </row>
    <row r="542" spans="1:12" x14ac:dyDescent="0.25">
      <c r="A542">
        <v>820</v>
      </c>
      <c r="B542">
        <v>79883.119390000007</v>
      </c>
      <c r="C542">
        <v>79883.119390000007</v>
      </c>
      <c r="D542">
        <v>0</v>
      </c>
      <c r="E542">
        <v>3714.7304519999998</v>
      </c>
      <c r="F542" s="1">
        <v>64.599999999999994</v>
      </c>
      <c r="H542">
        <v>820</v>
      </c>
      <c r="I542" t="str">
        <f t="shared" si="16"/>
        <v>YES</v>
      </c>
      <c r="J542" t="s">
        <v>548</v>
      </c>
      <c r="K542">
        <v>537083.96748899994</v>
      </c>
      <c r="L542">
        <f t="shared" si="17"/>
        <v>0</v>
      </c>
    </row>
    <row r="543" spans="1:12" x14ac:dyDescent="0.25">
      <c r="A543">
        <v>821</v>
      </c>
      <c r="B543">
        <v>36934.174120000003</v>
      </c>
      <c r="C543">
        <v>36934.174120000003</v>
      </c>
      <c r="D543">
        <v>0</v>
      </c>
      <c r="E543">
        <v>3586.7262030000002</v>
      </c>
      <c r="F543" s="1">
        <v>28.8</v>
      </c>
      <c r="H543">
        <v>821</v>
      </c>
      <c r="I543" t="str">
        <f t="shared" si="16"/>
        <v>YES</v>
      </c>
      <c r="J543" t="s">
        <v>549</v>
      </c>
      <c r="K543">
        <v>637957.84811400005</v>
      </c>
      <c r="L543">
        <f t="shared" si="17"/>
        <v>0</v>
      </c>
    </row>
    <row r="544" spans="1:12" x14ac:dyDescent="0.25">
      <c r="A544">
        <v>824</v>
      </c>
      <c r="B544">
        <v>275614.56390000001</v>
      </c>
      <c r="C544">
        <v>275614.56390000001</v>
      </c>
      <c r="D544">
        <v>0</v>
      </c>
      <c r="E544">
        <v>2467.644045</v>
      </c>
      <c r="F544" s="1">
        <v>148</v>
      </c>
      <c r="H544">
        <v>824</v>
      </c>
      <c r="I544" t="str">
        <f t="shared" si="16"/>
        <v>YES</v>
      </c>
      <c r="J544" t="s">
        <v>550</v>
      </c>
      <c r="K544">
        <v>254781.353745</v>
      </c>
      <c r="L544">
        <f t="shared" si="17"/>
        <v>0</v>
      </c>
    </row>
    <row r="545" spans="1:12" x14ac:dyDescent="0.25">
      <c r="A545">
        <v>825</v>
      </c>
      <c r="B545">
        <v>282809.29830000002</v>
      </c>
      <c r="C545">
        <v>282809.29830000002</v>
      </c>
      <c r="D545">
        <v>0</v>
      </c>
      <c r="E545">
        <v>1032.7907379999999</v>
      </c>
      <c r="F545" s="1">
        <v>63.6</v>
      </c>
      <c r="H545">
        <v>825</v>
      </c>
      <c r="I545" t="str">
        <f t="shared" si="16"/>
        <v>YES</v>
      </c>
      <c r="J545" t="s">
        <v>551</v>
      </c>
      <c r="K545">
        <v>226087.88637299999</v>
      </c>
      <c r="L545">
        <f t="shared" si="17"/>
        <v>0</v>
      </c>
    </row>
    <row r="546" spans="1:12" x14ac:dyDescent="0.25">
      <c r="A546">
        <v>826</v>
      </c>
      <c r="B546">
        <v>439768.94699999999</v>
      </c>
      <c r="C546">
        <v>439768.94699999999</v>
      </c>
      <c r="D546">
        <v>0</v>
      </c>
      <c r="E546">
        <v>2165.3073180000001</v>
      </c>
      <c r="F546" s="1">
        <v>207</v>
      </c>
      <c r="H546">
        <v>826</v>
      </c>
      <c r="I546" t="str">
        <f t="shared" si="16"/>
        <v>YES</v>
      </c>
      <c r="J546" t="s">
        <v>552</v>
      </c>
      <c r="K546">
        <v>317184.52701299998</v>
      </c>
      <c r="L546">
        <f t="shared" si="17"/>
        <v>0</v>
      </c>
    </row>
    <row r="547" spans="1:12" x14ac:dyDescent="0.25">
      <c r="A547">
        <v>827</v>
      </c>
      <c r="B547">
        <v>384295.02720000001</v>
      </c>
      <c r="C547">
        <v>384295.02720000001</v>
      </c>
      <c r="D547">
        <v>0</v>
      </c>
      <c r="E547">
        <v>458.6981098</v>
      </c>
      <c r="F547" s="1">
        <v>38.4</v>
      </c>
      <c r="H547">
        <v>827</v>
      </c>
      <c r="I547" t="str">
        <f t="shared" si="16"/>
        <v>YES</v>
      </c>
      <c r="J547" t="s">
        <v>553</v>
      </c>
      <c r="K547">
        <v>51562.209551799999</v>
      </c>
      <c r="L547">
        <f t="shared" si="17"/>
        <v>0</v>
      </c>
    </row>
    <row r="548" spans="1:12" x14ac:dyDescent="0.25">
      <c r="A548">
        <v>828</v>
      </c>
      <c r="B548">
        <v>509968.62050000002</v>
      </c>
      <c r="C548">
        <v>509968.62050000002</v>
      </c>
      <c r="D548">
        <v>0</v>
      </c>
      <c r="E548">
        <v>1.03572E-4</v>
      </c>
      <c r="F548" s="1">
        <v>1.15E-5</v>
      </c>
      <c r="H548">
        <v>828</v>
      </c>
      <c r="I548" t="str">
        <f t="shared" si="16"/>
        <v>YES</v>
      </c>
      <c r="J548" t="s">
        <v>554</v>
      </c>
      <c r="K548">
        <v>81327.835862099993</v>
      </c>
      <c r="L548">
        <f t="shared" si="17"/>
        <v>0</v>
      </c>
    </row>
    <row r="549" spans="1:12" x14ac:dyDescent="0.25">
      <c r="A549">
        <v>829</v>
      </c>
      <c r="B549">
        <v>10935.07163</v>
      </c>
      <c r="C549">
        <v>10935.07163</v>
      </c>
      <c r="D549">
        <v>0</v>
      </c>
      <c r="E549">
        <v>273.359825</v>
      </c>
      <c r="F549" s="1">
        <v>0.65100000000000002</v>
      </c>
      <c r="H549">
        <v>829</v>
      </c>
      <c r="I549" t="str">
        <f t="shared" si="16"/>
        <v>YES</v>
      </c>
      <c r="J549" t="s">
        <v>555</v>
      </c>
      <c r="K549">
        <v>648767.30776600004</v>
      </c>
      <c r="L549">
        <f t="shared" si="17"/>
        <v>0</v>
      </c>
    </row>
    <row r="550" spans="1:12" x14ac:dyDescent="0.25">
      <c r="A550">
        <v>830</v>
      </c>
      <c r="B550">
        <v>11038.609619999999</v>
      </c>
      <c r="C550">
        <v>11038.609619999999</v>
      </c>
      <c r="D550">
        <v>0</v>
      </c>
      <c r="E550">
        <v>1.03572E-4</v>
      </c>
      <c r="F550" s="1">
        <v>2.4900000000000002E-7</v>
      </c>
      <c r="H550">
        <v>830</v>
      </c>
      <c r="I550" t="str">
        <f t="shared" si="16"/>
        <v>YES</v>
      </c>
      <c r="J550" t="s">
        <v>556</v>
      </c>
      <c r="K550">
        <v>266972.27116499998</v>
      </c>
      <c r="L550">
        <f t="shared" si="17"/>
        <v>0</v>
      </c>
    </row>
    <row r="551" spans="1:12" x14ac:dyDescent="0.25">
      <c r="A551">
        <v>831</v>
      </c>
      <c r="B551">
        <v>357179.94919999997</v>
      </c>
      <c r="C551">
        <v>357179.94919999997</v>
      </c>
      <c r="D551">
        <v>0</v>
      </c>
      <c r="E551">
        <v>3011.468957</v>
      </c>
      <c r="F551" s="1">
        <v>234</v>
      </c>
      <c r="H551">
        <v>831</v>
      </c>
      <c r="I551" t="str">
        <f t="shared" si="16"/>
        <v>YES</v>
      </c>
      <c r="J551" t="s">
        <v>557</v>
      </c>
      <c r="K551">
        <v>365015.47454700002</v>
      </c>
      <c r="L551">
        <f t="shared" si="17"/>
        <v>0</v>
      </c>
    </row>
    <row r="552" spans="1:12" x14ac:dyDescent="0.25">
      <c r="A552">
        <v>832</v>
      </c>
      <c r="B552">
        <v>199618.22039999999</v>
      </c>
      <c r="C552">
        <v>199618.22039999999</v>
      </c>
      <c r="D552">
        <v>0</v>
      </c>
      <c r="E552">
        <v>13.37140097</v>
      </c>
      <c r="F552" s="1">
        <v>0.58099999999999996</v>
      </c>
      <c r="H552">
        <v>832</v>
      </c>
      <c r="I552" t="str">
        <f t="shared" si="16"/>
        <v>YES</v>
      </c>
      <c r="J552" t="s">
        <v>558</v>
      </c>
      <c r="K552">
        <v>96978.974082300003</v>
      </c>
      <c r="L552">
        <f t="shared" si="17"/>
        <v>0</v>
      </c>
    </row>
    <row r="553" spans="1:12" x14ac:dyDescent="0.25">
      <c r="A553">
        <v>833</v>
      </c>
      <c r="B553">
        <v>103592.7975</v>
      </c>
      <c r="C553">
        <v>103592.7975</v>
      </c>
      <c r="D553">
        <v>0</v>
      </c>
      <c r="E553">
        <v>2952.4985179999999</v>
      </c>
      <c r="F553" s="1">
        <v>66.599999999999994</v>
      </c>
      <c r="H553">
        <v>833</v>
      </c>
      <c r="I553" t="str">
        <f t="shared" si="16"/>
        <v>YES</v>
      </c>
      <c r="J553" t="s">
        <v>559</v>
      </c>
      <c r="K553">
        <v>401654.87824200001</v>
      </c>
      <c r="L553">
        <f t="shared" si="17"/>
        <v>0</v>
      </c>
    </row>
    <row r="554" spans="1:12" x14ac:dyDescent="0.25">
      <c r="A554">
        <v>834</v>
      </c>
      <c r="B554">
        <v>63069.551800000001</v>
      </c>
      <c r="C554">
        <v>63069.551800000001</v>
      </c>
      <c r="D554">
        <v>0</v>
      </c>
      <c r="E554">
        <v>2294.8605739999998</v>
      </c>
      <c r="F554" s="1">
        <v>31.5</v>
      </c>
      <c r="H554">
        <v>834</v>
      </c>
      <c r="I554" t="str">
        <f t="shared" si="16"/>
        <v>YES</v>
      </c>
      <c r="J554" t="s">
        <v>560</v>
      </c>
      <c r="K554">
        <v>555436.29555399995</v>
      </c>
      <c r="L554">
        <f t="shared" si="17"/>
        <v>0</v>
      </c>
    </row>
    <row r="555" spans="1:12" x14ac:dyDescent="0.25">
      <c r="A555">
        <v>835</v>
      </c>
      <c r="B555">
        <v>89477.869160000002</v>
      </c>
      <c r="C555">
        <v>89477.869160000002</v>
      </c>
      <c r="D555">
        <v>0</v>
      </c>
      <c r="E555">
        <v>1.03572E-4</v>
      </c>
      <c r="F555" s="1">
        <v>2.0200000000000001E-6</v>
      </c>
      <c r="H555">
        <v>835</v>
      </c>
      <c r="I555" t="str">
        <f t="shared" si="16"/>
        <v>YES</v>
      </c>
      <c r="J555" t="s">
        <v>561</v>
      </c>
      <c r="K555">
        <v>161148.675987</v>
      </c>
      <c r="L555">
        <f t="shared" si="17"/>
        <v>0</v>
      </c>
    </row>
    <row r="556" spans="1:12" x14ac:dyDescent="0.25">
      <c r="A556">
        <v>836</v>
      </c>
      <c r="B556">
        <v>518818.85230000003</v>
      </c>
      <c r="C556">
        <v>518818.85230000003</v>
      </c>
      <c r="D556">
        <v>0</v>
      </c>
      <c r="E556">
        <v>1.03572E-4</v>
      </c>
      <c r="F556" s="1">
        <v>1.17E-5</v>
      </c>
      <c r="H556">
        <v>836</v>
      </c>
      <c r="I556" t="str">
        <f t="shared" si="16"/>
        <v>YES</v>
      </c>
      <c r="J556" t="s">
        <v>562</v>
      </c>
      <c r="K556">
        <v>37850.176833999998</v>
      </c>
      <c r="L556">
        <f t="shared" si="17"/>
        <v>0</v>
      </c>
    </row>
    <row r="557" spans="1:12" x14ac:dyDescent="0.25">
      <c r="A557">
        <v>837</v>
      </c>
      <c r="B557">
        <v>321856.37209999998</v>
      </c>
      <c r="C557">
        <v>321856.37209999998</v>
      </c>
      <c r="D557">
        <v>0</v>
      </c>
      <c r="E557">
        <v>1.03572E-4</v>
      </c>
      <c r="F557" s="1">
        <v>7.2599999999999999E-6</v>
      </c>
      <c r="H557">
        <v>837</v>
      </c>
      <c r="I557" t="str">
        <f t="shared" si="16"/>
        <v>YES</v>
      </c>
      <c r="J557" t="s">
        <v>563</v>
      </c>
      <c r="K557">
        <v>132878.85669399999</v>
      </c>
      <c r="L557">
        <f t="shared" si="17"/>
        <v>0</v>
      </c>
    </row>
    <row r="558" spans="1:12" x14ac:dyDescent="0.25">
      <c r="A558">
        <v>894</v>
      </c>
      <c r="B558">
        <v>51928.881329999997</v>
      </c>
      <c r="C558">
        <v>51928.881329999997</v>
      </c>
      <c r="D558">
        <v>0</v>
      </c>
      <c r="E558">
        <v>709.7370257</v>
      </c>
      <c r="F558" s="1">
        <v>8.02</v>
      </c>
      <c r="H558">
        <v>894</v>
      </c>
      <c r="I558" t="str">
        <f t="shared" si="16"/>
        <v>YES</v>
      </c>
      <c r="J558" t="s">
        <v>564</v>
      </c>
      <c r="K558">
        <v>72964.198485100002</v>
      </c>
      <c r="L558">
        <f t="shared" si="17"/>
        <v>0</v>
      </c>
    </row>
    <row r="559" spans="1:12" x14ac:dyDescent="0.25">
      <c r="A559">
        <v>895</v>
      </c>
      <c r="B559">
        <v>145127.78599999999</v>
      </c>
      <c r="C559">
        <v>145127.78599999999</v>
      </c>
      <c r="D559">
        <v>0</v>
      </c>
      <c r="E559">
        <v>1375.1374740000001</v>
      </c>
      <c r="F559" s="1">
        <v>43.5</v>
      </c>
      <c r="H559">
        <v>895</v>
      </c>
      <c r="I559" t="str">
        <f t="shared" si="16"/>
        <v>YES</v>
      </c>
      <c r="J559" t="s">
        <v>565</v>
      </c>
      <c r="K559">
        <v>105403.071582</v>
      </c>
      <c r="L559">
        <f t="shared" si="17"/>
        <v>0</v>
      </c>
    </row>
    <row r="560" spans="1:12" x14ac:dyDescent="0.25">
      <c r="A560">
        <v>896</v>
      </c>
      <c r="B560">
        <v>176718.43460000001</v>
      </c>
      <c r="C560">
        <v>176718.43460000001</v>
      </c>
      <c r="D560">
        <v>0</v>
      </c>
      <c r="E560">
        <v>821.0942867</v>
      </c>
      <c r="F560" s="1">
        <v>31.6</v>
      </c>
      <c r="H560">
        <v>896</v>
      </c>
      <c r="I560" t="str">
        <f t="shared" si="16"/>
        <v>YES</v>
      </c>
      <c r="J560" t="s">
        <v>566</v>
      </c>
      <c r="K560">
        <v>69837.560424800002</v>
      </c>
      <c r="L560">
        <f t="shared" si="17"/>
        <v>0</v>
      </c>
    </row>
    <row r="561" spans="1:12" x14ac:dyDescent="0.25">
      <c r="A561">
        <v>897</v>
      </c>
      <c r="B561">
        <v>23169.80687</v>
      </c>
      <c r="C561">
        <v>23169.80687</v>
      </c>
      <c r="D561">
        <v>0</v>
      </c>
      <c r="E561">
        <v>2249.700801</v>
      </c>
      <c r="F561" s="1">
        <v>11.3</v>
      </c>
      <c r="H561">
        <v>897</v>
      </c>
      <c r="I561" t="str">
        <f t="shared" si="16"/>
        <v>YES</v>
      </c>
      <c r="J561" t="s">
        <v>567</v>
      </c>
      <c r="K561">
        <v>351661.508653</v>
      </c>
      <c r="L561">
        <f t="shared" si="17"/>
        <v>0</v>
      </c>
    </row>
    <row r="562" spans="1:12" x14ac:dyDescent="0.25">
      <c r="A562">
        <v>898</v>
      </c>
      <c r="B562">
        <v>41809.860119999998</v>
      </c>
      <c r="C562">
        <v>41809.860119999998</v>
      </c>
      <c r="D562">
        <v>0</v>
      </c>
      <c r="E562">
        <v>2072.697091</v>
      </c>
      <c r="F562" s="1">
        <v>18.899999999999999</v>
      </c>
      <c r="H562">
        <v>898</v>
      </c>
      <c r="I562" t="str">
        <f t="shared" si="16"/>
        <v>YES</v>
      </c>
      <c r="J562" t="s">
        <v>568</v>
      </c>
      <c r="K562">
        <v>237934.846536</v>
      </c>
      <c r="L562">
        <f t="shared" si="17"/>
        <v>0</v>
      </c>
    </row>
    <row r="563" spans="1:12" x14ac:dyDescent="0.25">
      <c r="A563">
        <v>899</v>
      </c>
      <c r="B563">
        <v>12857.48746</v>
      </c>
      <c r="C563">
        <v>12857.48746</v>
      </c>
      <c r="D563">
        <v>0</v>
      </c>
      <c r="E563">
        <v>2007.7329930000001</v>
      </c>
      <c r="F563" s="1">
        <v>5.62</v>
      </c>
      <c r="H563">
        <v>899</v>
      </c>
      <c r="I563" t="str">
        <f t="shared" si="16"/>
        <v>YES</v>
      </c>
      <c r="J563" t="s">
        <v>569</v>
      </c>
      <c r="K563">
        <v>394826.95767600002</v>
      </c>
      <c r="L563">
        <f t="shared" si="17"/>
        <v>0</v>
      </c>
    </row>
    <row r="564" spans="1:12" x14ac:dyDescent="0.25">
      <c r="A564">
        <v>900</v>
      </c>
      <c r="B564">
        <v>27785.457729999998</v>
      </c>
      <c r="C564">
        <v>27785.457729999998</v>
      </c>
      <c r="D564">
        <v>0</v>
      </c>
      <c r="E564">
        <v>3426.8683059999998</v>
      </c>
      <c r="F564" s="1">
        <v>20.7</v>
      </c>
      <c r="H564">
        <v>900</v>
      </c>
      <c r="I564" t="str">
        <f t="shared" si="16"/>
        <v>YES</v>
      </c>
      <c r="J564" t="s">
        <v>570</v>
      </c>
      <c r="K564">
        <v>488695.41323499999</v>
      </c>
      <c r="L564">
        <f t="shared" si="17"/>
        <v>0</v>
      </c>
    </row>
    <row r="565" spans="1:12" x14ac:dyDescent="0.25">
      <c r="A565">
        <v>901</v>
      </c>
      <c r="B565">
        <v>29041.807290000001</v>
      </c>
      <c r="C565">
        <v>29041.807290000001</v>
      </c>
      <c r="D565">
        <v>0</v>
      </c>
      <c r="E565">
        <v>3867.4848459999998</v>
      </c>
      <c r="F565" s="1">
        <v>24.5</v>
      </c>
      <c r="H565">
        <v>901</v>
      </c>
      <c r="I565" t="str">
        <f t="shared" si="16"/>
        <v>YES</v>
      </c>
      <c r="J565" t="s">
        <v>571</v>
      </c>
      <c r="K565">
        <v>299709.62196700001</v>
      </c>
      <c r="L565">
        <f t="shared" si="17"/>
        <v>0</v>
      </c>
    </row>
    <row r="566" spans="1:12" x14ac:dyDescent="0.25">
      <c r="A566">
        <v>902</v>
      </c>
      <c r="B566">
        <v>26317.490300000001</v>
      </c>
      <c r="C566">
        <v>26317.490300000001</v>
      </c>
      <c r="D566">
        <v>0</v>
      </c>
      <c r="E566">
        <v>4432.2239980000004</v>
      </c>
      <c r="F566" s="1">
        <v>25.4</v>
      </c>
      <c r="H566">
        <v>902</v>
      </c>
      <c r="I566" t="str">
        <f t="shared" si="16"/>
        <v>YES</v>
      </c>
      <c r="J566" t="s">
        <v>572</v>
      </c>
      <c r="K566">
        <v>480600.465524</v>
      </c>
      <c r="L566">
        <f t="shared" si="17"/>
        <v>0</v>
      </c>
    </row>
    <row r="567" spans="1:12" x14ac:dyDescent="0.25">
      <c r="A567">
        <v>903</v>
      </c>
      <c r="B567">
        <v>38538.358639999999</v>
      </c>
      <c r="C567">
        <v>38538.358639999999</v>
      </c>
      <c r="D567">
        <v>0</v>
      </c>
      <c r="E567">
        <v>1940.6323299999999</v>
      </c>
      <c r="F567" s="1">
        <v>16.3</v>
      </c>
      <c r="H567">
        <v>903</v>
      </c>
      <c r="I567" t="str">
        <f t="shared" si="16"/>
        <v>YES</v>
      </c>
      <c r="J567" t="s">
        <v>573</v>
      </c>
      <c r="K567">
        <v>300307.49969800003</v>
      </c>
      <c r="L567">
        <f t="shared" si="17"/>
        <v>0</v>
      </c>
    </row>
    <row r="568" spans="1:12" x14ac:dyDescent="0.25">
      <c r="A568">
        <v>904</v>
      </c>
      <c r="B568">
        <v>83543.235440000004</v>
      </c>
      <c r="C568">
        <v>83543.235440000004</v>
      </c>
      <c r="D568">
        <v>0</v>
      </c>
      <c r="E568">
        <v>1077.6380690000001</v>
      </c>
      <c r="F568" s="1">
        <v>19.600000000000001</v>
      </c>
      <c r="H568">
        <v>904</v>
      </c>
      <c r="I568" t="str">
        <f t="shared" si="16"/>
        <v>YES</v>
      </c>
      <c r="J568" t="s">
        <v>574</v>
      </c>
      <c r="K568">
        <v>205511.60307700001</v>
      </c>
      <c r="L568">
        <f t="shared" si="17"/>
        <v>0</v>
      </c>
    </row>
    <row r="569" spans="1:12" x14ac:dyDescent="0.25">
      <c r="A569">
        <v>905</v>
      </c>
      <c r="B569">
        <v>17920.701150000001</v>
      </c>
      <c r="C569">
        <v>17920.701150000001</v>
      </c>
      <c r="D569">
        <v>0</v>
      </c>
      <c r="E569">
        <v>3202.2358330000002</v>
      </c>
      <c r="F569" s="1">
        <v>12.5</v>
      </c>
      <c r="H569">
        <v>905</v>
      </c>
      <c r="I569" t="str">
        <f t="shared" si="16"/>
        <v>YES</v>
      </c>
      <c r="J569" t="s">
        <v>575</v>
      </c>
      <c r="K569">
        <v>508461.79392199998</v>
      </c>
      <c r="L569">
        <f t="shared" si="17"/>
        <v>0</v>
      </c>
    </row>
    <row r="570" spans="1:12" x14ac:dyDescent="0.25">
      <c r="A570">
        <v>906</v>
      </c>
      <c r="B570">
        <v>20968.1374</v>
      </c>
      <c r="C570">
        <v>20968.1374</v>
      </c>
      <c r="D570">
        <v>0</v>
      </c>
      <c r="E570">
        <v>3502.3964599999999</v>
      </c>
      <c r="F570" s="1">
        <v>16</v>
      </c>
      <c r="H570">
        <v>906</v>
      </c>
      <c r="I570" t="str">
        <f t="shared" si="16"/>
        <v>YES</v>
      </c>
      <c r="J570" t="s">
        <v>576</v>
      </c>
      <c r="K570">
        <v>531286.06374400004</v>
      </c>
      <c r="L570">
        <f t="shared" si="17"/>
        <v>0</v>
      </c>
    </row>
    <row r="571" spans="1:12" x14ac:dyDescent="0.25">
      <c r="A571">
        <v>907</v>
      </c>
      <c r="B571">
        <v>16153.59611</v>
      </c>
      <c r="C571">
        <v>16153.59611</v>
      </c>
      <c r="D571">
        <v>0</v>
      </c>
      <c r="E571">
        <v>2073.8230669999998</v>
      </c>
      <c r="F571" s="1">
        <v>7.29</v>
      </c>
      <c r="H571">
        <v>907</v>
      </c>
      <c r="I571" t="str">
        <f t="shared" si="16"/>
        <v>YES</v>
      </c>
      <c r="J571" t="s">
        <v>577</v>
      </c>
      <c r="K571">
        <v>610289.00420800003</v>
      </c>
      <c r="L571">
        <f t="shared" si="17"/>
        <v>0</v>
      </c>
    </row>
    <row r="572" spans="1:12" x14ac:dyDescent="0.25">
      <c r="A572">
        <v>910</v>
      </c>
      <c r="B572">
        <v>114709.05379999999</v>
      </c>
      <c r="C572">
        <v>114709.05379999999</v>
      </c>
      <c r="D572">
        <v>0</v>
      </c>
      <c r="E572">
        <v>1464.8658419999999</v>
      </c>
      <c r="F572" s="1">
        <v>36.6</v>
      </c>
      <c r="H572">
        <v>910</v>
      </c>
      <c r="I572" t="str">
        <f t="shared" si="16"/>
        <v>YES</v>
      </c>
      <c r="J572" t="s">
        <v>578</v>
      </c>
      <c r="K572">
        <v>353991.46098999999</v>
      </c>
      <c r="L572">
        <f t="shared" si="17"/>
        <v>0</v>
      </c>
    </row>
    <row r="573" spans="1:12" x14ac:dyDescent="0.25">
      <c r="A573">
        <v>911</v>
      </c>
      <c r="B573">
        <v>28281.780429999999</v>
      </c>
      <c r="C573">
        <v>28281.780429999999</v>
      </c>
      <c r="D573">
        <v>0</v>
      </c>
      <c r="E573">
        <v>1984.549784</v>
      </c>
      <c r="F573" s="1">
        <v>12.2</v>
      </c>
      <c r="H573">
        <v>911</v>
      </c>
      <c r="I573" t="str">
        <f t="shared" si="16"/>
        <v>YES</v>
      </c>
      <c r="J573" t="s">
        <v>579</v>
      </c>
      <c r="K573">
        <v>567651.635794</v>
      </c>
      <c r="L573">
        <f t="shared" si="17"/>
        <v>0</v>
      </c>
    </row>
    <row r="574" spans="1:12" x14ac:dyDescent="0.25">
      <c r="A574">
        <v>912</v>
      </c>
      <c r="B574">
        <v>23326.955580000002</v>
      </c>
      <c r="C574">
        <v>23326.955580000002</v>
      </c>
      <c r="D574">
        <v>0</v>
      </c>
      <c r="E574">
        <v>1535.2496180000001</v>
      </c>
      <c r="F574" s="1">
        <v>7.8</v>
      </c>
      <c r="H574">
        <v>912</v>
      </c>
      <c r="I574" t="str">
        <f t="shared" si="16"/>
        <v>YES</v>
      </c>
      <c r="J574" t="s">
        <v>580</v>
      </c>
      <c r="K574">
        <v>410270.456114</v>
      </c>
      <c r="L574">
        <f t="shared" si="17"/>
        <v>0</v>
      </c>
    </row>
    <row r="575" spans="1:12" x14ac:dyDescent="0.25">
      <c r="A575">
        <v>913</v>
      </c>
      <c r="B575">
        <v>196519.514</v>
      </c>
      <c r="C575">
        <v>196519.514</v>
      </c>
      <c r="D575">
        <v>0</v>
      </c>
      <c r="E575">
        <v>1357.359678</v>
      </c>
      <c r="F575" s="1">
        <v>58.1</v>
      </c>
      <c r="H575">
        <v>913</v>
      </c>
      <c r="I575" t="str">
        <f t="shared" si="16"/>
        <v>YES</v>
      </c>
      <c r="J575" t="s">
        <v>581</v>
      </c>
      <c r="K575">
        <v>86057.717091500002</v>
      </c>
      <c r="L575">
        <f t="shared" si="17"/>
        <v>0</v>
      </c>
    </row>
    <row r="576" spans="1:12" x14ac:dyDescent="0.25">
      <c r="A576">
        <v>914</v>
      </c>
      <c r="B576">
        <v>29271.68993</v>
      </c>
      <c r="C576">
        <v>29271.68993</v>
      </c>
      <c r="D576">
        <v>0</v>
      </c>
      <c r="E576">
        <v>1644.215383</v>
      </c>
      <c r="F576" s="1">
        <v>10.5</v>
      </c>
      <c r="H576">
        <v>914</v>
      </c>
      <c r="I576" t="str">
        <f t="shared" si="16"/>
        <v>YES</v>
      </c>
      <c r="J576" t="s">
        <v>582</v>
      </c>
      <c r="K576">
        <v>325008.59599300002</v>
      </c>
      <c r="L576">
        <f t="shared" si="17"/>
        <v>0</v>
      </c>
    </row>
    <row r="577" spans="1:12" x14ac:dyDescent="0.25">
      <c r="A577">
        <v>915</v>
      </c>
      <c r="B577">
        <v>99848.960269999996</v>
      </c>
      <c r="C577">
        <v>99848.960269999996</v>
      </c>
      <c r="D577">
        <v>0</v>
      </c>
      <c r="E577">
        <v>1772.5966149999999</v>
      </c>
      <c r="F577" s="1">
        <v>38.5</v>
      </c>
      <c r="H577">
        <v>915</v>
      </c>
      <c r="I577" t="str">
        <f t="shared" si="16"/>
        <v>YES</v>
      </c>
      <c r="J577" t="s">
        <v>583</v>
      </c>
      <c r="K577">
        <v>124940.111041</v>
      </c>
      <c r="L577">
        <f t="shared" si="17"/>
        <v>0</v>
      </c>
    </row>
    <row r="578" spans="1:12" x14ac:dyDescent="0.25">
      <c r="A578">
        <v>916</v>
      </c>
      <c r="B578">
        <v>29655.646420000001</v>
      </c>
      <c r="C578">
        <v>29655.646420000001</v>
      </c>
      <c r="D578">
        <v>0</v>
      </c>
      <c r="E578">
        <v>2000.7754769999999</v>
      </c>
      <c r="F578" s="1">
        <v>12.9</v>
      </c>
      <c r="H578">
        <v>916</v>
      </c>
      <c r="I578" t="str">
        <f t="shared" si="16"/>
        <v>YES</v>
      </c>
      <c r="J578" t="s">
        <v>584</v>
      </c>
      <c r="K578">
        <v>332389.13864199998</v>
      </c>
      <c r="L578">
        <f t="shared" si="17"/>
        <v>0</v>
      </c>
    </row>
    <row r="579" spans="1:12" x14ac:dyDescent="0.25">
      <c r="A579">
        <v>917</v>
      </c>
      <c r="B579">
        <v>64347.450060000003</v>
      </c>
      <c r="C579">
        <v>64347.450060000003</v>
      </c>
      <c r="D579">
        <v>0</v>
      </c>
      <c r="E579">
        <v>2571.7148820000002</v>
      </c>
      <c r="F579" s="1">
        <v>36</v>
      </c>
      <c r="H579">
        <v>917</v>
      </c>
      <c r="I579" t="str">
        <f t="shared" ref="I579:I642" si="18">IF(A579=H579,"YES","NO")</f>
        <v>YES</v>
      </c>
      <c r="J579" t="s">
        <v>585</v>
      </c>
      <c r="K579">
        <v>250328.75534100001</v>
      </c>
      <c r="L579">
        <f t="shared" ref="L579:L642" si="19">EXP(0.2052)*K579*(D579/C579)</f>
        <v>0</v>
      </c>
    </row>
    <row r="580" spans="1:12" x14ac:dyDescent="0.25">
      <c r="A580">
        <v>918</v>
      </c>
      <c r="B580">
        <v>40422.176809999997</v>
      </c>
      <c r="C580">
        <v>40422.176809999997</v>
      </c>
      <c r="D580">
        <v>0</v>
      </c>
      <c r="E580">
        <v>603.27090139999996</v>
      </c>
      <c r="F580" s="1">
        <v>5.31</v>
      </c>
      <c r="H580">
        <v>918</v>
      </c>
      <c r="I580" t="str">
        <f t="shared" si="18"/>
        <v>YES</v>
      </c>
      <c r="J580" t="s">
        <v>586</v>
      </c>
      <c r="K580">
        <v>135314.35248199999</v>
      </c>
      <c r="L580">
        <f t="shared" si="19"/>
        <v>0</v>
      </c>
    </row>
    <row r="581" spans="1:12" x14ac:dyDescent="0.25">
      <c r="A581">
        <v>919</v>
      </c>
      <c r="B581">
        <v>28514.249469999999</v>
      </c>
      <c r="C581">
        <v>28514.249469999999</v>
      </c>
      <c r="D581">
        <v>0</v>
      </c>
      <c r="E581">
        <v>1401.7723800000001</v>
      </c>
      <c r="F581" s="1">
        <v>8.6999999999999993</v>
      </c>
      <c r="H581">
        <v>919</v>
      </c>
      <c r="I581" t="str">
        <f t="shared" si="18"/>
        <v>YES</v>
      </c>
      <c r="J581" t="s">
        <v>587</v>
      </c>
      <c r="K581">
        <v>218232.302734</v>
      </c>
      <c r="L581">
        <f t="shared" si="19"/>
        <v>0</v>
      </c>
    </row>
    <row r="582" spans="1:12" x14ac:dyDescent="0.25">
      <c r="A582">
        <v>920</v>
      </c>
      <c r="B582">
        <v>30809.144489999999</v>
      </c>
      <c r="C582">
        <v>30809.144489999999</v>
      </c>
      <c r="D582">
        <v>0</v>
      </c>
      <c r="E582">
        <v>1894.780677</v>
      </c>
      <c r="F582" s="1">
        <v>12.7</v>
      </c>
      <c r="H582">
        <v>920</v>
      </c>
      <c r="I582" t="str">
        <f t="shared" si="18"/>
        <v>YES</v>
      </c>
      <c r="J582" t="s">
        <v>588</v>
      </c>
      <c r="K582">
        <v>420843.60493700003</v>
      </c>
      <c r="L582">
        <f t="shared" si="19"/>
        <v>0</v>
      </c>
    </row>
    <row r="583" spans="1:12" x14ac:dyDescent="0.25">
      <c r="A583">
        <v>921</v>
      </c>
      <c r="B583">
        <v>46915.628530000002</v>
      </c>
      <c r="C583">
        <v>46915.628530000002</v>
      </c>
      <c r="D583">
        <v>0</v>
      </c>
      <c r="E583">
        <v>1658.8185249999999</v>
      </c>
      <c r="F583" s="1">
        <v>16.899999999999999</v>
      </c>
      <c r="H583">
        <v>921</v>
      </c>
      <c r="I583" t="str">
        <f t="shared" si="18"/>
        <v>YES</v>
      </c>
      <c r="J583" t="s">
        <v>589</v>
      </c>
      <c r="K583">
        <v>436689.52167699998</v>
      </c>
      <c r="L583">
        <f t="shared" si="19"/>
        <v>0</v>
      </c>
    </row>
    <row r="584" spans="1:12" x14ac:dyDescent="0.25">
      <c r="A584">
        <v>922</v>
      </c>
      <c r="B584">
        <v>34691.907919999998</v>
      </c>
      <c r="C584">
        <v>34691.907919999998</v>
      </c>
      <c r="D584">
        <v>0</v>
      </c>
      <c r="E584">
        <v>1442.92534</v>
      </c>
      <c r="F584" s="1">
        <v>10.9</v>
      </c>
      <c r="H584">
        <v>922</v>
      </c>
      <c r="I584" t="str">
        <f t="shared" si="18"/>
        <v>YES</v>
      </c>
      <c r="J584" t="s">
        <v>590</v>
      </c>
      <c r="K584">
        <v>404860.906097</v>
      </c>
      <c r="L584">
        <f t="shared" si="19"/>
        <v>0</v>
      </c>
    </row>
    <row r="585" spans="1:12" x14ac:dyDescent="0.25">
      <c r="A585">
        <v>924</v>
      </c>
      <c r="B585">
        <v>32575.109820000001</v>
      </c>
      <c r="C585">
        <v>32575.109820000001</v>
      </c>
      <c r="D585">
        <v>0</v>
      </c>
      <c r="E585">
        <v>891.88144969999996</v>
      </c>
      <c r="F585" s="1">
        <v>6.33</v>
      </c>
      <c r="H585">
        <v>924</v>
      </c>
      <c r="I585" t="str">
        <f t="shared" si="18"/>
        <v>YES</v>
      </c>
      <c r="J585" t="s">
        <v>591</v>
      </c>
      <c r="K585">
        <v>141384.12230799999</v>
      </c>
      <c r="L585">
        <f t="shared" si="19"/>
        <v>0</v>
      </c>
    </row>
    <row r="586" spans="1:12" x14ac:dyDescent="0.25">
      <c r="A586">
        <v>925</v>
      </c>
      <c r="B586">
        <v>12529.0658</v>
      </c>
      <c r="C586">
        <v>12529.0658</v>
      </c>
      <c r="D586">
        <v>0</v>
      </c>
      <c r="E586">
        <v>3364.552475</v>
      </c>
      <c r="F586" s="1">
        <v>9.18</v>
      </c>
      <c r="H586">
        <v>925</v>
      </c>
      <c r="I586" t="str">
        <f t="shared" si="18"/>
        <v>YES</v>
      </c>
      <c r="J586" t="s">
        <v>592</v>
      </c>
      <c r="K586">
        <v>967983.48661400005</v>
      </c>
      <c r="L586">
        <f t="shared" si="19"/>
        <v>0</v>
      </c>
    </row>
    <row r="587" spans="1:12" x14ac:dyDescent="0.25">
      <c r="A587">
        <v>926</v>
      </c>
      <c r="B587">
        <v>15021.284970000001</v>
      </c>
      <c r="C587">
        <v>15021.284970000001</v>
      </c>
      <c r="D587">
        <v>0</v>
      </c>
      <c r="E587">
        <v>1.09993E-4</v>
      </c>
      <c r="F587" s="1">
        <v>3.5999999999999999E-7</v>
      </c>
      <c r="H587">
        <v>926</v>
      </c>
      <c r="I587" t="str">
        <f t="shared" si="18"/>
        <v>YES</v>
      </c>
      <c r="J587" t="s">
        <v>593</v>
      </c>
      <c r="K587">
        <v>475014.90169500001</v>
      </c>
      <c r="L587">
        <f t="shared" si="19"/>
        <v>0</v>
      </c>
    </row>
    <row r="588" spans="1:12" x14ac:dyDescent="0.25">
      <c r="A588">
        <v>927</v>
      </c>
      <c r="B588">
        <v>24950.530879999998</v>
      </c>
      <c r="C588">
        <v>24950.530879999998</v>
      </c>
      <c r="D588">
        <v>0</v>
      </c>
      <c r="E588">
        <v>1187.3008729999999</v>
      </c>
      <c r="F588" s="1">
        <v>6.45</v>
      </c>
      <c r="H588">
        <v>927</v>
      </c>
      <c r="I588" t="str">
        <f t="shared" si="18"/>
        <v>YES</v>
      </c>
      <c r="J588" t="s">
        <v>594</v>
      </c>
      <c r="K588">
        <v>257560.78964599999</v>
      </c>
      <c r="L588">
        <f t="shared" si="19"/>
        <v>0</v>
      </c>
    </row>
    <row r="589" spans="1:12" x14ac:dyDescent="0.25">
      <c r="A589">
        <v>928</v>
      </c>
      <c r="B589">
        <v>11503.207689999999</v>
      </c>
      <c r="C589">
        <v>11503.207689999999</v>
      </c>
      <c r="D589">
        <v>0</v>
      </c>
      <c r="E589">
        <v>1268.8312989999999</v>
      </c>
      <c r="F589" s="1">
        <v>3.18</v>
      </c>
      <c r="H589">
        <v>928</v>
      </c>
      <c r="I589" t="str">
        <f t="shared" si="18"/>
        <v>YES</v>
      </c>
      <c r="J589" t="s">
        <v>595</v>
      </c>
      <c r="K589">
        <v>433586.13212600001</v>
      </c>
      <c r="L589">
        <f t="shared" si="19"/>
        <v>0</v>
      </c>
    </row>
    <row r="590" spans="1:12" x14ac:dyDescent="0.25">
      <c r="A590">
        <v>931</v>
      </c>
      <c r="B590">
        <v>26392.8796</v>
      </c>
      <c r="C590">
        <v>26392.8796</v>
      </c>
      <c r="D590">
        <v>0</v>
      </c>
      <c r="E590">
        <v>2445.3070339999999</v>
      </c>
      <c r="F590" s="1">
        <v>14.1</v>
      </c>
      <c r="H590">
        <v>931</v>
      </c>
      <c r="I590" t="str">
        <f t="shared" si="18"/>
        <v>YES</v>
      </c>
      <c r="J590" t="s">
        <v>596</v>
      </c>
      <c r="K590">
        <v>520970.11295500002</v>
      </c>
      <c r="L590">
        <f t="shared" si="19"/>
        <v>0</v>
      </c>
    </row>
    <row r="591" spans="1:12" x14ac:dyDescent="0.25">
      <c r="A591">
        <v>932</v>
      </c>
      <c r="B591">
        <v>20695.098290000002</v>
      </c>
      <c r="C591">
        <v>20695.098290000002</v>
      </c>
      <c r="D591">
        <v>0</v>
      </c>
      <c r="E591">
        <v>2963.7935590000002</v>
      </c>
      <c r="F591" s="1">
        <v>13.4</v>
      </c>
      <c r="H591">
        <v>932</v>
      </c>
      <c r="I591" t="str">
        <f t="shared" si="18"/>
        <v>YES</v>
      </c>
      <c r="J591" t="s">
        <v>597</v>
      </c>
      <c r="K591">
        <v>725155.53879400005</v>
      </c>
      <c r="L591">
        <f t="shared" si="19"/>
        <v>0</v>
      </c>
    </row>
    <row r="592" spans="1:12" x14ac:dyDescent="0.25">
      <c r="A592">
        <v>933</v>
      </c>
      <c r="B592">
        <v>25714.871719999999</v>
      </c>
      <c r="C592">
        <v>25714.871719999999</v>
      </c>
      <c r="D592">
        <v>0</v>
      </c>
      <c r="E592">
        <v>1925.2925909999999</v>
      </c>
      <c r="F592" s="1">
        <v>10.8</v>
      </c>
      <c r="H592">
        <v>933</v>
      </c>
      <c r="I592" t="str">
        <f t="shared" si="18"/>
        <v>YES</v>
      </c>
      <c r="J592" t="s">
        <v>598</v>
      </c>
      <c r="K592">
        <v>348468.75813500001</v>
      </c>
      <c r="L592">
        <f t="shared" si="19"/>
        <v>0</v>
      </c>
    </row>
    <row r="593" spans="1:12" x14ac:dyDescent="0.25">
      <c r="A593">
        <v>934</v>
      </c>
      <c r="B593">
        <v>23296.070749999999</v>
      </c>
      <c r="C593">
        <v>23296.070749999999</v>
      </c>
      <c r="D593">
        <v>0</v>
      </c>
      <c r="E593">
        <v>2460.8741239999999</v>
      </c>
      <c r="F593" s="1">
        <v>12.5</v>
      </c>
      <c r="H593">
        <v>934</v>
      </c>
      <c r="I593" t="str">
        <f t="shared" si="18"/>
        <v>YES</v>
      </c>
      <c r="J593" t="s">
        <v>599</v>
      </c>
      <c r="K593">
        <v>554213.71558800002</v>
      </c>
      <c r="L593">
        <f t="shared" si="19"/>
        <v>0</v>
      </c>
    </row>
    <row r="594" spans="1:12" x14ac:dyDescent="0.25">
      <c r="A594">
        <v>935</v>
      </c>
      <c r="B594">
        <v>22919.660609999999</v>
      </c>
      <c r="C594">
        <v>22919.660609999999</v>
      </c>
      <c r="D594">
        <v>0</v>
      </c>
      <c r="E594">
        <v>3541.6196329999998</v>
      </c>
      <c r="F594" s="1">
        <v>17.7</v>
      </c>
      <c r="H594">
        <v>935</v>
      </c>
      <c r="I594" t="str">
        <f t="shared" si="18"/>
        <v>YES</v>
      </c>
      <c r="J594" t="s">
        <v>600</v>
      </c>
      <c r="K594">
        <v>871352.31171899999</v>
      </c>
      <c r="L594">
        <f t="shared" si="19"/>
        <v>0</v>
      </c>
    </row>
    <row r="595" spans="1:12" x14ac:dyDescent="0.25">
      <c r="A595">
        <v>936</v>
      </c>
      <c r="B595">
        <v>25618.95966</v>
      </c>
      <c r="C595">
        <v>25618.95966</v>
      </c>
      <c r="D595">
        <v>0</v>
      </c>
      <c r="E595">
        <v>4663.1130590000002</v>
      </c>
      <c r="F595" s="1">
        <v>26</v>
      </c>
      <c r="H595">
        <v>936</v>
      </c>
      <c r="I595" t="str">
        <f t="shared" si="18"/>
        <v>YES</v>
      </c>
      <c r="J595" t="s">
        <v>601</v>
      </c>
      <c r="K595">
        <v>943867.58776200004</v>
      </c>
      <c r="L595">
        <f t="shared" si="19"/>
        <v>0</v>
      </c>
    </row>
    <row r="596" spans="1:12" x14ac:dyDescent="0.25">
      <c r="A596">
        <v>939</v>
      </c>
      <c r="B596">
        <v>189359.4944</v>
      </c>
      <c r="C596">
        <v>189359.4944</v>
      </c>
      <c r="D596">
        <v>0</v>
      </c>
      <c r="E596">
        <v>2636.2374260000001</v>
      </c>
      <c r="F596" s="1">
        <v>109</v>
      </c>
      <c r="H596">
        <v>939</v>
      </c>
      <c r="I596" t="str">
        <f t="shared" si="18"/>
        <v>YES</v>
      </c>
      <c r="J596" t="s">
        <v>602</v>
      </c>
      <c r="K596">
        <v>511547.50096999999</v>
      </c>
      <c r="L596">
        <f t="shared" si="19"/>
        <v>0</v>
      </c>
    </row>
    <row r="597" spans="1:12" x14ac:dyDescent="0.25">
      <c r="A597">
        <v>940</v>
      </c>
      <c r="B597">
        <v>30557.731520000001</v>
      </c>
      <c r="C597">
        <v>30557.731520000001</v>
      </c>
      <c r="D597">
        <v>0</v>
      </c>
      <c r="E597">
        <v>1896.9659799999999</v>
      </c>
      <c r="F597" s="1">
        <v>12.6</v>
      </c>
      <c r="H597">
        <v>940</v>
      </c>
      <c r="I597" t="str">
        <f t="shared" si="18"/>
        <v>YES</v>
      </c>
      <c r="J597" t="s">
        <v>603</v>
      </c>
      <c r="K597">
        <v>327875.55789599998</v>
      </c>
      <c r="L597">
        <f t="shared" si="19"/>
        <v>0</v>
      </c>
    </row>
    <row r="598" spans="1:12" x14ac:dyDescent="0.25">
      <c r="A598">
        <v>941</v>
      </c>
      <c r="B598">
        <v>32064.006539999998</v>
      </c>
      <c r="C598">
        <v>32064.006539999998</v>
      </c>
      <c r="D598">
        <v>0</v>
      </c>
      <c r="E598">
        <v>3094.9331529999999</v>
      </c>
      <c r="F598" s="1">
        <v>21.6</v>
      </c>
      <c r="H598">
        <v>941</v>
      </c>
      <c r="I598" t="str">
        <f t="shared" si="18"/>
        <v>YES</v>
      </c>
      <c r="J598" t="s">
        <v>604</v>
      </c>
      <c r="K598">
        <v>351866.773399</v>
      </c>
      <c r="L598">
        <f t="shared" si="19"/>
        <v>0</v>
      </c>
    </row>
    <row r="599" spans="1:12" x14ac:dyDescent="0.25">
      <c r="A599">
        <v>942</v>
      </c>
      <c r="B599">
        <v>15466.043600000001</v>
      </c>
      <c r="C599">
        <v>15466.043600000001</v>
      </c>
      <c r="D599">
        <v>0</v>
      </c>
      <c r="E599">
        <v>2433.9364150000001</v>
      </c>
      <c r="F599" s="1">
        <v>8.1999999999999993</v>
      </c>
      <c r="H599">
        <v>942</v>
      </c>
      <c r="I599" t="str">
        <f t="shared" si="18"/>
        <v>YES</v>
      </c>
      <c r="J599" t="s">
        <v>605</v>
      </c>
      <c r="K599">
        <v>375386.87634999998</v>
      </c>
      <c r="L599">
        <f t="shared" si="19"/>
        <v>0</v>
      </c>
    </row>
    <row r="600" spans="1:12" x14ac:dyDescent="0.25">
      <c r="A600">
        <v>943</v>
      </c>
      <c r="B600">
        <v>18569.85785</v>
      </c>
      <c r="C600">
        <v>18569.85785</v>
      </c>
      <c r="D600">
        <v>0</v>
      </c>
      <c r="E600">
        <v>2759.9646029999999</v>
      </c>
      <c r="F600" s="1">
        <v>11.2</v>
      </c>
      <c r="H600">
        <v>943</v>
      </c>
      <c r="I600" t="str">
        <f t="shared" si="18"/>
        <v>YES</v>
      </c>
      <c r="J600" t="s">
        <v>606</v>
      </c>
      <c r="K600">
        <v>351426.77342400001</v>
      </c>
      <c r="L600">
        <f t="shared" si="19"/>
        <v>0</v>
      </c>
    </row>
    <row r="601" spans="1:12" x14ac:dyDescent="0.25">
      <c r="A601">
        <v>944</v>
      </c>
      <c r="B601">
        <v>24252.207149999998</v>
      </c>
      <c r="C601">
        <v>24252.207149999998</v>
      </c>
      <c r="D601">
        <v>0</v>
      </c>
      <c r="E601">
        <v>1827.0394349999999</v>
      </c>
      <c r="F601" s="1">
        <v>9.65</v>
      </c>
      <c r="H601">
        <v>944</v>
      </c>
      <c r="I601" t="str">
        <f t="shared" si="18"/>
        <v>YES</v>
      </c>
      <c r="J601" t="s">
        <v>607</v>
      </c>
      <c r="K601">
        <v>350826.65915700002</v>
      </c>
      <c r="L601">
        <f t="shared" si="19"/>
        <v>0</v>
      </c>
    </row>
    <row r="602" spans="1:12" x14ac:dyDescent="0.25">
      <c r="A602">
        <v>945</v>
      </c>
      <c r="B602">
        <v>28941.796880000002</v>
      </c>
      <c r="C602">
        <v>28941.796880000002</v>
      </c>
      <c r="D602">
        <v>0</v>
      </c>
      <c r="E602">
        <v>2012.9474299999999</v>
      </c>
      <c r="F602" s="1">
        <v>12.7</v>
      </c>
      <c r="H602">
        <v>945</v>
      </c>
      <c r="I602" t="str">
        <f t="shared" si="18"/>
        <v>YES</v>
      </c>
      <c r="J602" t="s">
        <v>608</v>
      </c>
      <c r="K602">
        <v>228642.668637</v>
      </c>
      <c r="L602">
        <f t="shared" si="19"/>
        <v>0</v>
      </c>
    </row>
    <row r="603" spans="1:12" x14ac:dyDescent="0.25">
      <c r="A603">
        <v>946</v>
      </c>
      <c r="B603">
        <v>22446.759050000001</v>
      </c>
      <c r="C603">
        <v>22446.759050000001</v>
      </c>
      <c r="D603">
        <v>0</v>
      </c>
      <c r="E603">
        <v>937.97555769999997</v>
      </c>
      <c r="F603" s="1">
        <v>4.58</v>
      </c>
      <c r="H603">
        <v>946</v>
      </c>
      <c r="I603" t="str">
        <f t="shared" si="18"/>
        <v>YES</v>
      </c>
      <c r="J603" t="s">
        <v>609</v>
      </c>
      <c r="K603">
        <v>199292.36973599999</v>
      </c>
      <c r="L603">
        <f t="shared" si="19"/>
        <v>0</v>
      </c>
    </row>
    <row r="604" spans="1:12" x14ac:dyDescent="0.25">
      <c r="A604">
        <v>949</v>
      </c>
      <c r="B604">
        <v>13925.48949</v>
      </c>
      <c r="C604">
        <v>13925.48949</v>
      </c>
      <c r="D604">
        <v>0</v>
      </c>
      <c r="E604">
        <v>1647.9415799999999</v>
      </c>
      <c r="F604" s="1">
        <v>5</v>
      </c>
      <c r="H604">
        <v>949</v>
      </c>
      <c r="I604" t="str">
        <f t="shared" si="18"/>
        <v>YES</v>
      </c>
      <c r="J604" t="s">
        <v>610</v>
      </c>
      <c r="K604">
        <v>652429.91200100002</v>
      </c>
      <c r="L604">
        <f t="shared" si="19"/>
        <v>0</v>
      </c>
    </row>
    <row r="605" spans="1:12" x14ac:dyDescent="0.25">
      <c r="A605">
        <v>950</v>
      </c>
      <c r="B605">
        <v>86729.290500000003</v>
      </c>
      <c r="C605">
        <v>86729.290500000003</v>
      </c>
      <c r="D605">
        <v>0</v>
      </c>
      <c r="E605">
        <v>2407.5273029999998</v>
      </c>
      <c r="F605" s="1">
        <v>45.5</v>
      </c>
      <c r="H605">
        <v>950</v>
      </c>
      <c r="I605" t="str">
        <f t="shared" si="18"/>
        <v>YES</v>
      </c>
      <c r="J605" t="s">
        <v>611</v>
      </c>
      <c r="K605">
        <v>929737.37769899995</v>
      </c>
      <c r="L605">
        <f t="shared" si="19"/>
        <v>0</v>
      </c>
    </row>
    <row r="606" spans="1:12" x14ac:dyDescent="0.25">
      <c r="A606">
        <v>951</v>
      </c>
      <c r="B606">
        <v>36406.379240000002</v>
      </c>
      <c r="C606">
        <v>36406.379240000002</v>
      </c>
      <c r="D606">
        <v>0</v>
      </c>
      <c r="E606">
        <v>2683.0088019999998</v>
      </c>
      <c r="F606" s="1">
        <v>21.3</v>
      </c>
      <c r="H606">
        <v>951</v>
      </c>
      <c r="I606" t="str">
        <f t="shared" si="18"/>
        <v>YES</v>
      </c>
      <c r="J606" t="s">
        <v>612</v>
      </c>
      <c r="K606">
        <v>796042.158635</v>
      </c>
      <c r="L606">
        <f t="shared" si="19"/>
        <v>0</v>
      </c>
    </row>
    <row r="607" spans="1:12" x14ac:dyDescent="0.25">
      <c r="A607">
        <v>952</v>
      </c>
      <c r="B607">
        <v>113352.9039</v>
      </c>
      <c r="C607">
        <v>113352.9039</v>
      </c>
      <c r="D607">
        <v>0</v>
      </c>
      <c r="E607">
        <v>2625.6794880000002</v>
      </c>
      <c r="F607" s="1">
        <v>64.8</v>
      </c>
      <c r="H607">
        <v>952</v>
      </c>
      <c r="I607" t="str">
        <f t="shared" si="18"/>
        <v>YES</v>
      </c>
      <c r="J607" t="s">
        <v>613</v>
      </c>
      <c r="K607">
        <v>349592.876781</v>
      </c>
      <c r="L607">
        <f t="shared" si="19"/>
        <v>0</v>
      </c>
    </row>
    <row r="608" spans="1:12" x14ac:dyDescent="0.25">
      <c r="A608">
        <v>953</v>
      </c>
      <c r="B608">
        <v>124479.32889999999</v>
      </c>
      <c r="C608">
        <v>124479.32889999999</v>
      </c>
      <c r="D608">
        <v>0</v>
      </c>
      <c r="E608">
        <v>551.93313420000004</v>
      </c>
      <c r="F608" s="1">
        <v>15</v>
      </c>
      <c r="H608">
        <v>953</v>
      </c>
      <c r="I608" t="str">
        <f t="shared" si="18"/>
        <v>YES</v>
      </c>
      <c r="J608" t="s">
        <v>614</v>
      </c>
      <c r="K608">
        <v>109748.023652</v>
      </c>
      <c r="L608">
        <f t="shared" si="19"/>
        <v>0</v>
      </c>
    </row>
    <row r="609" spans="1:12" x14ac:dyDescent="0.25">
      <c r="A609">
        <v>954</v>
      </c>
      <c r="B609">
        <v>41311.490330000001</v>
      </c>
      <c r="C609">
        <v>41311.490330000001</v>
      </c>
      <c r="D609">
        <v>0</v>
      </c>
      <c r="E609">
        <v>1486.761816</v>
      </c>
      <c r="F609" s="1">
        <v>13.4</v>
      </c>
      <c r="H609">
        <v>954</v>
      </c>
      <c r="I609" t="str">
        <f t="shared" si="18"/>
        <v>YES</v>
      </c>
      <c r="J609" t="s">
        <v>615</v>
      </c>
      <c r="K609">
        <v>248630.20559100001</v>
      </c>
      <c r="L609">
        <f t="shared" si="19"/>
        <v>0</v>
      </c>
    </row>
    <row r="610" spans="1:12" x14ac:dyDescent="0.25">
      <c r="A610">
        <v>955</v>
      </c>
      <c r="B610">
        <v>22205.102139999999</v>
      </c>
      <c r="C610">
        <v>22205.102139999999</v>
      </c>
      <c r="D610">
        <v>0</v>
      </c>
      <c r="E610">
        <v>2638.1478769999999</v>
      </c>
      <c r="F610" s="1">
        <v>12.8</v>
      </c>
      <c r="H610">
        <v>955</v>
      </c>
      <c r="I610" t="str">
        <f t="shared" si="18"/>
        <v>YES</v>
      </c>
      <c r="J610" t="s">
        <v>616</v>
      </c>
      <c r="K610">
        <v>382112.26332799997</v>
      </c>
      <c r="L610">
        <f t="shared" si="19"/>
        <v>0</v>
      </c>
    </row>
    <row r="611" spans="1:12" x14ac:dyDescent="0.25">
      <c r="A611">
        <v>958</v>
      </c>
      <c r="B611">
        <v>30960.744600000002</v>
      </c>
      <c r="C611">
        <v>30960.744600000002</v>
      </c>
      <c r="D611">
        <v>0</v>
      </c>
      <c r="E611">
        <v>1226.918081</v>
      </c>
      <c r="F611" s="1">
        <v>8.27</v>
      </c>
      <c r="H611">
        <v>958</v>
      </c>
      <c r="I611" t="str">
        <f t="shared" si="18"/>
        <v>YES</v>
      </c>
      <c r="J611" t="s">
        <v>617</v>
      </c>
      <c r="K611">
        <v>944379.11451999994</v>
      </c>
      <c r="L611">
        <f t="shared" si="19"/>
        <v>0</v>
      </c>
    </row>
    <row r="612" spans="1:12" x14ac:dyDescent="0.25">
      <c r="A612">
        <v>959</v>
      </c>
      <c r="B612">
        <v>9915.8390120000004</v>
      </c>
      <c r="C612">
        <v>9915.8390120000004</v>
      </c>
      <c r="D612">
        <v>0</v>
      </c>
      <c r="E612">
        <v>2242.8501550000001</v>
      </c>
      <c r="F612" s="1">
        <v>4.84</v>
      </c>
      <c r="H612">
        <v>959</v>
      </c>
      <c r="I612" t="str">
        <f t="shared" si="18"/>
        <v>YES</v>
      </c>
      <c r="J612" t="s">
        <v>618</v>
      </c>
      <c r="K612">
        <v>294570.24300399999</v>
      </c>
      <c r="L612">
        <f t="shared" si="19"/>
        <v>0</v>
      </c>
    </row>
    <row r="613" spans="1:12" x14ac:dyDescent="0.25">
      <c r="A613">
        <v>960</v>
      </c>
      <c r="B613">
        <v>13768.20939</v>
      </c>
      <c r="C613">
        <v>13768.20939</v>
      </c>
      <c r="D613">
        <v>0</v>
      </c>
      <c r="E613">
        <v>2093.8601170000002</v>
      </c>
      <c r="F613" s="1">
        <v>6.28</v>
      </c>
      <c r="H613">
        <v>960</v>
      </c>
      <c r="I613" t="str">
        <f t="shared" si="18"/>
        <v>YES</v>
      </c>
      <c r="J613" t="s">
        <v>619</v>
      </c>
      <c r="K613">
        <v>185105.12960700001</v>
      </c>
      <c r="L613">
        <f t="shared" si="19"/>
        <v>0</v>
      </c>
    </row>
    <row r="614" spans="1:12" x14ac:dyDescent="0.25">
      <c r="A614">
        <v>961</v>
      </c>
      <c r="B614">
        <v>28828.62887</v>
      </c>
      <c r="C614">
        <v>28828.62887</v>
      </c>
      <c r="D614">
        <v>0</v>
      </c>
      <c r="E614">
        <v>363.44427020000001</v>
      </c>
      <c r="F614" s="1">
        <v>2.2799999999999998</v>
      </c>
      <c r="H614">
        <v>961</v>
      </c>
      <c r="I614" t="str">
        <f t="shared" si="18"/>
        <v>YES</v>
      </c>
      <c r="J614" t="s">
        <v>620</v>
      </c>
      <c r="K614">
        <v>710720.043252</v>
      </c>
      <c r="L614">
        <f t="shared" si="19"/>
        <v>0</v>
      </c>
    </row>
    <row r="615" spans="1:12" x14ac:dyDescent="0.25">
      <c r="A615">
        <v>962</v>
      </c>
      <c r="B615">
        <v>13431.31515</v>
      </c>
      <c r="C615">
        <v>13431.31515</v>
      </c>
      <c r="D615">
        <v>0</v>
      </c>
      <c r="E615">
        <v>1.13795E-4</v>
      </c>
      <c r="F615" s="1">
        <v>3.3299999999999998E-7</v>
      </c>
      <c r="H615">
        <v>962</v>
      </c>
      <c r="I615" t="str">
        <f t="shared" si="18"/>
        <v>YES</v>
      </c>
      <c r="J615" t="s">
        <v>621</v>
      </c>
      <c r="K615">
        <v>220747.944602</v>
      </c>
      <c r="L615">
        <f t="shared" si="19"/>
        <v>0</v>
      </c>
    </row>
    <row r="616" spans="1:12" x14ac:dyDescent="0.25">
      <c r="A616">
        <v>963</v>
      </c>
      <c r="B616">
        <v>59156.79148</v>
      </c>
      <c r="C616">
        <v>59156.79148</v>
      </c>
      <c r="D616">
        <v>0</v>
      </c>
      <c r="E616">
        <v>835.88481239999999</v>
      </c>
      <c r="F616" s="1">
        <v>10.8</v>
      </c>
      <c r="H616">
        <v>963</v>
      </c>
      <c r="I616" t="str">
        <f t="shared" si="18"/>
        <v>YES</v>
      </c>
      <c r="J616" t="s">
        <v>622</v>
      </c>
      <c r="K616">
        <v>122450.185048</v>
      </c>
      <c r="L616">
        <f t="shared" si="19"/>
        <v>0</v>
      </c>
    </row>
    <row r="617" spans="1:12" x14ac:dyDescent="0.25">
      <c r="A617">
        <v>964</v>
      </c>
      <c r="B617">
        <v>39832.541929999999</v>
      </c>
      <c r="C617">
        <v>39832.541929999999</v>
      </c>
      <c r="D617">
        <v>0</v>
      </c>
      <c r="E617">
        <v>4130.7239310000004</v>
      </c>
      <c r="F617" s="1">
        <v>35.799999999999997</v>
      </c>
      <c r="H617">
        <v>964</v>
      </c>
      <c r="I617" t="str">
        <f t="shared" si="18"/>
        <v>YES</v>
      </c>
      <c r="J617" t="s">
        <v>623</v>
      </c>
      <c r="K617">
        <v>248440.54564699999</v>
      </c>
      <c r="L617">
        <f t="shared" si="19"/>
        <v>0</v>
      </c>
    </row>
    <row r="618" spans="1:12" x14ac:dyDescent="0.25">
      <c r="A618">
        <v>965</v>
      </c>
      <c r="B618">
        <v>17946.223279999998</v>
      </c>
      <c r="C618">
        <v>17946.223279999998</v>
      </c>
      <c r="D618">
        <v>0</v>
      </c>
      <c r="E618">
        <v>1487.4875790000001</v>
      </c>
      <c r="F618" s="1">
        <v>5.81</v>
      </c>
      <c r="H618">
        <v>965</v>
      </c>
      <c r="I618" t="str">
        <f t="shared" si="18"/>
        <v>YES</v>
      </c>
      <c r="J618" t="s">
        <v>624</v>
      </c>
      <c r="K618">
        <v>382803.22037499998</v>
      </c>
      <c r="L618">
        <f t="shared" si="19"/>
        <v>0</v>
      </c>
    </row>
    <row r="619" spans="1:12" x14ac:dyDescent="0.25">
      <c r="A619">
        <v>966</v>
      </c>
      <c r="B619">
        <v>26131.921320000001</v>
      </c>
      <c r="C619">
        <v>26131.921320000001</v>
      </c>
      <c r="D619">
        <v>0</v>
      </c>
      <c r="E619">
        <v>2625.3774560000002</v>
      </c>
      <c r="F619" s="1">
        <v>14.9</v>
      </c>
      <c r="H619">
        <v>966</v>
      </c>
      <c r="I619" t="str">
        <f t="shared" si="18"/>
        <v>YES</v>
      </c>
      <c r="J619" t="s">
        <v>625</v>
      </c>
      <c r="K619">
        <v>446590.45392</v>
      </c>
      <c r="L619">
        <f t="shared" si="19"/>
        <v>0</v>
      </c>
    </row>
    <row r="620" spans="1:12" x14ac:dyDescent="0.25">
      <c r="A620">
        <v>967</v>
      </c>
      <c r="B620">
        <v>35399.701130000001</v>
      </c>
      <c r="C620">
        <v>35399.701130000001</v>
      </c>
      <c r="D620">
        <v>0</v>
      </c>
      <c r="E620">
        <v>1165.513142</v>
      </c>
      <c r="F620" s="1">
        <v>8.98</v>
      </c>
      <c r="H620">
        <v>967</v>
      </c>
      <c r="I620" t="str">
        <f t="shared" si="18"/>
        <v>YES</v>
      </c>
      <c r="J620" t="s">
        <v>626</v>
      </c>
      <c r="K620">
        <v>139223.94046099999</v>
      </c>
      <c r="L620">
        <f t="shared" si="19"/>
        <v>0</v>
      </c>
    </row>
    <row r="621" spans="1:12" x14ac:dyDescent="0.25">
      <c r="A621">
        <v>968</v>
      </c>
      <c r="B621">
        <v>39253.084779999997</v>
      </c>
      <c r="C621">
        <v>39253.084779999997</v>
      </c>
      <c r="D621">
        <v>0</v>
      </c>
      <c r="E621">
        <v>893.94034380000005</v>
      </c>
      <c r="F621" s="1">
        <v>7.64</v>
      </c>
      <c r="H621">
        <v>968</v>
      </c>
      <c r="I621" t="str">
        <f t="shared" si="18"/>
        <v>YES</v>
      </c>
      <c r="J621" t="s">
        <v>627</v>
      </c>
      <c r="K621">
        <v>141406.64768600001</v>
      </c>
      <c r="L621">
        <f t="shared" si="19"/>
        <v>0</v>
      </c>
    </row>
    <row r="622" spans="1:12" x14ac:dyDescent="0.25">
      <c r="A622">
        <v>969</v>
      </c>
      <c r="B622">
        <v>93465.793579999998</v>
      </c>
      <c r="C622">
        <v>93465.793579999998</v>
      </c>
      <c r="D622">
        <v>0</v>
      </c>
      <c r="E622">
        <v>2793.3786970000001</v>
      </c>
      <c r="F622" s="1">
        <v>56.8</v>
      </c>
      <c r="H622">
        <v>969</v>
      </c>
      <c r="I622" t="str">
        <f t="shared" si="18"/>
        <v>YES</v>
      </c>
      <c r="J622" t="s">
        <v>628</v>
      </c>
      <c r="K622">
        <v>163878.67733999999</v>
      </c>
      <c r="L622">
        <f t="shared" si="19"/>
        <v>0</v>
      </c>
    </row>
    <row r="623" spans="1:12" x14ac:dyDescent="0.25">
      <c r="A623">
        <v>970</v>
      </c>
      <c r="B623">
        <v>150778.6139</v>
      </c>
      <c r="C623">
        <v>150778.6139</v>
      </c>
      <c r="D623">
        <v>0</v>
      </c>
      <c r="E623">
        <v>1705.273915</v>
      </c>
      <c r="F623" s="1">
        <v>56</v>
      </c>
      <c r="H623">
        <v>970</v>
      </c>
      <c r="I623" t="str">
        <f t="shared" si="18"/>
        <v>YES</v>
      </c>
      <c r="J623" t="s">
        <v>629</v>
      </c>
      <c r="K623">
        <v>235445.69877399999</v>
      </c>
      <c r="L623">
        <f t="shared" si="19"/>
        <v>0</v>
      </c>
    </row>
    <row r="624" spans="1:12" x14ac:dyDescent="0.25">
      <c r="A624">
        <v>971</v>
      </c>
      <c r="B624">
        <v>99679.657680000004</v>
      </c>
      <c r="C624">
        <v>99679.657680000004</v>
      </c>
      <c r="D624">
        <v>0</v>
      </c>
      <c r="E624">
        <v>1649.0930880000001</v>
      </c>
      <c r="F624" s="1">
        <v>35.799999999999997</v>
      </c>
      <c r="H624">
        <v>971</v>
      </c>
      <c r="I624" t="str">
        <f t="shared" si="18"/>
        <v>YES</v>
      </c>
      <c r="J624" t="s">
        <v>630</v>
      </c>
      <c r="K624">
        <v>70705.705098799997</v>
      </c>
      <c r="L624">
        <f t="shared" si="19"/>
        <v>0</v>
      </c>
    </row>
    <row r="625" spans="1:12" x14ac:dyDescent="0.25">
      <c r="A625">
        <v>972</v>
      </c>
      <c r="B625">
        <v>10677.46171</v>
      </c>
      <c r="C625">
        <v>10677.46171</v>
      </c>
      <c r="D625">
        <v>0</v>
      </c>
      <c r="E625">
        <v>1810.3916589999999</v>
      </c>
      <c r="F625" s="1">
        <v>4.21</v>
      </c>
      <c r="H625">
        <v>972</v>
      </c>
      <c r="I625" t="str">
        <f t="shared" si="18"/>
        <v>YES</v>
      </c>
      <c r="J625" t="s">
        <v>631</v>
      </c>
      <c r="K625">
        <v>901608.22981199995</v>
      </c>
      <c r="L625">
        <f t="shared" si="19"/>
        <v>0</v>
      </c>
    </row>
    <row r="626" spans="1:12" x14ac:dyDescent="0.25">
      <c r="A626">
        <v>973</v>
      </c>
      <c r="B626">
        <v>20651.81091</v>
      </c>
      <c r="C626">
        <v>20651.81091</v>
      </c>
      <c r="D626">
        <v>0</v>
      </c>
      <c r="E626">
        <v>1740.669175</v>
      </c>
      <c r="F626" s="1">
        <v>7.83</v>
      </c>
      <c r="H626">
        <v>973</v>
      </c>
      <c r="I626" t="str">
        <f t="shared" si="18"/>
        <v>YES</v>
      </c>
      <c r="J626" t="s">
        <v>632</v>
      </c>
      <c r="K626">
        <v>573541.84924200003</v>
      </c>
      <c r="L626">
        <f t="shared" si="19"/>
        <v>0</v>
      </c>
    </row>
    <row r="627" spans="1:12" x14ac:dyDescent="0.25">
      <c r="A627">
        <v>974</v>
      </c>
      <c r="B627">
        <v>53872.163809999998</v>
      </c>
      <c r="C627">
        <v>53872.163809999998</v>
      </c>
      <c r="D627">
        <v>0</v>
      </c>
      <c r="E627">
        <v>4455.2970109999997</v>
      </c>
      <c r="F627" s="1">
        <v>52.3</v>
      </c>
      <c r="H627">
        <v>974</v>
      </c>
      <c r="I627" t="str">
        <f t="shared" si="18"/>
        <v>YES</v>
      </c>
      <c r="J627" t="s">
        <v>633</v>
      </c>
      <c r="K627">
        <v>581261.33409599995</v>
      </c>
      <c r="L627">
        <f t="shared" si="19"/>
        <v>0</v>
      </c>
    </row>
    <row r="628" spans="1:12" x14ac:dyDescent="0.25">
      <c r="A628">
        <v>975</v>
      </c>
      <c r="B628">
        <v>29532.687290000002</v>
      </c>
      <c r="C628">
        <v>29532.687290000002</v>
      </c>
      <c r="D628">
        <v>0</v>
      </c>
      <c r="E628">
        <v>2386.0297260000002</v>
      </c>
      <c r="F628" s="1">
        <v>15.3</v>
      </c>
      <c r="H628">
        <v>975</v>
      </c>
      <c r="I628" t="str">
        <f t="shared" si="18"/>
        <v>YES</v>
      </c>
      <c r="J628" t="s">
        <v>634</v>
      </c>
      <c r="K628">
        <v>262502.59115300002</v>
      </c>
      <c r="L628">
        <f t="shared" si="19"/>
        <v>0</v>
      </c>
    </row>
    <row r="629" spans="1:12" x14ac:dyDescent="0.25">
      <c r="A629">
        <v>976</v>
      </c>
      <c r="B629">
        <v>2113.3096019999998</v>
      </c>
      <c r="C629">
        <v>2113.3096019999998</v>
      </c>
      <c r="D629">
        <v>0</v>
      </c>
      <c r="E629">
        <v>1.06536E-4</v>
      </c>
      <c r="F629" s="1">
        <v>4.9000000000000002E-8</v>
      </c>
      <c r="H629">
        <v>976</v>
      </c>
      <c r="I629" t="str">
        <f t="shared" si="18"/>
        <v>YES</v>
      </c>
      <c r="J629" t="s">
        <v>635</v>
      </c>
      <c r="K629">
        <v>446873.191742</v>
      </c>
      <c r="L629">
        <f t="shared" si="19"/>
        <v>0</v>
      </c>
    </row>
    <row r="630" spans="1:12" x14ac:dyDescent="0.25">
      <c r="A630">
        <v>977</v>
      </c>
      <c r="B630">
        <v>10954.87923</v>
      </c>
      <c r="C630">
        <v>10954.87923</v>
      </c>
      <c r="D630">
        <v>0</v>
      </c>
      <c r="E630">
        <v>1519.9567669999999</v>
      </c>
      <c r="F630" s="1">
        <v>3.63</v>
      </c>
      <c r="H630">
        <v>977</v>
      </c>
      <c r="I630" t="str">
        <f t="shared" si="18"/>
        <v>YES</v>
      </c>
      <c r="J630" t="s">
        <v>636</v>
      </c>
      <c r="K630">
        <v>518717.01106699998</v>
      </c>
      <c r="L630">
        <f t="shared" si="19"/>
        <v>0</v>
      </c>
    </row>
    <row r="631" spans="1:12" x14ac:dyDescent="0.25">
      <c r="A631">
        <v>978</v>
      </c>
      <c r="B631">
        <v>3082.518626</v>
      </c>
      <c r="C631">
        <v>3082.518626</v>
      </c>
      <c r="D631">
        <v>0</v>
      </c>
      <c r="E631">
        <v>2123.3490929999998</v>
      </c>
      <c r="F631" s="1">
        <v>1.43</v>
      </c>
      <c r="H631">
        <v>978</v>
      </c>
      <c r="I631" t="str">
        <f t="shared" si="18"/>
        <v>YES</v>
      </c>
      <c r="J631" t="s">
        <v>637</v>
      </c>
      <c r="K631">
        <v>916381.34262100002</v>
      </c>
      <c r="L631">
        <f t="shared" si="19"/>
        <v>0</v>
      </c>
    </row>
    <row r="632" spans="1:12" x14ac:dyDescent="0.25">
      <c r="A632">
        <v>979</v>
      </c>
      <c r="B632">
        <v>22360.274600000001</v>
      </c>
      <c r="C632">
        <v>22360.274600000001</v>
      </c>
      <c r="D632">
        <v>0</v>
      </c>
      <c r="E632">
        <v>1518.106871</v>
      </c>
      <c r="F632" s="1">
        <v>7.39</v>
      </c>
      <c r="H632">
        <v>979</v>
      </c>
      <c r="I632" t="str">
        <f t="shared" si="18"/>
        <v>YES</v>
      </c>
      <c r="J632" t="s">
        <v>638</v>
      </c>
      <c r="K632">
        <v>493280.17449499998</v>
      </c>
      <c r="L632">
        <f t="shared" si="19"/>
        <v>0</v>
      </c>
    </row>
    <row r="633" spans="1:12" x14ac:dyDescent="0.25">
      <c r="A633">
        <v>980</v>
      </c>
      <c r="B633">
        <v>30688.757310000001</v>
      </c>
      <c r="C633">
        <v>30688.757310000001</v>
      </c>
      <c r="D633">
        <v>0</v>
      </c>
      <c r="E633">
        <v>934.66664530000003</v>
      </c>
      <c r="F633" s="1">
        <v>6.25</v>
      </c>
      <c r="H633">
        <v>980</v>
      </c>
      <c r="I633" t="str">
        <f t="shared" si="18"/>
        <v>YES</v>
      </c>
      <c r="J633" t="s">
        <v>639</v>
      </c>
      <c r="K633">
        <v>249419.637525</v>
      </c>
      <c r="L633">
        <f t="shared" si="19"/>
        <v>0</v>
      </c>
    </row>
    <row r="634" spans="1:12" x14ac:dyDescent="0.25">
      <c r="A634">
        <v>981</v>
      </c>
      <c r="B634">
        <v>9729.7194710000003</v>
      </c>
      <c r="C634">
        <v>9729.7194710000003</v>
      </c>
      <c r="D634">
        <v>0</v>
      </c>
      <c r="E634">
        <v>1678.1398750000001</v>
      </c>
      <c r="F634" s="1">
        <v>3.56</v>
      </c>
      <c r="H634">
        <v>981</v>
      </c>
      <c r="I634" t="str">
        <f t="shared" si="18"/>
        <v>YES</v>
      </c>
      <c r="J634" t="s">
        <v>640</v>
      </c>
      <c r="K634">
        <v>555786.46935399994</v>
      </c>
      <c r="L634">
        <f t="shared" si="19"/>
        <v>0</v>
      </c>
    </row>
    <row r="635" spans="1:12" x14ac:dyDescent="0.25">
      <c r="A635">
        <v>982</v>
      </c>
      <c r="B635">
        <v>23459.463159999999</v>
      </c>
      <c r="C635">
        <v>23459.463159999999</v>
      </c>
      <c r="D635">
        <v>0</v>
      </c>
      <c r="E635">
        <v>1979.6473719999999</v>
      </c>
      <c r="F635" s="1">
        <v>10.1</v>
      </c>
      <c r="H635">
        <v>982</v>
      </c>
      <c r="I635" t="str">
        <f t="shared" si="18"/>
        <v>YES</v>
      </c>
      <c r="J635" t="s">
        <v>641</v>
      </c>
      <c r="K635">
        <v>471142.047036</v>
      </c>
      <c r="L635">
        <f t="shared" si="19"/>
        <v>0</v>
      </c>
    </row>
    <row r="636" spans="1:12" x14ac:dyDescent="0.25">
      <c r="A636">
        <v>983</v>
      </c>
      <c r="B636">
        <v>23665.963169999999</v>
      </c>
      <c r="C636">
        <v>23665.963169999999</v>
      </c>
      <c r="D636">
        <v>0</v>
      </c>
      <c r="E636">
        <v>3726.066597</v>
      </c>
      <c r="F636" s="1">
        <v>19.2</v>
      </c>
      <c r="H636">
        <v>983</v>
      </c>
      <c r="I636" t="str">
        <f t="shared" si="18"/>
        <v>YES</v>
      </c>
      <c r="J636" t="s">
        <v>642</v>
      </c>
      <c r="K636">
        <v>889224.30799400003</v>
      </c>
      <c r="L636">
        <f t="shared" si="19"/>
        <v>0</v>
      </c>
    </row>
    <row r="637" spans="1:12" x14ac:dyDescent="0.25">
      <c r="A637">
        <v>984</v>
      </c>
      <c r="B637">
        <v>3024.2682639999998</v>
      </c>
      <c r="C637">
        <v>3024.2682639999998</v>
      </c>
      <c r="D637">
        <v>0</v>
      </c>
      <c r="E637">
        <v>16.933403389999999</v>
      </c>
      <c r="F637" s="1">
        <v>1.12E-2</v>
      </c>
      <c r="H637">
        <v>984</v>
      </c>
      <c r="I637" t="str">
        <f t="shared" si="18"/>
        <v>YES</v>
      </c>
      <c r="J637" t="s">
        <v>643</v>
      </c>
      <c r="K637">
        <v>1617298.5200499999</v>
      </c>
      <c r="L637">
        <f t="shared" si="19"/>
        <v>0</v>
      </c>
    </row>
    <row r="638" spans="1:12" x14ac:dyDescent="0.25">
      <c r="A638">
        <v>999</v>
      </c>
      <c r="B638">
        <v>37481.171190000001</v>
      </c>
      <c r="C638">
        <v>37481.171190000001</v>
      </c>
      <c r="D638">
        <v>0</v>
      </c>
      <c r="E638">
        <v>892.32476120000001</v>
      </c>
      <c r="F638" s="1">
        <v>7.28</v>
      </c>
      <c r="H638">
        <v>999</v>
      </c>
      <c r="I638" t="str">
        <f t="shared" si="18"/>
        <v>YES</v>
      </c>
      <c r="J638" t="s">
        <v>644</v>
      </c>
      <c r="K638">
        <v>239941.690745</v>
      </c>
      <c r="L638">
        <f t="shared" si="19"/>
        <v>0</v>
      </c>
    </row>
    <row r="639" spans="1:12" x14ac:dyDescent="0.25">
      <c r="A639">
        <v>1000</v>
      </c>
      <c r="B639">
        <v>9102.3904789999997</v>
      </c>
      <c r="C639">
        <v>9102.3904789999997</v>
      </c>
      <c r="D639">
        <v>0</v>
      </c>
      <c r="E639">
        <v>4493.1020440000002</v>
      </c>
      <c r="F639" s="1">
        <v>8.9</v>
      </c>
      <c r="H639">
        <v>1000</v>
      </c>
      <c r="I639" t="str">
        <f t="shared" si="18"/>
        <v>YES</v>
      </c>
      <c r="J639" t="s">
        <v>645</v>
      </c>
      <c r="K639">
        <v>883282.13539700001</v>
      </c>
      <c r="L639">
        <f t="shared" si="19"/>
        <v>0</v>
      </c>
    </row>
    <row r="640" spans="1:12" x14ac:dyDescent="0.25">
      <c r="A640">
        <v>1001</v>
      </c>
      <c r="B640">
        <v>5976.3029880000004</v>
      </c>
      <c r="C640">
        <v>5976.3029880000004</v>
      </c>
      <c r="D640">
        <v>0</v>
      </c>
      <c r="E640">
        <v>15.16222228</v>
      </c>
      <c r="F640" s="1">
        <v>1.9699999999999999E-2</v>
      </c>
      <c r="H640">
        <v>1001</v>
      </c>
      <c r="I640" t="str">
        <f t="shared" si="18"/>
        <v>YES</v>
      </c>
      <c r="J640" t="s">
        <v>646</v>
      </c>
      <c r="K640">
        <v>1107355.4142799999</v>
      </c>
      <c r="L640">
        <f t="shared" si="19"/>
        <v>0</v>
      </c>
    </row>
    <row r="641" spans="1:12" x14ac:dyDescent="0.25">
      <c r="A641">
        <v>1002</v>
      </c>
      <c r="B641">
        <v>10370.900030000001</v>
      </c>
      <c r="C641">
        <v>10370.900030000001</v>
      </c>
      <c r="D641">
        <v>0</v>
      </c>
      <c r="E641">
        <v>2348.4586469999999</v>
      </c>
      <c r="F641" s="1">
        <v>5.3</v>
      </c>
      <c r="H641">
        <v>1002</v>
      </c>
      <c r="I641" t="str">
        <f t="shared" si="18"/>
        <v>YES</v>
      </c>
      <c r="J641" t="s">
        <v>647</v>
      </c>
      <c r="K641">
        <v>752986.37013000005</v>
      </c>
      <c r="L641">
        <f t="shared" si="19"/>
        <v>0</v>
      </c>
    </row>
    <row r="642" spans="1:12" x14ac:dyDescent="0.25">
      <c r="A642">
        <v>1003</v>
      </c>
      <c r="B642">
        <v>13588.61627</v>
      </c>
      <c r="C642">
        <v>13588.61627</v>
      </c>
      <c r="D642">
        <v>0</v>
      </c>
      <c r="E642">
        <v>2296.3082810000001</v>
      </c>
      <c r="F642" s="1">
        <v>6.79</v>
      </c>
      <c r="H642">
        <v>1003</v>
      </c>
      <c r="I642" t="str">
        <f t="shared" si="18"/>
        <v>YES</v>
      </c>
      <c r="J642" t="s">
        <v>648</v>
      </c>
      <c r="K642">
        <v>356557.22643500002</v>
      </c>
      <c r="L642">
        <f t="shared" si="19"/>
        <v>0</v>
      </c>
    </row>
    <row r="643" spans="1:12" x14ac:dyDescent="0.25">
      <c r="A643">
        <v>1004</v>
      </c>
      <c r="B643">
        <v>3823.2045480000002</v>
      </c>
      <c r="C643">
        <v>3823.2045480000002</v>
      </c>
      <c r="D643">
        <v>0</v>
      </c>
      <c r="E643">
        <v>2678.9012899999998</v>
      </c>
      <c r="F643" s="1">
        <v>2.23</v>
      </c>
      <c r="H643">
        <v>1004</v>
      </c>
      <c r="I643" t="str">
        <f t="shared" ref="I643:I706" si="20">IF(A643=H643,"YES","NO")</f>
        <v>YES</v>
      </c>
      <c r="J643" t="s">
        <v>649</v>
      </c>
      <c r="K643">
        <v>769744.54212</v>
      </c>
      <c r="L643">
        <f t="shared" ref="L643:L706" si="21">EXP(0.2052)*K643*(D643/C643)</f>
        <v>0</v>
      </c>
    </row>
    <row r="644" spans="1:12" x14ac:dyDescent="0.25">
      <c r="A644">
        <v>1005</v>
      </c>
      <c r="B644">
        <v>4097.4531889999998</v>
      </c>
      <c r="C644">
        <v>4097.4531889999998</v>
      </c>
      <c r="D644">
        <v>0</v>
      </c>
      <c r="E644">
        <v>2517.845014</v>
      </c>
      <c r="F644" s="1">
        <v>2.25</v>
      </c>
      <c r="H644">
        <v>1005</v>
      </c>
      <c r="I644" t="str">
        <f t="shared" si="20"/>
        <v>YES</v>
      </c>
      <c r="J644" t="s">
        <v>650</v>
      </c>
      <c r="K644">
        <v>751410.13378699997</v>
      </c>
      <c r="L644">
        <f t="shared" si="21"/>
        <v>0</v>
      </c>
    </row>
    <row r="645" spans="1:12" x14ac:dyDescent="0.25">
      <c r="A645">
        <v>1006</v>
      </c>
      <c r="B645">
        <v>46838.221960000003</v>
      </c>
      <c r="C645">
        <v>46838.221960000003</v>
      </c>
      <c r="D645">
        <v>0</v>
      </c>
      <c r="E645">
        <v>1093.0645239999999</v>
      </c>
      <c r="F645" s="1">
        <v>11.1</v>
      </c>
      <c r="H645">
        <v>1006</v>
      </c>
      <c r="I645" t="str">
        <f t="shared" si="20"/>
        <v>YES</v>
      </c>
      <c r="J645" t="s">
        <v>651</v>
      </c>
      <c r="K645">
        <v>249561.513507</v>
      </c>
      <c r="L645">
        <f t="shared" si="21"/>
        <v>0</v>
      </c>
    </row>
    <row r="646" spans="1:12" x14ac:dyDescent="0.25">
      <c r="A646">
        <v>1007</v>
      </c>
      <c r="B646">
        <v>103879.3089</v>
      </c>
      <c r="C646">
        <v>103879.3089</v>
      </c>
      <c r="D646">
        <v>0</v>
      </c>
      <c r="E646">
        <v>2087.2522140000001</v>
      </c>
      <c r="F646" s="1">
        <v>47.2</v>
      </c>
      <c r="H646">
        <v>1007</v>
      </c>
      <c r="I646" t="str">
        <f t="shared" si="20"/>
        <v>YES</v>
      </c>
      <c r="J646" t="s">
        <v>652</v>
      </c>
      <c r="K646">
        <v>322920.266833</v>
      </c>
      <c r="L646">
        <f t="shared" si="21"/>
        <v>0</v>
      </c>
    </row>
    <row r="647" spans="1:12" x14ac:dyDescent="0.25">
      <c r="A647">
        <v>1008</v>
      </c>
      <c r="B647">
        <v>4167.5393560000002</v>
      </c>
      <c r="C647">
        <v>4167.5393560000002</v>
      </c>
      <c r="D647">
        <v>0</v>
      </c>
      <c r="E647">
        <v>1457.067515</v>
      </c>
      <c r="F647" s="1">
        <v>1.32</v>
      </c>
      <c r="H647">
        <v>1008</v>
      </c>
      <c r="I647" t="str">
        <f t="shared" si="20"/>
        <v>YES</v>
      </c>
      <c r="J647" t="s">
        <v>653</v>
      </c>
      <c r="K647">
        <v>583631.76972400001</v>
      </c>
      <c r="L647">
        <f t="shared" si="21"/>
        <v>0</v>
      </c>
    </row>
    <row r="648" spans="1:12" x14ac:dyDescent="0.25">
      <c r="A648">
        <v>1009</v>
      </c>
      <c r="B648">
        <v>76153.406050000005</v>
      </c>
      <c r="C648">
        <v>76153.406050000005</v>
      </c>
      <c r="D648">
        <v>0</v>
      </c>
      <c r="E648">
        <v>2433.9838960000002</v>
      </c>
      <c r="F648" s="1">
        <v>40.4</v>
      </c>
      <c r="H648">
        <v>1009</v>
      </c>
      <c r="I648" t="str">
        <f t="shared" si="20"/>
        <v>YES</v>
      </c>
      <c r="J648" t="s">
        <v>654</v>
      </c>
      <c r="K648">
        <v>461530.84427599999</v>
      </c>
      <c r="L648">
        <f t="shared" si="21"/>
        <v>0</v>
      </c>
    </row>
    <row r="649" spans="1:12" x14ac:dyDescent="0.25">
      <c r="A649">
        <v>1010</v>
      </c>
      <c r="B649">
        <v>31374.42986</v>
      </c>
      <c r="C649">
        <v>31374.42986</v>
      </c>
      <c r="D649">
        <v>0</v>
      </c>
      <c r="E649">
        <v>1767.3409449999999</v>
      </c>
      <c r="F649" s="1">
        <v>12.1</v>
      </c>
      <c r="H649">
        <v>1010</v>
      </c>
      <c r="I649" t="str">
        <f t="shared" si="20"/>
        <v>YES</v>
      </c>
      <c r="J649" t="s">
        <v>655</v>
      </c>
      <c r="K649">
        <v>561106.99199300003</v>
      </c>
      <c r="L649">
        <f t="shared" si="21"/>
        <v>0</v>
      </c>
    </row>
    <row r="650" spans="1:12" x14ac:dyDescent="0.25">
      <c r="A650">
        <v>1011</v>
      </c>
      <c r="B650">
        <v>50970.113790000003</v>
      </c>
      <c r="C650">
        <v>50970.113790000003</v>
      </c>
      <c r="D650">
        <v>0</v>
      </c>
      <c r="E650">
        <v>2736.291866</v>
      </c>
      <c r="F650" s="1">
        <v>30.4</v>
      </c>
      <c r="H650">
        <v>1011</v>
      </c>
      <c r="I650" t="str">
        <f t="shared" si="20"/>
        <v>YES</v>
      </c>
      <c r="J650" t="s">
        <v>656</v>
      </c>
      <c r="K650">
        <v>605146.94793100003</v>
      </c>
      <c r="L650">
        <f t="shared" si="21"/>
        <v>0</v>
      </c>
    </row>
    <row r="651" spans="1:12" x14ac:dyDescent="0.25">
      <c r="A651">
        <v>1012</v>
      </c>
      <c r="B651">
        <v>22159.266019999999</v>
      </c>
      <c r="C651">
        <v>22159.266019999999</v>
      </c>
      <c r="D651">
        <v>0</v>
      </c>
      <c r="E651">
        <v>1851.5816830000001</v>
      </c>
      <c r="F651" s="1">
        <v>8.93</v>
      </c>
      <c r="H651">
        <v>1012</v>
      </c>
      <c r="I651" t="str">
        <f t="shared" si="20"/>
        <v>YES</v>
      </c>
      <c r="J651" t="s">
        <v>657</v>
      </c>
      <c r="K651">
        <v>381183.172012</v>
      </c>
      <c r="L651">
        <f t="shared" si="21"/>
        <v>0</v>
      </c>
    </row>
    <row r="652" spans="1:12" x14ac:dyDescent="0.25">
      <c r="A652">
        <v>1013</v>
      </c>
      <c r="B652">
        <v>64062.242010000002</v>
      </c>
      <c r="C652">
        <v>64062.242010000002</v>
      </c>
      <c r="D652">
        <v>0</v>
      </c>
      <c r="E652">
        <v>800.31509640000002</v>
      </c>
      <c r="F652" s="1">
        <v>11.2</v>
      </c>
      <c r="H652">
        <v>1013</v>
      </c>
      <c r="I652" t="str">
        <f t="shared" si="20"/>
        <v>YES</v>
      </c>
      <c r="J652" t="s">
        <v>658</v>
      </c>
      <c r="K652">
        <v>356026.50447500002</v>
      </c>
      <c r="L652">
        <f t="shared" si="21"/>
        <v>0</v>
      </c>
    </row>
    <row r="653" spans="1:12" x14ac:dyDescent="0.25">
      <c r="A653">
        <v>1014</v>
      </c>
      <c r="B653">
        <v>898.89670639999997</v>
      </c>
      <c r="C653">
        <v>898.89670639999997</v>
      </c>
      <c r="D653">
        <v>0</v>
      </c>
      <c r="E653">
        <v>490.22524800000002</v>
      </c>
      <c r="F653" s="1">
        <v>9.5899999999999999E-2</v>
      </c>
      <c r="H653">
        <v>1014</v>
      </c>
      <c r="I653" t="str">
        <f t="shared" si="20"/>
        <v>YES</v>
      </c>
      <c r="J653" t="s">
        <v>659</v>
      </c>
      <c r="K653">
        <v>2182612.9070899999</v>
      </c>
      <c r="L653">
        <f t="shared" si="21"/>
        <v>0</v>
      </c>
    </row>
    <row r="654" spans="1:12" x14ac:dyDescent="0.25">
      <c r="A654">
        <v>1015</v>
      </c>
      <c r="B654">
        <v>58984.214469999999</v>
      </c>
      <c r="C654">
        <v>58984.214469999999</v>
      </c>
      <c r="D654">
        <v>0</v>
      </c>
      <c r="E654">
        <v>549.99232329999995</v>
      </c>
      <c r="F654" s="1">
        <v>7.06</v>
      </c>
      <c r="H654">
        <v>1015</v>
      </c>
      <c r="I654" t="str">
        <f t="shared" si="20"/>
        <v>YES</v>
      </c>
      <c r="J654" t="s">
        <v>660</v>
      </c>
      <c r="K654">
        <v>261032.63891400001</v>
      </c>
      <c r="L654">
        <f t="shared" si="21"/>
        <v>0</v>
      </c>
    </row>
    <row r="655" spans="1:12" x14ac:dyDescent="0.25">
      <c r="A655">
        <v>1016</v>
      </c>
      <c r="B655">
        <v>36750.033880000003</v>
      </c>
      <c r="C655">
        <v>36750.033880000003</v>
      </c>
      <c r="D655">
        <v>0</v>
      </c>
      <c r="E655">
        <v>2579.7237060000002</v>
      </c>
      <c r="F655" s="1">
        <v>20.6</v>
      </c>
      <c r="H655">
        <v>1016</v>
      </c>
      <c r="I655" t="str">
        <f t="shared" si="20"/>
        <v>YES</v>
      </c>
      <c r="J655" t="s">
        <v>661</v>
      </c>
      <c r="K655">
        <v>592381.60389999999</v>
      </c>
      <c r="L655">
        <f t="shared" si="21"/>
        <v>0</v>
      </c>
    </row>
    <row r="656" spans="1:12" x14ac:dyDescent="0.25">
      <c r="A656">
        <v>1017</v>
      </c>
      <c r="B656">
        <v>49383.043189999997</v>
      </c>
      <c r="C656">
        <v>49383.043189999997</v>
      </c>
      <c r="D656">
        <v>0</v>
      </c>
      <c r="E656">
        <v>983.20564079999997</v>
      </c>
      <c r="F656" s="1">
        <v>10.6</v>
      </c>
      <c r="H656">
        <v>1017</v>
      </c>
      <c r="I656" t="str">
        <f t="shared" si="20"/>
        <v>YES</v>
      </c>
      <c r="J656" t="s">
        <v>662</v>
      </c>
      <c r="K656">
        <v>271917.501774</v>
      </c>
      <c r="L656">
        <f t="shared" si="21"/>
        <v>0</v>
      </c>
    </row>
    <row r="657" spans="1:12" x14ac:dyDescent="0.25">
      <c r="A657">
        <v>1018</v>
      </c>
      <c r="B657">
        <v>54884.157010000003</v>
      </c>
      <c r="C657">
        <v>54884.157010000003</v>
      </c>
      <c r="D657">
        <v>0</v>
      </c>
      <c r="E657">
        <v>249.0483285</v>
      </c>
      <c r="F657" s="1">
        <v>2.98</v>
      </c>
      <c r="H657">
        <v>1018</v>
      </c>
      <c r="I657" t="str">
        <f t="shared" si="20"/>
        <v>YES</v>
      </c>
      <c r="J657" t="s">
        <v>663</v>
      </c>
      <c r="K657">
        <v>476675.28378400003</v>
      </c>
      <c r="L657">
        <f t="shared" si="21"/>
        <v>0</v>
      </c>
    </row>
    <row r="658" spans="1:12" x14ac:dyDescent="0.25">
      <c r="A658">
        <v>1019</v>
      </c>
      <c r="B658">
        <v>81522.847380000007</v>
      </c>
      <c r="C658">
        <v>81522.847380000007</v>
      </c>
      <c r="D658">
        <v>0</v>
      </c>
      <c r="E658">
        <v>2327.566002</v>
      </c>
      <c r="F658" s="1">
        <v>41.3</v>
      </c>
      <c r="H658">
        <v>1019</v>
      </c>
      <c r="I658" t="str">
        <f t="shared" si="20"/>
        <v>YES</v>
      </c>
      <c r="J658" t="s">
        <v>664</v>
      </c>
      <c r="K658">
        <v>227143.80128700001</v>
      </c>
      <c r="L658">
        <f t="shared" si="21"/>
        <v>0</v>
      </c>
    </row>
    <row r="659" spans="1:12" x14ac:dyDescent="0.25">
      <c r="A659">
        <v>1020</v>
      </c>
      <c r="B659">
        <v>52767.192909999998</v>
      </c>
      <c r="C659">
        <v>52767.192909999998</v>
      </c>
      <c r="D659">
        <v>0</v>
      </c>
      <c r="E659">
        <v>2869.728924</v>
      </c>
      <c r="F659" s="1">
        <v>33</v>
      </c>
      <c r="H659">
        <v>1020</v>
      </c>
      <c r="I659" t="str">
        <f t="shared" si="20"/>
        <v>YES</v>
      </c>
      <c r="J659" t="s">
        <v>665</v>
      </c>
      <c r="K659">
        <v>387460.26970599999</v>
      </c>
      <c r="L659">
        <f t="shared" si="21"/>
        <v>0</v>
      </c>
    </row>
    <row r="660" spans="1:12" x14ac:dyDescent="0.25">
      <c r="A660">
        <v>1021</v>
      </c>
      <c r="B660">
        <v>60585.039340000003</v>
      </c>
      <c r="C660">
        <v>60585.039340000003</v>
      </c>
      <c r="D660">
        <v>0</v>
      </c>
      <c r="E660">
        <v>1820.687987</v>
      </c>
      <c r="F660" s="1">
        <v>24</v>
      </c>
      <c r="H660">
        <v>1021</v>
      </c>
      <c r="I660" t="str">
        <f t="shared" si="20"/>
        <v>YES</v>
      </c>
      <c r="J660" t="s">
        <v>666</v>
      </c>
      <c r="K660">
        <v>144380.45243199999</v>
      </c>
      <c r="L660">
        <f t="shared" si="21"/>
        <v>0</v>
      </c>
    </row>
    <row r="661" spans="1:12" x14ac:dyDescent="0.25">
      <c r="A661">
        <v>1022</v>
      </c>
      <c r="B661">
        <v>34607.632729999998</v>
      </c>
      <c r="C661">
        <v>34607.632729999998</v>
      </c>
      <c r="D661">
        <v>0</v>
      </c>
      <c r="E661">
        <v>2315.1606019999999</v>
      </c>
      <c r="F661" s="1">
        <v>17.399999999999999</v>
      </c>
      <c r="H661">
        <v>1022</v>
      </c>
      <c r="I661" t="str">
        <f t="shared" si="20"/>
        <v>YES</v>
      </c>
      <c r="J661" t="s">
        <v>667</v>
      </c>
      <c r="K661">
        <v>764352.71572700003</v>
      </c>
      <c r="L661">
        <f t="shared" si="21"/>
        <v>0</v>
      </c>
    </row>
    <row r="662" spans="1:12" x14ac:dyDescent="0.25">
      <c r="A662">
        <v>1023</v>
      </c>
      <c r="B662">
        <v>81270.307560000001</v>
      </c>
      <c r="C662">
        <v>81270.307560000001</v>
      </c>
      <c r="D662">
        <v>0</v>
      </c>
      <c r="E662">
        <v>281.35287690000001</v>
      </c>
      <c r="F662" s="1">
        <v>4.9800000000000004</v>
      </c>
      <c r="H662">
        <v>1023</v>
      </c>
      <c r="I662" t="str">
        <f t="shared" si="20"/>
        <v>YES</v>
      </c>
      <c r="J662" t="s">
        <v>668</v>
      </c>
      <c r="K662">
        <v>118149.56097200001</v>
      </c>
      <c r="L662">
        <f t="shared" si="21"/>
        <v>0</v>
      </c>
    </row>
    <row r="663" spans="1:12" x14ac:dyDescent="0.25">
      <c r="A663">
        <v>1024</v>
      </c>
      <c r="B663">
        <v>65851.116670000003</v>
      </c>
      <c r="C663">
        <v>65851.116670000003</v>
      </c>
      <c r="D663">
        <v>0</v>
      </c>
      <c r="E663">
        <v>1319.847305</v>
      </c>
      <c r="F663" s="1">
        <v>18.899999999999999</v>
      </c>
      <c r="H663">
        <v>1024</v>
      </c>
      <c r="I663" t="str">
        <f t="shared" si="20"/>
        <v>YES</v>
      </c>
      <c r="J663" t="s">
        <v>669</v>
      </c>
      <c r="K663">
        <v>128574.52357799999</v>
      </c>
      <c r="L663">
        <f t="shared" si="21"/>
        <v>0</v>
      </c>
    </row>
    <row r="664" spans="1:12" x14ac:dyDescent="0.25">
      <c r="A664">
        <v>1025</v>
      </c>
      <c r="B664">
        <v>89622.219870000001</v>
      </c>
      <c r="C664">
        <v>89622.219870000001</v>
      </c>
      <c r="D664">
        <v>0</v>
      </c>
      <c r="E664">
        <v>19.370658899999999</v>
      </c>
      <c r="F664" s="1">
        <v>0.378</v>
      </c>
      <c r="H664">
        <v>1025</v>
      </c>
      <c r="I664" t="str">
        <f t="shared" si="20"/>
        <v>YES</v>
      </c>
      <c r="J664" t="s">
        <v>670</v>
      </c>
      <c r="K664">
        <v>342870.80199900002</v>
      </c>
      <c r="L664">
        <f t="shared" si="21"/>
        <v>0</v>
      </c>
    </row>
    <row r="665" spans="1:12" x14ac:dyDescent="0.25">
      <c r="A665">
        <v>1026</v>
      </c>
      <c r="B665">
        <v>80045.717929999999</v>
      </c>
      <c r="C665">
        <v>80045.717929999999</v>
      </c>
      <c r="D665">
        <v>0</v>
      </c>
      <c r="E665">
        <v>2002.7878310000001</v>
      </c>
      <c r="F665" s="1">
        <v>34.9</v>
      </c>
      <c r="H665">
        <v>1026</v>
      </c>
      <c r="I665" t="str">
        <f t="shared" si="20"/>
        <v>YES</v>
      </c>
      <c r="J665" t="s">
        <v>671</v>
      </c>
      <c r="K665">
        <v>124479.952492</v>
      </c>
      <c r="L665">
        <f t="shared" si="21"/>
        <v>0</v>
      </c>
    </row>
    <row r="666" spans="1:12" x14ac:dyDescent="0.25">
      <c r="A666">
        <v>1027</v>
      </c>
      <c r="B666">
        <v>70649.882819999999</v>
      </c>
      <c r="C666">
        <v>70649.882819999999</v>
      </c>
      <c r="D666">
        <v>0</v>
      </c>
      <c r="E666">
        <v>2328.5002319999999</v>
      </c>
      <c r="F666" s="1">
        <v>35.799999999999997</v>
      </c>
      <c r="H666">
        <v>1027</v>
      </c>
      <c r="I666" t="str">
        <f t="shared" si="20"/>
        <v>YES</v>
      </c>
      <c r="J666" t="s">
        <v>672</v>
      </c>
      <c r="K666">
        <v>380438.52920400002</v>
      </c>
      <c r="L666">
        <f t="shared" si="21"/>
        <v>0</v>
      </c>
    </row>
    <row r="667" spans="1:12" x14ac:dyDescent="0.25">
      <c r="A667">
        <v>1028</v>
      </c>
      <c r="B667">
        <v>56813.14789</v>
      </c>
      <c r="C667">
        <v>56813.14789</v>
      </c>
      <c r="D667">
        <v>0</v>
      </c>
      <c r="E667">
        <v>1259.915958</v>
      </c>
      <c r="F667" s="1">
        <v>15.6</v>
      </c>
      <c r="H667">
        <v>1028</v>
      </c>
      <c r="I667" t="str">
        <f t="shared" si="20"/>
        <v>YES</v>
      </c>
      <c r="J667" t="s">
        <v>673</v>
      </c>
      <c r="K667">
        <v>296580.84312999999</v>
      </c>
      <c r="L667">
        <f t="shared" si="21"/>
        <v>0</v>
      </c>
    </row>
    <row r="668" spans="1:12" x14ac:dyDescent="0.25">
      <c r="A668">
        <v>1029</v>
      </c>
      <c r="B668">
        <v>66460.975879999998</v>
      </c>
      <c r="C668">
        <v>66460.975879999998</v>
      </c>
      <c r="D668">
        <v>0</v>
      </c>
      <c r="E668">
        <v>1674.886377</v>
      </c>
      <c r="F668" s="1">
        <v>24.2</v>
      </c>
      <c r="H668">
        <v>1029</v>
      </c>
      <c r="I668" t="str">
        <f t="shared" si="20"/>
        <v>YES</v>
      </c>
      <c r="J668" t="s">
        <v>674</v>
      </c>
      <c r="K668">
        <v>348565.61296599999</v>
      </c>
      <c r="L668">
        <f t="shared" si="21"/>
        <v>0</v>
      </c>
    </row>
    <row r="669" spans="1:12" x14ac:dyDescent="0.25">
      <c r="A669">
        <v>1030</v>
      </c>
      <c r="B669">
        <v>222862.4044</v>
      </c>
      <c r="C669">
        <v>222862.4044</v>
      </c>
      <c r="D669">
        <v>0</v>
      </c>
      <c r="E669">
        <v>0.74872796900000005</v>
      </c>
      <c r="F669" s="1">
        <v>3.6299999999999999E-2</v>
      </c>
      <c r="H669">
        <v>1030</v>
      </c>
      <c r="I669" t="str">
        <f t="shared" si="20"/>
        <v>YES</v>
      </c>
      <c r="J669" t="s">
        <v>675</v>
      </c>
      <c r="K669">
        <v>47906.337176699999</v>
      </c>
      <c r="L669">
        <f t="shared" si="21"/>
        <v>0</v>
      </c>
    </row>
    <row r="670" spans="1:12" x14ac:dyDescent="0.25">
      <c r="A670">
        <v>1031</v>
      </c>
      <c r="B670">
        <v>17856.728429999999</v>
      </c>
      <c r="C670">
        <v>17856.728429999999</v>
      </c>
      <c r="D670">
        <v>0</v>
      </c>
      <c r="E670">
        <v>1505.9398590000001</v>
      </c>
      <c r="F670" s="1">
        <v>5.86</v>
      </c>
      <c r="H670">
        <v>1031</v>
      </c>
      <c r="I670" t="str">
        <f t="shared" si="20"/>
        <v>YES</v>
      </c>
      <c r="J670" t="s">
        <v>676</v>
      </c>
      <c r="K670">
        <v>1660079.01431</v>
      </c>
      <c r="L670">
        <f t="shared" si="21"/>
        <v>0</v>
      </c>
    </row>
    <row r="671" spans="1:12" x14ac:dyDescent="0.25">
      <c r="A671">
        <v>1032</v>
      </c>
      <c r="B671">
        <v>2647.1760450000002</v>
      </c>
      <c r="C671">
        <v>2647.1760450000002</v>
      </c>
      <c r="D671">
        <v>0</v>
      </c>
      <c r="E671">
        <v>2587.7254250000001</v>
      </c>
      <c r="F671" s="1">
        <v>1.49</v>
      </c>
      <c r="H671">
        <v>1032</v>
      </c>
      <c r="I671" t="str">
        <f t="shared" si="20"/>
        <v>YES</v>
      </c>
      <c r="J671" t="s">
        <v>677</v>
      </c>
      <c r="K671">
        <v>1198126.1544999999</v>
      </c>
      <c r="L671">
        <f t="shared" si="21"/>
        <v>0</v>
      </c>
    </row>
    <row r="672" spans="1:12" x14ac:dyDescent="0.25">
      <c r="A672">
        <v>1033</v>
      </c>
      <c r="B672">
        <v>4836.4138839999996</v>
      </c>
      <c r="C672">
        <v>4836.4138839999996</v>
      </c>
      <c r="D672">
        <v>0</v>
      </c>
      <c r="E672">
        <v>369.39237259999999</v>
      </c>
      <c r="F672" s="1">
        <v>0.38900000000000001</v>
      </c>
      <c r="H672">
        <v>1033</v>
      </c>
      <c r="I672" t="str">
        <f t="shared" si="20"/>
        <v>YES</v>
      </c>
      <c r="J672" t="s">
        <v>678</v>
      </c>
      <c r="K672">
        <v>937373.99994600005</v>
      </c>
      <c r="L672">
        <f t="shared" si="21"/>
        <v>0</v>
      </c>
    </row>
    <row r="673" spans="1:12" x14ac:dyDescent="0.25">
      <c r="A673">
        <v>1034</v>
      </c>
      <c r="B673">
        <v>4410.5153760000003</v>
      </c>
      <c r="C673">
        <v>4410.5153760000003</v>
      </c>
      <c r="D673">
        <v>0</v>
      </c>
      <c r="E673">
        <v>2687.8614389999998</v>
      </c>
      <c r="F673" s="1">
        <v>2.58</v>
      </c>
      <c r="H673">
        <v>1034</v>
      </c>
      <c r="I673" t="str">
        <f t="shared" si="20"/>
        <v>YES</v>
      </c>
      <c r="J673" t="s">
        <v>679</v>
      </c>
      <c r="K673">
        <v>1131453.9608499999</v>
      </c>
      <c r="L673">
        <f t="shared" si="21"/>
        <v>0</v>
      </c>
    </row>
    <row r="674" spans="1:12" x14ac:dyDescent="0.25">
      <c r="A674">
        <v>1035</v>
      </c>
      <c r="B674">
        <v>8649.9054489999999</v>
      </c>
      <c r="C674">
        <v>8649.9054489999999</v>
      </c>
      <c r="D674">
        <v>0</v>
      </c>
      <c r="E674">
        <v>1028.0809039999999</v>
      </c>
      <c r="F674" s="1">
        <v>1.94</v>
      </c>
      <c r="H674">
        <v>1035</v>
      </c>
      <c r="I674" t="str">
        <f t="shared" si="20"/>
        <v>YES</v>
      </c>
      <c r="J674" t="s">
        <v>680</v>
      </c>
      <c r="K674">
        <v>439774.61555799999</v>
      </c>
      <c r="L674">
        <f t="shared" si="21"/>
        <v>0</v>
      </c>
    </row>
    <row r="675" spans="1:12" x14ac:dyDescent="0.25">
      <c r="A675">
        <v>1036</v>
      </c>
      <c r="B675">
        <v>81009.522089999999</v>
      </c>
      <c r="C675">
        <v>81009.522089999999</v>
      </c>
      <c r="D675">
        <v>0</v>
      </c>
      <c r="E675">
        <v>4.285270465</v>
      </c>
      <c r="F675" s="1">
        <v>7.5600000000000001E-2</v>
      </c>
      <c r="H675">
        <v>1036</v>
      </c>
      <c r="I675" t="str">
        <f t="shared" si="20"/>
        <v>YES</v>
      </c>
      <c r="J675" t="s">
        <v>681</v>
      </c>
      <c r="K675">
        <v>181182.50581800001</v>
      </c>
      <c r="L675">
        <f t="shared" si="21"/>
        <v>0</v>
      </c>
    </row>
    <row r="676" spans="1:12" x14ac:dyDescent="0.25">
      <c r="A676">
        <v>1037</v>
      </c>
      <c r="B676">
        <v>33645.215629999999</v>
      </c>
      <c r="C676">
        <v>33645.215629999999</v>
      </c>
      <c r="D676">
        <v>0</v>
      </c>
      <c r="E676">
        <v>1589.011121</v>
      </c>
      <c r="F676" s="1">
        <v>11.6</v>
      </c>
      <c r="H676">
        <v>1037</v>
      </c>
      <c r="I676" t="str">
        <f t="shared" si="20"/>
        <v>YES</v>
      </c>
      <c r="J676" t="s">
        <v>682</v>
      </c>
      <c r="K676">
        <v>119639.748752</v>
      </c>
      <c r="L676">
        <f t="shared" si="21"/>
        <v>0</v>
      </c>
    </row>
    <row r="677" spans="1:12" x14ac:dyDescent="0.25">
      <c r="A677">
        <v>1038</v>
      </c>
      <c r="B677">
        <v>14819.004569999999</v>
      </c>
      <c r="C677">
        <v>14819.004569999999</v>
      </c>
      <c r="D677">
        <v>0</v>
      </c>
      <c r="E677">
        <v>1480.2840650000001</v>
      </c>
      <c r="F677" s="1">
        <v>4.78</v>
      </c>
      <c r="H677">
        <v>1038</v>
      </c>
      <c r="I677" t="str">
        <f t="shared" si="20"/>
        <v>YES</v>
      </c>
      <c r="J677" t="s">
        <v>683</v>
      </c>
      <c r="K677">
        <v>538215.55614700005</v>
      </c>
      <c r="L677">
        <f t="shared" si="21"/>
        <v>0</v>
      </c>
    </row>
    <row r="678" spans="1:12" x14ac:dyDescent="0.25">
      <c r="A678">
        <v>1039</v>
      </c>
      <c r="B678">
        <v>12740.14451</v>
      </c>
      <c r="C678">
        <v>12740.14451</v>
      </c>
      <c r="D678">
        <v>0</v>
      </c>
      <c r="E678">
        <v>1450.4826849999999</v>
      </c>
      <c r="F678" s="1">
        <v>4.0199999999999996</v>
      </c>
      <c r="H678">
        <v>1039</v>
      </c>
      <c r="I678" t="str">
        <f t="shared" si="20"/>
        <v>YES</v>
      </c>
      <c r="J678" t="s">
        <v>684</v>
      </c>
      <c r="K678">
        <v>528877.22070599999</v>
      </c>
      <c r="L678">
        <f t="shared" si="21"/>
        <v>0</v>
      </c>
    </row>
    <row r="679" spans="1:12" x14ac:dyDescent="0.25">
      <c r="A679">
        <v>1040</v>
      </c>
      <c r="B679">
        <v>7906.1433470000002</v>
      </c>
      <c r="C679">
        <v>7906.1433470000002</v>
      </c>
      <c r="D679">
        <v>0</v>
      </c>
      <c r="E679">
        <v>3261.3960200000001</v>
      </c>
      <c r="F679" s="1">
        <v>5.61</v>
      </c>
      <c r="H679">
        <v>1040</v>
      </c>
      <c r="I679" t="str">
        <f t="shared" si="20"/>
        <v>YES</v>
      </c>
      <c r="J679" t="s">
        <v>685</v>
      </c>
      <c r="K679">
        <v>1254810.4649199999</v>
      </c>
      <c r="L679">
        <f t="shared" si="21"/>
        <v>0</v>
      </c>
    </row>
    <row r="680" spans="1:12" x14ac:dyDescent="0.25">
      <c r="A680">
        <v>1041</v>
      </c>
      <c r="B680">
        <v>26806.848099999999</v>
      </c>
      <c r="C680">
        <v>26806.848099999999</v>
      </c>
      <c r="D680">
        <v>0</v>
      </c>
      <c r="E680">
        <v>1128.2880190000001</v>
      </c>
      <c r="F680" s="1">
        <v>6.59</v>
      </c>
      <c r="H680">
        <v>1041</v>
      </c>
      <c r="I680" t="str">
        <f t="shared" si="20"/>
        <v>YES</v>
      </c>
      <c r="J680" t="s">
        <v>686</v>
      </c>
      <c r="K680">
        <v>641214.19108400005</v>
      </c>
      <c r="L680">
        <f t="shared" si="21"/>
        <v>0</v>
      </c>
    </row>
    <row r="681" spans="1:12" x14ac:dyDescent="0.25">
      <c r="A681">
        <v>1042</v>
      </c>
      <c r="B681">
        <v>26846.940699999999</v>
      </c>
      <c r="C681">
        <v>26846.940699999999</v>
      </c>
      <c r="D681">
        <v>0</v>
      </c>
      <c r="E681">
        <v>1645.868389</v>
      </c>
      <c r="F681" s="1">
        <v>9.6199999999999992</v>
      </c>
      <c r="H681">
        <v>1042</v>
      </c>
      <c r="I681" t="str">
        <f t="shared" si="20"/>
        <v>YES</v>
      </c>
      <c r="J681" t="s">
        <v>687</v>
      </c>
      <c r="K681">
        <v>550905.87422999996</v>
      </c>
      <c r="L681">
        <f t="shared" si="21"/>
        <v>0</v>
      </c>
    </row>
    <row r="682" spans="1:12" x14ac:dyDescent="0.25">
      <c r="A682">
        <v>1043</v>
      </c>
      <c r="B682">
        <v>51519.968059999999</v>
      </c>
      <c r="C682">
        <v>51519.968059999999</v>
      </c>
      <c r="D682">
        <v>0</v>
      </c>
      <c r="E682">
        <v>861.83658939999998</v>
      </c>
      <c r="F682" s="1">
        <v>9.67</v>
      </c>
      <c r="H682">
        <v>1043</v>
      </c>
      <c r="I682" t="str">
        <f t="shared" si="20"/>
        <v>YES</v>
      </c>
      <c r="J682" t="s">
        <v>688</v>
      </c>
      <c r="K682">
        <v>186040.54394</v>
      </c>
      <c r="L682">
        <f t="shared" si="21"/>
        <v>0</v>
      </c>
    </row>
    <row r="683" spans="1:12" x14ac:dyDescent="0.25">
      <c r="A683">
        <v>1044</v>
      </c>
      <c r="B683">
        <v>41989.398419999998</v>
      </c>
      <c r="C683">
        <v>41989.398419999998</v>
      </c>
      <c r="D683">
        <v>0</v>
      </c>
      <c r="E683">
        <v>1748.6104700000001</v>
      </c>
      <c r="F683" s="1">
        <v>16</v>
      </c>
      <c r="H683">
        <v>1044</v>
      </c>
      <c r="I683" t="str">
        <f t="shared" si="20"/>
        <v>YES</v>
      </c>
      <c r="J683" t="s">
        <v>689</v>
      </c>
      <c r="K683">
        <v>676133.65986699995</v>
      </c>
      <c r="L683">
        <f t="shared" si="21"/>
        <v>0</v>
      </c>
    </row>
    <row r="684" spans="1:12" x14ac:dyDescent="0.25">
      <c r="A684">
        <v>1045</v>
      </c>
      <c r="B684">
        <v>54306.972479999997</v>
      </c>
      <c r="C684">
        <v>54306.972479999997</v>
      </c>
      <c r="D684">
        <v>0</v>
      </c>
      <c r="E684">
        <v>518.51760630000001</v>
      </c>
      <c r="F684" s="1">
        <v>6.13</v>
      </c>
      <c r="H684">
        <v>1045</v>
      </c>
      <c r="I684" t="str">
        <f t="shared" si="20"/>
        <v>YES</v>
      </c>
      <c r="J684" t="s">
        <v>690</v>
      </c>
      <c r="K684">
        <v>649945.60513899999</v>
      </c>
      <c r="L684">
        <f t="shared" si="21"/>
        <v>0</v>
      </c>
    </row>
    <row r="685" spans="1:12" x14ac:dyDescent="0.25">
      <c r="A685">
        <v>1046</v>
      </c>
      <c r="B685">
        <v>55578.427759999999</v>
      </c>
      <c r="C685">
        <v>55578.427759999999</v>
      </c>
      <c r="D685">
        <v>0</v>
      </c>
      <c r="E685">
        <v>1137.8738980000001</v>
      </c>
      <c r="F685" s="1">
        <v>13.8</v>
      </c>
      <c r="H685">
        <v>1046</v>
      </c>
      <c r="I685" t="str">
        <f t="shared" si="20"/>
        <v>YES</v>
      </c>
      <c r="J685" t="s">
        <v>691</v>
      </c>
      <c r="K685">
        <v>148187.14475499999</v>
      </c>
      <c r="L685">
        <f t="shared" si="21"/>
        <v>0</v>
      </c>
    </row>
    <row r="686" spans="1:12" x14ac:dyDescent="0.25">
      <c r="A686">
        <v>1047</v>
      </c>
      <c r="B686">
        <v>38067.321709999997</v>
      </c>
      <c r="C686">
        <v>38067.321709999997</v>
      </c>
      <c r="D686">
        <v>0</v>
      </c>
      <c r="E686">
        <v>2294.2407429999998</v>
      </c>
      <c r="F686" s="1">
        <v>19</v>
      </c>
      <c r="H686">
        <v>1047</v>
      </c>
      <c r="I686" t="str">
        <f t="shared" si="20"/>
        <v>YES</v>
      </c>
      <c r="J686" t="s">
        <v>692</v>
      </c>
      <c r="K686">
        <v>181213.91159900001</v>
      </c>
      <c r="L686">
        <f t="shared" si="21"/>
        <v>0</v>
      </c>
    </row>
    <row r="687" spans="1:12" x14ac:dyDescent="0.25">
      <c r="A687">
        <v>1048</v>
      </c>
      <c r="B687">
        <v>85503.28959</v>
      </c>
      <c r="C687">
        <v>85503.28959</v>
      </c>
      <c r="D687">
        <v>0</v>
      </c>
      <c r="E687">
        <v>3984.3051249999999</v>
      </c>
      <c r="F687" s="1">
        <v>74.2</v>
      </c>
      <c r="H687">
        <v>1048</v>
      </c>
      <c r="I687" t="str">
        <f t="shared" si="20"/>
        <v>YES</v>
      </c>
      <c r="J687" t="s">
        <v>693</v>
      </c>
      <c r="K687">
        <v>266066.77250800002</v>
      </c>
      <c r="L687">
        <f t="shared" si="21"/>
        <v>0</v>
      </c>
    </row>
    <row r="688" spans="1:12" x14ac:dyDescent="0.25">
      <c r="A688">
        <v>1049</v>
      </c>
      <c r="B688">
        <v>87658.835000000006</v>
      </c>
      <c r="C688">
        <v>87658.835000000006</v>
      </c>
      <c r="D688">
        <v>0</v>
      </c>
      <c r="E688">
        <v>41.548087819999999</v>
      </c>
      <c r="F688" s="1">
        <v>0.79300000000000004</v>
      </c>
      <c r="H688">
        <v>1049</v>
      </c>
      <c r="I688" t="str">
        <f t="shared" si="20"/>
        <v>YES</v>
      </c>
      <c r="J688" t="s">
        <v>694</v>
      </c>
      <c r="K688">
        <v>78983.364378500002</v>
      </c>
      <c r="L688">
        <f t="shared" si="21"/>
        <v>0</v>
      </c>
    </row>
    <row r="689" spans="1:12" x14ac:dyDescent="0.25">
      <c r="A689">
        <v>1050</v>
      </c>
      <c r="B689">
        <v>116456.36079999999</v>
      </c>
      <c r="C689">
        <v>116456.36079999999</v>
      </c>
      <c r="D689">
        <v>0</v>
      </c>
      <c r="E689">
        <v>139.6224235</v>
      </c>
      <c r="F689" s="1">
        <v>3.54</v>
      </c>
      <c r="H689">
        <v>1050</v>
      </c>
      <c r="I689" t="str">
        <f t="shared" si="20"/>
        <v>YES</v>
      </c>
      <c r="J689" t="s">
        <v>695</v>
      </c>
      <c r="K689">
        <v>51132.117969899999</v>
      </c>
      <c r="L689">
        <f t="shared" si="21"/>
        <v>0</v>
      </c>
    </row>
    <row r="690" spans="1:12" x14ac:dyDescent="0.25">
      <c r="A690">
        <v>1051</v>
      </c>
      <c r="B690">
        <v>66854.338399999993</v>
      </c>
      <c r="C690">
        <v>66854.338399999993</v>
      </c>
      <c r="D690">
        <v>0</v>
      </c>
      <c r="E690">
        <v>8.4687031150000003</v>
      </c>
      <c r="F690" s="1">
        <v>0.123</v>
      </c>
      <c r="H690">
        <v>1051</v>
      </c>
      <c r="I690" t="str">
        <f t="shared" si="20"/>
        <v>YES</v>
      </c>
      <c r="J690" t="s">
        <v>696</v>
      </c>
      <c r="K690">
        <v>547205.45352500002</v>
      </c>
      <c r="L690">
        <f t="shared" si="21"/>
        <v>0</v>
      </c>
    </row>
    <row r="691" spans="1:12" x14ac:dyDescent="0.25">
      <c r="A691">
        <v>1052</v>
      </c>
      <c r="B691">
        <v>93658.881469999993</v>
      </c>
      <c r="C691">
        <v>93658.881469999993</v>
      </c>
      <c r="D691">
        <v>0</v>
      </c>
      <c r="E691">
        <v>22.372027289999998</v>
      </c>
      <c r="F691" s="1">
        <v>0.45600000000000002</v>
      </c>
      <c r="H691">
        <v>1052</v>
      </c>
      <c r="I691" t="str">
        <f t="shared" si="20"/>
        <v>YES</v>
      </c>
      <c r="J691" t="s">
        <v>697</v>
      </c>
      <c r="K691">
        <v>86733.725649900007</v>
      </c>
      <c r="L691">
        <f t="shared" si="21"/>
        <v>0</v>
      </c>
    </row>
    <row r="692" spans="1:12" x14ac:dyDescent="0.25">
      <c r="A692">
        <v>1053</v>
      </c>
      <c r="B692">
        <v>108129.7316</v>
      </c>
      <c r="C692">
        <v>108129.7316</v>
      </c>
      <c r="D692">
        <v>0</v>
      </c>
      <c r="E692">
        <v>377.12651110000002</v>
      </c>
      <c r="F692" s="1">
        <v>8.8800000000000008</v>
      </c>
      <c r="H692">
        <v>1053</v>
      </c>
      <c r="I692" t="str">
        <f t="shared" si="20"/>
        <v>YES</v>
      </c>
      <c r="J692" t="s">
        <v>698</v>
      </c>
      <c r="K692">
        <v>85431.144726700004</v>
      </c>
      <c r="L692">
        <f t="shared" si="21"/>
        <v>0</v>
      </c>
    </row>
    <row r="693" spans="1:12" x14ac:dyDescent="0.25">
      <c r="A693">
        <v>1054</v>
      </c>
      <c r="B693">
        <v>92655.147379999995</v>
      </c>
      <c r="C693">
        <v>92655.147379999995</v>
      </c>
      <c r="D693">
        <v>0</v>
      </c>
      <c r="E693">
        <v>103.33677369999999</v>
      </c>
      <c r="F693" s="1">
        <v>2.08</v>
      </c>
      <c r="H693">
        <v>1054</v>
      </c>
      <c r="I693" t="str">
        <f t="shared" si="20"/>
        <v>YES</v>
      </c>
      <c r="J693" t="s">
        <v>699</v>
      </c>
      <c r="K693">
        <v>67697.422721099996</v>
      </c>
      <c r="L693">
        <f t="shared" si="21"/>
        <v>0</v>
      </c>
    </row>
    <row r="694" spans="1:12" x14ac:dyDescent="0.25">
      <c r="A694">
        <v>1055</v>
      </c>
      <c r="B694">
        <v>148631.08720000001</v>
      </c>
      <c r="C694">
        <v>148631.08720000001</v>
      </c>
      <c r="D694">
        <v>0</v>
      </c>
      <c r="E694">
        <v>11.543782889999999</v>
      </c>
      <c r="F694" s="1">
        <v>0.374</v>
      </c>
      <c r="H694">
        <v>1055</v>
      </c>
      <c r="I694" t="str">
        <f t="shared" si="20"/>
        <v>YES</v>
      </c>
      <c r="J694" t="s">
        <v>700</v>
      </c>
      <c r="K694">
        <v>53897.191500300003</v>
      </c>
      <c r="L694">
        <f t="shared" si="21"/>
        <v>0</v>
      </c>
    </row>
    <row r="695" spans="1:12" x14ac:dyDescent="0.25">
      <c r="A695">
        <v>1056</v>
      </c>
      <c r="B695">
        <v>95825.518819999998</v>
      </c>
      <c r="C695">
        <v>95825.518819999998</v>
      </c>
      <c r="D695">
        <v>0</v>
      </c>
      <c r="E695">
        <v>1952.9584150000001</v>
      </c>
      <c r="F695" s="1">
        <v>40.700000000000003</v>
      </c>
      <c r="H695">
        <v>1056</v>
      </c>
      <c r="I695" t="str">
        <f t="shared" si="20"/>
        <v>YES</v>
      </c>
      <c r="J695" t="s">
        <v>701</v>
      </c>
      <c r="K695">
        <v>344678.40487899998</v>
      </c>
      <c r="L695">
        <f t="shared" si="21"/>
        <v>0</v>
      </c>
    </row>
    <row r="696" spans="1:12" x14ac:dyDescent="0.25">
      <c r="A696">
        <v>1057</v>
      </c>
      <c r="B696">
        <v>126922.6238</v>
      </c>
      <c r="C696">
        <v>126922.6238</v>
      </c>
      <c r="D696">
        <v>0</v>
      </c>
      <c r="E696">
        <v>740.52523040000005</v>
      </c>
      <c r="F696" s="1">
        <v>20.5</v>
      </c>
      <c r="H696">
        <v>1057</v>
      </c>
      <c r="I696" t="str">
        <f t="shared" si="20"/>
        <v>YES</v>
      </c>
      <c r="J696" t="s">
        <v>702</v>
      </c>
      <c r="K696">
        <v>77315.706718300004</v>
      </c>
      <c r="L696">
        <f t="shared" si="21"/>
        <v>0</v>
      </c>
    </row>
    <row r="697" spans="1:12" x14ac:dyDescent="0.25">
      <c r="A697">
        <v>1058</v>
      </c>
      <c r="B697">
        <v>110225.30070000001</v>
      </c>
      <c r="C697">
        <v>110225.30070000001</v>
      </c>
      <c r="D697">
        <v>0</v>
      </c>
      <c r="E697">
        <v>112.501949</v>
      </c>
      <c r="F697" s="1">
        <v>2.7</v>
      </c>
      <c r="H697">
        <v>1058</v>
      </c>
      <c r="I697" t="str">
        <f t="shared" si="20"/>
        <v>YES</v>
      </c>
      <c r="J697" t="s">
        <v>703</v>
      </c>
      <c r="K697">
        <v>109789.448699</v>
      </c>
      <c r="L697">
        <f t="shared" si="21"/>
        <v>0</v>
      </c>
    </row>
    <row r="698" spans="1:12" x14ac:dyDescent="0.25">
      <c r="A698">
        <v>1059</v>
      </c>
      <c r="B698">
        <v>146307.30869999999</v>
      </c>
      <c r="C698">
        <v>146307.30869999999</v>
      </c>
      <c r="D698">
        <v>0</v>
      </c>
      <c r="E698">
        <v>402.3032915</v>
      </c>
      <c r="F698" s="1">
        <v>12.8</v>
      </c>
      <c r="H698">
        <v>1059</v>
      </c>
      <c r="I698" t="str">
        <f t="shared" si="20"/>
        <v>YES</v>
      </c>
      <c r="J698" t="s">
        <v>704</v>
      </c>
      <c r="K698">
        <v>75871.998552399993</v>
      </c>
      <c r="L698">
        <f t="shared" si="21"/>
        <v>0</v>
      </c>
    </row>
    <row r="699" spans="1:12" x14ac:dyDescent="0.25">
      <c r="A699">
        <v>1060</v>
      </c>
      <c r="B699">
        <v>77207.347819999995</v>
      </c>
      <c r="C699">
        <v>77207.347819999995</v>
      </c>
      <c r="D699">
        <v>0</v>
      </c>
      <c r="E699">
        <v>946.04436520000002</v>
      </c>
      <c r="F699" s="1">
        <v>15.9</v>
      </c>
      <c r="H699">
        <v>1060</v>
      </c>
      <c r="I699" t="str">
        <f t="shared" si="20"/>
        <v>YES</v>
      </c>
      <c r="J699" t="s">
        <v>705</v>
      </c>
      <c r="K699">
        <v>301706.75526599999</v>
      </c>
      <c r="L699">
        <f t="shared" si="21"/>
        <v>0</v>
      </c>
    </row>
    <row r="700" spans="1:12" x14ac:dyDescent="0.25">
      <c r="A700">
        <v>1061</v>
      </c>
      <c r="B700">
        <v>85316.493549999999</v>
      </c>
      <c r="C700">
        <v>85316.493549999999</v>
      </c>
      <c r="D700">
        <v>0</v>
      </c>
      <c r="E700">
        <v>1085.2973219999999</v>
      </c>
      <c r="F700" s="1">
        <v>20.2</v>
      </c>
      <c r="H700">
        <v>1061</v>
      </c>
      <c r="I700" t="str">
        <f t="shared" si="20"/>
        <v>YES</v>
      </c>
      <c r="J700" t="s">
        <v>706</v>
      </c>
      <c r="K700">
        <v>383328.79695300001</v>
      </c>
      <c r="L700">
        <f t="shared" si="21"/>
        <v>0</v>
      </c>
    </row>
    <row r="701" spans="1:12" x14ac:dyDescent="0.25">
      <c r="A701">
        <v>1062</v>
      </c>
      <c r="B701">
        <v>97162.754560000001</v>
      </c>
      <c r="C701">
        <v>97162.754560000001</v>
      </c>
      <c r="D701">
        <v>0</v>
      </c>
      <c r="E701">
        <v>1101.7121520000001</v>
      </c>
      <c r="F701" s="1">
        <v>23.3</v>
      </c>
      <c r="H701">
        <v>1062</v>
      </c>
      <c r="I701" t="str">
        <f t="shared" si="20"/>
        <v>YES</v>
      </c>
      <c r="J701" t="s">
        <v>707</v>
      </c>
      <c r="K701">
        <v>120060.96427500001</v>
      </c>
      <c r="L701">
        <f t="shared" si="21"/>
        <v>0</v>
      </c>
    </row>
    <row r="702" spans="1:12" x14ac:dyDescent="0.25">
      <c r="A702">
        <v>1063</v>
      </c>
      <c r="B702">
        <v>67267.352530000004</v>
      </c>
      <c r="C702">
        <v>67267.352530000004</v>
      </c>
      <c r="D702">
        <v>0</v>
      </c>
      <c r="E702">
        <v>2615.841907</v>
      </c>
      <c r="F702" s="1">
        <v>38.299999999999997</v>
      </c>
      <c r="H702">
        <v>1063</v>
      </c>
      <c r="I702" t="str">
        <f t="shared" si="20"/>
        <v>YES</v>
      </c>
      <c r="J702" t="s">
        <v>708</v>
      </c>
      <c r="K702">
        <v>329486.19513599999</v>
      </c>
      <c r="L702">
        <f t="shared" si="21"/>
        <v>0</v>
      </c>
    </row>
    <row r="703" spans="1:12" x14ac:dyDescent="0.25">
      <c r="A703">
        <v>1064</v>
      </c>
      <c r="B703">
        <v>66058.996440000003</v>
      </c>
      <c r="C703">
        <v>66058.996440000003</v>
      </c>
      <c r="D703">
        <v>0</v>
      </c>
      <c r="E703">
        <v>557.61917619999997</v>
      </c>
      <c r="F703" s="1">
        <v>8.02</v>
      </c>
      <c r="H703">
        <v>1064</v>
      </c>
      <c r="I703" t="str">
        <f t="shared" si="20"/>
        <v>YES</v>
      </c>
      <c r="J703" t="s">
        <v>709</v>
      </c>
      <c r="K703">
        <v>147740.64118499999</v>
      </c>
      <c r="L703">
        <f t="shared" si="21"/>
        <v>0</v>
      </c>
    </row>
    <row r="704" spans="1:12" x14ac:dyDescent="0.25">
      <c r="A704">
        <v>1065</v>
      </c>
      <c r="B704">
        <v>73454.924440000003</v>
      </c>
      <c r="C704">
        <v>73454.924440000003</v>
      </c>
      <c r="D704">
        <v>0</v>
      </c>
      <c r="E704">
        <v>1078.7181619999999</v>
      </c>
      <c r="F704" s="1">
        <v>17.3</v>
      </c>
      <c r="H704">
        <v>1065</v>
      </c>
      <c r="I704" t="str">
        <f t="shared" si="20"/>
        <v>YES</v>
      </c>
      <c r="J704" t="s">
        <v>710</v>
      </c>
      <c r="K704">
        <v>129743.52716300001</v>
      </c>
      <c r="L704">
        <f t="shared" si="21"/>
        <v>0</v>
      </c>
    </row>
    <row r="705" spans="1:12" x14ac:dyDescent="0.25">
      <c r="A705">
        <v>1066</v>
      </c>
      <c r="B705">
        <v>56402.918449999997</v>
      </c>
      <c r="C705">
        <v>56402.918449999997</v>
      </c>
      <c r="D705">
        <v>0</v>
      </c>
      <c r="E705">
        <v>614.83940559999996</v>
      </c>
      <c r="F705" s="1">
        <v>7.55</v>
      </c>
      <c r="H705">
        <v>1066</v>
      </c>
      <c r="I705" t="str">
        <f t="shared" si="20"/>
        <v>YES</v>
      </c>
      <c r="J705" t="s">
        <v>711</v>
      </c>
      <c r="K705">
        <v>312357.45321800001</v>
      </c>
      <c r="L705">
        <f t="shared" si="21"/>
        <v>0</v>
      </c>
    </row>
    <row r="706" spans="1:12" x14ac:dyDescent="0.25">
      <c r="A706">
        <v>1067</v>
      </c>
      <c r="B706">
        <v>57423.813199999997</v>
      </c>
      <c r="C706">
        <v>57423.813199999997</v>
      </c>
      <c r="D706">
        <v>0</v>
      </c>
      <c r="E706">
        <v>3607.411521</v>
      </c>
      <c r="F706" s="1">
        <v>45.1</v>
      </c>
      <c r="H706">
        <v>1067</v>
      </c>
      <c r="I706" t="str">
        <f t="shared" si="20"/>
        <v>YES</v>
      </c>
      <c r="J706" t="s">
        <v>712</v>
      </c>
      <c r="K706">
        <v>347132.62285799999</v>
      </c>
      <c r="L706">
        <f t="shared" si="21"/>
        <v>0</v>
      </c>
    </row>
    <row r="707" spans="1:12" x14ac:dyDescent="0.25">
      <c r="A707">
        <v>1068</v>
      </c>
      <c r="B707">
        <v>10124.45253</v>
      </c>
      <c r="C707">
        <v>10124.45253</v>
      </c>
      <c r="D707">
        <v>0</v>
      </c>
      <c r="E707">
        <v>5.2643398250000004</v>
      </c>
      <c r="F707" s="1">
        <v>1.1599999999999999E-2</v>
      </c>
      <c r="H707">
        <v>1068</v>
      </c>
      <c r="I707" t="str">
        <f t="shared" ref="I707:I770" si="22">IF(A707=H707,"YES","NO")</f>
        <v>YES</v>
      </c>
      <c r="J707" t="s">
        <v>713</v>
      </c>
      <c r="K707">
        <v>983029.403972</v>
      </c>
      <c r="L707">
        <f t="shared" ref="L707:L770" si="23">EXP(0.2052)*K707*(D707/C707)</f>
        <v>0</v>
      </c>
    </row>
    <row r="708" spans="1:12" x14ac:dyDescent="0.25">
      <c r="A708">
        <v>1069</v>
      </c>
      <c r="B708">
        <v>68965.069080000001</v>
      </c>
      <c r="C708">
        <v>68965.069080000001</v>
      </c>
      <c r="D708">
        <v>0</v>
      </c>
      <c r="E708">
        <v>1709.5532820000001</v>
      </c>
      <c r="F708" s="1">
        <v>25.7</v>
      </c>
      <c r="H708">
        <v>1069</v>
      </c>
      <c r="I708" t="str">
        <f t="shared" si="22"/>
        <v>YES</v>
      </c>
      <c r="J708" t="s">
        <v>714</v>
      </c>
      <c r="K708">
        <v>138733.867623</v>
      </c>
      <c r="L708">
        <f t="shared" si="23"/>
        <v>0</v>
      </c>
    </row>
    <row r="709" spans="1:12" x14ac:dyDescent="0.25">
      <c r="A709">
        <v>1070</v>
      </c>
      <c r="B709">
        <v>35384.525130000002</v>
      </c>
      <c r="C709">
        <v>35384.525130000002</v>
      </c>
      <c r="D709">
        <v>0</v>
      </c>
      <c r="E709">
        <v>2189.5032169999999</v>
      </c>
      <c r="F709" s="1">
        <v>16.899999999999999</v>
      </c>
      <c r="H709">
        <v>1070</v>
      </c>
      <c r="I709" t="str">
        <f t="shared" si="22"/>
        <v>YES</v>
      </c>
      <c r="J709" t="s">
        <v>715</v>
      </c>
      <c r="K709">
        <v>271800.31900199997</v>
      </c>
      <c r="L709">
        <f t="shared" si="23"/>
        <v>0</v>
      </c>
    </row>
    <row r="710" spans="1:12" x14ac:dyDescent="0.25">
      <c r="A710">
        <v>1071</v>
      </c>
      <c r="B710">
        <v>6178.7281759999996</v>
      </c>
      <c r="C710">
        <v>6178.7281759999996</v>
      </c>
      <c r="D710">
        <v>0</v>
      </c>
      <c r="E710">
        <v>1.0628699999999999E-4</v>
      </c>
      <c r="F710" s="1">
        <v>1.43E-7</v>
      </c>
      <c r="H710">
        <v>1071</v>
      </c>
      <c r="I710" t="str">
        <f t="shared" si="22"/>
        <v>YES</v>
      </c>
      <c r="J710" t="s">
        <v>716</v>
      </c>
      <c r="K710">
        <v>451611.74118999997</v>
      </c>
      <c r="L710">
        <f t="shared" si="23"/>
        <v>0</v>
      </c>
    </row>
    <row r="711" spans="1:12" x14ac:dyDescent="0.25">
      <c r="A711">
        <v>1072</v>
      </c>
      <c r="B711">
        <v>52835.724439999998</v>
      </c>
      <c r="C711">
        <v>52835.724439999998</v>
      </c>
      <c r="D711">
        <v>0</v>
      </c>
      <c r="E711">
        <v>2628.1413870000001</v>
      </c>
      <c r="F711" s="1">
        <v>30.2</v>
      </c>
      <c r="H711">
        <v>1072</v>
      </c>
      <c r="I711" t="str">
        <f t="shared" si="22"/>
        <v>YES</v>
      </c>
      <c r="J711" t="s">
        <v>717</v>
      </c>
      <c r="K711">
        <v>274156.30822000001</v>
      </c>
      <c r="L711">
        <f t="shared" si="23"/>
        <v>0</v>
      </c>
    </row>
    <row r="712" spans="1:12" x14ac:dyDescent="0.25">
      <c r="A712">
        <v>1073</v>
      </c>
      <c r="B712">
        <v>73372.349629999997</v>
      </c>
      <c r="C712">
        <v>73372.349629999997</v>
      </c>
      <c r="D712">
        <v>0</v>
      </c>
      <c r="E712">
        <v>0.331184743</v>
      </c>
      <c r="F712" s="1">
        <v>5.2900000000000004E-3</v>
      </c>
      <c r="H712">
        <v>1073</v>
      </c>
      <c r="I712" t="str">
        <f t="shared" si="22"/>
        <v>YES</v>
      </c>
      <c r="J712" t="s">
        <v>718</v>
      </c>
      <c r="K712">
        <v>36970.5186521</v>
      </c>
      <c r="L712">
        <f t="shared" si="23"/>
        <v>0</v>
      </c>
    </row>
    <row r="713" spans="1:12" x14ac:dyDescent="0.25">
      <c r="A713">
        <v>1074</v>
      </c>
      <c r="B713">
        <v>88433.290569999997</v>
      </c>
      <c r="C713">
        <v>88433.290569999997</v>
      </c>
      <c r="D713">
        <v>0</v>
      </c>
      <c r="E713">
        <v>1.0628699999999999E-4</v>
      </c>
      <c r="F713" s="1">
        <v>2.0499999999999999E-6</v>
      </c>
      <c r="H713">
        <v>1074</v>
      </c>
      <c r="I713" t="str">
        <f t="shared" si="22"/>
        <v>YES</v>
      </c>
      <c r="J713" t="s">
        <v>719</v>
      </c>
      <c r="K713">
        <v>47318.775320599998</v>
      </c>
      <c r="L713">
        <f t="shared" si="23"/>
        <v>0</v>
      </c>
    </row>
    <row r="714" spans="1:12" x14ac:dyDescent="0.25">
      <c r="A714">
        <v>1075</v>
      </c>
      <c r="B714">
        <v>15819.99323</v>
      </c>
      <c r="C714">
        <v>15819.99323</v>
      </c>
      <c r="D714">
        <v>0</v>
      </c>
      <c r="E714">
        <v>1873.332983</v>
      </c>
      <c r="F714" s="1">
        <v>6.45</v>
      </c>
      <c r="H714">
        <v>1075</v>
      </c>
      <c r="I714" t="str">
        <f t="shared" si="22"/>
        <v>YES</v>
      </c>
      <c r="J714" t="s">
        <v>720</v>
      </c>
      <c r="K714">
        <v>698285.130856</v>
      </c>
      <c r="L714">
        <f t="shared" si="23"/>
        <v>0</v>
      </c>
    </row>
    <row r="715" spans="1:12" x14ac:dyDescent="0.25">
      <c r="A715">
        <v>1076</v>
      </c>
      <c r="B715">
        <v>23782.44483</v>
      </c>
      <c r="C715">
        <v>23782.44483</v>
      </c>
      <c r="D715">
        <v>0</v>
      </c>
      <c r="E715">
        <v>3632.4951970000002</v>
      </c>
      <c r="F715" s="1">
        <v>18.8</v>
      </c>
      <c r="H715">
        <v>1076</v>
      </c>
      <c r="I715" t="str">
        <f t="shared" si="22"/>
        <v>YES</v>
      </c>
      <c r="J715" t="s">
        <v>721</v>
      </c>
      <c r="K715">
        <v>1121578.7123</v>
      </c>
      <c r="L715">
        <f t="shared" si="23"/>
        <v>0</v>
      </c>
    </row>
    <row r="716" spans="1:12" x14ac:dyDescent="0.25">
      <c r="A716">
        <v>1077</v>
      </c>
      <c r="B716">
        <v>25795.031200000001</v>
      </c>
      <c r="C716">
        <v>25795.031200000001</v>
      </c>
      <c r="D716">
        <v>0</v>
      </c>
      <c r="E716">
        <v>2899.6084489999998</v>
      </c>
      <c r="F716" s="1">
        <v>16.3</v>
      </c>
      <c r="H716">
        <v>1077</v>
      </c>
      <c r="I716" t="str">
        <f t="shared" si="22"/>
        <v>YES</v>
      </c>
      <c r="J716" t="s">
        <v>722</v>
      </c>
      <c r="K716">
        <v>1169546.1000900001</v>
      </c>
      <c r="L716">
        <f t="shared" si="23"/>
        <v>0</v>
      </c>
    </row>
    <row r="717" spans="1:12" x14ac:dyDescent="0.25">
      <c r="A717">
        <v>1078</v>
      </c>
      <c r="B717">
        <v>10063.02952</v>
      </c>
      <c r="C717">
        <v>10063.02952</v>
      </c>
      <c r="D717">
        <v>0</v>
      </c>
      <c r="E717">
        <v>2126.7944790000001</v>
      </c>
      <c r="F717" s="1">
        <v>4.66</v>
      </c>
      <c r="H717">
        <v>1078</v>
      </c>
      <c r="I717" t="str">
        <f t="shared" si="22"/>
        <v>YES</v>
      </c>
      <c r="J717" t="s">
        <v>723</v>
      </c>
      <c r="K717">
        <v>661281.87867300003</v>
      </c>
      <c r="L717">
        <f t="shared" si="23"/>
        <v>0</v>
      </c>
    </row>
    <row r="718" spans="1:12" x14ac:dyDescent="0.25">
      <c r="A718">
        <v>1079</v>
      </c>
      <c r="B718">
        <v>17015.85571</v>
      </c>
      <c r="C718">
        <v>17015.85571</v>
      </c>
      <c r="D718">
        <v>0</v>
      </c>
      <c r="E718">
        <v>1795.016061</v>
      </c>
      <c r="F718" s="1">
        <v>6.65</v>
      </c>
      <c r="H718">
        <v>1079</v>
      </c>
      <c r="I718" t="str">
        <f t="shared" si="22"/>
        <v>YES</v>
      </c>
      <c r="J718" t="s">
        <v>724</v>
      </c>
      <c r="K718">
        <v>539915.87593600003</v>
      </c>
      <c r="L718">
        <f t="shared" si="23"/>
        <v>0</v>
      </c>
    </row>
    <row r="719" spans="1:12" x14ac:dyDescent="0.25">
      <c r="A719">
        <v>1080</v>
      </c>
      <c r="B719">
        <v>2587.7971010000001</v>
      </c>
      <c r="C719">
        <v>2587.7971010000001</v>
      </c>
      <c r="D719">
        <v>0</v>
      </c>
      <c r="E719">
        <v>2206.4293229999998</v>
      </c>
      <c r="F719" s="1">
        <v>1.24</v>
      </c>
      <c r="H719">
        <v>1080</v>
      </c>
      <c r="I719" t="str">
        <f t="shared" si="22"/>
        <v>YES</v>
      </c>
      <c r="J719" t="s">
        <v>725</v>
      </c>
      <c r="K719">
        <v>699131.25327900006</v>
      </c>
      <c r="L719">
        <f t="shared" si="23"/>
        <v>0</v>
      </c>
    </row>
    <row r="720" spans="1:12" x14ac:dyDescent="0.25">
      <c r="A720">
        <v>1081</v>
      </c>
      <c r="B720">
        <v>29735.580539999999</v>
      </c>
      <c r="C720">
        <v>29735.580539999999</v>
      </c>
      <c r="D720">
        <v>0</v>
      </c>
      <c r="E720">
        <v>2211.251647</v>
      </c>
      <c r="F720" s="1">
        <v>14.3</v>
      </c>
      <c r="H720">
        <v>1081</v>
      </c>
      <c r="I720" t="str">
        <f t="shared" si="22"/>
        <v>YES</v>
      </c>
      <c r="J720" t="s">
        <v>726</v>
      </c>
      <c r="K720">
        <v>626831.86152000003</v>
      </c>
      <c r="L720">
        <f t="shared" si="23"/>
        <v>0</v>
      </c>
    </row>
    <row r="721" spans="1:12" x14ac:dyDescent="0.25">
      <c r="A721">
        <v>1082</v>
      </c>
      <c r="B721">
        <v>13667.93916</v>
      </c>
      <c r="C721">
        <v>13667.93916</v>
      </c>
      <c r="D721">
        <v>0</v>
      </c>
      <c r="E721">
        <v>1101.3981060000001</v>
      </c>
      <c r="F721" s="1">
        <v>3.28</v>
      </c>
      <c r="H721">
        <v>1082</v>
      </c>
      <c r="I721" t="str">
        <f t="shared" si="22"/>
        <v>YES</v>
      </c>
      <c r="J721" t="s">
        <v>727</v>
      </c>
      <c r="K721">
        <v>567137.44309299998</v>
      </c>
      <c r="L721">
        <f t="shared" si="23"/>
        <v>0</v>
      </c>
    </row>
    <row r="722" spans="1:12" x14ac:dyDescent="0.25">
      <c r="A722">
        <v>1083</v>
      </c>
      <c r="B722">
        <v>5342.6659579999996</v>
      </c>
      <c r="C722">
        <v>5342.6659579999996</v>
      </c>
      <c r="D722">
        <v>0</v>
      </c>
      <c r="E722">
        <v>2768.5670839999998</v>
      </c>
      <c r="F722" s="1">
        <v>3.22</v>
      </c>
      <c r="H722">
        <v>1083</v>
      </c>
      <c r="I722" t="str">
        <f t="shared" si="22"/>
        <v>YES</v>
      </c>
      <c r="J722" t="s">
        <v>728</v>
      </c>
      <c r="K722">
        <v>825904.20736100001</v>
      </c>
      <c r="L722">
        <f t="shared" si="23"/>
        <v>0</v>
      </c>
    </row>
    <row r="723" spans="1:12" x14ac:dyDescent="0.25">
      <c r="A723">
        <v>1084</v>
      </c>
      <c r="B723">
        <v>42968.029419999999</v>
      </c>
      <c r="C723">
        <v>42968.029419999999</v>
      </c>
      <c r="D723">
        <v>0</v>
      </c>
      <c r="E723">
        <v>1955.106671</v>
      </c>
      <c r="F723" s="1">
        <v>18.3</v>
      </c>
      <c r="H723">
        <v>1084</v>
      </c>
      <c r="I723" t="str">
        <f t="shared" si="22"/>
        <v>YES</v>
      </c>
      <c r="J723" t="s">
        <v>729</v>
      </c>
      <c r="K723">
        <v>556184.62381400005</v>
      </c>
      <c r="L723">
        <f t="shared" si="23"/>
        <v>0</v>
      </c>
    </row>
    <row r="724" spans="1:12" x14ac:dyDescent="0.25">
      <c r="A724">
        <v>1085</v>
      </c>
      <c r="B724">
        <v>83164.018209999995</v>
      </c>
      <c r="C724">
        <v>83164.018209999995</v>
      </c>
      <c r="D724">
        <v>0</v>
      </c>
      <c r="E724">
        <v>1293.7360859999999</v>
      </c>
      <c r="F724" s="1">
        <v>23.4</v>
      </c>
      <c r="H724">
        <v>1085</v>
      </c>
      <c r="I724" t="str">
        <f t="shared" si="22"/>
        <v>YES</v>
      </c>
      <c r="J724" t="s">
        <v>730</v>
      </c>
      <c r="K724">
        <v>41676.886057700001</v>
      </c>
      <c r="L724">
        <f t="shared" si="23"/>
        <v>0</v>
      </c>
    </row>
    <row r="725" spans="1:12" x14ac:dyDescent="0.25">
      <c r="A725">
        <v>1087</v>
      </c>
      <c r="B725">
        <v>8995.9721960000006</v>
      </c>
      <c r="C725">
        <v>8995.9721960000006</v>
      </c>
      <c r="D725">
        <v>0</v>
      </c>
      <c r="E725">
        <v>2030.786247</v>
      </c>
      <c r="F725" s="1">
        <v>3.98</v>
      </c>
      <c r="H725">
        <v>1087</v>
      </c>
      <c r="I725" t="str">
        <f t="shared" si="22"/>
        <v>YES</v>
      </c>
      <c r="J725" t="s">
        <v>731</v>
      </c>
      <c r="K725">
        <v>666899.16447700001</v>
      </c>
      <c r="L725">
        <f t="shared" si="23"/>
        <v>0</v>
      </c>
    </row>
    <row r="726" spans="1:12" x14ac:dyDescent="0.25">
      <c r="A726">
        <v>1088</v>
      </c>
      <c r="B726">
        <v>22888.5128</v>
      </c>
      <c r="C726">
        <v>22888.5128</v>
      </c>
      <c r="D726">
        <v>0</v>
      </c>
      <c r="E726">
        <v>3451.8840169999999</v>
      </c>
      <c r="F726" s="1">
        <v>17.2</v>
      </c>
      <c r="H726">
        <v>1088</v>
      </c>
      <c r="I726" t="str">
        <f t="shared" si="22"/>
        <v>YES</v>
      </c>
      <c r="J726" t="s">
        <v>732</v>
      </c>
      <c r="K726">
        <v>1606202.38164</v>
      </c>
      <c r="L726">
        <f t="shared" si="23"/>
        <v>0</v>
      </c>
    </row>
    <row r="727" spans="1:12" x14ac:dyDescent="0.25">
      <c r="A727">
        <v>1089</v>
      </c>
      <c r="B727">
        <v>9321.1290480000007</v>
      </c>
      <c r="C727">
        <v>9321.1290480000007</v>
      </c>
      <c r="D727">
        <v>0</v>
      </c>
      <c r="E727">
        <v>3206.3176560000002</v>
      </c>
      <c r="F727" s="1">
        <v>6.51</v>
      </c>
      <c r="H727">
        <v>1089</v>
      </c>
      <c r="I727" t="str">
        <f t="shared" si="22"/>
        <v>YES</v>
      </c>
      <c r="J727" t="s">
        <v>733</v>
      </c>
      <c r="K727">
        <v>1024030.7204</v>
      </c>
      <c r="L727">
        <f t="shared" si="23"/>
        <v>0</v>
      </c>
    </row>
    <row r="728" spans="1:12" x14ac:dyDescent="0.25">
      <c r="A728">
        <v>1090</v>
      </c>
      <c r="B728">
        <v>4760.0882320000001</v>
      </c>
      <c r="C728">
        <v>4760.0882320000001</v>
      </c>
      <c r="D728">
        <v>0</v>
      </c>
      <c r="E728">
        <v>2355.0120809999999</v>
      </c>
      <c r="F728" s="1">
        <v>2.44</v>
      </c>
      <c r="H728">
        <v>1090</v>
      </c>
      <c r="I728" t="str">
        <f t="shared" si="22"/>
        <v>YES</v>
      </c>
      <c r="J728" t="s">
        <v>734</v>
      </c>
      <c r="K728">
        <v>1043421.48201</v>
      </c>
      <c r="L728">
        <f t="shared" si="23"/>
        <v>0</v>
      </c>
    </row>
    <row r="729" spans="1:12" x14ac:dyDescent="0.25">
      <c r="A729">
        <v>1091</v>
      </c>
      <c r="B729">
        <v>6340.8881510000001</v>
      </c>
      <c r="C729">
        <v>6340.8881510000001</v>
      </c>
      <c r="D729">
        <v>0</v>
      </c>
      <c r="E729">
        <v>1.0628699999999999E-4</v>
      </c>
      <c r="F729" s="1">
        <v>1.4700000000000001E-7</v>
      </c>
      <c r="H729">
        <v>1091</v>
      </c>
      <c r="I729" t="str">
        <f t="shared" si="22"/>
        <v>YES</v>
      </c>
      <c r="J729" t="s">
        <v>735</v>
      </c>
      <c r="K729">
        <v>448880.33697599999</v>
      </c>
      <c r="L729">
        <f t="shared" si="23"/>
        <v>0</v>
      </c>
    </row>
    <row r="730" spans="1:12" x14ac:dyDescent="0.25">
      <c r="A730">
        <v>1092</v>
      </c>
      <c r="B730">
        <v>3960.07888</v>
      </c>
      <c r="C730">
        <v>3960.07888</v>
      </c>
      <c r="D730">
        <v>0</v>
      </c>
      <c r="E730">
        <v>1.0628699999999999E-4</v>
      </c>
      <c r="F730" s="1">
        <v>9.16E-8</v>
      </c>
      <c r="H730">
        <v>1092</v>
      </c>
      <c r="I730" t="str">
        <f t="shared" si="22"/>
        <v>YES</v>
      </c>
      <c r="J730" t="s">
        <v>736</v>
      </c>
      <c r="K730">
        <v>1770994.7641</v>
      </c>
      <c r="L730">
        <f t="shared" si="23"/>
        <v>0</v>
      </c>
    </row>
    <row r="731" spans="1:12" x14ac:dyDescent="0.25">
      <c r="A731">
        <v>1093</v>
      </c>
      <c r="B731">
        <v>96455.813720000006</v>
      </c>
      <c r="C731">
        <v>96455.813720000006</v>
      </c>
      <c r="D731">
        <v>0</v>
      </c>
      <c r="E731">
        <v>1227.8701370000001</v>
      </c>
      <c r="F731" s="1">
        <v>25.8</v>
      </c>
      <c r="H731">
        <v>1093</v>
      </c>
      <c r="I731" t="str">
        <f t="shared" si="22"/>
        <v>YES</v>
      </c>
      <c r="J731" t="s">
        <v>737</v>
      </c>
      <c r="K731">
        <v>61157.209219700002</v>
      </c>
      <c r="L731">
        <f t="shared" si="23"/>
        <v>0</v>
      </c>
    </row>
    <row r="732" spans="1:12" x14ac:dyDescent="0.25">
      <c r="A732">
        <v>1095</v>
      </c>
      <c r="B732">
        <v>91092.25404</v>
      </c>
      <c r="C732">
        <v>91092.25404</v>
      </c>
      <c r="D732">
        <v>0</v>
      </c>
      <c r="E732">
        <v>1946.4913529999999</v>
      </c>
      <c r="F732" s="1">
        <v>38.6</v>
      </c>
      <c r="H732">
        <v>1095</v>
      </c>
      <c r="I732" t="str">
        <f t="shared" si="22"/>
        <v>YES</v>
      </c>
      <c r="J732" t="s">
        <v>738</v>
      </c>
      <c r="K732">
        <v>64701.471671799998</v>
      </c>
      <c r="L732">
        <f t="shared" si="23"/>
        <v>0</v>
      </c>
    </row>
    <row r="733" spans="1:12" x14ac:dyDescent="0.25">
      <c r="A733">
        <v>1096</v>
      </c>
      <c r="B733">
        <v>4398.4109049999997</v>
      </c>
      <c r="C733">
        <v>4398.4109049999997</v>
      </c>
      <c r="D733">
        <v>0</v>
      </c>
      <c r="E733">
        <v>1212.132562</v>
      </c>
      <c r="F733" s="1">
        <v>1.1599999999999999</v>
      </c>
      <c r="H733">
        <v>1096</v>
      </c>
      <c r="I733" t="str">
        <f t="shared" si="22"/>
        <v>YES</v>
      </c>
      <c r="J733" t="s">
        <v>739</v>
      </c>
      <c r="K733">
        <v>171412.26073099999</v>
      </c>
      <c r="L733">
        <f t="shared" si="23"/>
        <v>0</v>
      </c>
    </row>
    <row r="734" spans="1:12" x14ac:dyDescent="0.25">
      <c r="A734">
        <v>1097</v>
      </c>
      <c r="B734">
        <v>67483.727610000002</v>
      </c>
      <c r="C734">
        <v>67483.727610000002</v>
      </c>
      <c r="D734">
        <v>0</v>
      </c>
      <c r="E734">
        <v>1697.556417</v>
      </c>
      <c r="F734" s="1">
        <v>24.9</v>
      </c>
      <c r="H734">
        <v>1097</v>
      </c>
      <c r="I734" t="str">
        <f t="shared" si="22"/>
        <v>YES</v>
      </c>
      <c r="J734" t="s">
        <v>740</v>
      </c>
      <c r="K734">
        <v>97351.916173799997</v>
      </c>
      <c r="L734">
        <f t="shared" si="23"/>
        <v>0</v>
      </c>
    </row>
    <row r="735" spans="1:12" x14ac:dyDescent="0.25">
      <c r="A735">
        <v>1099</v>
      </c>
      <c r="B735">
        <v>110121.13740000001</v>
      </c>
      <c r="C735">
        <v>110121.13740000001</v>
      </c>
      <c r="D735">
        <v>0</v>
      </c>
      <c r="E735">
        <v>2261.0122419999998</v>
      </c>
      <c r="F735" s="1">
        <v>54.2</v>
      </c>
      <c r="H735">
        <v>1099</v>
      </c>
      <c r="I735" t="str">
        <f t="shared" si="22"/>
        <v>YES</v>
      </c>
      <c r="J735" t="s">
        <v>741</v>
      </c>
      <c r="K735">
        <v>95491.856841000001</v>
      </c>
      <c r="L735">
        <f t="shared" si="23"/>
        <v>0</v>
      </c>
    </row>
    <row r="736" spans="1:12" x14ac:dyDescent="0.25">
      <c r="A736">
        <v>1100</v>
      </c>
      <c r="B736">
        <v>2858.844047</v>
      </c>
      <c r="C736">
        <v>2858.844047</v>
      </c>
      <c r="D736">
        <v>0</v>
      </c>
      <c r="E736">
        <v>1971.326337</v>
      </c>
      <c r="F736" s="1">
        <v>1.23</v>
      </c>
      <c r="H736">
        <v>1100</v>
      </c>
      <c r="I736" t="str">
        <f t="shared" si="22"/>
        <v>YES</v>
      </c>
      <c r="J736" t="s">
        <v>742</v>
      </c>
      <c r="K736">
        <v>861609.93379599997</v>
      </c>
      <c r="L736">
        <f t="shared" si="23"/>
        <v>0</v>
      </c>
    </row>
    <row r="737" spans="1:12" x14ac:dyDescent="0.25">
      <c r="A737">
        <v>1101</v>
      </c>
      <c r="B737">
        <v>3313.7681050000001</v>
      </c>
      <c r="C737">
        <v>3313.7681050000001</v>
      </c>
      <c r="D737">
        <v>0</v>
      </c>
      <c r="E737">
        <v>3073.9200230000001</v>
      </c>
      <c r="F737" s="1">
        <v>2.2200000000000002</v>
      </c>
      <c r="H737">
        <v>1101</v>
      </c>
      <c r="I737" t="str">
        <f t="shared" si="22"/>
        <v>YES</v>
      </c>
      <c r="J737" t="s">
        <v>743</v>
      </c>
      <c r="K737">
        <v>1486333.3463900001</v>
      </c>
      <c r="L737">
        <f t="shared" si="23"/>
        <v>0</v>
      </c>
    </row>
    <row r="738" spans="1:12" x14ac:dyDescent="0.25">
      <c r="A738">
        <v>1102</v>
      </c>
      <c r="B738">
        <v>8166.4601810000004</v>
      </c>
      <c r="C738">
        <v>8166.4601810000004</v>
      </c>
      <c r="D738">
        <v>0</v>
      </c>
      <c r="E738">
        <v>3115.8678810000001</v>
      </c>
      <c r="F738" s="1">
        <v>5.54</v>
      </c>
      <c r="H738">
        <v>1102</v>
      </c>
      <c r="I738" t="str">
        <f t="shared" si="22"/>
        <v>YES</v>
      </c>
      <c r="J738" t="s">
        <v>744</v>
      </c>
      <c r="K738">
        <v>1217671.3300999999</v>
      </c>
      <c r="L738">
        <f t="shared" si="23"/>
        <v>0</v>
      </c>
    </row>
    <row r="739" spans="1:12" x14ac:dyDescent="0.25">
      <c r="A739">
        <v>1103</v>
      </c>
      <c r="B739">
        <v>5714.5354340000004</v>
      </c>
      <c r="C739">
        <v>5714.5354340000004</v>
      </c>
      <c r="D739">
        <v>0</v>
      </c>
      <c r="E739">
        <v>4030.7842009999999</v>
      </c>
      <c r="F739" s="1">
        <v>5.0199999999999996</v>
      </c>
      <c r="H739">
        <v>1103</v>
      </c>
      <c r="I739" t="str">
        <f t="shared" si="22"/>
        <v>YES</v>
      </c>
      <c r="J739" t="s">
        <v>745</v>
      </c>
      <c r="K739">
        <v>1337648.6037300001</v>
      </c>
      <c r="L739">
        <f t="shared" si="23"/>
        <v>0</v>
      </c>
    </row>
    <row r="740" spans="1:12" x14ac:dyDescent="0.25">
      <c r="A740">
        <v>1104</v>
      </c>
      <c r="B740">
        <v>4171.5381230000003</v>
      </c>
      <c r="C740">
        <v>4171.5381230000003</v>
      </c>
      <c r="D740">
        <v>0</v>
      </c>
      <c r="E740">
        <v>988.94712990000005</v>
      </c>
      <c r="F740" s="1">
        <v>0.89800000000000002</v>
      </c>
      <c r="H740">
        <v>1104</v>
      </c>
      <c r="I740" t="str">
        <f t="shared" si="22"/>
        <v>YES</v>
      </c>
      <c r="J740" t="s">
        <v>746</v>
      </c>
      <c r="K740">
        <v>426856.17907700001</v>
      </c>
      <c r="L740">
        <f t="shared" si="23"/>
        <v>0</v>
      </c>
    </row>
    <row r="741" spans="1:12" x14ac:dyDescent="0.25">
      <c r="A741">
        <v>1105</v>
      </c>
      <c r="B741">
        <v>9285.7780550000007</v>
      </c>
      <c r="C741">
        <v>9285.7780550000007</v>
      </c>
      <c r="D741">
        <v>0</v>
      </c>
      <c r="E741">
        <v>3639.0880200000001</v>
      </c>
      <c r="F741" s="1">
        <v>7.36</v>
      </c>
      <c r="H741">
        <v>1105</v>
      </c>
      <c r="I741" t="str">
        <f t="shared" si="22"/>
        <v>YES</v>
      </c>
      <c r="J741" t="s">
        <v>747</v>
      </c>
      <c r="K741">
        <v>887140.17464500002</v>
      </c>
      <c r="L741">
        <f t="shared" si="23"/>
        <v>0</v>
      </c>
    </row>
    <row r="742" spans="1:12" x14ac:dyDescent="0.25">
      <c r="A742">
        <v>1106</v>
      </c>
      <c r="B742">
        <v>9385.0848069999993</v>
      </c>
      <c r="C742">
        <v>9385.0848069999993</v>
      </c>
      <c r="D742">
        <v>0</v>
      </c>
      <c r="E742">
        <v>1633.0282589999999</v>
      </c>
      <c r="F742" s="1">
        <v>3.34</v>
      </c>
      <c r="H742">
        <v>1106</v>
      </c>
      <c r="I742" t="str">
        <f t="shared" si="22"/>
        <v>YES</v>
      </c>
      <c r="J742" t="s">
        <v>748</v>
      </c>
      <c r="K742">
        <v>261148.30332199999</v>
      </c>
      <c r="L742">
        <f t="shared" si="23"/>
        <v>0</v>
      </c>
    </row>
    <row r="743" spans="1:12" x14ac:dyDescent="0.25">
      <c r="A743">
        <v>1107</v>
      </c>
      <c r="B743">
        <v>8622.8795410000002</v>
      </c>
      <c r="C743">
        <v>8622.8795410000002</v>
      </c>
      <c r="D743">
        <v>0</v>
      </c>
      <c r="E743">
        <v>3194.8289770000001</v>
      </c>
      <c r="F743" s="1">
        <v>6</v>
      </c>
      <c r="H743">
        <v>1107</v>
      </c>
      <c r="I743" t="str">
        <f t="shared" si="22"/>
        <v>YES</v>
      </c>
      <c r="J743" t="s">
        <v>749</v>
      </c>
      <c r="K743">
        <v>1247402.86103</v>
      </c>
      <c r="L743">
        <f t="shared" si="23"/>
        <v>0</v>
      </c>
    </row>
    <row r="744" spans="1:12" x14ac:dyDescent="0.25">
      <c r="A744">
        <v>1108</v>
      </c>
      <c r="B744">
        <v>10018.257970000001</v>
      </c>
      <c r="C744">
        <v>10018.257970000001</v>
      </c>
      <c r="D744">
        <v>0</v>
      </c>
      <c r="E744">
        <v>1399.012387</v>
      </c>
      <c r="F744" s="1">
        <v>3.05</v>
      </c>
      <c r="H744">
        <v>1108</v>
      </c>
      <c r="I744" t="str">
        <f t="shared" si="22"/>
        <v>YES</v>
      </c>
      <c r="J744" t="s">
        <v>750</v>
      </c>
      <c r="K744">
        <v>582782.77049200004</v>
      </c>
      <c r="L744">
        <f t="shared" si="23"/>
        <v>0</v>
      </c>
    </row>
    <row r="745" spans="1:12" x14ac:dyDescent="0.25">
      <c r="A745">
        <v>1109</v>
      </c>
      <c r="B745">
        <v>6878.7881880000004</v>
      </c>
      <c r="C745">
        <v>6878.7881880000004</v>
      </c>
      <c r="D745">
        <v>0</v>
      </c>
      <c r="E745">
        <v>2960.296519</v>
      </c>
      <c r="F745" s="1">
        <v>4.43</v>
      </c>
      <c r="H745">
        <v>1109</v>
      </c>
      <c r="I745" t="str">
        <f t="shared" si="22"/>
        <v>YES</v>
      </c>
      <c r="J745" t="s">
        <v>751</v>
      </c>
      <c r="K745">
        <v>777919.24548000004</v>
      </c>
      <c r="L745">
        <f t="shared" si="23"/>
        <v>0</v>
      </c>
    </row>
    <row r="746" spans="1:12" x14ac:dyDescent="0.25">
      <c r="A746">
        <v>1110</v>
      </c>
      <c r="B746">
        <v>9535.3730849999993</v>
      </c>
      <c r="C746">
        <v>9535.3730849999993</v>
      </c>
      <c r="D746">
        <v>0</v>
      </c>
      <c r="E746">
        <v>651.79561490000003</v>
      </c>
      <c r="F746" s="1">
        <v>1.35</v>
      </c>
      <c r="H746">
        <v>1110</v>
      </c>
      <c r="I746" t="str">
        <f t="shared" si="22"/>
        <v>YES</v>
      </c>
      <c r="J746" t="s">
        <v>752</v>
      </c>
      <c r="K746">
        <v>166103.38289400001</v>
      </c>
      <c r="L746">
        <f t="shared" si="23"/>
        <v>0</v>
      </c>
    </row>
    <row r="747" spans="1:12" x14ac:dyDescent="0.25">
      <c r="A747">
        <v>1111</v>
      </c>
      <c r="B747">
        <v>22162.806629999999</v>
      </c>
      <c r="C747">
        <v>22162.806629999999</v>
      </c>
      <c r="D747">
        <v>0</v>
      </c>
      <c r="E747">
        <v>1393.360835</v>
      </c>
      <c r="F747" s="1">
        <v>6.72</v>
      </c>
      <c r="H747">
        <v>1111</v>
      </c>
      <c r="I747" t="str">
        <f t="shared" si="22"/>
        <v>YES</v>
      </c>
      <c r="J747" t="s">
        <v>753</v>
      </c>
      <c r="K747">
        <v>254691.64646600001</v>
      </c>
      <c r="L747">
        <f t="shared" si="23"/>
        <v>0</v>
      </c>
    </row>
    <row r="748" spans="1:12" x14ac:dyDescent="0.25">
      <c r="A748">
        <v>1112</v>
      </c>
      <c r="B748">
        <v>37917.467750000003</v>
      </c>
      <c r="C748">
        <v>37917.467750000003</v>
      </c>
      <c r="D748">
        <v>0</v>
      </c>
      <c r="E748">
        <v>538.13861299999996</v>
      </c>
      <c r="F748" s="1">
        <v>4.4400000000000004</v>
      </c>
      <c r="H748">
        <v>1112</v>
      </c>
      <c r="I748" t="str">
        <f t="shared" si="22"/>
        <v>YES</v>
      </c>
      <c r="J748" t="s">
        <v>754</v>
      </c>
      <c r="K748">
        <v>163567.31066700001</v>
      </c>
      <c r="L748">
        <f t="shared" si="23"/>
        <v>0</v>
      </c>
    </row>
    <row r="749" spans="1:12" x14ac:dyDescent="0.25">
      <c r="A749">
        <v>1113</v>
      </c>
      <c r="B749">
        <v>4740.5322399999995</v>
      </c>
      <c r="C749">
        <v>4740.5322399999995</v>
      </c>
      <c r="D749">
        <v>0</v>
      </c>
      <c r="E749">
        <v>1540.0353</v>
      </c>
      <c r="F749" s="1">
        <v>1.59</v>
      </c>
      <c r="H749">
        <v>1113</v>
      </c>
      <c r="I749" t="str">
        <f t="shared" si="22"/>
        <v>YES</v>
      </c>
      <c r="J749" t="s">
        <v>755</v>
      </c>
      <c r="K749">
        <v>495355.446536</v>
      </c>
      <c r="L749">
        <f t="shared" si="23"/>
        <v>0</v>
      </c>
    </row>
    <row r="750" spans="1:12" x14ac:dyDescent="0.25">
      <c r="A750">
        <v>1114</v>
      </c>
      <c r="B750">
        <v>2062.0521220000001</v>
      </c>
      <c r="C750">
        <v>2062.0521220000001</v>
      </c>
      <c r="D750">
        <v>0</v>
      </c>
      <c r="E750">
        <v>2247.7829000000002</v>
      </c>
      <c r="F750" s="1">
        <v>1.01</v>
      </c>
      <c r="H750">
        <v>1114</v>
      </c>
      <c r="I750" t="str">
        <f t="shared" si="22"/>
        <v>YES</v>
      </c>
      <c r="J750" t="s">
        <v>756</v>
      </c>
      <c r="K750">
        <v>973869.220172</v>
      </c>
      <c r="L750">
        <f t="shared" si="23"/>
        <v>0</v>
      </c>
    </row>
    <row r="751" spans="1:12" x14ac:dyDescent="0.25">
      <c r="A751">
        <v>1115</v>
      </c>
      <c r="B751">
        <v>3286.2414979999999</v>
      </c>
      <c r="C751">
        <v>3286.2414979999999</v>
      </c>
      <c r="D751">
        <v>0</v>
      </c>
      <c r="E751">
        <v>1991.7515229999999</v>
      </c>
      <c r="F751" s="1">
        <v>1.43</v>
      </c>
      <c r="H751">
        <v>1115</v>
      </c>
      <c r="I751" t="str">
        <f t="shared" si="22"/>
        <v>YES</v>
      </c>
      <c r="J751" t="s">
        <v>757</v>
      </c>
      <c r="K751">
        <v>713824.81056200003</v>
      </c>
      <c r="L751">
        <f t="shared" si="23"/>
        <v>0</v>
      </c>
    </row>
    <row r="752" spans="1:12" x14ac:dyDescent="0.25">
      <c r="A752">
        <v>1116</v>
      </c>
      <c r="B752">
        <v>8834.2409050000006</v>
      </c>
      <c r="C752">
        <v>8834.2409050000006</v>
      </c>
      <c r="D752">
        <v>0</v>
      </c>
      <c r="E752">
        <v>3084.7914639999999</v>
      </c>
      <c r="F752" s="1">
        <v>5.93</v>
      </c>
      <c r="H752">
        <v>1116</v>
      </c>
      <c r="I752" t="str">
        <f t="shared" si="22"/>
        <v>YES</v>
      </c>
      <c r="J752" t="s">
        <v>758</v>
      </c>
      <c r="K752">
        <v>673736.28037099994</v>
      </c>
      <c r="L752">
        <f t="shared" si="23"/>
        <v>0</v>
      </c>
    </row>
    <row r="753" spans="1:12" x14ac:dyDescent="0.25">
      <c r="A753">
        <v>1117</v>
      </c>
      <c r="B753">
        <v>24336.303550000001</v>
      </c>
      <c r="C753">
        <v>24336.303550000001</v>
      </c>
      <c r="D753">
        <v>0</v>
      </c>
      <c r="E753">
        <v>101.2304989</v>
      </c>
      <c r="F753" s="1">
        <v>0.53600000000000003</v>
      </c>
      <c r="H753">
        <v>1117</v>
      </c>
      <c r="I753" t="str">
        <f t="shared" si="22"/>
        <v>YES</v>
      </c>
      <c r="J753" t="s">
        <v>759</v>
      </c>
      <c r="K753">
        <v>220777.29594800001</v>
      </c>
      <c r="L753">
        <f t="shared" si="23"/>
        <v>0</v>
      </c>
    </row>
    <row r="754" spans="1:12" x14ac:dyDescent="0.25">
      <c r="A754">
        <v>1118</v>
      </c>
      <c r="B754">
        <v>12532.652700000001</v>
      </c>
      <c r="C754">
        <v>12532.652700000001</v>
      </c>
      <c r="D754">
        <v>0</v>
      </c>
      <c r="E754">
        <v>2897.7502039999999</v>
      </c>
      <c r="F754" s="1">
        <v>7.91</v>
      </c>
      <c r="H754">
        <v>1118</v>
      </c>
      <c r="I754" t="str">
        <f t="shared" si="22"/>
        <v>YES</v>
      </c>
      <c r="J754" t="s">
        <v>760</v>
      </c>
      <c r="K754">
        <v>848060.55138800002</v>
      </c>
      <c r="L754">
        <f t="shared" si="23"/>
        <v>0</v>
      </c>
    </row>
    <row r="755" spans="1:12" x14ac:dyDescent="0.25">
      <c r="A755">
        <v>1119</v>
      </c>
      <c r="B755">
        <v>37904.543449999997</v>
      </c>
      <c r="C755">
        <v>37904.543449999997</v>
      </c>
      <c r="D755">
        <v>0</v>
      </c>
      <c r="E755">
        <v>12.10858535</v>
      </c>
      <c r="F755" s="1">
        <v>9.9900000000000003E-2</v>
      </c>
      <c r="H755">
        <v>1119</v>
      </c>
      <c r="I755" t="str">
        <f t="shared" si="22"/>
        <v>YES</v>
      </c>
      <c r="J755" t="s">
        <v>761</v>
      </c>
      <c r="K755">
        <v>258575.38683199999</v>
      </c>
      <c r="L755">
        <f t="shared" si="23"/>
        <v>0</v>
      </c>
    </row>
    <row r="756" spans="1:12" x14ac:dyDescent="0.25">
      <c r="A756">
        <v>1120</v>
      </c>
      <c r="B756">
        <v>20516.30472</v>
      </c>
      <c r="C756">
        <v>20516.30472</v>
      </c>
      <c r="D756">
        <v>0</v>
      </c>
      <c r="E756">
        <v>13.020615299999999</v>
      </c>
      <c r="F756" s="1">
        <v>5.8200000000000002E-2</v>
      </c>
      <c r="H756">
        <v>1120</v>
      </c>
      <c r="I756" t="str">
        <f t="shared" si="22"/>
        <v>YES</v>
      </c>
      <c r="J756" t="s">
        <v>762</v>
      </c>
      <c r="K756">
        <v>614928.43315199995</v>
      </c>
      <c r="L756">
        <f t="shared" si="23"/>
        <v>0</v>
      </c>
    </row>
    <row r="757" spans="1:12" x14ac:dyDescent="0.25">
      <c r="A757">
        <v>1121</v>
      </c>
      <c r="B757">
        <v>7611.5158000000001</v>
      </c>
      <c r="C757">
        <v>7611.5158000000001</v>
      </c>
      <c r="D757">
        <v>0</v>
      </c>
      <c r="E757">
        <v>7.4514749370000004</v>
      </c>
      <c r="F757" s="1">
        <v>1.23E-2</v>
      </c>
      <c r="H757">
        <v>1121</v>
      </c>
      <c r="I757" t="str">
        <f t="shared" si="22"/>
        <v>YES</v>
      </c>
      <c r="J757" t="s">
        <v>763</v>
      </c>
      <c r="K757">
        <v>827575.14590799995</v>
      </c>
      <c r="L757">
        <f t="shared" si="23"/>
        <v>0</v>
      </c>
    </row>
    <row r="758" spans="1:12" x14ac:dyDescent="0.25">
      <c r="A758">
        <v>1122</v>
      </c>
      <c r="B758">
        <v>35611.10701</v>
      </c>
      <c r="C758">
        <v>35611.10701</v>
      </c>
      <c r="D758">
        <v>0</v>
      </c>
      <c r="E758">
        <v>3406.4105460000001</v>
      </c>
      <c r="F758" s="1">
        <v>26.4</v>
      </c>
      <c r="H758">
        <v>1122</v>
      </c>
      <c r="I758" t="str">
        <f t="shared" si="22"/>
        <v>YES</v>
      </c>
      <c r="J758" t="s">
        <v>764</v>
      </c>
      <c r="K758">
        <v>1264649.4054</v>
      </c>
      <c r="L758">
        <f t="shared" si="23"/>
        <v>0</v>
      </c>
    </row>
    <row r="759" spans="1:12" x14ac:dyDescent="0.25">
      <c r="A759">
        <v>1123</v>
      </c>
      <c r="B759">
        <v>16808.374680000001</v>
      </c>
      <c r="C759">
        <v>16808.374680000001</v>
      </c>
      <c r="D759">
        <v>0</v>
      </c>
      <c r="E759">
        <v>2549.6613259999999</v>
      </c>
      <c r="F759" s="1">
        <v>9.33</v>
      </c>
      <c r="H759">
        <v>1123</v>
      </c>
      <c r="I759" t="str">
        <f t="shared" si="22"/>
        <v>YES</v>
      </c>
      <c r="J759" t="s">
        <v>765</v>
      </c>
      <c r="K759">
        <v>1073452.17019</v>
      </c>
      <c r="L759">
        <f t="shared" si="23"/>
        <v>0</v>
      </c>
    </row>
    <row r="760" spans="1:12" x14ac:dyDescent="0.25">
      <c r="A760">
        <v>1124</v>
      </c>
      <c r="B760">
        <v>14467.78724</v>
      </c>
      <c r="C760">
        <v>14467.78724</v>
      </c>
      <c r="D760">
        <v>0</v>
      </c>
      <c r="E760">
        <v>1998.5274959999999</v>
      </c>
      <c r="F760" s="1">
        <v>6.3</v>
      </c>
      <c r="H760">
        <v>1124</v>
      </c>
      <c r="I760" t="str">
        <f t="shared" si="22"/>
        <v>YES</v>
      </c>
      <c r="J760" t="s">
        <v>766</v>
      </c>
      <c r="K760">
        <v>644257.68870299996</v>
      </c>
      <c r="L760">
        <f t="shared" si="23"/>
        <v>0</v>
      </c>
    </row>
    <row r="761" spans="1:12" x14ac:dyDescent="0.25">
      <c r="A761">
        <v>1125</v>
      </c>
      <c r="B761">
        <v>44116.576840000002</v>
      </c>
      <c r="C761">
        <v>44116.576840000002</v>
      </c>
      <c r="D761">
        <v>0</v>
      </c>
      <c r="E761">
        <v>241.5345911</v>
      </c>
      <c r="F761" s="1">
        <v>2.3199999999999998</v>
      </c>
      <c r="H761">
        <v>1125</v>
      </c>
      <c r="I761" t="str">
        <f t="shared" si="22"/>
        <v>YES</v>
      </c>
      <c r="J761" t="s">
        <v>767</v>
      </c>
      <c r="K761">
        <v>584183.34443099995</v>
      </c>
      <c r="L761">
        <f t="shared" si="23"/>
        <v>0</v>
      </c>
    </row>
    <row r="762" spans="1:12" x14ac:dyDescent="0.25">
      <c r="A762">
        <v>1126</v>
      </c>
      <c r="B762">
        <v>59556.801570000003</v>
      </c>
      <c r="C762">
        <v>59556.801570000003</v>
      </c>
      <c r="D762">
        <v>0</v>
      </c>
      <c r="E762">
        <v>12.44402773</v>
      </c>
      <c r="F762" s="1">
        <v>0.161</v>
      </c>
      <c r="H762">
        <v>1126</v>
      </c>
      <c r="I762" t="str">
        <f t="shared" si="22"/>
        <v>YES</v>
      </c>
      <c r="J762" t="s">
        <v>768</v>
      </c>
      <c r="K762">
        <v>236775.721238</v>
      </c>
      <c r="L762">
        <f t="shared" si="23"/>
        <v>0</v>
      </c>
    </row>
    <row r="763" spans="1:12" x14ac:dyDescent="0.25">
      <c r="A763">
        <v>1127</v>
      </c>
      <c r="B763">
        <v>2564.8333520000001</v>
      </c>
      <c r="C763">
        <v>2564.8333520000001</v>
      </c>
      <c r="D763">
        <v>0</v>
      </c>
      <c r="E763">
        <v>1714.3749700000001</v>
      </c>
      <c r="F763" s="1">
        <v>0.95699999999999996</v>
      </c>
      <c r="H763">
        <v>1127</v>
      </c>
      <c r="I763" t="str">
        <f t="shared" si="22"/>
        <v>YES</v>
      </c>
      <c r="J763" t="s">
        <v>769</v>
      </c>
      <c r="K763">
        <v>609804.90255400003</v>
      </c>
      <c r="L763">
        <f t="shared" si="23"/>
        <v>0</v>
      </c>
    </row>
    <row r="764" spans="1:12" x14ac:dyDescent="0.25">
      <c r="A764">
        <v>1128</v>
      </c>
      <c r="B764">
        <v>3247.1244280000001</v>
      </c>
      <c r="C764">
        <v>3247.1244280000001</v>
      </c>
      <c r="D764">
        <v>0</v>
      </c>
      <c r="E764">
        <v>1727.58437</v>
      </c>
      <c r="F764" s="1">
        <v>1.22</v>
      </c>
      <c r="H764">
        <v>1128</v>
      </c>
      <c r="I764" t="str">
        <f t="shared" si="22"/>
        <v>YES</v>
      </c>
      <c r="J764" t="s">
        <v>770</v>
      </c>
      <c r="K764">
        <v>632383.18599400006</v>
      </c>
      <c r="L764">
        <f t="shared" si="23"/>
        <v>0</v>
      </c>
    </row>
    <row r="765" spans="1:12" x14ac:dyDescent="0.25">
      <c r="A765">
        <v>1129</v>
      </c>
      <c r="B765">
        <v>6298.6273440000004</v>
      </c>
      <c r="C765">
        <v>6298.6273440000004</v>
      </c>
      <c r="D765">
        <v>0</v>
      </c>
      <c r="E765">
        <v>2590.2120070000001</v>
      </c>
      <c r="F765" s="1">
        <v>3.55</v>
      </c>
      <c r="H765">
        <v>1129</v>
      </c>
      <c r="I765" t="str">
        <f t="shared" si="22"/>
        <v>YES</v>
      </c>
      <c r="J765" t="s">
        <v>771</v>
      </c>
      <c r="K765">
        <v>507752.82737800002</v>
      </c>
      <c r="L765">
        <f t="shared" si="23"/>
        <v>0</v>
      </c>
    </row>
    <row r="766" spans="1:12" x14ac:dyDescent="0.25">
      <c r="A766">
        <v>1130</v>
      </c>
      <c r="B766">
        <v>2332.0564380000001</v>
      </c>
      <c r="C766">
        <v>2332.0564380000001</v>
      </c>
      <c r="D766">
        <v>0</v>
      </c>
      <c r="E766">
        <v>2192.9122390000002</v>
      </c>
      <c r="F766" s="1">
        <v>1.1100000000000001</v>
      </c>
      <c r="H766">
        <v>1130</v>
      </c>
      <c r="I766" t="str">
        <f t="shared" si="22"/>
        <v>YES</v>
      </c>
      <c r="J766" t="s">
        <v>772</v>
      </c>
      <c r="K766">
        <v>626942.17287000001</v>
      </c>
      <c r="L766">
        <f t="shared" si="23"/>
        <v>0</v>
      </c>
    </row>
    <row r="767" spans="1:12" x14ac:dyDescent="0.25">
      <c r="A767">
        <v>1131</v>
      </c>
      <c r="B767">
        <v>9792.1559300000008</v>
      </c>
      <c r="C767">
        <v>9792.1559300000008</v>
      </c>
      <c r="D767">
        <v>0</v>
      </c>
      <c r="E767">
        <v>2414.0898940000002</v>
      </c>
      <c r="F767" s="1">
        <v>5.15</v>
      </c>
      <c r="H767">
        <v>1131</v>
      </c>
      <c r="I767" t="str">
        <f t="shared" si="22"/>
        <v>YES</v>
      </c>
      <c r="J767" t="s">
        <v>773</v>
      </c>
      <c r="K767">
        <v>506293.28134400002</v>
      </c>
      <c r="L767">
        <f t="shared" si="23"/>
        <v>0</v>
      </c>
    </row>
    <row r="768" spans="1:12" x14ac:dyDescent="0.25">
      <c r="A768">
        <v>1132</v>
      </c>
      <c r="B768">
        <v>2487.9428119999998</v>
      </c>
      <c r="C768">
        <v>2487.9428119999998</v>
      </c>
      <c r="D768">
        <v>0</v>
      </c>
      <c r="E768">
        <v>3945.6388940000002</v>
      </c>
      <c r="F768" s="1">
        <v>2.14</v>
      </c>
      <c r="H768">
        <v>1132</v>
      </c>
      <c r="I768" t="str">
        <f t="shared" si="22"/>
        <v>YES</v>
      </c>
      <c r="J768" t="s">
        <v>774</v>
      </c>
      <c r="K768">
        <v>1258060.33803</v>
      </c>
      <c r="L768">
        <f t="shared" si="23"/>
        <v>0</v>
      </c>
    </row>
    <row r="769" spans="1:12" x14ac:dyDescent="0.25">
      <c r="A769">
        <v>1133</v>
      </c>
      <c r="B769">
        <v>2417.1413170000001</v>
      </c>
      <c r="C769">
        <v>2417.1413170000001</v>
      </c>
      <c r="D769">
        <v>0</v>
      </c>
      <c r="E769">
        <v>949.49547940000002</v>
      </c>
      <c r="F769" s="1">
        <v>0.5</v>
      </c>
      <c r="H769">
        <v>1133</v>
      </c>
      <c r="I769" t="str">
        <f t="shared" si="22"/>
        <v>YES</v>
      </c>
      <c r="J769" t="s">
        <v>775</v>
      </c>
      <c r="K769">
        <v>281709.19241800002</v>
      </c>
      <c r="L769">
        <f t="shared" si="23"/>
        <v>0</v>
      </c>
    </row>
    <row r="770" spans="1:12" x14ac:dyDescent="0.25">
      <c r="A770">
        <v>1134</v>
      </c>
      <c r="B770">
        <v>5896.8148899999997</v>
      </c>
      <c r="C770">
        <v>5896.8148899999997</v>
      </c>
      <c r="D770">
        <v>0</v>
      </c>
      <c r="E770">
        <v>1568.6878819999999</v>
      </c>
      <c r="F770" s="1">
        <v>2.0099999999999998</v>
      </c>
      <c r="H770">
        <v>1134</v>
      </c>
      <c r="I770" t="str">
        <f t="shared" si="22"/>
        <v>YES</v>
      </c>
      <c r="J770" t="s">
        <v>776</v>
      </c>
      <c r="K770">
        <v>1206728.8084499999</v>
      </c>
      <c r="L770">
        <f t="shared" si="23"/>
        <v>0</v>
      </c>
    </row>
    <row r="771" spans="1:12" x14ac:dyDescent="0.25">
      <c r="A771">
        <v>1135</v>
      </c>
      <c r="B771">
        <v>3439.528722</v>
      </c>
      <c r="C771">
        <v>3439.528722</v>
      </c>
      <c r="D771">
        <v>0</v>
      </c>
      <c r="E771">
        <v>1351.0042639999999</v>
      </c>
      <c r="F771" s="1">
        <v>1.01</v>
      </c>
      <c r="H771">
        <v>1135</v>
      </c>
      <c r="I771" t="str">
        <f t="shared" ref="I771:I834" si="24">IF(A771=H771,"YES","NO")</f>
        <v>YES</v>
      </c>
      <c r="J771" t="s">
        <v>777</v>
      </c>
      <c r="K771">
        <v>435523.12434899999</v>
      </c>
      <c r="L771">
        <f t="shared" ref="L771:L834" si="25">EXP(0.2052)*K771*(D771/C771)</f>
        <v>0</v>
      </c>
    </row>
    <row r="772" spans="1:12" x14ac:dyDescent="0.25">
      <c r="A772">
        <v>1198</v>
      </c>
      <c r="B772">
        <v>4512.2068120000004</v>
      </c>
      <c r="C772">
        <v>4512.2068120000004</v>
      </c>
      <c r="D772">
        <v>0</v>
      </c>
      <c r="E772">
        <v>522.97208880000005</v>
      </c>
      <c r="F772" s="1">
        <v>0.51400000000000001</v>
      </c>
      <c r="H772">
        <v>1198</v>
      </c>
      <c r="I772" t="str">
        <f t="shared" si="24"/>
        <v>YES</v>
      </c>
      <c r="J772" t="s">
        <v>778</v>
      </c>
      <c r="K772">
        <v>303906.439664</v>
      </c>
      <c r="L772">
        <f t="shared" si="25"/>
        <v>0</v>
      </c>
    </row>
    <row r="773" spans="1:12" x14ac:dyDescent="0.25">
      <c r="A773">
        <v>1200</v>
      </c>
      <c r="B773">
        <v>6384.6344559999998</v>
      </c>
      <c r="C773">
        <v>6384.6344559999998</v>
      </c>
      <c r="D773">
        <v>0</v>
      </c>
      <c r="E773">
        <v>4502.567137</v>
      </c>
      <c r="F773" s="1">
        <v>6.26</v>
      </c>
      <c r="H773">
        <v>1200</v>
      </c>
      <c r="I773" t="str">
        <f t="shared" si="24"/>
        <v>YES</v>
      </c>
      <c r="J773" t="s">
        <v>779</v>
      </c>
      <c r="K773">
        <v>1311184.57758</v>
      </c>
      <c r="L773">
        <f t="shared" si="25"/>
        <v>0</v>
      </c>
    </row>
    <row r="774" spans="1:12" x14ac:dyDescent="0.25">
      <c r="A774">
        <v>1201</v>
      </c>
      <c r="B774">
        <v>8751.6784430000007</v>
      </c>
      <c r="C774">
        <v>8751.6784430000007</v>
      </c>
      <c r="D774">
        <v>0</v>
      </c>
      <c r="E774">
        <v>2340.2977329999999</v>
      </c>
      <c r="F774" s="1">
        <v>4.46</v>
      </c>
      <c r="H774">
        <v>1201</v>
      </c>
      <c r="I774" t="str">
        <f t="shared" si="24"/>
        <v>YES</v>
      </c>
      <c r="J774" t="s">
        <v>780</v>
      </c>
      <c r="K774">
        <v>601066.523315</v>
      </c>
      <c r="L774">
        <f t="shared" si="25"/>
        <v>0</v>
      </c>
    </row>
    <row r="775" spans="1:12" x14ac:dyDescent="0.25">
      <c r="A775">
        <v>1202</v>
      </c>
      <c r="B775">
        <v>6898.3166899999997</v>
      </c>
      <c r="C775">
        <v>6898.3166899999997</v>
      </c>
      <c r="D775">
        <v>0</v>
      </c>
      <c r="E775">
        <v>1.0731299999999999E-4</v>
      </c>
      <c r="F775" s="1">
        <v>1.61E-7</v>
      </c>
      <c r="H775">
        <v>1202</v>
      </c>
      <c r="I775" t="str">
        <f t="shared" si="24"/>
        <v>YES</v>
      </c>
      <c r="J775" t="s">
        <v>781</v>
      </c>
      <c r="K775">
        <v>793173.34385900002</v>
      </c>
      <c r="L775">
        <f t="shared" si="25"/>
        <v>0</v>
      </c>
    </row>
    <row r="776" spans="1:12" x14ac:dyDescent="0.25">
      <c r="A776">
        <v>1203</v>
      </c>
      <c r="B776">
        <v>9068.8277330000001</v>
      </c>
      <c r="C776">
        <v>9068.8277330000001</v>
      </c>
      <c r="D776">
        <v>0</v>
      </c>
      <c r="E776">
        <v>2698.5453219999999</v>
      </c>
      <c r="F776" s="1">
        <v>5.33</v>
      </c>
      <c r="H776">
        <v>1203</v>
      </c>
      <c r="I776" t="str">
        <f t="shared" si="24"/>
        <v>YES</v>
      </c>
      <c r="J776" t="s">
        <v>782</v>
      </c>
      <c r="K776">
        <v>710739.49774999998</v>
      </c>
      <c r="L776">
        <f t="shared" si="25"/>
        <v>0</v>
      </c>
    </row>
    <row r="777" spans="1:12" x14ac:dyDescent="0.25">
      <c r="A777">
        <v>1204</v>
      </c>
      <c r="B777">
        <v>5858.3732849999997</v>
      </c>
      <c r="C777">
        <v>5858.3732849999997</v>
      </c>
      <c r="D777">
        <v>0</v>
      </c>
      <c r="E777">
        <v>1690.444315</v>
      </c>
      <c r="F777" s="1">
        <v>2.16</v>
      </c>
      <c r="H777">
        <v>1204</v>
      </c>
      <c r="I777" t="str">
        <f t="shared" si="24"/>
        <v>YES</v>
      </c>
      <c r="J777" t="s">
        <v>783</v>
      </c>
      <c r="K777">
        <v>660894.73687899997</v>
      </c>
      <c r="L777">
        <f t="shared" si="25"/>
        <v>0</v>
      </c>
    </row>
    <row r="778" spans="1:12" x14ac:dyDescent="0.25">
      <c r="A778">
        <v>1205</v>
      </c>
      <c r="B778">
        <v>5523.0042729999996</v>
      </c>
      <c r="C778">
        <v>5523.0042729999996</v>
      </c>
      <c r="D778">
        <v>0</v>
      </c>
      <c r="E778">
        <v>1.0731299999999999E-4</v>
      </c>
      <c r="F778" s="1">
        <v>1.29E-7</v>
      </c>
      <c r="H778">
        <v>1205</v>
      </c>
      <c r="I778" t="str">
        <f t="shared" si="24"/>
        <v>YES</v>
      </c>
      <c r="J778" t="s">
        <v>784</v>
      </c>
      <c r="K778">
        <v>1111920.4622</v>
      </c>
      <c r="L778">
        <f t="shared" si="25"/>
        <v>0</v>
      </c>
    </row>
    <row r="779" spans="1:12" x14ac:dyDescent="0.25">
      <c r="A779">
        <v>1206</v>
      </c>
      <c r="B779">
        <v>8510.3592439999993</v>
      </c>
      <c r="C779">
        <v>8510.3592439999993</v>
      </c>
      <c r="D779">
        <v>0</v>
      </c>
      <c r="E779">
        <v>3519.4943429999998</v>
      </c>
      <c r="F779" s="1">
        <v>6.52</v>
      </c>
      <c r="H779">
        <v>1206</v>
      </c>
      <c r="I779" t="str">
        <f t="shared" si="24"/>
        <v>YES</v>
      </c>
      <c r="J779" t="s">
        <v>785</v>
      </c>
      <c r="K779">
        <v>894126.31272699998</v>
      </c>
      <c r="L779">
        <f t="shared" si="25"/>
        <v>0</v>
      </c>
    </row>
    <row r="780" spans="1:12" x14ac:dyDescent="0.25">
      <c r="A780">
        <v>1207</v>
      </c>
      <c r="B780">
        <v>5891.8509439999998</v>
      </c>
      <c r="C780">
        <v>5891.8509439999998</v>
      </c>
      <c r="D780">
        <v>0</v>
      </c>
      <c r="E780">
        <v>4444.650936</v>
      </c>
      <c r="F780" s="1">
        <v>5.7</v>
      </c>
      <c r="H780">
        <v>1207</v>
      </c>
      <c r="I780" t="str">
        <f t="shared" si="24"/>
        <v>YES</v>
      </c>
      <c r="J780" t="s">
        <v>786</v>
      </c>
      <c r="K780">
        <v>1170813.44236</v>
      </c>
      <c r="L780">
        <f t="shared" si="25"/>
        <v>0</v>
      </c>
    </row>
    <row r="781" spans="1:12" x14ac:dyDescent="0.25">
      <c r="A781">
        <v>1209</v>
      </c>
      <c r="B781">
        <v>21139.264149999999</v>
      </c>
      <c r="C781">
        <v>21139.264149999999</v>
      </c>
      <c r="D781">
        <v>0</v>
      </c>
      <c r="E781" s="1">
        <v>8.8599999999999999E-5</v>
      </c>
      <c r="F781" s="1">
        <v>4.08E-7</v>
      </c>
      <c r="H781">
        <v>1209</v>
      </c>
      <c r="I781" t="str">
        <f t="shared" si="24"/>
        <v>YES</v>
      </c>
      <c r="J781" t="s">
        <v>787</v>
      </c>
      <c r="K781">
        <v>241870.65509799999</v>
      </c>
      <c r="L781">
        <f t="shared" si="25"/>
        <v>0</v>
      </c>
    </row>
    <row r="782" spans="1:12" x14ac:dyDescent="0.25">
      <c r="A782">
        <v>1210</v>
      </c>
      <c r="B782">
        <v>12754.419019999999</v>
      </c>
      <c r="C782">
        <v>12754.419019999999</v>
      </c>
      <c r="D782">
        <v>0</v>
      </c>
      <c r="E782">
        <v>4373.6452989999998</v>
      </c>
      <c r="F782" s="1">
        <v>12.1</v>
      </c>
      <c r="H782">
        <v>1210</v>
      </c>
      <c r="I782" t="str">
        <f t="shared" si="24"/>
        <v>YES</v>
      </c>
      <c r="J782" t="s">
        <v>788</v>
      </c>
      <c r="K782">
        <v>1493731.67955</v>
      </c>
      <c r="L782">
        <f t="shared" si="25"/>
        <v>0</v>
      </c>
    </row>
    <row r="783" spans="1:12" x14ac:dyDescent="0.25">
      <c r="A783">
        <v>1211</v>
      </c>
      <c r="B783">
        <v>7213.6297249999998</v>
      </c>
      <c r="C783">
        <v>7213.6297249999998</v>
      </c>
      <c r="D783">
        <v>0</v>
      </c>
      <c r="E783">
        <v>234.67953829999999</v>
      </c>
      <c r="F783" s="1">
        <v>0.36899999999999999</v>
      </c>
      <c r="H783">
        <v>1211</v>
      </c>
      <c r="I783" t="str">
        <f t="shared" si="24"/>
        <v>YES</v>
      </c>
      <c r="J783" t="s">
        <v>789</v>
      </c>
      <c r="K783">
        <v>984408.96714800003</v>
      </c>
      <c r="L783">
        <f t="shared" si="25"/>
        <v>0</v>
      </c>
    </row>
    <row r="784" spans="1:12" x14ac:dyDescent="0.25">
      <c r="A784">
        <v>1212</v>
      </c>
      <c r="B784">
        <v>9175.1377549999997</v>
      </c>
      <c r="C784">
        <v>9175.1377549999997</v>
      </c>
      <c r="D784">
        <v>0</v>
      </c>
      <c r="E784">
        <v>2534.9075769999999</v>
      </c>
      <c r="F784" s="1">
        <v>5.0599999999999996</v>
      </c>
      <c r="H784">
        <v>1212</v>
      </c>
      <c r="I784" t="str">
        <f t="shared" si="24"/>
        <v>YES</v>
      </c>
      <c r="J784" t="s">
        <v>790</v>
      </c>
      <c r="K784">
        <v>749667.68569299998</v>
      </c>
      <c r="L784">
        <f t="shared" si="25"/>
        <v>0</v>
      </c>
    </row>
    <row r="785" spans="1:12" x14ac:dyDescent="0.25">
      <c r="A785">
        <v>1213</v>
      </c>
      <c r="B785">
        <v>11123.221320000001</v>
      </c>
      <c r="C785">
        <v>11123.221320000001</v>
      </c>
      <c r="D785">
        <v>0</v>
      </c>
      <c r="E785">
        <v>1131.102543</v>
      </c>
      <c r="F785" s="1">
        <v>2.74</v>
      </c>
      <c r="H785">
        <v>1213</v>
      </c>
      <c r="I785" t="str">
        <f t="shared" si="24"/>
        <v>YES</v>
      </c>
      <c r="J785" t="s">
        <v>791</v>
      </c>
      <c r="K785">
        <v>346860.21065700002</v>
      </c>
      <c r="L785">
        <f t="shared" si="25"/>
        <v>0</v>
      </c>
    </row>
    <row r="786" spans="1:12" x14ac:dyDescent="0.25">
      <c r="A786">
        <v>1214</v>
      </c>
      <c r="B786">
        <v>9005.5731589999996</v>
      </c>
      <c r="C786">
        <v>9005.5731589999996</v>
      </c>
      <c r="D786">
        <v>0</v>
      </c>
      <c r="E786">
        <v>2228.960392</v>
      </c>
      <c r="F786" s="1">
        <v>4.37</v>
      </c>
      <c r="H786">
        <v>1214</v>
      </c>
      <c r="I786" t="str">
        <f t="shared" si="24"/>
        <v>YES</v>
      </c>
      <c r="J786" t="s">
        <v>792</v>
      </c>
      <c r="K786">
        <v>482442.69654400001</v>
      </c>
      <c r="L786">
        <f t="shared" si="25"/>
        <v>0</v>
      </c>
    </row>
    <row r="787" spans="1:12" x14ac:dyDescent="0.25">
      <c r="A787">
        <v>1215</v>
      </c>
      <c r="B787">
        <v>15796.75201</v>
      </c>
      <c r="C787">
        <v>15796.75201</v>
      </c>
      <c r="D787">
        <v>0</v>
      </c>
      <c r="E787">
        <v>210.00406330000001</v>
      </c>
      <c r="F787" s="1">
        <v>0.72199999999999998</v>
      </c>
      <c r="H787">
        <v>1215</v>
      </c>
      <c r="I787" t="str">
        <f t="shared" si="24"/>
        <v>YES</v>
      </c>
      <c r="J787" t="s">
        <v>793</v>
      </c>
      <c r="K787">
        <v>142861.04501100001</v>
      </c>
      <c r="L787">
        <f t="shared" si="25"/>
        <v>0</v>
      </c>
    </row>
    <row r="788" spans="1:12" x14ac:dyDescent="0.25">
      <c r="A788">
        <v>1216</v>
      </c>
      <c r="B788">
        <v>7462.5406739999999</v>
      </c>
      <c r="C788">
        <v>7462.5406739999999</v>
      </c>
      <c r="D788">
        <v>0</v>
      </c>
      <c r="E788">
        <v>3667.8742010000001</v>
      </c>
      <c r="F788" s="1">
        <v>5.96</v>
      </c>
      <c r="H788">
        <v>1216</v>
      </c>
      <c r="I788" t="str">
        <f t="shared" si="24"/>
        <v>YES</v>
      </c>
      <c r="J788" t="s">
        <v>794</v>
      </c>
      <c r="K788">
        <v>1015522.32738</v>
      </c>
      <c r="L788">
        <f t="shared" si="25"/>
        <v>0</v>
      </c>
    </row>
    <row r="789" spans="1:12" x14ac:dyDescent="0.25">
      <c r="A789">
        <v>1217</v>
      </c>
      <c r="B789">
        <v>2952.130525</v>
      </c>
      <c r="C789">
        <v>2952.130525</v>
      </c>
      <c r="D789">
        <v>0</v>
      </c>
      <c r="E789">
        <v>1667.826386</v>
      </c>
      <c r="F789" s="1">
        <v>1.07</v>
      </c>
      <c r="H789">
        <v>1217</v>
      </c>
      <c r="I789" t="str">
        <f t="shared" si="24"/>
        <v>YES</v>
      </c>
      <c r="J789" t="s">
        <v>795</v>
      </c>
      <c r="K789">
        <v>485837.79389700003</v>
      </c>
      <c r="L789">
        <f t="shared" si="25"/>
        <v>0</v>
      </c>
    </row>
    <row r="790" spans="1:12" x14ac:dyDescent="0.25">
      <c r="A790">
        <v>1218</v>
      </c>
      <c r="B790">
        <v>38363.119879999998</v>
      </c>
      <c r="C790">
        <v>38363.119879999998</v>
      </c>
      <c r="D790">
        <v>0</v>
      </c>
      <c r="E790">
        <v>1104.566495</v>
      </c>
      <c r="F790" s="1">
        <v>9.23</v>
      </c>
      <c r="H790">
        <v>1218</v>
      </c>
      <c r="I790" t="str">
        <f t="shared" si="24"/>
        <v>YES</v>
      </c>
      <c r="J790" t="s">
        <v>796</v>
      </c>
      <c r="K790">
        <v>375883.818012</v>
      </c>
      <c r="L790">
        <f t="shared" si="25"/>
        <v>0</v>
      </c>
    </row>
    <row r="791" spans="1:12" x14ac:dyDescent="0.25">
      <c r="A791">
        <v>1219</v>
      </c>
      <c r="B791">
        <v>40949.628019999996</v>
      </c>
      <c r="C791">
        <v>40949.628019999996</v>
      </c>
      <c r="D791">
        <v>0</v>
      </c>
      <c r="E791">
        <v>257.38125439999999</v>
      </c>
      <c r="F791" s="1">
        <v>2.29</v>
      </c>
      <c r="H791">
        <v>1219</v>
      </c>
      <c r="I791" t="str">
        <f t="shared" si="24"/>
        <v>YES</v>
      </c>
      <c r="J791" t="s">
        <v>797</v>
      </c>
      <c r="K791">
        <v>209311.58775199999</v>
      </c>
      <c r="L791">
        <f t="shared" si="25"/>
        <v>0</v>
      </c>
    </row>
    <row r="792" spans="1:12" x14ac:dyDescent="0.25">
      <c r="A792">
        <v>1220</v>
      </c>
      <c r="B792">
        <v>83899.611170000004</v>
      </c>
      <c r="C792">
        <v>83899.611170000004</v>
      </c>
      <c r="D792">
        <v>0</v>
      </c>
      <c r="E792">
        <v>249.10796999999999</v>
      </c>
      <c r="F792" s="1">
        <v>4.55</v>
      </c>
      <c r="H792">
        <v>1220</v>
      </c>
      <c r="I792" t="str">
        <f t="shared" si="24"/>
        <v>YES</v>
      </c>
      <c r="J792" t="s">
        <v>798</v>
      </c>
      <c r="K792">
        <v>144455.020426</v>
      </c>
      <c r="L792">
        <f t="shared" si="25"/>
        <v>0</v>
      </c>
    </row>
    <row r="793" spans="1:12" x14ac:dyDescent="0.25">
      <c r="A793">
        <v>1221</v>
      </c>
      <c r="B793">
        <v>22570.804749999999</v>
      </c>
      <c r="C793">
        <v>22570.804749999999</v>
      </c>
      <c r="D793">
        <v>0</v>
      </c>
      <c r="E793">
        <v>794.18033309999998</v>
      </c>
      <c r="F793" s="1">
        <v>3.9</v>
      </c>
      <c r="H793">
        <v>1221</v>
      </c>
      <c r="I793" t="str">
        <f t="shared" si="24"/>
        <v>YES</v>
      </c>
      <c r="J793" t="s">
        <v>799</v>
      </c>
      <c r="K793">
        <v>233892.92443099999</v>
      </c>
      <c r="L793">
        <f t="shared" si="25"/>
        <v>0</v>
      </c>
    </row>
    <row r="794" spans="1:12" x14ac:dyDescent="0.25">
      <c r="A794">
        <v>1222</v>
      </c>
      <c r="B794">
        <v>52437.800320000002</v>
      </c>
      <c r="C794">
        <v>52437.800320000002</v>
      </c>
      <c r="D794">
        <v>0</v>
      </c>
      <c r="E794" s="1">
        <v>8.8599999999999999E-5</v>
      </c>
      <c r="F794" s="1">
        <v>1.0100000000000001E-6</v>
      </c>
      <c r="H794">
        <v>1222</v>
      </c>
      <c r="I794" t="str">
        <f t="shared" si="24"/>
        <v>YES</v>
      </c>
      <c r="J794" t="s">
        <v>800</v>
      </c>
      <c r="K794">
        <v>428584.57283299998</v>
      </c>
      <c r="L794">
        <f t="shared" si="25"/>
        <v>0</v>
      </c>
    </row>
    <row r="795" spans="1:12" x14ac:dyDescent="0.25">
      <c r="A795">
        <v>1223</v>
      </c>
      <c r="B795">
        <v>13862.52152</v>
      </c>
      <c r="C795">
        <v>13862.52152</v>
      </c>
      <c r="D795">
        <v>0</v>
      </c>
      <c r="E795">
        <v>2747.687398</v>
      </c>
      <c r="F795" s="1">
        <v>8.2899999999999991</v>
      </c>
      <c r="H795">
        <v>1223</v>
      </c>
      <c r="I795" t="str">
        <f t="shared" si="24"/>
        <v>YES</v>
      </c>
      <c r="J795" t="s">
        <v>801</v>
      </c>
      <c r="K795">
        <v>431573.82266399998</v>
      </c>
      <c r="L795">
        <f t="shared" si="25"/>
        <v>0</v>
      </c>
    </row>
    <row r="796" spans="1:12" x14ac:dyDescent="0.25">
      <c r="A796">
        <v>1224</v>
      </c>
      <c r="B796">
        <v>83605.746010000003</v>
      </c>
      <c r="C796">
        <v>83605.746010000003</v>
      </c>
      <c r="D796">
        <v>0</v>
      </c>
      <c r="E796">
        <v>1061.7224819999999</v>
      </c>
      <c r="F796" s="1">
        <v>19.3</v>
      </c>
      <c r="H796">
        <v>1224</v>
      </c>
      <c r="I796" t="str">
        <f t="shared" si="24"/>
        <v>YES</v>
      </c>
      <c r="J796" t="s">
        <v>802</v>
      </c>
      <c r="K796">
        <v>298347.555528</v>
      </c>
      <c r="L796">
        <f t="shared" si="25"/>
        <v>0</v>
      </c>
    </row>
    <row r="797" spans="1:12" x14ac:dyDescent="0.25">
      <c r="A797">
        <v>1225</v>
      </c>
      <c r="B797">
        <v>12840.07483</v>
      </c>
      <c r="C797">
        <v>12840.07483</v>
      </c>
      <c r="D797">
        <v>0</v>
      </c>
      <c r="E797">
        <v>1004.384765</v>
      </c>
      <c r="F797" s="1">
        <v>2.81</v>
      </c>
      <c r="H797">
        <v>1225</v>
      </c>
      <c r="I797" t="str">
        <f t="shared" si="24"/>
        <v>YES</v>
      </c>
      <c r="J797" t="s">
        <v>803</v>
      </c>
      <c r="K797">
        <v>302276.97023799998</v>
      </c>
      <c r="L797">
        <f t="shared" si="25"/>
        <v>0</v>
      </c>
    </row>
    <row r="798" spans="1:12" x14ac:dyDescent="0.25">
      <c r="A798">
        <v>1226</v>
      </c>
      <c r="B798">
        <v>31613.473190000001</v>
      </c>
      <c r="C798">
        <v>31613.473190000001</v>
      </c>
      <c r="D798">
        <v>0</v>
      </c>
      <c r="E798">
        <v>3738.5636330000002</v>
      </c>
      <c r="F798" s="1">
        <v>25.7</v>
      </c>
      <c r="H798">
        <v>1226</v>
      </c>
      <c r="I798" t="str">
        <f t="shared" si="24"/>
        <v>YES</v>
      </c>
      <c r="J798" t="s">
        <v>804</v>
      </c>
      <c r="K798">
        <v>497979.29014599998</v>
      </c>
      <c r="L798">
        <f t="shared" si="25"/>
        <v>0</v>
      </c>
    </row>
    <row r="799" spans="1:12" x14ac:dyDescent="0.25">
      <c r="A799">
        <v>1227</v>
      </c>
      <c r="B799">
        <v>33025.855710000003</v>
      </c>
      <c r="C799">
        <v>33025.855710000003</v>
      </c>
      <c r="D799">
        <v>0</v>
      </c>
      <c r="E799" s="1">
        <v>8.8599999999999999E-5</v>
      </c>
      <c r="F799" s="1">
        <v>6.37E-7</v>
      </c>
      <c r="H799">
        <v>1227</v>
      </c>
      <c r="I799" t="str">
        <f t="shared" si="24"/>
        <v>YES</v>
      </c>
      <c r="J799" t="s">
        <v>805</v>
      </c>
      <c r="K799">
        <v>159668.12676099999</v>
      </c>
      <c r="L799">
        <f t="shared" si="25"/>
        <v>0</v>
      </c>
    </row>
    <row r="800" spans="1:12" x14ac:dyDescent="0.25">
      <c r="A800">
        <v>1228</v>
      </c>
      <c r="B800">
        <v>30063.898509999999</v>
      </c>
      <c r="C800">
        <v>30063.898509999999</v>
      </c>
      <c r="D800">
        <v>0</v>
      </c>
      <c r="E800">
        <v>1480.0070820000001</v>
      </c>
      <c r="F800" s="1">
        <v>9.69</v>
      </c>
      <c r="H800">
        <v>1228</v>
      </c>
      <c r="I800" t="str">
        <f t="shared" si="24"/>
        <v>YES</v>
      </c>
      <c r="J800" t="s">
        <v>806</v>
      </c>
      <c r="K800">
        <v>422833.29635100003</v>
      </c>
      <c r="L800">
        <f t="shared" si="25"/>
        <v>0</v>
      </c>
    </row>
    <row r="801" spans="1:12" x14ac:dyDescent="0.25">
      <c r="A801">
        <v>1229</v>
      </c>
      <c r="B801">
        <v>7326.4723459999996</v>
      </c>
      <c r="C801">
        <v>7326.4723459999996</v>
      </c>
      <c r="D801">
        <v>0</v>
      </c>
      <c r="E801">
        <v>1705.160277</v>
      </c>
      <c r="F801" s="1">
        <v>2.72</v>
      </c>
      <c r="H801">
        <v>1229</v>
      </c>
      <c r="I801" t="str">
        <f t="shared" si="24"/>
        <v>YES</v>
      </c>
      <c r="J801" t="s">
        <v>807</v>
      </c>
      <c r="K801">
        <v>415386.76089400001</v>
      </c>
      <c r="L801">
        <f t="shared" si="25"/>
        <v>0</v>
      </c>
    </row>
    <row r="802" spans="1:12" x14ac:dyDescent="0.25">
      <c r="A802">
        <v>1230</v>
      </c>
      <c r="B802">
        <v>10633.46507</v>
      </c>
      <c r="C802">
        <v>10633.46507</v>
      </c>
      <c r="D802">
        <v>0</v>
      </c>
      <c r="E802">
        <v>2495.6981580000001</v>
      </c>
      <c r="F802" s="1">
        <v>5.78</v>
      </c>
      <c r="H802">
        <v>1230</v>
      </c>
      <c r="I802" t="str">
        <f t="shared" si="24"/>
        <v>YES</v>
      </c>
      <c r="J802" t="s">
        <v>808</v>
      </c>
      <c r="K802">
        <v>501063.70235400001</v>
      </c>
      <c r="L802">
        <f t="shared" si="25"/>
        <v>0</v>
      </c>
    </row>
    <row r="803" spans="1:12" x14ac:dyDescent="0.25">
      <c r="A803">
        <v>1231</v>
      </c>
      <c r="B803">
        <v>7875.0013790000003</v>
      </c>
      <c r="C803">
        <v>7875.0013790000003</v>
      </c>
      <c r="D803">
        <v>0</v>
      </c>
      <c r="E803">
        <v>5202.5398889999997</v>
      </c>
      <c r="F803" s="1">
        <v>8.92</v>
      </c>
      <c r="H803">
        <v>1231</v>
      </c>
      <c r="I803" t="str">
        <f t="shared" si="24"/>
        <v>YES</v>
      </c>
      <c r="J803" t="s">
        <v>809</v>
      </c>
      <c r="K803">
        <v>935248.35850500001</v>
      </c>
      <c r="L803">
        <f t="shared" si="25"/>
        <v>0</v>
      </c>
    </row>
    <row r="804" spans="1:12" x14ac:dyDescent="0.25">
      <c r="A804">
        <v>1234</v>
      </c>
      <c r="B804">
        <v>3537.9582500000001</v>
      </c>
      <c r="C804">
        <v>3537.9582500000001</v>
      </c>
      <c r="D804">
        <v>0</v>
      </c>
      <c r="E804">
        <v>2109.972863</v>
      </c>
      <c r="F804" s="1">
        <v>1.63</v>
      </c>
      <c r="H804">
        <v>1234</v>
      </c>
      <c r="I804" t="str">
        <f t="shared" si="24"/>
        <v>YES</v>
      </c>
      <c r="J804" t="s">
        <v>810</v>
      </c>
      <c r="K804">
        <v>607064.44352099998</v>
      </c>
      <c r="L804">
        <f t="shared" si="25"/>
        <v>0</v>
      </c>
    </row>
    <row r="805" spans="1:12" x14ac:dyDescent="0.25">
      <c r="A805">
        <v>1235</v>
      </c>
      <c r="B805">
        <v>1722.0228440000001</v>
      </c>
      <c r="C805">
        <v>1722.0228440000001</v>
      </c>
      <c r="D805">
        <v>0</v>
      </c>
      <c r="E805">
        <v>1880.975819</v>
      </c>
      <c r="F805" s="1">
        <v>0.70499999999999996</v>
      </c>
      <c r="H805">
        <v>1235</v>
      </c>
      <c r="I805" t="str">
        <f t="shared" si="24"/>
        <v>YES</v>
      </c>
      <c r="J805" t="s">
        <v>811</v>
      </c>
      <c r="K805">
        <v>610348.69082400005</v>
      </c>
      <c r="L805">
        <f t="shared" si="25"/>
        <v>0</v>
      </c>
    </row>
    <row r="806" spans="1:12" x14ac:dyDescent="0.25">
      <c r="A806">
        <v>1236</v>
      </c>
      <c r="B806">
        <v>2750.615538</v>
      </c>
      <c r="C806">
        <v>2750.615538</v>
      </c>
      <c r="D806">
        <v>0</v>
      </c>
      <c r="E806">
        <v>2387.387874</v>
      </c>
      <c r="F806" s="1">
        <v>1.43</v>
      </c>
      <c r="H806">
        <v>1236</v>
      </c>
      <c r="I806" t="str">
        <f t="shared" si="24"/>
        <v>YES</v>
      </c>
      <c r="J806" t="s">
        <v>812</v>
      </c>
      <c r="K806">
        <v>680977.17521400005</v>
      </c>
      <c r="L806">
        <f t="shared" si="25"/>
        <v>0</v>
      </c>
    </row>
    <row r="807" spans="1:12" x14ac:dyDescent="0.25">
      <c r="A807">
        <v>1237</v>
      </c>
      <c r="B807">
        <v>3831.9349820000002</v>
      </c>
      <c r="C807">
        <v>3831.9349820000002</v>
      </c>
      <c r="D807">
        <v>0</v>
      </c>
      <c r="E807">
        <v>1086.9962860000001</v>
      </c>
      <c r="F807" s="1">
        <v>0.90700000000000003</v>
      </c>
      <c r="H807">
        <v>1237</v>
      </c>
      <c r="I807" t="str">
        <f t="shared" si="24"/>
        <v>YES</v>
      </c>
      <c r="J807" t="s">
        <v>813</v>
      </c>
      <c r="K807">
        <v>338418.351845</v>
      </c>
      <c r="L807">
        <f t="shared" si="25"/>
        <v>0</v>
      </c>
    </row>
    <row r="808" spans="1:12" x14ac:dyDescent="0.25">
      <c r="A808">
        <v>1238</v>
      </c>
      <c r="B808">
        <v>3681.5503119999998</v>
      </c>
      <c r="C808">
        <v>3681.5503119999998</v>
      </c>
      <c r="D808">
        <v>0</v>
      </c>
      <c r="E808">
        <v>1.01306E-4</v>
      </c>
      <c r="F808" s="1">
        <v>8.1199999999999999E-8</v>
      </c>
      <c r="H808">
        <v>1238</v>
      </c>
      <c r="I808" t="str">
        <f t="shared" si="24"/>
        <v>YES</v>
      </c>
      <c r="J808" t="s">
        <v>814</v>
      </c>
      <c r="K808">
        <v>2274451.3290499998</v>
      </c>
      <c r="L808">
        <f t="shared" si="25"/>
        <v>0</v>
      </c>
    </row>
    <row r="809" spans="1:12" x14ac:dyDescent="0.25">
      <c r="A809">
        <v>1239</v>
      </c>
      <c r="B809">
        <v>4122.5940499999997</v>
      </c>
      <c r="C809">
        <v>4122.5940499999997</v>
      </c>
      <c r="D809">
        <v>0</v>
      </c>
      <c r="E809">
        <v>3088.960223</v>
      </c>
      <c r="F809" s="1">
        <v>2.77</v>
      </c>
      <c r="H809">
        <v>1239</v>
      </c>
      <c r="I809" t="str">
        <f t="shared" si="24"/>
        <v>YES</v>
      </c>
      <c r="J809" t="s">
        <v>815</v>
      </c>
      <c r="K809">
        <v>576312.29937100003</v>
      </c>
      <c r="L809">
        <f t="shared" si="25"/>
        <v>0</v>
      </c>
    </row>
    <row r="810" spans="1:12" x14ac:dyDescent="0.25">
      <c r="A810">
        <v>1240</v>
      </c>
      <c r="B810">
        <v>2320.2161999999998</v>
      </c>
      <c r="C810">
        <v>2320.2161999999998</v>
      </c>
      <c r="D810">
        <v>0</v>
      </c>
      <c r="E810">
        <v>2709.9756160000002</v>
      </c>
      <c r="F810" s="1">
        <v>1.37</v>
      </c>
      <c r="H810">
        <v>1240</v>
      </c>
      <c r="I810" t="str">
        <f t="shared" si="24"/>
        <v>YES</v>
      </c>
      <c r="J810" t="s">
        <v>816</v>
      </c>
      <c r="K810">
        <v>739137.95041699999</v>
      </c>
      <c r="L810">
        <f t="shared" si="25"/>
        <v>0</v>
      </c>
    </row>
    <row r="811" spans="1:12" x14ac:dyDescent="0.25">
      <c r="A811">
        <v>1241</v>
      </c>
      <c r="B811">
        <v>2156.457034</v>
      </c>
      <c r="C811">
        <v>2156.457034</v>
      </c>
      <c r="D811">
        <v>0</v>
      </c>
      <c r="E811">
        <v>3484.0149029999998</v>
      </c>
      <c r="F811" s="1">
        <v>1.64</v>
      </c>
      <c r="H811">
        <v>1241</v>
      </c>
      <c r="I811" t="str">
        <f t="shared" si="24"/>
        <v>YES</v>
      </c>
      <c r="J811" t="s">
        <v>817</v>
      </c>
      <c r="K811">
        <v>1003133.93625</v>
      </c>
      <c r="L811">
        <f t="shared" si="25"/>
        <v>0</v>
      </c>
    </row>
    <row r="812" spans="1:12" x14ac:dyDescent="0.25">
      <c r="A812">
        <v>1242</v>
      </c>
      <c r="B812">
        <v>2748.0295580000002</v>
      </c>
      <c r="C812">
        <v>2748.0295580000002</v>
      </c>
      <c r="D812">
        <v>0</v>
      </c>
      <c r="E812">
        <v>2641.9792130000001</v>
      </c>
      <c r="F812" s="1">
        <v>1.58</v>
      </c>
      <c r="H812">
        <v>1242</v>
      </c>
      <c r="I812" t="str">
        <f t="shared" si="24"/>
        <v>YES</v>
      </c>
      <c r="J812" t="s">
        <v>818</v>
      </c>
      <c r="K812">
        <v>849592.49963199999</v>
      </c>
      <c r="L812">
        <f t="shared" si="25"/>
        <v>0</v>
      </c>
    </row>
    <row r="813" spans="1:12" x14ac:dyDescent="0.25">
      <c r="A813">
        <v>1243</v>
      </c>
      <c r="B813">
        <v>2538.4705720000002</v>
      </c>
      <c r="C813">
        <v>2538.4705720000002</v>
      </c>
      <c r="D813">
        <v>0</v>
      </c>
      <c r="E813">
        <v>2451.2822900000001</v>
      </c>
      <c r="F813" s="1">
        <v>1.35</v>
      </c>
      <c r="H813">
        <v>1243</v>
      </c>
      <c r="I813" t="str">
        <f t="shared" si="24"/>
        <v>YES</v>
      </c>
      <c r="J813" t="s">
        <v>819</v>
      </c>
      <c r="K813">
        <v>1267250.9464700001</v>
      </c>
      <c r="L813">
        <f t="shared" si="25"/>
        <v>0</v>
      </c>
    </row>
    <row r="814" spans="1:12" x14ac:dyDescent="0.25">
      <c r="A814">
        <v>1244</v>
      </c>
      <c r="B814">
        <v>1891.471898</v>
      </c>
      <c r="C814">
        <v>1891.471898</v>
      </c>
      <c r="D814">
        <v>0</v>
      </c>
      <c r="E814">
        <v>3344.970362</v>
      </c>
      <c r="F814" s="1">
        <v>1.38</v>
      </c>
      <c r="H814">
        <v>1244</v>
      </c>
      <c r="I814" t="str">
        <f t="shared" si="24"/>
        <v>YES</v>
      </c>
      <c r="J814" t="s">
        <v>820</v>
      </c>
      <c r="K814">
        <v>988537.88480300002</v>
      </c>
      <c r="L814">
        <f t="shared" si="25"/>
        <v>0</v>
      </c>
    </row>
    <row r="815" spans="1:12" x14ac:dyDescent="0.25">
      <c r="A815">
        <v>1245</v>
      </c>
      <c r="B815">
        <v>6068.5516740000003</v>
      </c>
      <c r="C815">
        <v>6068.5516740000003</v>
      </c>
      <c r="D815">
        <v>0</v>
      </c>
      <c r="E815">
        <v>2103.9729400000001</v>
      </c>
      <c r="F815" s="1">
        <v>2.78</v>
      </c>
      <c r="H815">
        <v>1245</v>
      </c>
      <c r="I815" t="str">
        <f t="shared" si="24"/>
        <v>YES</v>
      </c>
      <c r="J815" t="s">
        <v>821</v>
      </c>
      <c r="K815">
        <v>792807.45738200005</v>
      </c>
      <c r="L815">
        <f t="shared" si="25"/>
        <v>0</v>
      </c>
    </row>
    <row r="816" spans="1:12" x14ac:dyDescent="0.25">
      <c r="A816">
        <v>1246</v>
      </c>
      <c r="B816">
        <v>20108.659149999999</v>
      </c>
      <c r="C816">
        <v>20108.659149999999</v>
      </c>
      <c r="D816">
        <v>0</v>
      </c>
      <c r="E816">
        <v>1.01306E-4</v>
      </c>
      <c r="F816" s="1">
        <v>4.4400000000000001E-7</v>
      </c>
      <c r="H816">
        <v>1246</v>
      </c>
      <c r="I816" t="str">
        <f t="shared" si="24"/>
        <v>YES</v>
      </c>
      <c r="J816" t="s">
        <v>822</v>
      </c>
      <c r="K816">
        <v>1099602.0295299999</v>
      </c>
      <c r="L816">
        <f t="shared" si="25"/>
        <v>0</v>
      </c>
    </row>
    <row r="817" spans="1:12" x14ac:dyDescent="0.25">
      <c r="A817">
        <v>1249</v>
      </c>
      <c r="B817">
        <v>8423.59843</v>
      </c>
      <c r="C817">
        <v>8423.59843</v>
      </c>
      <c r="D817">
        <v>0</v>
      </c>
      <c r="E817">
        <v>1653.4614939999999</v>
      </c>
      <c r="F817" s="1">
        <v>3.03</v>
      </c>
      <c r="H817">
        <v>1249</v>
      </c>
      <c r="I817" t="str">
        <f t="shared" si="24"/>
        <v>YES</v>
      </c>
      <c r="J817" t="s">
        <v>823</v>
      </c>
      <c r="K817">
        <v>460990.25903199997</v>
      </c>
      <c r="L817">
        <f t="shared" si="25"/>
        <v>0</v>
      </c>
    </row>
    <row r="818" spans="1:12" x14ac:dyDescent="0.25">
      <c r="A818">
        <v>1250</v>
      </c>
      <c r="B818">
        <v>3959.194567</v>
      </c>
      <c r="C818">
        <v>3959.194567</v>
      </c>
      <c r="D818">
        <v>0</v>
      </c>
      <c r="E818">
        <v>1170.1048040000001</v>
      </c>
      <c r="F818" s="1">
        <v>1.01</v>
      </c>
      <c r="H818">
        <v>1250</v>
      </c>
      <c r="I818" t="str">
        <f t="shared" si="24"/>
        <v>YES</v>
      </c>
      <c r="J818" t="s">
        <v>824</v>
      </c>
      <c r="K818">
        <v>383835.37239099998</v>
      </c>
      <c r="L818">
        <f t="shared" si="25"/>
        <v>0</v>
      </c>
    </row>
    <row r="819" spans="1:12" x14ac:dyDescent="0.25">
      <c r="A819">
        <v>1251</v>
      </c>
      <c r="B819">
        <v>6259.944904</v>
      </c>
      <c r="C819">
        <v>6259.944904</v>
      </c>
      <c r="D819">
        <v>0</v>
      </c>
      <c r="E819">
        <v>2649.5272460000001</v>
      </c>
      <c r="F819" s="1">
        <v>3.61</v>
      </c>
      <c r="H819">
        <v>1251</v>
      </c>
      <c r="I819" t="str">
        <f t="shared" si="24"/>
        <v>YES</v>
      </c>
      <c r="J819" t="s">
        <v>825</v>
      </c>
      <c r="K819">
        <v>557484.97180399997</v>
      </c>
      <c r="L819">
        <f t="shared" si="25"/>
        <v>0</v>
      </c>
    </row>
    <row r="820" spans="1:12" x14ac:dyDescent="0.25">
      <c r="A820">
        <v>1252</v>
      </c>
      <c r="B820">
        <v>7241.5188420000004</v>
      </c>
      <c r="C820">
        <v>7241.5188420000004</v>
      </c>
      <c r="D820">
        <v>0</v>
      </c>
      <c r="E820">
        <v>3421.9194149999998</v>
      </c>
      <c r="F820" s="1">
        <v>5.4</v>
      </c>
      <c r="H820">
        <v>1252</v>
      </c>
      <c r="I820" t="str">
        <f t="shared" si="24"/>
        <v>YES</v>
      </c>
      <c r="J820" t="s">
        <v>826</v>
      </c>
      <c r="K820">
        <v>798892.03601499996</v>
      </c>
      <c r="L820">
        <f t="shared" si="25"/>
        <v>0</v>
      </c>
    </row>
    <row r="821" spans="1:12" x14ac:dyDescent="0.25">
      <c r="A821">
        <v>1253</v>
      </c>
      <c r="B821">
        <v>27088.515719999999</v>
      </c>
      <c r="C821">
        <v>27088.515719999999</v>
      </c>
      <c r="D821">
        <v>0</v>
      </c>
      <c r="E821">
        <v>2298.8188540000001</v>
      </c>
      <c r="F821" s="1">
        <v>13.6</v>
      </c>
      <c r="H821">
        <v>1253</v>
      </c>
      <c r="I821" t="str">
        <f t="shared" si="24"/>
        <v>YES</v>
      </c>
      <c r="J821" t="s">
        <v>827</v>
      </c>
      <c r="K821">
        <v>358062.14432800002</v>
      </c>
      <c r="L821">
        <f t="shared" si="25"/>
        <v>0</v>
      </c>
    </row>
    <row r="822" spans="1:12" x14ac:dyDescent="0.25">
      <c r="A822">
        <v>1254</v>
      </c>
      <c r="B822">
        <v>9601.5373920000002</v>
      </c>
      <c r="C822">
        <v>9601.5373920000002</v>
      </c>
      <c r="D822">
        <v>0</v>
      </c>
      <c r="E822">
        <v>3938.613335</v>
      </c>
      <c r="F822" s="1">
        <v>8.23</v>
      </c>
      <c r="H822">
        <v>1254</v>
      </c>
      <c r="I822" t="str">
        <f t="shared" si="24"/>
        <v>YES</v>
      </c>
      <c r="J822" t="s">
        <v>828</v>
      </c>
      <c r="K822">
        <v>780135.208354</v>
      </c>
      <c r="L822">
        <f t="shared" si="25"/>
        <v>0</v>
      </c>
    </row>
    <row r="823" spans="1:12" x14ac:dyDescent="0.25">
      <c r="A823">
        <v>1255</v>
      </c>
      <c r="B823">
        <v>10889.51072</v>
      </c>
      <c r="C823">
        <v>10889.51072</v>
      </c>
      <c r="D823">
        <v>0</v>
      </c>
      <c r="E823">
        <v>2648.8079720000001</v>
      </c>
      <c r="F823" s="1">
        <v>6.28</v>
      </c>
      <c r="H823">
        <v>1255</v>
      </c>
      <c r="I823" t="str">
        <f t="shared" si="24"/>
        <v>YES</v>
      </c>
      <c r="J823" t="s">
        <v>829</v>
      </c>
      <c r="K823">
        <v>686259.42784500006</v>
      </c>
      <c r="L823">
        <f t="shared" si="25"/>
        <v>0</v>
      </c>
    </row>
    <row r="824" spans="1:12" x14ac:dyDescent="0.25">
      <c r="A824">
        <v>1256</v>
      </c>
      <c r="B824">
        <v>9236.5742580000006</v>
      </c>
      <c r="C824">
        <v>9236.5742580000006</v>
      </c>
      <c r="D824">
        <v>0</v>
      </c>
      <c r="E824">
        <v>3514.012522</v>
      </c>
      <c r="F824" s="1">
        <v>7.07</v>
      </c>
      <c r="H824">
        <v>1256</v>
      </c>
      <c r="I824" t="str">
        <f t="shared" si="24"/>
        <v>YES</v>
      </c>
      <c r="J824" t="s">
        <v>830</v>
      </c>
      <c r="K824">
        <v>1590445.3364599999</v>
      </c>
      <c r="L824">
        <f t="shared" si="25"/>
        <v>0</v>
      </c>
    </row>
    <row r="825" spans="1:12" x14ac:dyDescent="0.25">
      <c r="A825">
        <v>1257</v>
      </c>
      <c r="B825">
        <v>6646.8655570000001</v>
      </c>
      <c r="C825">
        <v>6646.8655570000001</v>
      </c>
      <c r="D825">
        <v>0</v>
      </c>
      <c r="E825">
        <v>777.73435800000004</v>
      </c>
      <c r="F825" s="1">
        <v>1.1299999999999999</v>
      </c>
      <c r="H825">
        <v>1257</v>
      </c>
      <c r="I825" t="str">
        <f t="shared" si="24"/>
        <v>YES</v>
      </c>
      <c r="J825" t="s">
        <v>831</v>
      </c>
      <c r="K825">
        <v>1168313.00235</v>
      </c>
      <c r="L825">
        <f t="shared" si="25"/>
        <v>0</v>
      </c>
    </row>
    <row r="826" spans="1:12" x14ac:dyDescent="0.25">
      <c r="A826">
        <v>1260</v>
      </c>
      <c r="B826">
        <v>3312.268994</v>
      </c>
      <c r="C826">
        <v>3312.268994</v>
      </c>
      <c r="D826">
        <v>0</v>
      </c>
      <c r="E826">
        <v>2279.1995649999999</v>
      </c>
      <c r="F826" s="1">
        <v>1.64</v>
      </c>
      <c r="H826">
        <v>1260</v>
      </c>
      <c r="I826" t="str">
        <f t="shared" si="24"/>
        <v>YES</v>
      </c>
      <c r="J826" t="s">
        <v>832</v>
      </c>
      <c r="K826">
        <v>799201.86101999995</v>
      </c>
      <c r="L826">
        <f t="shared" si="25"/>
        <v>0</v>
      </c>
    </row>
    <row r="827" spans="1:12" x14ac:dyDescent="0.25">
      <c r="A827">
        <v>1261</v>
      </c>
      <c r="B827">
        <v>8937.2128499999999</v>
      </c>
      <c r="C827">
        <v>8937.2128499999999</v>
      </c>
      <c r="D827">
        <v>0</v>
      </c>
      <c r="E827">
        <v>3517.7914190000001</v>
      </c>
      <c r="F827" s="1">
        <v>6.85</v>
      </c>
      <c r="H827">
        <v>1261</v>
      </c>
      <c r="I827" t="str">
        <f t="shared" si="24"/>
        <v>YES</v>
      </c>
      <c r="J827" t="s">
        <v>833</v>
      </c>
      <c r="K827">
        <v>553451.723413</v>
      </c>
      <c r="L827">
        <f t="shared" si="25"/>
        <v>0</v>
      </c>
    </row>
    <row r="828" spans="1:12" x14ac:dyDescent="0.25">
      <c r="A828">
        <v>1262</v>
      </c>
      <c r="B828">
        <v>3324.9733390000001</v>
      </c>
      <c r="C828">
        <v>3324.9733390000001</v>
      </c>
      <c r="D828">
        <v>0</v>
      </c>
      <c r="E828">
        <v>1469.2686839999999</v>
      </c>
      <c r="F828" s="1">
        <v>1.06</v>
      </c>
      <c r="H828">
        <v>1262</v>
      </c>
      <c r="I828" t="str">
        <f t="shared" si="24"/>
        <v>YES</v>
      </c>
      <c r="J828" t="s">
        <v>834</v>
      </c>
      <c r="K828">
        <v>597576.57832600002</v>
      </c>
      <c r="L828">
        <f t="shared" si="25"/>
        <v>0</v>
      </c>
    </row>
    <row r="829" spans="1:12" x14ac:dyDescent="0.25">
      <c r="A829">
        <v>1263</v>
      </c>
      <c r="B829">
        <v>23155.963810000001</v>
      </c>
      <c r="C829">
        <v>23155.963810000001</v>
      </c>
      <c r="D829">
        <v>0</v>
      </c>
      <c r="E829">
        <v>5019.453939</v>
      </c>
      <c r="F829" s="1">
        <v>25.3</v>
      </c>
      <c r="H829">
        <v>1263</v>
      </c>
      <c r="I829" t="str">
        <f t="shared" si="24"/>
        <v>YES</v>
      </c>
      <c r="J829" t="s">
        <v>835</v>
      </c>
      <c r="K829">
        <v>1497042.7581100001</v>
      </c>
      <c r="L829">
        <f t="shared" si="25"/>
        <v>0</v>
      </c>
    </row>
    <row r="830" spans="1:12" x14ac:dyDescent="0.25">
      <c r="A830">
        <v>1264</v>
      </c>
      <c r="B830">
        <v>12059.24469</v>
      </c>
      <c r="C830">
        <v>12059.24469</v>
      </c>
      <c r="D830">
        <v>0</v>
      </c>
      <c r="E830">
        <v>1387.4609579999999</v>
      </c>
      <c r="F830" s="1">
        <v>3.64</v>
      </c>
      <c r="H830">
        <v>1264</v>
      </c>
      <c r="I830" t="str">
        <f t="shared" si="24"/>
        <v>YES</v>
      </c>
      <c r="J830" t="s">
        <v>836</v>
      </c>
      <c r="K830">
        <v>356194.75611100002</v>
      </c>
      <c r="L830">
        <f t="shared" si="25"/>
        <v>0</v>
      </c>
    </row>
    <row r="831" spans="1:12" x14ac:dyDescent="0.25">
      <c r="A831">
        <v>1265</v>
      </c>
      <c r="B831">
        <v>11810.100909999999</v>
      </c>
      <c r="C831">
        <v>11810.100909999999</v>
      </c>
      <c r="D831">
        <v>0</v>
      </c>
      <c r="E831">
        <v>1687.4567629999999</v>
      </c>
      <c r="F831" s="1">
        <v>4.34</v>
      </c>
      <c r="H831">
        <v>1265</v>
      </c>
      <c r="I831" t="str">
        <f t="shared" si="24"/>
        <v>YES</v>
      </c>
      <c r="J831" t="s">
        <v>837</v>
      </c>
      <c r="K831">
        <v>402921.43274600001</v>
      </c>
      <c r="L831">
        <f t="shared" si="25"/>
        <v>0</v>
      </c>
    </row>
    <row r="832" spans="1:12" x14ac:dyDescent="0.25">
      <c r="A832">
        <v>1266</v>
      </c>
      <c r="B832">
        <v>13457.83144</v>
      </c>
      <c r="C832">
        <v>13457.83144</v>
      </c>
      <c r="D832">
        <v>0</v>
      </c>
      <c r="E832">
        <v>3146.5807679999998</v>
      </c>
      <c r="F832" s="1">
        <v>9.2200000000000006</v>
      </c>
      <c r="H832">
        <v>1266</v>
      </c>
      <c r="I832" t="str">
        <f t="shared" si="24"/>
        <v>YES</v>
      </c>
      <c r="J832" t="s">
        <v>838</v>
      </c>
      <c r="K832">
        <v>879070.10419900005</v>
      </c>
      <c r="L832">
        <f t="shared" si="25"/>
        <v>0</v>
      </c>
    </row>
    <row r="833" spans="1:12" x14ac:dyDescent="0.25">
      <c r="A833">
        <v>1267</v>
      </c>
      <c r="B833">
        <v>24540.27059</v>
      </c>
      <c r="C833">
        <v>24540.27059</v>
      </c>
      <c r="D833">
        <v>0</v>
      </c>
      <c r="E833">
        <v>3018.606718</v>
      </c>
      <c r="F833" s="1">
        <v>16.100000000000001</v>
      </c>
      <c r="H833">
        <v>1267</v>
      </c>
      <c r="I833" t="str">
        <f t="shared" si="24"/>
        <v>YES</v>
      </c>
      <c r="J833" t="s">
        <v>839</v>
      </c>
      <c r="K833">
        <v>370449.782336</v>
      </c>
      <c r="L833">
        <f t="shared" si="25"/>
        <v>0</v>
      </c>
    </row>
    <row r="834" spans="1:12" x14ac:dyDescent="0.25">
      <c r="A834">
        <v>1270</v>
      </c>
      <c r="B834">
        <v>5264.1664899999996</v>
      </c>
      <c r="C834">
        <v>5264.1664899999996</v>
      </c>
      <c r="D834">
        <v>0</v>
      </c>
      <c r="E834">
        <v>2474.7642860000001</v>
      </c>
      <c r="F834" s="1">
        <v>2.84</v>
      </c>
      <c r="H834">
        <v>1270</v>
      </c>
      <c r="I834" t="str">
        <f t="shared" si="24"/>
        <v>YES</v>
      </c>
      <c r="J834" t="s">
        <v>840</v>
      </c>
      <c r="K834">
        <v>705510.94726000004</v>
      </c>
      <c r="L834">
        <f t="shared" si="25"/>
        <v>0</v>
      </c>
    </row>
    <row r="835" spans="1:12" x14ac:dyDescent="0.25">
      <c r="A835">
        <v>1271</v>
      </c>
      <c r="B835">
        <v>25623.535650000002</v>
      </c>
      <c r="C835">
        <v>25623.535650000002</v>
      </c>
      <c r="D835">
        <v>0</v>
      </c>
      <c r="E835">
        <v>2171.8258620000001</v>
      </c>
      <c r="F835" s="1">
        <v>12.1</v>
      </c>
      <c r="H835">
        <v>1271</v>
      </c>
      <c r="I835" t="str">
        <f t="shared" ref="I835:I898" si="26">IF(A835=H835,"YES","NO")</f>
        <v>YES</v>
      </c>
      <c r="J835" t="s">
        <v>841</v>
      </c>
      <c r="K835">
        <v>631648.26324100001</v>
      </c>
      <c r="L835">
        <f t="shared" ref="L835:L898" si="27">EXP(0.2052)*K835*(D835/C835)</f>
        <v>0</v>
      </c>
    </row>
    <row r="836" spans="1:12" x14ac:dyDescent="0.25">
      <c r="A836">
        <v>1272</v>
      </c>
      <c r="B836">
        <v>26459.352439999999</v>
      </c>
      <c r="C836">
        <v>26459.352439999999</v>
      </c>
      <c r="D836">
        <v>0</v>
      </c>
      <c r="E836">
        <v>4398.8566540000002</v>
      </c>
      <c r="F836" s="1">
        <v>25.3</v>
      </c>
      <c r="H836">
        <v>1272</v>
      </c>
      <c r="I836" t="str">
        <f t="shared" si="26"/>
        <v>YES</v>
      </c>
      <c r="J836" t="s">
        <v>842</v>
      </c>
      <c r="K836">
        <v>1065362.7198300001</v>
      </c>
      <c r="L836">
        <f t="shared" si="27"/>
        <v>0</v>
      </c>
    </row>
    <row r="837" spans="1:12" x14ac:dyDescent="0.25">
      <c r="A837">
        <v>1273</v>
      </c>
      <c r="B837">
        <v>31831.34719</v>
      </c>
      <c r="C837">
        <v>31831.34719</v>
      </c>
      <c r="D837">
        <v>0</v>
      </c>
      <c r="E837">
        <v>1827.5644299999999</v>
      </c>
      <c r="F837" s="1">
        <v>12.7</v>
      </c>
      <c r="H837">
        <v>1273</v>
      </c>
      <c r="I837" t="str">
        <f t="shared" si="26"/>
        <v>YES</v>
      </c>
      <c r="J837" t="s">
        <v>843</v>
      </c>
      <c r="K837">
        <v>366340.38502599997</v>
      </c>
      <c r="L837">
        <f t="shared" si="27"/>
        <v>0</v>
      </c>
    </row>
    <row r="838" spans="1:12" x14ac:dyDescent="0.25">
      <c r="A838">
        <v>1274</v>
      </c>
      <c r="B838">
        <v>31460.61145</v>
      </c>
      <c r="C838">
        <v>31460.61145</v>
      </c>
      <c r="D838">
        <v>0</v>
      </c>
      <c r="E838">
        <v>1339.4136880000001</v>
      </c>
      <c r="F838" s="1">
        <v>9.18</v>
      </c>
      <c r="H838">
        <v>1274</v>
      </c>
      <c r="I838" t="str">
        <f t="shared" si="26"/>
        <v>YES</v>
      </c>
      <c r="J838" t="s">
        <v>844</v>
      </c>
      <c r="K838">
        <v>437524.20506200002</v>
      </c>
      <c r="L838">
        <f t="shared" si="27"/>
        <v>0</v>
      </c>
    </row>
    <row r="839" spans="1:12" x14ac:dyDescent="0.25">
      <c r="A839">
        <v>1275</v>
      </c>
      <c r="B839">
        <v>6539.791295</v>
      </c>
      <c r="C839">
        <v>6539.791295</v>
      </c>
      <c r="D839">
        <v>0</v>
      </c>
      <c r="E839">
        <v>3520.1378</v>
      </c>
      <c r="F839" s="1">
        <v>5.01</v>
      </c>
      <c r="H839">
        <v>1275</v>
      </c>
      <c r="I839" t="str">
        <f t="shared" si="26"/>
        <v>YES</v>
      </c>
      <c r="J839" t="s">
        <v>845</v>
      </c>
      <c r="K839">
        <v>983767.54405400006</v>
      </c>
      <c r="L839">
        <f t="shared" si="27"/>
        <v>0</v>
      </c>
    </row>
    <row r="840" spans="1:12" x14ac:dyDescent="0.25">
      <c r="A840">
        <v>1276</v>
      </c>
      <c r="B840">
        <v>24325.59302</v>
      </c>
      <c r="C840">
        <v>24325.59302</v>
      </c>
      <c r="D840">
        <v>0</v>
      </c>
      <c r="E840">
        <v>3149.2855410000002</v>
      </c>
      <c r="F840" s="1">
        <v>16.7</v>
      </c>
      <c r="H840">
        <v>1276</v>
      </c>
      <c r="I840" t="str">
        <f t="shared" si="26"/>
        <v>YES</v>
      </c>
      <c r="J840" t="s">
        <v>846</v>
      </c>
      <c r="K840">
        <v>428841.56254900002</v>
      </c>
      <c r="L840">
        <f t="shared" si="27"/>
        <v>0</v>
      </c>
    </row>
    <row r="841" spans="1:12" x14ac:dyDescent="0.25">
      <c r="A841">
        <v>1277</v>
      </c>
      <c r="B841">
        <v>67248.419569999998</v>
      </c>
      <c r="C841">
        <v>67248.419569999998</v>
      </c>
      <c r="D841">
        <v>0</v>
      </c>
      <c r="E841">
        <v>46.084537300000001</v>
      </c>
      <c r="F841" s="1">
        <v>0.67500000000000004</v>
      </c>
      <c r="H841">
        <v>1277</v>
      </c>
      <c r="I841" t="str">
        <f t="shared" si="26"/>
        <v>YES</v>
      </c>
      <c r="J841" t="s">
        <v>847</v>
      </c>
      <c r="K841">
        <v>163577.057034</v>
      </c>
      <c r="L841">
        <f t="shared" si="27"/>
        <v>0</v>
      </c>
    </row>
    <row r="842" spans="1:12" x14ac:dyDescent="0.25">
      <c r="A842">
        <v>1278</v>
      </c>
      <c r="B842">
        <v>9881.4718310000007</v>
      </c>
      <c r="C842">
        <v>9881.4718310000007</v>
      </c>
      <c r="D842">
        <v>0</v>
      </c>
      <c r="E842">
        <v>2472.5622659999999</v>
      </c>
      <c r="F842" s="1">
        <v>5.32</v>
      </c>
      <c r="H842">
        <v>1278</v>
      </c>
      <c r="I842" t="str">
        <f t="shared" si="26"/>
        <v>YES</v>
      </c>
      <c r="J842" t="s">
        <v>848</v>
      </c>
      <c r="K842">
        <v>634353.54740100005</v>
      </c>
      <c r="L842">
        <f t="shared" si="27"/>
        <v>0</v>
      </c>
    </row>
    <row r="843" spans="1:12" x14ac:dyDescent="0.25">
      <c r="A843">
        <v>1279</v>
      </c>
      <c r="B843">
        <v>8840.5465029999996</v>
      </c>
      <c r="C843">
        <v>8840.5465029999996</v>
      </c>
      <c r="D843">
        <v>0</v>
      </c>
      <c r="E843">
        <v>3371.0410590000001</v>
      </c>
      <c r="F843" s="1">
        <v>6.49</v>
      </c>
      <c r="H843">
        <v>1279</v>
      </c>
      <c r="I843" t="str">
        <f t="shared" si="26"/>
        <v>YES</v>
      </c>
      <c r="J843" t="s">
        <v>849</v>
      </c>
      <c r="K843">
        <v>480106.630626</v>
      </c>
      <c r="L843">
        <f t="shared" si="27"/>
        <v>0</v>
      </c>
    </row>
    <row r="844" spans="1:12" x14ac:dyDescent="0.25">
      <c r="A844">
        <v>1280</v>
      </c>
      <c r="B844">
        <v>8021.4090249999999</v>
      </c>
      <c r="C844">
        <v>8021.4090249999999</v>
      </c>
      <c r="D844">
        <v>0</v>
      </c>
      <c r="E844">
        <v>2967.9981109999999</v>
      </c>
      <c r="F844" s="1">
        <v>5.18</v>
      </c>
      <c r="H844">
        <v>1280</v>
      </c>
      <c r="I844" t="str">
        <f t="shared" si="26"/>
        <v>YES</v>
      </c>
      <c r="J844" t="s">
        <v>850</v>
      </c>
      <c r="K844">
        <v>516543.26221900003</v>
      </c>
      <c r="L844">
        <f t="shared" si="27"/>
        <v>0</v>
      </c>
    </row>
    <row r="845" spans="1:12" x14ac:dyDescent="0.25">
      <c r="A845">
        <v>1281</v>
      </c>
      <c r="B845">
        <v>44222.55805</v>
      </c>
      <c r="C845">
        <v>44222.55805</v>
      </c>
      <c r="D845">
        <v>0</v>
      </c>
      <c r="E845">
        <v>1999.465766</v>
      </c>
      <c r="F845" s="1">
        <v>19.3</v>
      </c>
      <c r="H845">
        <v>1281</v>
      </c>
      <c r="I845" t="str">
        <f t="shared" si="26"/>
        <v>YES</v>
      </c>
      <c r="J845" t="s">
        <v>851</v>
      </c>
      <c r="K845">
        <v>293512.01786199998</v>
      </c>
      <c r="L845">
        <f t="shared" si="27"/>
        <v>0</v>
      </c>
    </row>
    <row r="846" spans="1:12" x14ac:dyDescent="0.25">
      <c r="A846">
        <v>1283</v>
      </c>
      <c r="B846">
        <v>7784.961644</v>
      </c>
      <c r="C846">
        <v>7784.961644</v>
      </c>
      <c r="D846">
        <v>0</v>
      </c>
      <c r="E846">
        <v>2.6278536429999999</v>
      </c>
      <c r="F846" s="1">
        <v>4.45E-3</v>
      </c>
      <c r="H846">
        <v>1283</v>
      </c>
      <c r="I846" t="str">
        <f t="shared" si="26"/>
        <v>YES</v>
      </c>
      <c r="J846" t="s">
        <v>852</v>
      </c>
      <c r="K846">
        <v>985846.99573600001</v>
      </c>
      <c r="L846">
        <f t="shared" si="27"/>
        <v>0</v>
      </c>
    </row>
    <row r="847" spans="1:12" x14ac:dyDescent="0.25">
      <c r="A847">
        <v>1284</v>
      </c>
      <c r="B847">
        <v>8114.879645</v>
      </c>
      <c r="C847">
        <v>8114.879645</v>
      </c>
      <c r="D847">
        <v>0</v>
      </c>
      <c r="E847">
        <v>2.6278536429999999</v>
      </c>
      <c r="F847" s="1">
        <v>4.64E-3</v>
      </c>
      <c r="H847">
        <v>1284</v>
      </c>
      <c r="I847" t="str">
        <f t="shared" si="26"/>
        <v>YES</v>
      </c>
      <c r="J847" t="s">
        <v>853</v>
      </c>
      <c r="K847">
        <v>1044454.69332</v>
      </c>
      <c r="L847">
        <f t="shared" si="27"/>
        <v>0</v>
      </c>
    </row>
    <row r="848" spans="1:12" x14ac:dyDescent="0.25">
      <c r="A848">
        <v>1285</v>
      </c>
      <c r="B848">
        <v>5832.3646740000004</v>
      </c>
      <c r="C848">
        <v>5832.3646740000004</v>
      </c>
      <c r="D848">
        <v>0</v>
      </c>
      <c r="E848">
        <v>2.6278536429999999</v>
      </c>
      <c r="F848" s="1">
        <v>3.3400000000000001E-3</v>
      </c>
      <c r="H848">
        <v>1285</v>
      </c>
      <c r="I848" t="str">
        <f t="shared" si="26"/>
        <v>YES</v>
      </c>
      <c r="J848" t="s">
        <v>854</v>
      </c>
      <c r="K848">
        <v>1240687.8351400001</v>
      </c>
      <c r="L848">
        <f t="shared" si="27"/>
        <v>0</v>
      </c>
    </row>
    <row r="849" spans="1:12" x14ac:dyDescent="0.25">
      <c r="A849">
        <v>1286</v>
      </c>
      <c r="B849">
        <v>3333.466844</v>
      </c>
      <c r="C849">
        <v>3333.466844</v>
      </c>
      <c r="D849">
        <v>0</v>
      </c>
      <c r="E849">
        <v>2.6278536429999999</v>
      </c>
      <c r="F849" s="1">
        <v>1.91E-3</v>
      </c>
      <c r="H849">
        <v>1286</v>
      </c>
      <c r="I849" t="str">
        <f t="shared" si="26"/>
        <v>YES</v>
      </c>
      <c r="J849" t="s">
        <v>855</v>
      </c>
      <c r="K849">
        <v>1022992.9112</v>
      </c>
      <c r="L849">
        <f t="shared" si="27"/>
        <v>0</v>
      </c>
    </row>
    <row r="850" spans="1:12" x14ac:dyDescent="0.25">
      <c r="A850">
        <v>1289</v>
      </c>
      <c r="B850">
        <v>12022.09706</v>
      </c>
      <c r="C850">
        <v>12022.09706</v>
      </c>
      <c r="D850">
        <v>0</v>
      </c>
      <c r="E850">
        <v>13.18118634</v>
      </c>
      <c r="F850" s="1">
        <v>3.4500000000000003E-2</v>
      </c>
      <c r="H850">
        <v>1289</v>
      </c>
      <c r="I850" t="str">
        <f t="shared" si="26"/>
        <v>YES</v>
      </c>
      <c r="J850" t="s">
        <v>856</v>
      </c>
      <c r="K850">
        <v>2075153.3658799999</v>
      </c>
      <c r="L850">
        <f t="shared" si="27"/>
        <v>0</v>
      </c>
    </row>
    <row r="851" spans="1:12" x14ac:dyDescent="0.25">
      <c r="A851">
        <v>1300</v>
      </c>
      <c r="B851">
        <v>32782.18591</v>
      </c>
      <c r="C851">
        <v>32782.18591</v>
      </c>
      <c r="D851">
        <v>0</v>
      </c>
      <c r="E851">
        <v>52.016404479999999</v>
      </c>
      <c r="F851" s="1">
        <v>0.371</v>
      </c>
      <c r="H851">
        <v>1300</v>
      </c>
      <c r="I851" t="str">
        <f t="shared" si="26"/>
        <v>YES</v>
      </c>
      <c r="J851" t="s">
        <v>857</v>
      </c>
      <c r="K851">
        <v>717592.37540300004</v>
      </c>
      <c r="L851">
        <f t="shared" si="27"/>
        <v>0</v>
      </c>
    </row>
    <row r="852" spans="1:12" x14ac:dyDescent="0.25">
      <c r="A852">
        <v>1301</v>
      </c>
      <c r="B852">
        <v>25970.665929999999</v>
      </c>
      <c r="C852">
        <v>25970.665929999999</v>
      </c>
      <c r="D852">
        <v>0</v>
      </c>
      <c r="E852">
        <v>46.040156629999998</v>
      </c>
      <c r="F852" s="1">
        <v>0.26</v>
      </c>
      <c r="H852">
        <v>1301</v>
      </c>
      <c r="I852" t="str">
        <f t="shared" si="26"/>
        <v>YES</v>
      </c>
      <c r="J852" t="s">
        <v>858</v>
      </c>
      <c r="K852">
        <v>384009.13177799998</v>
      </c>
      <c r="L852">
        <f t="shared" si="27"/>
        <v>0</v>
      </c>
    </row>
    <row r="853" spans="1:12" x14ac:dyDescent="0.25">
      <c r="A853">
        <v>1302</v>
      </c>
      <c r="B853">
        <v>1126.215183</v>
      </c>
      <c r="C853">
        <v>1126.215183</v>
      </c>
      <c r="D853">
        <v>0</v>
      </c>
      <c r="E853">
        <v>1.04442E-4</v>
      </c>
      <c r="F853" s="1">
        <v>2.5600000000000001E-8</v>
      </c>
      <c r="H853">
        <v>1302</v>
      </c>
      <c r="I853" t="str">
        <f t="shared" si="26"/>
        <v>YES</v>
      </c>
      <c r="J853" t="s">
        <v>859</v>
      </c>
      <c r="K853">
        <v>673978.12818799994</v>
      </c>
      <c r="L853">
        <f t="shared" si="27"/>
        <v>0</v>
      </c>
    </row>
    <row r="854" spans="1:12" x14ac:dyDescent="0.25">
      <c r="A854">
        <v>1303</v>
      </c>
      <c r="B854">
        <v>17664.032599999999</v>
      </c>
      <c r="C854">
        <v>17664.032599999999</v>
      </c>
      <c r="D854">
        <v>0</v>
      </c>
      <c r="E854">
        <v>2136.2416880000001</v>
      </c>
      <c r="F854" s="1">
        <v>8.2200000000000006</v>
      </c>
      <c r="H854">
        <v>1303</v>
      </c>
      <c r="I854" t="str">
        <f t="shared" si="26"/>
        <v>YES</v>
      </c>
      <c r="J854" t="s">
        <v>860</v>
      </c>
      <c r="K854">
        <v>395448.419177</v>
      </c>
      <c r="L854">
        <f t="shared" si="27"/>
        <v>0</v>
      </c>
    </row>
    <row r="855" spans="1:12" x14ac:dyDescent="0.25">
      <c r="A855">
        <v>1304</v>
      </c>
      <c r="B855">
        <v>27722.174620000002</v>
      </c>
      <c r="C855">
        <v>27722.174620000002</v>
      </c>
      <c r="D855">
        <v>0</v>
      </c>
      <c r="E855">
        <v>2491.755854</v>
      </c>
      <c r="F855" s="1">
        <v>15</v>
      </c>
      <c r="H855">
        <v>1304</v>
      </c>
      <c r="I855" t="str">
        <f t="shared" si="26"/>
        <v>YES</v>
      </c>
      <c r="J855" t="s">
        <v>861</v>
      </c>
      <c r="K855">
        <v>166930.94327700001</v>
      </c>
      <c r="L855">
        <f t="shared" si="27"/>
        <v>0</v>
      </c>
    </row>
    <row r="856" spans="1:12" x14ac:dyDescent="0.25">
      <c r="A856">
        <v>1305</v>
      </c>
      <c r="B856">
        <v>34116.793530000003</v>
      </c>
      <c r="C856">
        <v>34116.793530000003</v>
      </c>
      <c r="D856">
        <v>0</v>
      </c>
      <c r="E856">
        <v>3319.7106130000002</v>
      </c>
      <c r="F856" s="1">
        <v>24.7</v>
      </c>
      <c r="H856">
        <v>1305</v>
      </c>
      <c r="I856" t="str">
        <f t="shared" si="26"/>
        <v>YES</v>
      </c>
      <c r="J856" t="s">
        <v>862</v>
      </c>
      <c r="K856">
        <v>163548.11750699999</v>
      </c>
      <c r="L856">
        <f t="shared" si="27"/>
        <v>0</v>
      </c>
    </row>
    <row r="857" spans="1:12" x14ac:dyDescent="0.25">
      <c r="A857">
        <v>1306</v>
      </c>
      <c r="B857">
        <v>44077.315329999998</v>
      </c>
      <c r="C857">
        <v>44077.315329999998</v>
      </c>
      <c r="D857">
        <v>0</v>
      </c>
      <c r="E857">
        <v>3935.235283</v>
      </c>
      <c r="F857" s="1">
        <v>37.799999999999997</v>
      </c>
      <c r="H857">
        <v>1306</v>
      </c>
      <c r="I857" t="str">
        <f t="shared" si="26"/>
        <v>YES</v>
      </c>
      <c r="J857" t="s">
        <v>863</v>
      </c>
      <c r="K857">
        <v>265361.04972900002</v>
      </c>
      <c r="L857">
        <f t="shared" si="27"/>
        <v>0</v>
      </c>
    </row>
    <row r="858" spans="1:12" x14ac:dyDescent="0.25">
      <c r="A858">
        <v>1307</v>
      </c>
      <c r="B858">
        <v>6366.2359539999998</v>
      </c>
      <c r="C858">
        <v>6366.2359539999998</v>
      </c>
      <c r="D858">
        <v>0</v>
      </c>
      <c r="E858">
        <v>3951.4839609999999</v>
      </c>
      <c r="F858" s="1">
        <v>5.48</v>
      </c>
      <c r="H858">
        <v>1307</v>
      </c>
      <c r="I858" t="str">
        <f t="shared" si="26"/>
        <v>YES</v>
      </c>
      <c r="J858" t="s">
        <v>864</v>
      </c>
      <c r="K858">
        <v>797234.14224800002</v>
      </c>
      <c r="L858">
        <f t="shared" si="27"/>
        <v>0</v>
      </c>
    </row>
    <row r="859" spans="1:12" x14ac:dyDescent="0.25">
      <c r="A859">
        <v>1308</v>
      </c>
      <c r="B859">
        <v>11665.794760000001</v>
      </c>
      <c r="C859">
        <v>11665.794760000001</v>
      </c>
      <c r="D859">
        <v>0</v>
      </c>
      <c r="E859">
        <v>2536.0524869999999</v>
      </c>
      <c r="F859" s="1">
        <v>6.44</v>
      </c>
      <c r="H859">
        <v>1308</v>
      </c>
      <c r="I859" t="str">
        <f t="shared" si="26"/>
        <v>YES</v>
      </c>
      <c r="J859" t="s">
        <v>865</v>
      </c>
      <c r="K859">
        <v>408955.484398</v>
      </c>
      <c r="L859">
        <f t="shared" si="27"/>
        <v>0</v>
      </c>
    </row>
    <row r="860" spans="1:12" x14ac:dyDescent="0.25">
      <c r="A860">
        <v>1309</v>
      </c>
      <c r="B860">
        <v>95950.316080000004</v>
      </c>
      <c r="C860">
        <v>95950.316080000004</v>
      </c>
      <c r="D860">
        <v>0</v>
      </c>
      <c r="E860">
        <v>2379.6045479999998</v>
      </c>
      <c r="F860" s="1">
        <v>49.7</v>
      </c>
      <c r="H860">
        <v>1309</v>
      </c>
      <c r="I860" t="str">
        <f t="shared" si="26"/>
        <v>YES</v>
      </c>
      <c r="J860" t="s">
        <v>866</v>
      </c>
      <c r="K860">
        <v>135286.65335199999</v>
      </c>
      <c r="L860">
        <f t="shared" si="27"/>
        <v>0</v>
      </c>
    </row>
    <row r="861" spans="1:12" x14ac:dyDescent="0.25">
      <c r="A861">
        <v>1310</v>
      </c>
      <c r="B861">
        <v>6504.3986059999997</v>
      </c>
      <c r="C861">
        <v>6504.3986059999997</v>
      </c>
      <c r="D861">
        <v>0</v>
      </c>
      <c r="E861">
        <v>3212.9629020000002</v>
      </c>
      <c r="F861" s="1">
        <v>4.55</v>
      </c>
      <c r="H861">
        <v>1310</v>
      </c>
      <c r="I861" t="str">
        <f t="shared" si="26"/>
        <v>YES</v>
      </c>
      <c r="J861" t="s">
        <v>867</v>
      </c>
      <c r="K861">
        <v>732889.69044000003</v>
      </c>
      <c r="L861">
        <f t="shared" si="27"/>
        <v>0</v>
      </c>
    </row>
    <row r="862" spans="1:12" x14ac:dyDescent="0.25">
      <c r="A862">
        <v>1311</v>
      </c>
      <c r="B862">
        <v>8262.6484610000007</v>
      </c>
      <c r="C862">
        <v>8262.6484610000007</v>
      </c>
      <c r="D862">
        <v>0</v>
      </c>
      <c r="E862">
        <v>4548.6789209999997</v>
      </c>
      <c r="F862" s="1">
        <v>8.18</v>
      </c>
      <c r="H862">
        <v>1311</v>
      </c>
      <c r="I862" t="str">
        <f t="shared" si="26"/>
        <v>YES</v>
      </c>
      <c r="J862" t="s">
        <v>868</v>
      </c>
      <c r="K862">
        <v>649319.98898499995</v>
      </c>
      <c r="L862">
        <f t="shared" si="27"/>
        <v>0</v>
      </c>
    </row>
    <row r="863" spans="1:12" x14ac:dyDescent="0.25">
      <c r="A863">
        <v>1312</v>
      </c>
      <c r="B863">
        <v>6058.1219920000003</v>
      </c>
      <c r="C863">
        <v>6058.1219920000003</v>
      </c>
      <c r="D863">
        <v>0</v>
      </c>
      <c r="E863">
        <v>39.49899928</v>
      </c>
      <c r="F863" s="1">
        <v>5.21E-2</v>
      </c>
      <c r="H863">
        <v>1312</v>
      </c>
      <c r="I863" t="str">
        <f t="shared" si="26"/>
        <v>YES</v>
      </c>
      <c r="J863" t="s">
        <v>869</v>
      </c>
      <c r="K863">
        <v>190258.48286300001</v>
      </c>
      <c r="L863">
        <f t="shared" si="27"/>
        <v>0</v>
      </c>
    </row>
    <row r="864" spans="1:12" x14ac:dyDescent="0.25">
      <c r="A864">
        <v>1313</v>
      </c>
      <c r="B864">
        <v>10800.33927</v>
      </c>
      <c r="C864">
        <v>10800.33927</v>
      </c>
      <c r="D864">
        <v>0</v>
      </c>
      <c r="E864">
        <v>3111.8020150000002</v>
      </c>
      <c r="F864" s="1">
        <v>7.32</v>
      </c>
      <c r="H864">
        <v>1313</v>
      </c>
      <c r="I864" t="str">
        <f t="shared" si="26"/>
        <v>YES</v>
      </c>
      <c r="J864" t="s">
        <v>870</v>
      </c>
      <c r="K864">
        <v>577915.70909000002</v>
      </c>
      <c r="L864">
        <f t="shared" si="27"/>
        <v>0</v>
      </c>
    </row>
    <row r="865" spans="1:12" x14ac:dyDescent="0.25">
      <c r="A865">
        <v>1314</v>
      </c>
      <c r="B865">
        <v>7444.2165720000003</v>
      </c>
      <c r="C865">
        <v>7444.2165720000003</v>
      </c>
      <c r="D865">
        <v>0</v>
      </c>
      <c r="E865">
        <v>1726.84593</v>
      </c>
      <c r="F865" s="1">
        <v>2.8</v>
      </c>
      <c r="H865">
        <v>1314</v>
      </c>
      <c r="I865" t="str">
        <f t="shared" si="26"/>
        <v>YES</v>
      </c>
      <c r="J865" t="s">
        <v>871</v>
      </c>
      <c r="K865">
        <v>574200.85109999997</v>
      </c>
      <c r="L865">
        <f t="shared" si="27"/>
        <v>0</v>
      </c>
    </row>
    <row r="866" spans="1:12" x14ac:dyDescent="0.25">
      <c r="A866">
        <v>1315</v>
      </c>
      <c r="B866">
        <v>7998.0107680000001</v>
      </c>
      <c r="C866">
        <v>7998.0107680000001</v>
      </c>
      <c r="D866">
        <v>0</v>
      </c>
      <c r="E866">
        <v>2107.8187429999998</v>
      </c>
      <c r="F866" s="1">
        <v>3.67</v>
      </c>
      <c r="H866">
        <v>1315</v>
      </c>
      <c r="I866" t="str">
        <f t="shared" si="26"/>
        <v>YES</v>
      </c>
      <c r="J866" t="s">
        <v>872</v>
      </c>
      <c r="K866">
        <v>910297.90991199994</v>
      </c>
      <c r="L866">
        <f t="shared" si="27"/>
        <v>0</v>
      </c>
    </row>
    <row r="867" spans="1:12" x14ac:dyDescent="0.25">
      <c r="A867">
        <v>1316</v>
      </c>
      <c r="B867">
        <v>13541.4133</v>
      </c>
      <c r="C867">
        <v>13541.4133</v>
      </c>
      <c r="D867">
        <v>0</v>
      </c>
      <c r="E867">
        <v>1455.718079</v>
      </c>
      <c r="F867" s="1">
        <v>4.29</v>
      </c>
      <c r="H867">
        <v>1316</v>
      </c>
      <c r="I867" t="str">
        <f t="shared" si="26"/>
        <v>YES</v>
      </c>
      <c r="J867" t="s">
        <v>873</v>
      </c>
      <c r="K867">
        <v>138070.04388000001</v>
      </c>
      <c r="L867">
        <f t="shared" si="27"/>
        <v>0</v>
      </c>
    </row>
    <row r="868" spans="1:12" x14ac:dyDescent="0.25">
      <c r="A868">
        <v>1317</v>
      </c>
      <c r="B868">
        <v>11127.475399999999</v>
      </c>
      <c r="C868">
        <v>11127.475399999999</v>
      </c>
      <c r="D868">
        <v>0</v>
      </c>
      <c r="E868">
        <v>1880.533312</v>
      </c>
      <c r="F868" s="1">
        <v>4.5599999999999996</v>
      </c>
      <c r="H868">
        <v>1317</v>
      </c>
      <c r="I868" t="str">
        <f t="shared" si="26"/>
        <v>YES</v>
      </c>
      <c r="J868" t="s">
        <v>874</v>
      </c>
      <c r="K868">
        <v>364398.10539899999</v>
      </c>
      <c r="L868">
        <f t="shared" si="27"/>
        <v>0</v>
      </c>
    </row>
    <row r="869" spans="1:12" x14ac:dyDescent="0.25">
      <c r="A869">
        <v>1318</v>
      </c>
      <c r="B869">
        <v>21605.36506</v>
      </c>
      <c r="C869">
        <v>21605.36506</v>
      </c>
      <c r="D869">
        <v>0</v>
      </c>
      <c r="E869">
        <v>1592.4516860000001</v>
      </c>
      <c r="F869" s="1">
        <v>7.49</v>
      </c>
      <c r="H869">
        <v>1318</v>
      </c>
      <c r="I869" t="str">
        <f t="shared" si="26"/>
        <v>YES</v>
      </c>
      <c r="J869" t="s">
        <v>875</v>
      </c>
      <c r="K869">
        <v>230241.72514600001</v>
      </c>
      <c r="L869">
        <f t="shared" si="27"/>
        <v>0</v>
      </c>
    </row>
    <row r="870" spans="1:12" x14ac:dyDescent="0.25">
      <c r="A870">
        <v>1319</v>
      </c>
      <c r="B870">
        <v>3958.8897539999998</v>
      </c>
      <c r="C870">
        <v>3958.8897539999998</v>
      </c>
      <c r="D870">
        <v>0</v>
      </c>
      <c r="E870">
        <v>2172.8537139999999</v>
      </c>
      <c r="F870" s="1">
        <v>1.87</v>
      </c>
      <c r="H870">
        <v>1319</v>
      </c>
      <c r="I870" t="str">
        <f t="shared" si="26"/>
        <v>YES</v>
      </c>
      <c r="J870" t="s">
        <v>876</v>
      </c>
      <c r="K870">
        <v>466409.45124600001</v>
      </c>
      <c r="L870">
        <f t="shared" si="27"/>
        <v>0</v>
      </c>
    </row>
    <row r="871" spans="1:12" x14ac:dyDescent="0.25">
      <c r="A871">
        <v>1320</v>
      </c>
      <c r="B871">
        <v>13889.336590000001</v>
      </c>
      <c r="C871">
        <v>13889.336590000001</v>
      </c>
      <c r="D871">
        <v>0</v>
      </c>
      <c r="E871">
        <v>1.15784E-4</v>
      </c>
      <c r="F871" s="1">
        <v>3.4999999999999998E-7</v>
      </c>
      <c r="H871">
        <v>1320</v>
      </c>
      <c r="I871" t="str">
        <f t="shared" si="26"/>
        <v>YES</v>
      </c>
      <c r="J871" t="s">
        <v>877</v>
      </c>
      <c r="K871">
        <v>1464557.3709</v>
      </c>
      <c r="L871">
        <f t="shared" si="27"/>
        <v>0</v>
      </c>
    </row>
    <row r="872" spans="1:12" x14ac:dyDescent="0.25">
      <c r="A872">
        <v>1321</v>
      </c>
      <c r="B872">
        <v>35783.826410000001</v>
      </c>
      <c r="C872">
        <v>35783.826410000001</v>
      </c>
      <c r="D872">
        <v>0</v>
      </c>
      <c r="E872">
        <v>1.15784E-4</v>
      </c>
      <c r="F872" s="1">
        <v>9.02E-7</v>
      </c>
      <c r="H872">
        <v>1321</v>
      </c>
      <c r="I872" t="str">
        <f t="shared" si="26"/>
        <v>YES</v>
      </c>
      <c r="J872" t="s">
        <v>878</v>
      </c>
      <c r="K872">
        <v>533644.70606400003</v>
      </c>
      <c r="L872">
        <f t="shared" si="27"/>
        <v>0</v>
      </c>
    </row>
    <row r="873" spans="1:12" x14ac:dyDescent="0.25">
      <c r="A873">
        <v>1322</v>
      </c>
      <c r="B873">
        <v>16237.50707</v>
      </c>
      <c r="C873">
        <v>16237.50707</v>
      </c>
      <c r="D873">
        <v>0</v>
      </c>
      <c r="E873">
        <v>1.15784E-4</v>
      </c>
      <c r="F873" s="1">
        <v>4.0900000000000002E-7</v>
      </c>
      <c r="H873">
        <v>1322</v>
      </c>
      <c r="I873" t="str">
        <f t="shared" si="26"/>
        <v>YES</v>
      </c>
      <c r="J873" t="s">
        <v>879</v>
      </c>
      <c r="K873">
        <v>733042.17015400005</v>
      </c>
      <c r="L873">
        <f t="shared" si="27"/>
        <v>0</v>
      </c>
    </row>
    <row r="874" spans="1:12" x14ac:dyDescent="0.25">
      <c r="A874">
        <v>1323</v>
      </c>
      <c r="B874">
        <v>25761.19255</v>
      </c>
      <c r="C874">
        <v>25761.19255</v>
      </c>
      <c r="D874">
        <v>0</v>
      </c>
      <c r="E874">
        <v>1632.4946930000001</v>
      </c>
      <c r="F874" s="1">
        <v>9.16</v>
      </c>
      <c r="H874">
        <v>1323</v>
      </c>
      <c r="I874" t="str">
        <f t="shared" si="26"/>
        <v>YES</v>
      </c>
      <c r="J874" t="s">
        <v>880</v>
      </c>
      <c r="K874">
        <v>831912.69074600004</v>
      </c>
      <c r="L874">
        <f t="shared" si="27"/>
        <v>0</v>
      </c>
    </row>
    <row r="875" spans="1:12" x14ac:dyDescent="0.25">
      <c r="A875">
        <v>1324</v>
      </c>
      <c r="B875">
        <v>18441.45895</v>
      </c>
      <c r="C875">
        <v>18441.45895</v>
      </c>
      <c r="D875">
        <v>0</v>
      </c>
      <c r="E875">
        <v>1.15784E-4</v>
      </c>
      <c r="F875" s="1">
        <v>4.6499999999999999E-7</v>
      </c>
      <c r="H875">
        <v>1324</v>
      </c>
      <c r="I875" t="str">
        <f t="shared" si="26"/>
        <v>YES</v>
      </c>
      <c r="J875" t="s">
        <v>881</v>
      </c>
      <c r="K875">
        <v>388882.40040899999</v>
      </c>
      <c r="L875">
        <f t="shared" si="27"/>
        <v>0</v>
      </c>
    </row>
    <row r="876" spans="1:12" x14ac:dyDescent="0.25">
      <c r="A876">
        <v>1325</v>
      </c>
      <c r="B876">
        <v>47538.252860000001</v>
      </c>
      <c r="C876">
        <v>47538.252860000001</v>
      </c>
      <c r="D876">
        <v>0</v>
      </c>
      <c r="E876">
        <v>3561.0989960000002</v>
      </c>
      <c r="F876" s="1">
        <v>36.9</v>
      </c>
      <c r="H876">
        <v>1325</v>
      </c>
      <c r="I876" t="str">
        <f t="shared" si="26"/>
        <v>YES</v>
      </c>
      <c r="J876" t="s">
        <v>882</v>
      </c>
      <c r="K876">
        <v>461913.11696900002</v>
      </c>
      <c r="L876">
        <f t="shared" si="27"/>
        <v>0</v>
      </c>
    </row>
    <row r="877" spans="1:12" x14ac:dyDescent="0.25">
      <c r="A877">
        <v>1326</v>
      </c>
      <c r="B877">
        <v>151690.84839999999</v>
      </c>
      <c r="C877">
        <v>151690.84839999999</v>
      </c>
      <c r="D877">
        <v>0</v>
      </c>
      <c r="E877">
        <v>122.1571351</v>
      </c>
      <c r="F877" s="1">
        <v>4.03</v>
      </c>
      <c r="H877">
        <v>1326</v>
      </c>
      <c r="I877" t="str">
        <f t="shared" si="26"/>
        <v>YES</v>
      </c>
      <c r="J877" t="s">
        <v>883</v>
      </c>
      <c r="K877">
        <v>1831554.1551099999</v>
      </c>
      <c r="L877">
        <f t="shared" si="27"/>
        <v>0</v>
      </c>
    </row>
    <row r="878" spans="1:12" x14ac:dyDescent="0.25">
      <c r="A878">
        <v>1327</v>
      </c>
      <c r="B878">
        <v>27187.239130000002</v>
      </c>
      <c r="C878">
        <v>27187.239130000002</v>
      </c>
      <c r="D878">
        <v>0</v>
      </c>
      <c r="E878">
        <v>3192.2770730000002</v>
      </c>
      <c r="F878" s="1">
        <v>18.899999999999999</v>
      </c>
      <c r="H878">
        <v>1327</v>
      </c>
      <c r="I878" t="str">
        <f t="shared" si="26"/>
        <v>YES</v>
      </c>
      <c r="J878" t="s">
        <v>884</v>
      </c>
      <c r="K878">
        <v>494727.14386800001</v>
      </c>
      <c r="L878">
        <f t="shared" si="27"/>
        <v>0</v>
      </c>
    </row>
    <row r="879" spans="1:12" x14ac:dyDescent="0.25">
      <c r="A879">
        <v>1328</v>
      </c>
      <c r="B879">
        <v>26807.133900000001</v>
      </c>
      <c r="C879">
        <v>26807.133900000001</v>
      </c>
      <c r="D879">
        <v>0</v>
      </c>
      <c r="E879">
        <v>8.757434129</v>
      </c>
      <c r="F879" s="1">
        <v>5.11E-2</v>
      </c>
      <c r="H879">
        <v>1328</v>
      </c>
      <c r="I879" t="str">
        <f t="shared" si="26"/>
        <v>YES</v>
      </c>
      <c r="J879" t="s">
        <v>885</v>
      </c>
      <c r="K879">
        <v>922669.20954700001</v>
      </c>
      <c r="L879">
        <f t="shared" si="27"/>
        <v>0</v>
      </c>
    </row>
    <row r="880" spans="1:12" x14ac:dyDescent="0.25">
      <c r="A880">
        <v>1329</v>
      </c>
      <c r="B880">
        <v>19205.486939999999</v>
      </c>
      <c r="C880">
        <v>19205.486939999999</v>
      </c>
      <c r="D880">
        <v>0</v>
      </c>
      <c r="E880">
        <v>270.94209960000001</v>
      </c>
      <c r="F880" s="1">
        <v>1.1299999999999999</v>
      </c>
      <c r="H880">
        <v>1329</v>
      </c>
      <c r="I880" t="str">
        <f t="shared" si="26"/>
        <v>YES</v>
      </c>
      <c r="J880" t="s">
        <v>886</v>
      </c>
      <c r="K880">
        <v>128269.17296700001</v>
      </c>
      <c r="L880">
        <f t="shared" si="27"/>
        <v>0</v>
      </c>
    </row>
    <row r="881" spans="1:12" x14ac:dyDescent="0.25">
      <c r="A881">
        <v>1330</v>
      </c>
      <c r="B881">
        <v>23054.35023</v>
      </c>
      <c r="C881">
        <v>23054.35023</v>
      </c>
      <c r="D881">
        <v>0</v>
      </c>
      <c r="E881">
        <v>5356.246333</v>
      </c>
      <c r="F881" s="1">
        <v>26.9</v>
      </c>
      <c r="H881">
        <v>1330</v>
      </c>
      <c r="I881" t="str">
        <f t="shared" si="26"/>
        <v>YES</v>
      </c>
      <c r="J881" t="s">
        <v>887</v>
      </c>
      <c r="K881">
        <v>233253.1839</v>
      </c>
      <c r="L881">
        <f t="shared" si="27"/>
        <v>0</v>
      </c>
    </row>
    <row r="882" spans="1:12" x14ac:dyDescent="0.25">
      <c r="A882">
        <v>1331</v>
      </c>
      <c r="B882">
        <v>13683.415290000001</v>
      </c>
      <c r="C882">
        <v>13683.415290000001</v>
      </c>
      <c r="D882">
        <v>0</v>
      </c>
      <c r="E882">
        <v>1666.7202629999999</v>
      </c>
      <c r="F882" s="1">
        <v>4.97</v>
      </c>
      <c r="H882">
        <v>1331</v>
      </c>
      <c r="I882" t="str">
        <f t="shared" si="26"/>
        <v>YES</v>
      </c>
      <c r="J882" t="s">
        <v>888</v>
      </c>
      <c r="K882">
        <v>2304210.3711600001</v>
      </c>
      <c r="L882">
        <f t="shared" si="27"/>
        <v>0</v>
      </c>
    </row>
    <row r="883" spans="1:12" x14ac:dyDescent="0.25">
      <c r="A883">
        <v>1332</v>
      </c>
      <c r="B883">
        <v>28760.31266</v>
      </c>
      <c r="C883">
        <v>28760.31266</v>
      </c>
      <c r="D883">
        <v>0</v>
      </c>
      <c r="E883">
        <v>1.15784E-4</v>
      </c>
      <c r="F883" s="1">
        <v>7.2500000000000005E-7</v>
      </c>
      <c r="H883">
        <v>1332</v>
      </c>
      <c r="I883" t="str">
        <f t="shared" si="26"/>
        <v>YES</v>
      </c>
      <c r="J883" t="s">
        <v>889</v>
      </c>
      <c r="K883">
        <v>216296.33045000001</v>
      </c>
      <c r="L883">
        <f t="shared" si="27"/>
        <v>0</v>
      </c>
    </row>
    <row r="884" spans="1:12" x14ac:dyDescent="0.25">
      <c r="A884">
        <v>1333</v>
      </c>
      <c r="B884">
        <v>6106.1265270000004</v>
      </c>
      <c r="C884">
        <v>6106.1265270000004</v>
      </c>
      <c r="D884">
        <v>0</v>
      </c>
      <c r="E884" s="1">
        <v>9.1600000000000004E-5</v>
      </c>
      <c r="F884" s="1">
        <v>1.2200000000000001E-7</v>
      </c>
      <c r="H884">
        <v>1333</v>
      </c>
      <c r="I884" t="str">
        <f t="shared" si="26"/>
        <v>YES</v>
      </c>
      <c r="J884" t="s">
        <v>890</v>
      </c>
      <c r="K884">
        <v>564442.30462800001</v>
      </c>
      <c r="L884">
        <f t="shared" si="27"/>
        <v>0</v>
      </c>
    </row>
    <row r="885" spans="1:12" x14ac:dyDescent="0.25">
      <c r="A885">
        <v>1334</v>
      </c>
      <c r="B885">
        <v>25899.92294</v>
      </c>
      <c r="C885">
        <v>25899.92294</v>
      </c>
      <c r="D885">
        <v>0</v>
      </c>
      <c r="E885">
        <v>3121.8768409999998</v>
      </c>
      <c r="F885" s="1">
        <v>17.600000000000001</v>
      </c>
      <c r="H885">
        <v>1334</v>
      </c>
      <c r="I885" t="str">
        <f t="shared" si="26"/>
        <v>YES</v>
      </c>
      <c r="J885" t="s">
        <v>891</v>
      </c>
      <c r="K885">
        <v>615094.92388500005</v>
      </c>
      <c r="L885">
        <f t="shared" si="27"/>
        <v>0</v>
      </c>
    </row>
    <row r="886" spans="1:12" x14ac:dyDescent="0.25">
      <c r="A886">
        <v>1335</v>
      </c>
      <c r="B886">
        <v>20030.13924</v>
      </c>
      <c r="C886">
        <v>20030.13924</v>
      </c>
      <c r="D886">
        <v>0</v>
      </c>
      <c r="E886">
        <v>1447.333781</v>
      </c>
      <c r="F886" s="1">
        <v>6.31</v>
      </c>
      <c r="H886">
        <v>1335</v>
      </c>
      <c r="I886" t="str">
        <f t="shared" si="26"/>
        <v>YES</v>
      </c>
      <c r="J886" t="s">
        <v>892</v>
      </c>
      <c r="K886">
        <v>382874.21372900001</v>
      </c>
      <c r="L886">
        <f t="shared" si="27"/>
        <v>0</v>
      </c>
    </row>
    <row r="887" spans="1:12" x14ac:dyDescent="0.25">
      <c r="A887">
        <v>1336</v>
      </c>
      <c r="B887">
        <v>14621.848760000001</v>
      </c>
      <c r="C887">
        <v>14621.848760000001</v>
      </c>
      <c r="D887">
        <v>0</v>
      </c>
      <c r="E887">
        <v>3963.1929399999999</v>
      </c>
      <c r="F887" s="1">
        <v>12.6</v>
      </c>
      <c r="H887">
        <v>1336</v>
      </c>
      <c r="I887" t="str">
        <f t="shared" si="26"/>
        <v>YES</v>
      </c>
      <c r="J887" t="s">
        <v>893</v>
      </c>
      <c r="K887">
        <v>759967.93772499997</v>
      </c>
      <c r="L887">
        <f t="shared" si="27"/>
        <v>0</v>
      </c>
    </row>
    <row r="888" spans="1:12" x14ac:dyDescent="0.25">
      <c r="A888">
        <v>1337</v>
      </c>
      <c r="B888">
        <v>16495.6682</v>
      </c>
      <c r="C888">
        <v>16495.6682</v>
      </c>
      <c r="D888">
        <v>0</v>
      </c>
      <c r="E888" s="1">
        <v>9.1600000000000004E-5</v>
      </c>
      <c r="F888" s="1">
        <v>3.2899999999999999E-7</v>
      </c>
      <c r="H888">
        <v>1337</v>
      </c>
      <c r="I888" t="str">
        <f t="shared" si="26"/>
        <v>YES</v>
      </c>
      <c r="J888" t="s">
        <v>894</v>
      </c>
      <c r="K888">
        <v>590335.30103900004</v>
      </c>
      <c r="L888">
        <f t="shared" si="27"/>
        <v>0</v>
      </c>
    </row>
    <row r="889" spans="1:12" x14ac:dyDescent="0.25">
      <c r="A889">
        <v>1338</v>
      </c>
      <c r="B889">
        <v>9340.3843629999992</v>
      </c>
      <c r="C889">
        <v>9340.3843629999992</v>
      </c>
      <c r="D889">
        <v>0</v>
      </c>
      <c r="E889">
        <v>1946.794024</v>
      </c>
      <c r="F889" s="1">
        <v>3.96</v>
      </c>
      <c r="H889">
        <v>1338</v>
      </c>
      <c r="I889" t="str">
        <f t="shared" si="26"/>
        <v>YES</v>
      </c>
      <c r="J889" t="s">
        <v>895</v>
      </c>
      <c r="K889">
        <v>438452.64856599999</v>
      </c>
      <c r="L889">
        <f t="shared" si="27"/>
        <v>0</v>
      </c>
    </row>
    <row r="890" spans="1:12" x14ac:dyDescent="0.25">
      <c r="A890">
        <v>1339</v>
      </c>
      <c r="B890">
        <v>7909.1470980000004</v>
      </c>
      <c r="C890">
        <v>7909.1470980000004</v>
      </c>
      <c r="D890">
        <v>0</v>
      </c>
      <c r="E890">
        <v>3069.82888</v>
      </c>
      <c r="F890" s="1">
        <v>5.29</v>
      </c>
      <c r="H890">
        <v>1339</v>
      </c>
      <c r="I890" t="str">
        <f t="shared" si="26"/>
        <v>YES</v>
      </c>
      <c r="J890" t="s">
        <v>896</v>
      </c>
      <c r="K890">
        <v>437903.71442500001</v>
      </c>
      <c r="L890">
        <f t="shared" si="27"/>
        <v>0</v>
      </c>
    </row>
    <row r="891" spans="1:12" x14ac:dyDescent="0.25">
      <c r="A891">
        <v>1340</v>
      </c>
      <c r="B891">
        <v>5286.7415419999998</v>
      </c>
      <c r="C891">
        <v>5286.7415419999998</v>
      </c>
      <c r="D891">
        <v>0</v>
      </c>
      <c r="E891">
        <v>1504</v>
      </c>
      <c r="F891" s="1">
        <v>1.73</v>
      </c>
      <c r="H891">
        <v>1340</v>
      </c>
      <c r="I891" t="str">
        <f t="shared" si="26"/>
        <v>YES</v>
      </c>
      <c r="J891" t="s">
        <v>897</v>
      </c>
      <c r="K891">
        <v>248896.86735499999</v>
      </c>
      <c r="L891">
        <f t="shared" si="27"/>
        <v>0</v>
      </c>
    </row>
    <row r="892" spans="1:12" x14ac:dyDescent="0.25">
      <c r="A892">
        <v>1341</v>
      </c>
      <c r="B892">
        <v>40962.09274</v>
      </c>
      <c r="C892">
        <v>40962.09274</v>
      </c>
      <c r="D892">
        <v>0</v>
      </c>
      <c r="E892">
        <v>1455.6928680000001</v>
      </c>
      <c r="F892" s="1">
        <v>13</v>
      </c>
      <c r="H892">
        <v>1341</v>
      </c>
      <c r="I892" t="str">
        <f t="shared" si="26"/>
        <v>YES</v>
      </c>
      <c r="J892" t="s">
        <v>898</v>
      </c>
      <c r="K892">
        <v>345036.08636999998</v>
      </c>
      <c r="L892">
        <f t="shared" si="27"/>
        <v>0</v>
      </c>
    </row>
    <row r="893" spans="1:12" x14ac:dyDescent="0.25">
      <c r="A893">
        <v>1342</v>
      </c>
      <c r="B893">
        <v>3811.474479</v>
      </c>
      <c r="C893">
        <v>3811.474479</v>
      </c>
      <c r="D893">
        <v>0</v>
      </c>
      <c r="E893">
        <v>2963.3083780000002</v>
      </c>
      <c r="F893" s="1">
        <v>2.46</v>
      </c>
      <c r="H893">
        <v>1342</v>
      </c>
      <c r="I893" t="str">
        <f t="shared" si="26"/>
        <v>YES</v>
      </c>
      <c r="J893" t="s">
        <v>899</v>
      </c>
      <c r="K893">
        <v>657284.47457700002</v>
      </c>
      <c r="L893">
        <f t="shared" si="27"/>
        <v>0</v>
      </c>
    </row>
    <row r="894" spans="1:12" x14ac:dyDescent="0.25">
      <c r="A894">
        <v>1343</v>
      </c>
      <c r="B894">
        <v>12113.651750000001</v>
      </c>
      <c r="C894">
        <v>12113.651750000001</v>
      </c>
      <c r="D894">
        <v>0</v>
      </c>
      <c r="E894">
        <v>3754</v>
      </c>
      <c r="F894" s="1">
        <v>9.9</v>
      </c>
      <c r="H894">
        <v>1343</v>
      </c>
      <c r="I894" t="str">
        <f t="shared" si="26"/>
        <v>YES</v>
      </c>
      <c r="J894" t="s">
        <v>900</v>
      </c>
      <c r="K894">
        <v>474497.44322900003</v>
      </c>
      <c r="L894">
        <f t="shared" si="27"/>
        <v>0</v>
      </c>
    </row>
    <row r="895" spans="1:12" x14ac:dyDescent="0.25">
      <c r="A895">
        <v>1344</v>
      </c>
      <c r="B895">
        <v>7381.4747619999998</v>
      </c>
      <c r="C895">
        <v>7381.4747619999998</v>
      </c>
      <c r="D895">
        <v>0</v>
      </c>
      <c r="E895">
        <v>4022</v>
      </c>
      <c r="F895" s="1">
        <v>6.46</v>
      </c>
      <c r="H895">
        <v>1344</v>
      </c>
      <c r="I895" t="str">
        <f t="shared" si="26"/>
        <v>YES</v>
      </c>
      <c r="J895" t="s">
        <v>901</v>
      </c>
      <c r="K895">
        <v>1359352.99817</v>
      </c>
      <c r="L895">
        <f t="shared" si="27"/>
        <v>0</v>
      </c>
    </row>
    <row r="896" spans="1:12" x14ac:dyDescent="0.25">
      <c r="A896">
        <v>1345</v>
      </c>
      <c r="B896">
        <v>7437.5676149999999</v>
      </c>
      <c r="C896">
        <v>7437.5676149999999</v>
      </c>
      <c r="D896">
        <v>0</v>
      </c>
      <c r="E896">
        <v>21.3004645</v>
      </c>
      <c r="F896" s="1">
        <v>3.4500000000000003E-2</v>
      </c>
      <c r="H896">
        <v>1345</v>
      </c>
      <c r="I896" t="str">
        <f t="shared" si="26"/>
        <v>YES</v>
      </c>
      <c r="J896" t="s">
        <v>902</v>
      </c>
      <c r="K896">
        <v>433474.585991</v>
      </c>
      <c r="L896">
        <f t="shared" si="27"/>
        <v>0</v>
      </c>
    </row>
    <row r="897" spans="1:12" x14ac:dyDescent="0.25">
      <c r="A897">
        <v>1346</v>
      </c>
      <c r="B897">
        <v>1281.652971</v>
      </c>
      <c r="C897">
        <v>1281.652971</v>
      </c>
      <c r="D897">
        <v>0</v>
      </c>
      <c r="E897">
        <v>2936.2767749999998</v>
      </c>
      <c r="F897" s="1">
        <v>0.81899999999999995</v>
      </c>
      <c r="H897">
        <v>1346</v>
      </c>
      <c r="I897" t="str">
        <f t="shared" si="26"/>
        <v>YES</v>
      </c>
      <c r="J897" t="s">
        <v>903</v>
      </c>
      <c r="K897">
        <v>1267696.59335</v>
      </c>
      <c r="L897">
        <f t="shared" si="27"/>
        <v>0</v>
      </c>
    </row>
    <row r="898" spans="1:12" x14ac:dyDescent="0.25">
      <c r="A898">
        <v>1347</v>
      </c>
      <c r="B898">
        <v>7404.0287550000003</v>
      </c>
      <c r="C898">
        <v>7404.0287550000003</v>
      </c>
      <c r="D898">
        <v>0</v>
      </c>
      <c r="E898">
        <v>4491.2774300000001</v>
      </c>
      <c r="F898" s="1">
        <v>7.24</v>
      </c>
      <c r="H898">
        <v>1347</v>
      </c>
      <c r="I898" t="str">
        <f t="shared" si="26"/>
        <v>YES</v>
      </c>
      <c r="J898" t="s">
        <v>904</v>
      </c>
      <c r="K898">
        <v>1013142.26563</v>
      </c>
      <c r="L898">
        <f t="shared" si="27"/>
        <v>0</v>
      </c>
    </row>
    <row r="899" spans="1:12" x14ac:dyDescent="0.25">
      <c r="A899">
        <v>1348</v>
      </c>
      <c r="B899">
        <v>12998.713229999999</v>
      </c>
      <c r="C899">
        <v>12998.713229999999</v>
      </c>
      <c r="D899">
        <v>0</v>
      </c>
      <c r="E899">
        <v>728.42210520000003</v>
      </c>
      <c r="F899" s="1">
        <v>2.06</v>
      </c>
      <c r="H899">
        <v>1348</v>
      </c>
      <c r="I899" t="str">
        <f t="shared" ref="I899:I962" si="28">IF(A899=H899,"YES","NO")</f>
        <v>YES</v>
      </c>
      <c r="J899" t="s">
        <v>905</v>
      </c>
      <c r="K899">
        <v>582217.27198700001</v>
      </c>
      <c r="L899">
        <f t="shared" ref="L899:L962" si="29">EXP(0.2052)*K899*(D899/C899)</f>
        <v>0</v>
      </c>
    </row>
    <row r="900" spans="1:12" x14ac:dyDescent="0.25">
      <c r="A900">
        <v>1349</v>
      </c>
      <c r="B900">
        <v>25027.602770000001</v>
      </c>
      <c r="C900">
        <v>25027.602770000001</v>
      </c>
      <c r="D900">
        <v>0</v>
      </c>
      <c r="E900" s="1">
        <v>9.1600000000000004E-5</v>
      </c>
      <c r="F900" s="1">
        <v>4.9900000000000001E-7</v>
      </c>
      <c r="H900">
        <v>1349</v>
      </c>
      <c r="I900" t="str">
        <f t="shared" si="28"/>
        <v>YES</v>
      </c>
      <c r="J900" t="s">
        <v>906</v>
      </c>
      <c r="K900">
        <v>333492.13212800003</v>
      </c>
      <c r="L900">
        <f t="shared" si="29"/>
        <v>0</v>
      </c>
    </row>
    <row r="901" spans="1:12" x14ac:dyDescent="0.25">
      <c r="A901">
        <v>1351</v>
      </c>
      <c r="B901">
        <v>4768.1853709999996</v>
      </c>
      <c r="C901">
        <v>4768.1853709999996</v>
      </c>
      <c r="D901">
        <v>0</v>
      </c>
      <c r="E901">
        <v>2.6952440059999998</v>
      </c>
      <c r="F901" s="1">
        <v>2.8E-3</v>
      </c>
      <c r="H901">
        <v>1351</v>
      </c>
      <c r="I901" t="str">
        <f t="shared" si="28"/>
        <v>YES</v>
      </c>
      <c r="J901" t="s">
        <v>907</v>
      </c>
      <c r="K901">
        <v>3009681.32699</v>
      </c>
      <c r="L901">
        <f t="shared" si="29"/>
        <v>0</v>
      </c>
    </row>
    <row r="902" spans="1:12" x14ac:dyDescent="0.25">
      <c r="A902">
        <v>1400</v>
      </c>
      <c r="B902">
        <v>3689.3895750000001</v>
      </c>
      <c r="C902">
        <v>3689.3895750000001</v>
      </c>
      <c r="D902">
        <v>0</v>
      </c>
      <c r="E902">
        <v>2572.9632040000001</v>
      </c>
      <c r="F902" s="1">
        <v>2.0699999999999998</v>
      </c>
      <c r="H902">
        <v>1400</v>
      </c>
      <c r="I902" t="str">
        <f t="shared" si="28"/>
        <v>YES</v>
      </c>
      <c r="J902" t="s">
        <v>908</v>
      </c>
      <c r="K902">
        <v>1321922.15604</v>
      </c>
      <c r="L902">
        <f t="shared" si="29"/>
        <v>0</v>
      </c>
    </row>
    <row r="903" spans="1:12" x14ac:dyDescent="0.25">
      <c r="A903">
        <v>1401</v>
      </c>
      <c r="B903">
        <v>3689.3895750000001</v>
      </c>
      <c r="C903">
        <v>3689.3895750000001</v>
      </c>
      <c r="D903">
        <v>0</v>
      </c>
      <c r="E903">
        <v>2123.0920059999999</v>
      </c>
      <c r="F903" s="1">
        <v>1.71</v>
      </c>
      <c r="H903">
        <v>1401</v>
      </c>
      <c r="I903" t="str">
        <f t="shared" si="28"/>
        <v>YES</v>
      </c>
      <c r="J903" t="s">
        <v>909</v>
      </c>
      <c r="K903">
        <v>1006975.23905</v>
      </c>
      <c r="L903">
        <f t="shared" si="29"/>
        <v>0</v>
      </c>
    </row>
    <row r="904" spans="1:12" x14ac:dyDescent="0.25">
      <c r="A904">
        <v>1402</v>
      </c>
      <c r="B904">
        <v>18363.577829999998</v>
      </c>
      <c r="C904">
        <v>18363.577829999998</v>
      </c>
      <c r="D904">
        <v>0</v>
      </c>
      <c r="E904">
        <v>1137.7711489999999</v>
      </c>
      <c r="F904" s="1">
        <v>4.55</v>
      </c>
      <c r="H904">
        <v>1402</v>
      </c>
      <c r="I904" t="str">
        <f t="shared" si="28"/>
        <v>YES</v>
      </c>
      <c r="J904" t="s">
        <v>910</v>
      </c>
      <c r="K904">
        <v>260462.57728699999</v>
      </c>
      <c r="L904">
        <f t="shared" si="29"/>
        <v>0</v>
      </c>
    </row>
    <row r="905" spans="1:12" x14ac:dyDescent="0.25">
      <c r="A905">
        <v>1403</v>
      </c>
      <c r="B905">
        <v>7134.0049710000003</v>
      </c>
      <c r="C905">
        <v>7134.0049710000003</v>
      </c>
      <c r="D905">
        <v>0</v>
      </c>
      <c r="E905">
        <v>3108.3745990000002</v>
      </c>
      <c r="F905" s="1">
        <v>4.83</v>
      </c>
      <c r="H905">
        <v>1403</v>
      </c>
      <c r="I905" t="str">
        <f t="shared" si="28"/>
        <v>YES</v>
      </c>
      <c r="J905" t="s">
        <v>911</v>
      </c>
      <c r="K905">
        <v>1033674.89738</v>
      </c>
      <c r="L905">
        <f t="shared" si="29"/>
        <v>0</v>
      </c>
    </row>
    <row r="906" spans="1:12" x14ac:dyDescent="0.25">
      <c r="A906">
        <v>1404</v>
      </c>
      <c r="B906">
        <v>13347.59325</v>
      </c>
      <c r="C906">
        <v>13347.59325</v>
      </c>
      <c r="D906">
        <v>0</v>
      </c>
      <c r="E906">
        <v>2581.1394110000001</v>
      </c>
      <c r="F906" s="1">
        <v>7.5</v>
      </c>
      <c r="H906">
        <v>1404</v>
      </c>
      <c r="I906" t="str">
        <f t="shared" si="28"/>
        <v>YES</v>
      </c>
      <c r="J906" t="s">
        <v>912</v>
      </c>
      <c r="K906">
        <v>874010.88574699999</v>
      </c>
      <c r="L906">
        <f t="shared" si="29"/>
        <v>0</v>
      </c>
    </row>
    <row r="907" spans="1:12" x14ac:dyDescent="0.25">
      <c r="A907">
        <v>1405</v>
      </c>
      <c r="B907">
        <v>5160.3794660000003</v>
      </c>
      <c r="C907">
        <v>5160.3794660000003</v>
      </c>
      <c r="D907">
        <v>0</v>
      </c>
      <c r="E907">
        <v>3002.395923</v>
      </c>
      <c r="F907" s="1">
        <v>3.37</v>
      </c>
      <c r="H907">
        <v>1405</v>
      </c>
      <c r="I907" t="str">
        <f t="shared" si="28"/>
        <v>YES</v>
      </c>
      <c r="J907" t="s">
        <v>913</v>
      </c>
      <c r="K907">
        <v>1009001.5566</v>
      </c>
      <c r="L907">
        <f t="shared" si="29"/>
        <v>0</v>
      </c>
    </row>
    <row r="908" spans="1:12" x14ac:dyDescent="0.25">
      <c r="A908">
        <v>1406</v>
      </c>
      <c r="B908">
        <v>133916.98389999999</v>
      </c>
      <c r="C908">
        <v>133916.98389999999</v>
      </c>
      <c r="D908">
        <v>0</v>
      </c>
      <c r="E908">
        <v>1597.4526539999999</v>
      </c>
      <c r="F908" s="1">
        <v>46.6</v>
      </c>
      <c r="H908">
        <v>1406</v>
      </c>
      <c r="I908" t="str">
        <f t="shared" si="28"/>
        <v>YES</v>
      </c>
      <c r="J908" t="s">
        <v>914</v>
      </c>
      <c r="K908">
        <v>238319.43940800001</v>
      </c>
      <c r="L908">
        <f t="shared" si="29"/>
        <v>0</v>
      </c>
    </row>
    <row r="909" spans="1:12" x14ac:dyDescent="0.25">
      <c r="A909">
        <v>1407</v>
      </c>
      <c r="B909">
        <v>173804.81510000001</v>
      </c>
      <c r="C909">
        <v>173804.81510000001</v>
      </c>
      <c r="D909">
        <v>0</v>
      </c>
      <c r="E909">
        <v>554.02804319999996</v>
      </c>
      <c r="F909" s="1">
        <v>21</v>
      </c>
      <c r="H909">
        <v>1407</v>
      </c>
      <c r="I909" t="str">
        <f t="shared" si="28"/>
        <v>YES</v>
      </c>
      <c r="J909" t="s">
        <v>915</v>
      </c>
      <c r="K909">
        <v>89388.463063300005</v>
      </c>
      <c r="L909">
        <f t="shared" si="29"/>
        <v>0</v>
      </c>
    </row>
    <row r="910" spans="1:12" x14ac:dyDescent="0.25">
      <c r="A910">
        <v>1408</v>
      </c>
      <c r="B910">
        <v>12303.379430000001</v>
      </c>
      <c r="C910">
        <v>12303.379430000001</v>
      </c>
      <c r="D910">
        <v>0</v>
      </c>
      <c r="E910">
        <v>2350.7530489999999</v>
      </c>
      <c r="F910" s="1">
        <v>6.3</v>
      </c>
      <c r="H910">
        <v>1408</v>
      </c>
      <c r="I910" t="str">
        <f t="shared" si="28"/>
        <v>YES</v>
      </c>
      <c r="J910" t="s">
        <v>916</v>
      </c>
      <c r="K910">
        <v>942836.33375500003</v>
      </c>
      <c r="L910">
        <f t="shared" si="29"/>
        <v>0</v>
      </c>
    </row>
    <row r="911" spans="1:12" x14ac:dyDescent="0.25">
      <c r="A911">
        <v>1409</v>
      </c>
      <c r="B911">
        <v>19810.48372</v>
      </c>
      <c r="C911">
        <v>19810.48372</v>
      </c>
      <c r="D911">
        <v>0</v>
      </c>
      <c r="E911">
        <v>4106.0344089999999</v>
      </c>
      <c r="F911" s="1">
        <v>17.7</v>
      </c>
      <c r="H911">
        <v>1409</v>
      </c>
      <c r="I911" t="str">
        <f t="shared" si="28"/>
        <v>YES</v>
      </c>
      <c r="J911" t="s">
        <v>917</v>
      </c>
      <c r="K911">
        <v>1078504.62151</v>
      </c>
      <c r="L911">
        <f t="shared" si="29"/>
        <v>0</v>
      </c>
    </row>
    <row r="912" spans="1:12" x14ac:dyDescent="0.25">
      <c r="A912">
        <v>1410</v>
      </c>
      <c r="B912">
        <v>7903.5282139999999</v>
      </c>
      <c r="C912">
        <v>7903.5282139999999</v>
      </c>
      <c r="D912">
        <v>0</v>
      </c>
      <c r="E912">
        <v>4991.9955520000003</v>
      </c>
      <c r="F912" s="1">
        <v>8.59</v>
      </c>
      <c r="H912">
        <v>1410</v>
      </c>
      <c r="I912" t="str">
        <f t="shared" si="28"/>
        <v>YES</v>
      </c>
      <c r="J912" t="s">
        <v>918</v>
      </c>
      <c r="K912">
        <v>1008820.54314</v>
      </c>
      <c r="L912">
        <f t="shared" si="29"/>
        <v>0</v>
      </c>
    </row>
    <row r="913" spans="1:12" x14ac:dyDescent="0.25">
      <c r="A913">
        <v>1413</v>
      </c>
      <c r="B913">
        <v>3575.5735989999998</v>
      </c>
      <c r="C913">
        <v>3575.5735989999998</v>
      </c>
      <c r="D913">
        <v>0</v>
      </c>
      <c r="E913">
        <v>1431.2957240000001</v>
      </c>
      <c r="F913" s="1">
        <v>1.1100000000000001</v>
      </c>
      <c r="H913">
        <v>1413</v>
      </c>
      <c r="I913" t="str">
        <f t="shared" si="28"/>
        <v>YES</v>
      </c>
      <c r="J913" t="s">
        <v>919</v>
      </c>
      <c r="K913">
        <v>1479215.94683</v>
      </c>
      <c r="L913">
        <f t="shared" si="29"/>
        <v>0</v>
      </c>
    </row>
    <row r="914" spans="1:12" x14ac:dyDescent="0.25">
      <c r="A914">
        <v>1414</v>
      </c>
      <c r="B914">
        <v>9260.1392230000001</v>
      </c>
      <c r="C914">
        <v>9260.1392230000001</v>
      </c>
      <c r="D914">
        <v>0</v>
      </c>
      <c r="E914">
        <v>2408.128111</v>
      </c>
      <c r="F914" s="1">
        <v>4.8600000000000003</v>
      </c>
      <c r="H914">
        <v>1414</v>
      </c>
      <c r="I914" t="str">
        <f t="shared" si="28"/>
        <v>YES</v>
      </c>
      <c r="J914" t="s">
        <v>920</v>
      </c>
      <c r="K914">
        <v>928766.33848200005</v>
      </c>
      <c r="L914">
        <f t="shared" si="29"/>
        <v>0</v>
      </c>
    </row>
    <row r="915" spans="1:12" x14ac:dyDescent="0.25">
      <c r="A915">
        <v>1415</v>
      </c>
      <c r="B915">
        <v>4754.6911220000002</v>
      </c>
      <c r="C915">
        <v>4754.6911220000002</v>
      </c>
      <c r="D915">
        <v>0</v>
      </c>
      <c r="E915">
        <v>3595.6776089999998</v>
      </c>
      <c r="F915" s="1">
        <v>3.72</v>
      </c>
      <c r="H915">
        <v>1415</v>
      </c>
      <c r="I915" t="str">
        <f t="shared" si="28"/>
        <v>YES</v>
      </c>
      <c r="J915" t="s">
        <v>921</v>
      </c>
      <c r="K915">
        <v>1377239.9846099999</v>
      </c>
      <c r="L915">
        <f t="shared" si="29"/>
        <v>0</v>
      </c>
    </row>
    <row r="916" spans="1:12" x14ac:dyDescent="0.25">
      <c r="A916">
        <v>1416</v>
      </c>
      <c r="B916">
        <v>4791.3035339999997</v>
      </c>
      <c r="C916">
        <v>4791.3035339999997</v>
      </c>
      <c r="D916">
        <v>0</v>
      </c>
      <c r="E916">
        <v>1793.236684</v>
      </c>
      <c r="F916" s="1">
        <v>1.87</v>
      </c>
      <c r="H916">
        <v>1416</v>
      </c>
      <c r="I916" t="str">
        <f t="shared" si="28"/>
        <v>YES</v>
      </c>
      <c r="J916" t="s">
        <v>922</v>
      </c>
      <c r="K916">
        <v>775453.22935499996</v>
      </c>
      <c r="L916">
        <f t="shared" si="29"/>
        <v>0</v>
      </c>
    </row>
    <row r="917" spans="1:12" x14ac:dyDescent="0.25">
      <c r="A917">
        <v>1417</v>
      </c>
      <c r="B917">
        <v>732.77843559999997</v>
      </c>
      <c r="C917">
        <v>732.77843559999997</v>
      </c>
      <c r="D917">
        <v>0</v>
      </c>
      <c r="E917">
        <v>2736.2975390000001</v>
      </c>
      <c r="F917" s="1">
        <v>0.437</v>
      </c>
      <c r="H917">
        <v>1417</v>
      </c>
      <c r="I917" t="str">
        <f t="shared" si="28"/>
        <v>YES</v>
      </c>
      <c r="J917" t="s">
        <v>923</v>
      </c>
      <c r="K917">
        <v>3287017.9659299999</v>
      </c>
      <c r="L917">
        <f t="shared" si="29"/>
        <v>0</v>
      </c>
    </row>
    <row r="918" spans="1:12" x14ac:dyDescent="0.25">
      <c r="A918">
        <v>1418</v>
      </c>
      <c r="B918">
        <v>4979.3708779999997</v>
      </c>
      <c r="C918">
        <v>4979.3708779999997</v>
      </c>
      <c r="D918">
        <v>0</v>
      </c>
      <c r="E918">
        <v>1474.880441</v>
      </c>
      <c r="F918" s="1">
        <v>1.6</v>
      </c>
      <c r="H918">
        <v>1418</v>
      </c>
      <c r="I918" t="str">
        <f t="shared" si="28"/>
        <v>YES</v>
      </c>
      <c r="J918" t="s">
        <v>924</v>
      </c>
      <c r="K918">
        <v>943984.656587</v>
      </c>
      <c r="L918">
        <f t="shared" si="29"/>
        <v>0</v>
      </c>
    </row>
    <row r="919" spans="1:12" x14ac:dyDescent="0.25">
      <c r="A919">
        <v>1419</v>
      </c>
      <c r="B919">
        <v>5464.8103179999998</v>
      </c>
      <c r="C919">
        <v>5464.8103179999998</v>
      </c>
      <c r="D919">
        <v>0</v>
      </c>
      <c r="E919">
        <v>1933.44634</v>
      </c>
      <c r="F919" s="1">
        <v>2.2999999999999998</v>
      </c>
      <c r="H919">
        <v>1419</v>
      </c>
      <c r="I919" t="str">
        <f t="shared" si="28"/>
        <v>YES</v>
      </c>
      <c r="J919" t="s">
        <v>925</v>
      </c>
      <c r="K919">
        <v>1216372.1735</v>
      </c>
      <c r="L919">
        <f t="shared" si="29"/>
        <v>0</v>
      </c>
    </row>
    <row r="920" spans="1:12" x14ac:dyDescent="0.25">
      <c r="A920">
        <v>1420</v>
      </c>
      <c r="B920">
        <v>12060.18965</v>
      </c>
      <c r="C920">
        <v>12060.18965</v>
      </c>
      <c r="D920">
        <v>0</v>
      </c>
      <c r="E920">
        <v>3478.5574539999998</v>
      </c>
      <c r="F920" s="1">
        <v>9.1300000000000008</v>
      </c>
      <c r="H920">
        <v>1420</v>
      </c>
      <c r="I920" t="str">
        <f t="shared" si="28"/>
        <v>YES</v>
      </c>
      <c r="J920" t="s">
        <v>926</v>
      </c>
      <c r="K920">
        <v>1641290.0709500001</v>
      </c>
      <c r="L920">
        <f t="shared" si="29"/>
        <v>0</v>
      </c>
    </row>
    <row r="921" spans="1:12" x14ac:dyDescent="0.25">
      <c r="A921">
        <v>1421</v>
      </c>
      <c r="B921">
        <v>9846.6074509999999</v>
      </c>
      <c r="C921">
        <v>9846.6074509999999</v>
      </c>
      <c r="D921">
        <v>0</v>
      </c>
      <c r="E921">
        <v>969.20028119999995</v>
      </c>
      <c r="F921" s="1">
        <v>2.08</v>
      </c>
      <c r="H921">
        <v>1421</v>
      </c>
      <c r="I921" t="str">
        <f t="shared" si="28"/>
        <v>YES</v>
      </c>
      <c r="J921" t="s">
        <v>927</v>
      </c>
      <c r="K921">
        <v>768499.66766000004</v>
      </c>
      <c r="L921">
        <f t="shared" si="29"/>
        <v>0</v>
      </c>
    </row>
    <row r="922" spans="1:12" x14ac:dyDescent="0.25">
      <c r="A922">
        <v>1422</v>
      </c>
      <c r="B922">
        <v>7629.3928740000001</v>
      </c>
      <c r="C922">
        <v>7629.3928740000001</v>
      </c>
      <c r="D922">
        <v>0</v>
      </c>
      <c r="E922">
        <v>1354.2798170000001</v>
      </c>
      <c r="F922" s="1">
        <v>2.25</v>
      </c>
      <c r="H922">
        <v>1422</v>
      </c>
      <c r="I922" t="str">
        <f t="shared" si="28"/>
        <v>YES</v>
      </c>
      <c r="J922" t="s">
        <v>928</v>
      </c>
      <c r="K922">
        <v>851681.01379700005</v>
      </c>
      <c r="L922">
        <f t="shared" si="29"/>
        <v>0</v>
      </c>
    </row>
    <row r="923" spans="1:12" x14ac:dyDescent="0.25">
      <c r="A923">
        <v>1500</v>
      </c>
      <c r="B923">
        <v>3847.1113639999999</v>
      </c>
      <c r="C923">
        <v>3847.1113639999999</v>
      </c>
      <c r="D923">
        <v>0</v>
      </c>
      <c r="E923">
        <v>1099.457179</v>
      </c>
      <c r="F923" s="1">
        <v>0.92100000000000004</v>
      </c>
      <c r="H923">
        <v>1500</v>
      </c>
      <c r="I923" t="str">
        <f t="shared" si="28"/>
        <v>YES</v>
      </c>
      <c r="J923" t="s">
        <v>929</v>
      </c>
      <c r="K923">
        <v>357263.81199800002</v>
      </c>
      <c r="L923">
        <f t="shared" si="29"/>
        <v>0</v>
      </c>
    </row>
    <row r="924" spans="1:12" x14ac:dyDescent="0.25">
      <c r="A924">
        <v>1501</v>
      </c>
      <c r="B924">
        <v>18221.894509999998</v>
      </c>
      <c r="C924">
        <v>18221.894509999998</v>
      </c>
      <c r="D924">
        <v>0</v>
      </c>
      <c r="E924">
        <v>1385.2505779999999</v>
      </c>
      <c r="F924" s="1">
        <v>5.5</v>
      </c>
      <c r="H924">
        <v>1501</v>
      </c>
      <c r="I924" t="str">
        <f t="shared" si="28"/>
        <v>YES</v>
      </c>
      <c r="J924" t="s">
        <v>930</v>
      </c>
      <c r="K924">
        <v>497808.48107600003</v>
      </c>
      <c r="L924">
        <f t="shared" si="29"/>
        <v>0</v>
      </c>
    </row>
    <row r="925" spans="1:12" x14ac:dyDescent="0.25">
      <c r="A925">
        <v>1502</v>
      </c>
      <c r="B925">
        <v>6974.1452710000003</v>
      </c>
      <c r="C925">
        <v>6974.1452710000003</v>
      </c>
      <c r="D925">
        <v>0</v>
      </c>
      <c r="E925">
        <v>2472.2318270000001</v>
      </c>
      <c r="F925" s="1">
        <v>3.75</v>
      </c>
      <c r="H925">
        <v>1502</v>
      </c>
      <c r="I925" t="str">
        <f t="shared" si="28"/>
        <v>YES</v>
      </c>
      <c r="J925" t="s">
        <v>931</v>
      </c>
      <c r="K925">
        <v>629841.50911500002</v>
      </c>
      <c r="L925">
        <f t="shared" si="29"/>
        <v>0</v>
      </c>
    </row>
    <row r="926" spans="1:12" x14ac:dyDescent="0.25">
      <c r="A926">
        <v>1503</v>
      </c>
      <c r="B926">
        <v>17289.73155</v>
      </c>
      <c r="C926">
        <v>17289.73155</v>
      </c>
      <c r="D926">
        <v>0</v>
      </c>
      <c r="E926">
        <v>2082.4153329999999</v>
      </c>
      <c r="F926" s="1">
        <v>7.84</v>
      </c>
      <c r="H926">
        <v>1503</v>
      </c>
      <c r="I926" t="str">
        <f t="shared" si="28"/>
        <v>YES</v>
      </c>
      <c r="J926" t="s">
        <v>932</v>
      </c>
      <c r="K926">
        <v>646479.193188</v>
      </c>
      <c r="L926">
        <f t="shared" si="29"/>
        <v>0</v>
      </c>
    </row>
    <row r="927" spans="1:12" x14ac:dyDescent="0.25">
      <c r="A927">
        <v>1504</v>
      </c>
      <c r="B927">
        <v>5354.1348939999998</v>
      </c>
      <c r="C927">
        <v>5354.1348939999998</v>
      </c>
      <c r="D927">
        <v>0</v>
      </c>
      <c r="E927">
        <v>1515.3680380000001</v>
      </c>
      <c r="F927" s="1">
        <v>1.77</v>
      </c>
      <c r="H927">
        <v>1504</v>
      </c>
      <c r="I927" t="str">
        <f t="shared" si="28"/>
        <v>YES</v>
      </c>
      <c r="J927" t="s">
        <v>933</v>
      </c>
      <c r="K927">
        <v>453707.44462899998</v>
      </c>
      <c r="L927">
        <f t="shared" si="29"/>
        <v>0</v>
      </c>
    </row>
    <row r="928" spans="1:12" x14ac:dyDescent="0.25">
      <c r="A928">
        <v>1505</v>
      </c>
      <c r="B928">
        <v>4920.3217889999996</v>
      </c>
      <c r="C928">
        <v>4920.3217889999996</v>
      </c>
      <c r="D928">
        <v>0</v>
      </c>
      <c r="E928">
        <v>2472.2318270000001</v>
      </c>
      <c r="F928" s="1">
        <v>2.65</v>
      </c>
      <c r="H928">
        <v>1505</v>
      </c>
      <c r="I928" t="str">
        <f t="shared" si="28"/>
        <v>YES</v>
      </c>
      <c r="J928" t="s">
        <v>934</v>
      </c>
      <c r="K928">
        <v>679893.40187499998</v>
      </c>
      <c r="L928">
        <f t="shared" si="29"/>
        <v>0</v>
      </c>
    </row>
    <row r="929" spans="1:12" x14ac:dyDescent="0.25">
      <c r="A929">
        <v>1506</v>
      </c>
      <c r="B929">
        <v>39136.664819999998</v>
      </c>
      <c r="C929">
        <v>39136.664819999998</v>
      </c>
      <c r="D929">
        <v>0</v>
      </c>
      <c r="E929">
        <v>4246.9853679999997</v>
      </c>
      <c r="F929" s="1">
        <v>36.200000000000003</v>
      </c>
      <c r="H929">
        <v>1506</v>
      </c>
      <c r="I929" t="str">
        <f t="shared" si="28"/>
        <v>YES</v>
      </c>
      <c r="J929" t="s">
        <v>935</v>
      </c>
      <c r="K929">
        <v>504985.12226099998</v>
      </c>
      <c r="L929">
        <f t="shared" si="29"/>
        <v>0</v>
      </c>
    </row>
    <row r="930" spans="1:12" x14ac:dyDescent="0.25">
      <c r="A930">
        <v>1507</v>
      </c>
      <c r="B930">
        <v>35490.562830000003</v>
      </c>
      <c r="C930">
        <v>35490.562830000003</v>
      </c>
      <c r="D930">
        <v>0</v>
      </c>
      <c r="E930">
        <v>1215.8940560000001</v>
      </c>
      <c r="F930" s="1">
        <v>9.4</v>
      </c>
      <c r="H930">
        <v>1507</v>
      </c>
      <c r="I930" t="str">
        <f t="shared" si="28"/>
        <v>YES</v>
      </c>
      <c r="J930" t="s">
        <v>936</v>
      </c>
      <c r="K930">
        <v>588920.08864600002</v>
      </c>
      <c r="L930">
        <f t="shared" si="29"/>
        <v>0</v>
      </c>
    </row>
    <row r="931" spans="1:12" x14ac:dyDescent="0.25">
      <c r="A931">
        <v>1508</v>
      </c>
      <c r="B931">
        <v>6820.7761970000001</v>
      </c>
      <c r="C931">
        <v>6820.7761970000001</v>
      </c>
      <c r="D931">
        <v>0</v>
      </c>
      <c r="E931">
        <v>2469.5034949999999</v>
      </c>
      <c r="F931" s="1">
        <v>3.67</v>
      </c>
      <c r="H931">
        <v>1508</v>
      </c>
      <c r="I931" t="str">
        <f t="shared" si="28"/>
        <v>YES</v>
      </c>
      <c r="J931" t="s">
        <v>937</v>
      </c>
      <c r="K931">
        <v>923711.02920600004</v>
      </c>
      <c r="L931">
        <f t="shared" si="29"/>
        <v>0</v>
      </c>
    </row>
    <row r="932" spans="1:12" x14ac:dyDescent="0.25">
      <c r="A932">
        <v>1509</v>
      </c>
      <c r="B932">
        <v>6154.0770519999996</v>
      </c>
      <c r="C932">
        <v>6154.0770519999996</v>
      </c>
      <c r="D932">
        <v>0</v>
      </c>
      <c r="E932">
        <v>1605.449357</v>
      </c>
      <c r="F932" s="1">
        <v>2.15</v>
      </c>
      <c r="H932">
        <v>1509</v>
      </c>
      <c r="I932" t="str">
        <f t="shared" si="28"/>
        <v>YES</v>
      </c>
      <c r="J932" t="s">
        <v>938</v>
      </c>
      <c r="K932">
        <v>485364.63200500002</v>
      </c>
      <c r="L932">
        <f t="shared" si="29"/>
        <v>0</v>
      </c>
    </row>
    <row r="933" spans="1:12" x14ac:dyDescent="0.25">
      <c r="A933">
        <v>1510</v>
      </c>
      <c r="B933">
        <v>25900.74092</v>
      </c>
      <c r="C933">
        <v>25900.74092</v>
      </c>
      <c r="D933">
        <v>0</v>
      </c>
      <c r="E933">
        <v>1076.403035</v>
      </c>
      <c r="F933" s="1">
        <v>6.07</v>
      </c>
      <c r="H933">
        <v>1510</v>
      </c>
      <c r="I933" t="str">
        <f t="shared" si="28"/>
        <v>YES</v>
      </c>
      <c r="J933" t="s">
        <v>939</v>
      </c>
      <c r="K933">
        <v>516348.950794</v>
      </c>
      <c r="L933">
        <f t="shared" si="29"/>
        <v>0</v>
      </c>
    </row>
    <row r="934" spans="1:12" x14ac:dyDescent="0.25">
      <c r="A934">
        <v>1511</v>
      </c>
      <c r="B934">
        <v>7339.0794539999997</v>
      </c>
      <c r="C934">
        <v>7339.0794539999997</v>
      </c>
      <c r="D934">
        <v>0</v>
      </c>
      <c r="E934">
        <v>2214.4748260000001</v>
      </c>
      <c r="F934" s="1">
        <v>3.54</v>
      </c>
      <c r="H934">
        <v>1511</v>
      </c>
      <c r="I934" t="str">
        <f t="shared" si="28"/>
        <v>YES</v>
      </c>
      <c r="J934" t="s">
        <v>940</v>
      </c>
      <c r="K934">
        <v>631213.07612400001</v>
      </c>
      <c r="L934">
        <f t="shared" si="29"/>
        <v>0</v>
      </c>
    </row>
    <row r="935" spans="1:12" x14ac:dyDescent="0.25">
      <c r="A935">
        <v>1512</v>
      </c>
      <c r="B935">
        <v>11679.23178</v>
      </c>
      <c r="C935">
        <v>11679.23178</v>
      </c>
      <c r="D935">
        <v>0</v>
      </c>
      <c r="E935">
        <v>2345.3350810000002</v>
      </c>
      <c r="F935" s="1">
        <v>5.96</v>
      </c>
      <c r="H935">
        <v>1512</v>
      </c>
      <c r="I935" t="str">
        <f t="shared" si="28"/>
        <v>YES</v>
      </c>
      <c r="J935" t="s">
        <v>941</v>
      </c>
      <c r="K935">
        <v>890046.97038199997</v>
      </c>
      <c r="L935">
        <f t="shared" si="29"/>
        <v>0</v>
      </c>
    </row>
    <row r="936" spans="1:12" x14ac:dyDescent="0.25">
      <c r="A936">
        <v>1515</v>
      </c>
      <c r="B936">
        <v>11085.65749</v>
      </c>
      <c r="C936">
        <v>11085.65749</v>
      </c>
      <c r="D936">
        <v>0</v>
      </c>
      <c r="E936">
        <v>1264.2020640000001</v>
      </c>
      <c r="F936" s="1">
        <v>3.05</v>
      </c>
      <c r="H936">
        <v>1515</v>
      </c>
      <c r="I936" t="str">
        <f t="shared" si="28"/>
        <v>YES</v>
      </c>
      <c r="J936" t="s">
        <v>942</v>
      </c>
      <c r="K936">
        <v>414659.42486700002</v>
      </c>
      <c r="L936">
        <f t="shared" si="29"/>
        <v>0</v>
      </c>
    </row>
    <row r="937" spans="1:12" x14ac:dyDescent="0.25">
      <c r="A937">
        <v>1516</v>
      </c>
      <c r="B937">
        <v>3123.0235769999999</v>
      </c>
      <c r="C937">
        <v>3123.0235769999999</v>
      </c>
      <c r="D937">
        <v>0</v>
      </c>
      <c r="E937">
        <v>753.71670730000005</v>
      </c>
      <c r="F937" s="1">
        <v>0.51300000000000001</v>
      </c>
      <c r="H937">
        <v>1516</v>
      </c>
      <c r="I937" t="str">
        <f t="shared" si="28"/>
        <v>YES</v>
      </c>
      <c r="J937" t="s">
        <v>943</v>
      </c>
      <c r="K937">
        <v>404729.56407299999</v>
      </c>
      <c r="L937">
        <f t="shared" si="29"/>
        <v>0</v>
      </c>
    </row>
    <row r="938" spans="1:12" x14ac:dyDescent="0.25">
      <c r="A938">
        <v>1517</v>
      </c>
      <c r="B938">
        <v>13429.707979999999</v>
      </c>
      <c r="C938">
        <v>13429.707979999999</v>
      </c>
      <c r="D938">
        <v>0</v>
      </c>
      <c r="E938">
        <v>2612.483976</v>
      </c>
      <c r="F938" s="1">
        <v>7.64</v>
      </c>
      <c r="H938">
        <v>1517</v>
      </c>
      <c r="I938" t="str">
        <f t="shared" si="28"/>
        <v>YES</v>
      </c>
      <c r="J938" t="s">
        <v>944</v>
      </c>
      <c r="K938">
        <v>576359.34745600005</v>
      </c>
      <c r="L938">
        <f t="shared" si="29"/>
        <v>0</v>
      </c>
    </row>
    <row r="939" spans="1:12" x14ac:dyDescent="0.25">
      <c r="A939">
        <v>1518</v>
      </c>
      <c r="B939">
        <v>12520.07303</v>
      </c>
      <c r="C939">
        <v>12520.07303</v>
      </c>
      <c r="D939">
        <v>0</v>
      </c>
      <c r="E939">
        <v>2338.9159679999998</v>
      </c>
      <c r="F939" s="1">
        <v>6.38</v>
      </c>
      <c r="H939">
        <v>1518</v>
      </c>
      <c r="I939" t="str">
        <f t="shared" si="28"/>
        <v>YES</v>
      </c>
      <c r="J939" t="s">
        <v>945</v>
      </c>
      <c r="K939">
        <v>809518.29792399995</v>
      </c>
      <c r="L939">
        <f t="shared" si="29"/>
        <v>0</v>
      </c>
    </row>
    <row r="940" spans="1:12" x14ac:dyDescent="0.25">
      <c r="A940">
        <v>1519</v>
      </c>
      <c r="B940">
        <v>12297.124159999999</v>
      </c>
      <c r="C940">
        <v>12297.124159999999</v>
      </c>
      <c r="D940">
        <v>0</v>
      </c>
      <c r="E940">
        <v>2279.1670669999999</v>
      </c>
      <c r="F940" s="1">
        <v>6.1</v>
      </c>
      <c r="H940">
        <v>1519</v>
      </c>
      <c r="I940" t="str">
        <f t="shared" si="28"/>
        <v>YES</v>
      </c>
      <c r="J940" t="s">
        <v>946</v>
      </c>
      <c r="K940">
        <v>552418.36325299996</v>
      </c>
      <c r="L940">
        <f t="shared" si="29"/>
        <v>0</v>
      </c>
    </row>
    <row r="941" spans="1:12" x14ac:dyDescent="0.25">
      <c r="A941">
        <v>1520</v>
      </c>
      <c r="B941">
        <v>15787.182360000001</v>
      </c>
      <c r="C941">
        <v>15787.182360000001</v>
      </c>
      <c r="D941">
        <v>0</v>
      </c>
      <c r="E941">
        <v>4228.5842480000001</v>
      </c>
      <c r="F941" s="1">
        <v>14.5</v>
      </c>
      <c r="H941">
        <v>1520</v>
      </c>
      <c r="I941" t="str">
        <f t="shared" si="28"/>
        <v>YES</v>
      </c>
      <c r="J941" t="s">
        <v>947</v>
      </c>
      <c r="K941">
        <v>939046.91075200005</v>
      </c>
      <c r="L941">
        <f t="shared" si="29"/>
        <v>0</v>
      </c>
    </row>
    <row r="942" spans="1:12" x14ac:dyDescent="0.25">
      <c r="A942">
        <v>1521</v>
      </c>
      <c r="B942">
        <v>14646.863950000001</v>
      </c>
      <c r="C942">
        <v>14646.863950000001</v>
      </c>
      <c r="D942">
        <v>0</v>
      </c>
      <c r="E942">
        <v>930.8851545</v>
      </c>
      <c r="F942" s="1">
        <v>2.97</v>
      </c>
      <c r="H942">
        <v>1521</v>
      </c>
      <c r="I942" t="str">
        <f t="shared" si="28"/>
        <v>YES</v>
      </c>
      <c r="J942" t="s">
        <v>948</v>
      </c>
      <c r="K942">
        <v>486678.71822600003</v>
      </c>
      <c r="L942">
        <f t="shared" si="29"/>
        <v>0</v>
      </c>
    </row>
    <row r="943" spans="1:12" x14ac:dyDescent="0.25">
      <c r="A943">
        <v>1522</v>
      </c>
      <c r="B943">
        <v>12229.60636</v>
      </c>
      <c r="C943">
        <v>12229.60636</v>
      </c>
      <c r="D943">
        <v>0</v>
      </c>
      <c r="E943">
        <v>593.04481639999995</v>
      </c>
      <c r="F943" s="1">
        <v>1.58</v>
      </c>
      <c r="H943">
        <v>1522</v>
      </c>
      <c r="I943" t="str">
        <f t="shared" si="28"/>
        <v>YES</v>
      </c>
      <c r="J943" t="s">
        <v>949</v>
      </c>
      <c r="K943">
        <v>523746.92683000001</v>
      </c>
      <c r="L943">
        <f t="shared" si="29"/>
        <v>0</v>
      </c>
    </row>
    <row r="944" spans="1:12" x14ac:dyDescent="0.25">
      <c r="A944">
        <v>1525</v>
      </c>
      <c r="B944">
        <v>17237.505730000001</v>
      </c>
      <c r="C944">
        <v>17237.505730000001</v>
      </c>
      <c r="D944">
        <v>0</v>
      </c>
      <c r="E944">
        <v>3303.421867</v>
      </c>
      <c r="F944" s="1">
        <v>12.4</v>
      </c>
      <c r="H944">
        <v>1525</v>
      </c>
      <c r="I944" t="str">
        <f t="shared" si="28"/>
        <v>YES</v>
      </c>
      <c r="J944" t="s">
        <v>950</v>
      </c>
      <c r="K944">
        <v>1321309.7569899999</v>
      </c>
      <c r="L944">
        <f t="shared" si="29"/>
        <v>0</v>
      </c>
    </row>
    <row r="945" spans="1:12" x14ac:dyDescent="0.25">
      <c r="A945">
        <v>1526</v>
      </c>
      <c r="B945">
        <v>17562.13955</v>
      </c>
      <c r="C945">
        <v>17562.13955</v>
      </c>
      <c r="D945">
        <v>0</v>
      </c>
      <c r="E945">
        <v>3266.297791</v>
      </c>
      <c r="F945" s="1">
        <v>12.5</v>
      </c>
      <c r="H945">
        <v>1526</v>
      </c>
      <c r="I945" t="str">
        <f t="shared" si="28"/>
        <v>YES</v>
      </c>
      <c r="J945" t="s">
        <v>951</v>
      </c>
      <c r="K945">
        <v>898877.52668200003</v>
      </c>
      <c r="L945">
        <f t="shared" si="29"/>
        <v>0</v>
      </c>
    </row>
    <row r="946" spans="1:12" x14ac:dyDescent="0.25">
      <c r="A946">
        <v>1527</v>
      </c>
      <c r="B946">
        <v>9638.5344320000004</v>
      </c>
      <c r="C946">
        <v>9638.5344320000004</v>
      </c>
      <c r="D946">
        <v>0</v>
      </c>
      <c r="E946">
        <v>1584.305443</v>
      </c>
      <c r="F946" s="1">
        <v>3.32</v>
      </c>
      <c r="H946">
        <v>1527</v>
      </c>
      <c r="I946" t="str">
        <f t="shared" si="28"/>
        <v>YES</v>
      </c>
      <c r="J946" t="s">
        <v>952</v>
      </c>
      <c r="K946">
        <v>672129.596319</v>
      </c>
      <c r="L946">
        <f t="shared" si="29"/>
        <v>0</v>
      </c>
    </row>
    <row r="947" spans="1:12" x14ac:dyDescent="0.25">
      <c r="A947">
        <v>1528</v>
      </c>
      <c r="B947">
        <v>6768.8431010000004</v>
      </c>
      <c r="C947">
        <v>6768.8431010000004</v>
      </c>
      <c r="D947">
        <v>0</v>
      </c>
      <c r="E947">
        <v>1848.3785399999999</v>
      </c>
      <c r="F947" s="1">
        <v>2.72</v>
      </c>
      <c r="H947">
        <v>1528</v>
      </c>
      <c r="I947" t="str">
        <f t="shared" si="28"/>
        <v>YES</v>
      </c>
      <c r="J947" t="s">
        <v>953</v>
      </c>
      <c r="K947">
        <v>733005.21827299998</v>
      </c>
      <c r="L947">
        <f t="shared" si="29"/>
        <v>0</v>
      </c>
    </row>
    <row r="948" spans="1:12" x14ac:dyDescent="0.25">
      <c r="A948">
        <v>1529</v>
      </c>
      <c r="B948">
        <v>3328.6540460000001</v>
      </c>
      <c r="C948">
        <v>3328.6540460000001</v>
      </c>
      <c r="D948">
        <v>0</v>
      </c>
      <c r="E948">
        <v>852.59635779999996</v>
      </c>
      <c r="F948" s="1">
        <v>0.61799999999999999</v>
      </c>
      <c r="H948">
        <v>1529</v>
      </c>
      <c r="I948" t="str">
        <f t="shared" si="28"/>
        <v>YES</v>
      </c>
      <c r="J948" t="s">
        <v>954</v>
      </c>
      <c r="K948">
        <v>518634.48379700002</v>
      </c>
      <c r="L948">
        <f t="shared" si="29"/>
        <v>0</v>
      </c>
    </row>
    <row r="949" spans="1:12" x14ac:dyDescent="0.25">
      <c r="A949">
        <v>1533</v>
      </c>
      <c r="B949">
        <v>16776.029900000001</v>
      </c>
      <c r="C949">
        <v>16776.029900000001</v>
      </c>
      <c r="D949">
        <v>0</v>
      </c>
      <c r="E949">
        <v>3711.1719159999998</v>
      </c>
      <c r="F949" s="1">
        <v>13.6</v>
      </c>
      <c r="H949">
        <v>1533</v>
      </c>
      <c r="I949" t="str">
        <f t="shared" si="28"/>
        <v>YES</v>
      </c>
      <c r="J949" t="s">
        <v>955</v>
      </c>
      <c r="K949">
        <v>853744.90095799998</v>
      </c>
      <c r="L949">
        <f t="shared" si="29"/>
        <v>0</v>
      </c>
    </row>
    <row r="950" spans="1:12" x14ac:dyDescent="0.25">
      <c r="A950">
        <v>1534</v>
      </c>
      <c r="B950">
        <v>50129.087399999997</v>
      </c>
      <c r="C950">
        <v>50129.087399999997</v>
      </c>
      <c r="D950">
        <v>0</v>
      </c>
      <c r="E950">
        <v>3268.1750950000001</v>
      </c>
      <c r="F950" s="1">
        <v>35.700000000000003</v>
      </c>
      <c r="H950">
        <v>1534</v>
      </c>
      <c r="I950" t="str">
        <f t="shared" si="28"/>
        <v>YES</v>
      </c>
      <c r="J950" t="s">
        <v>956</v>
      </c>
      <c r="K950">
        <v>752489.25543699996</v>
      </c>
      <c r="L950">
        <f t="shared" si="29"/>
        <v>0</v>
      </c>
    </row>
    <row r="951" spans="1:12" x14ac:dyDescent="0.25">
      <c r="A951">
        <v>1535</v>
      </c>
      <c r="B951">
        <v>47792.70738</v>
      </c>
      <c r="C951">
        <v>47792.70738</v>
      </c>
      <c r="D951">
        <v>0</v>
      </c>
      <c r="E951">
        <v>2762.702389</v>
      </c>
      <c r="F951" s="1">
        <v>28.7</v>
      </c>
      <c r="H951">
        <v>1535</v>
      </c>
      <c r="I951" t="str">
        <f t="shared" si="28"/>
        <v>YES</v>
      </c>
      <c r="J951" t="s">
        <v>957</v>
      </c>
      <c r="K951">
        <v>882305.29552699998</v>
      </c>
      <c r="L951">
        <f t="shared" si="29"/>
        <v>0</v>
      </c>
    </row>
    <row r="952" spans="1:12" x14ac:dyDescent="0.25">
      <c r="A952">
        <v>1536</v>
      </c>
      <c r="B952">
        <v>29528.006239999999</v>
      </c>
      <c r="C952">
        <v>29528.006239999999</v>
      </c>
      <c r="D952">
        <v>0</v>
      </c>
      <c r="E952">
        <v>602.63008969999998</v>
      </c>
      <c r="F952" s="1">
        <v>3.87</v>
      </c>
      <c r="H952">
        <v>1536</v>
      </c>
      <c r="I952" t="str">
        <f t="shared" si="28"/>
        <v>YES</v>
      </c>
      <c r="J952" t="s">
        <v>958</v>
      </c>
      <c r="K952">
        <v>1477564.4010600001</v>
      </c>
      <c r="L952">
        <f t="shared" si="29"/>
        <v>0</v>
      </c>
    </row>
    <row r="953" spans="1:12" x14ac:dyDescent="0.25">
      <c r="A953">
        <v>1537</v>
      </c>
      <c r="B953">
        <v>86606.470289999997</v>
      </c>
      <c r="C953">
        <v>86606.470289999997</v>
      </c>
      <c r="D953">
        <v>0</v>
      </c>
      <c r="E953">
        <v>475.34770179999998</v>
      </c>
      <c r="F953" s="1">
        <v>8.9600000000000009</v>
      </c>
      <c r="H953">
        <v>1537</v>
      </c>
      <c r="I953" t="str">
        <f t="shared" si="28"/>
        <v>YES</v>
      </c>
      <c r="J953" t="s">
        <v>959</v>
      </c>
      <c r="K953">
        <v>159217.01079500001</v>
      </c>
      <c r="L953">
        <f t="shared" si="29"/>
        <v>0</v>
      </c>
    </row>
    <row r="954" spans="1:12" x14ac:dyDescent="0.25">
      <c r="A954">
        <v>1538</v>
      </c>
      <c r="B954">
        <v>12894.25973</v>
      </c>
      <c r="C954">
        <v>12894.25973</v>
      </c>
      <c r="D954">
        <v>0</v>
      </c>
      <c r="E954">
        <v>1467.7380900000001</v>
      </c>
      <c r="F954" s="1">
        <v>4.12</v>
      </c>
      <c r="H954">
        <v>1538</v>
      </c>
      <c r="I954" t="str">
        <f t="shared" si="28"/>
        <v>YES</v>
      </c>
      <c r="J954" t="s">
        <v>960</v>
      </c>
      <c r="K954">
        <v>716214.46660799999</v>
      </c>
      <c r="L954">
        <f t="shared" si="29"/>
        <v>0</v>
      </c>
    </row>
    <row r="955" spans="1:12" x14ac:dyDescent="0.25">
      <c r="A955">
        <v>1539</v>
      </c>
      <c r="B955">
        <v>116390.98209999999</v>
      </c>
      <c r="C955">
        <v>116390.98209999999</v>
      </c>
      <c r="D955">
        <v>0</v>
      </c>
      <c r="E955">
        <v>1.053E-4</v>
      </c>
      <c r="F955" s="1">
        <v>2.6699999999999998E-6</v>
      </c>
      <c r="H955">
        <v>1539</v>
      </c>
      <c r="I955" t="str">
        <f t="shared" si="28"/>
        <v>YES</v>
      </c>
      <c r="J955" t="s">
        <v>961</v>
      </c>
      <c r="K955">
        <v>231178.61390999999</v>
      </c>
      <c r="L955">
        <f t="shared" si="29"/>
        <v>0</v>
      </c>
    </row>
    <row r="956" spans="1:12" x14ac:dyDescent="0.25">
      <c r="A956">
        <v>1540</v>
      </c>
      <c r="B956">
        <v>76761.729890000002</v>
      </c>
      <c r="C956">
        <v>76761.729890000002</v>
      </c>
      <c r="D956">
        <v>0</v>
      </c>
      <c r="E956">
        <v>2339.3902659999999</v>
      </c>
      <c r="F956" s="1">
        <v>39.1</v>
      </c>
      <c r="H956">
        <v>1540</v>
      </c>
      <c r="I956" t="str">
        <f t="shared" si="28"/>
        <v>YES</v>
      </c>
      <c r="J956" t="s">
        <v>962</v>
      </c>
      <c r="K956">
        <v>492724.79221699998</v>
      </c>
      <c r="L956">
        <f t="shared" si="29"/>
        <v>0</v>
      </c>
    </row>
    <row r="957" spans="1:12" x14ac:dyDescent="0.25">
      <c r="A957">
        <v>1541</v>
      </c>
      <c r="B957">
        <v>76947.440470000001</v>
      </c>
      <c r="C957">
        <v>76947.440470000001</v>
      </c>
      <c r="D957">
        <v>0</v>
      </c>
      <c r="E957">
        <v>1972.457774</v>
      </c>
      <c r="F957" s="1">
        <v>33</v>
      </c>
      <c r="H957">
        <v>1541</v>
      </c>
      <c r="I957" t="str">
        <f t="shared" si="28"/>
        <v>YES</v>
      </c>
      <c r="J957" t="s">
        <v>963</v>
      </c>
      <c r="K957">
        <v>170184.407317</v>
      </c>
      <c r="L957">
        <f t="shared" si="29"/>
        <v>0</v>
      </c>
    </row>
    <row r="958" spans="1:12" x14ac:dyDescent="0.25">
      <c r="A958">
        <v>1542</v>
      </c>
      <c r="B958">
        <v>20066.948400000001</v>
      </c>
      <c r="C958">
        <v>20066.948400000001</v>
      </c>
      <c r="D958">
        <v>0</v>
      </c>
      <c r="E958">
        <v>1.053E-4</v>
      </c>
      <c r="F958" s="1">
        <v>4.5999999999999999E-7</v>
      </c>
      <c r="H958">
        <v>1542</v>
      </c>
      <c r="I958" t="str">
        <f t="shared" si="28"/>
        <v>YES</v>
      </c>
      <c r="J958" t="s">
        <v>964</v>
      </c>
      <c r="K958">
        <v>479233.00558599998</v>
      </c>
      <c r="L958">
        <f t="shared" si="29"/>
        <v>0</v>
      </c>
    </row>
    <row r="959" spans="1:12" x14ac:dyDescent="0.25">
      <c r="A959">
        <v>1543</v>
      </c>
      <c r="B959">
        <v>91014.136140000002</v>
      </c>
      <c r="C959">
        <v>91014.136140000002</v>
      </c>
      <c r="D959">
        <v>0</v>
      </c>
      <c r="E959">
        <v>912.64974110000003</v>
      </c>
      <c r="F959" s="1">
        <v>18.100000000000001</v>
      </c>
      <c r="H959">
        <v>1543</v>
      </c>
      <c r="I959" t="str">
        <f t="shared" si="28"/>
        <v>YES</v>
      </c>
      <c r="J959" t="s">
        <v>965</v>
      </c>
      <c r="K959">
        <v>150749.093998</v>
      </c>
      <c r="L959">
        <f t="shared" si="29"/>
        <v>0</v>
      </c>
    </row>
    <row r="960" spans="1:12" x14ac:dyDescent="0.25">
      <c r="A960">
        <v>1544</v>
      </c>
      <c r="B960">
        <v>79284.199059999999</v>
      </c>
      <c r="C960">
        <v>79284.199059999999</v>
      </c>
      <c r="D960">
        <v>0</v>
      </c>
      <c r="E960">
        <v>4.5461750399999996</v>
      </c>
      <c r="F960" s="1">
        <v>7.85E-2</v>
      </c>
      <c r="H960">
        <v>1544</v>
      </c>
      <c r="I960" t="str">
        <f t="shared" si="28"/>
        <v>YES</v>
      </c>
      <c r="J960" t="s">
        <v>966</v>
      </c>
      <c r="K960">
        <v>216403.31834200001</v>
      </c>
      <c r="L960">
        <f t="shared" si="29"/>
        <v>0</v>
      </c>
    </row>
    <row r="961" spans="1:12" x14ac:dyDescent="0.25">
      <c r="A961">
        <v>1545</v>
      </c>
      <c r="B961">
        <v>88347.150200000004</v>
      </c>
      <c r="C961">
        <v>88347.150200000004</v>
      </c>
      <c r="D961">
        <v>0</v>
      </c>
      <c r="E961">
        <v>2.4479710780000001</v>
      </c>
      <c r="F961" s="1">
        <v>4.7100000000000003E-2</v>
      </c>
      <c r="H961">
        <v>1545</v>
      </c>
      <c r="I961" t="str">
        <f t="shared" si="28"/>
        <v>YES</v>
      </c>
      <c r="J961" t="s">
        <v>967</v>
      </c>
      <c r="K961">
        <v>392063.33723800001</v>
      </c>
      <c r="L961">
        <f t="shared" si="29"/>
        <v>0</v>
      </c>
    </row>
    <row r="962" spans="1:12" x14ac:dyDescent="0.25">
      <c r="A962">
        <v>1546</v>
      </c>
      <c r="B962">
        <v>12694.85967</v>
      </c>
      <c r="C962">
        <v>12694.85967</v>
      </c>
      <c r="D962">
        <v>0</v>
      </c>
      <c r="E962">
        <v>839.86956880000002</v>
      </c>
      <c r="F962" s="1">
        <v>2.3199999999999998</v>
      </c>
      <c r="H962">
        <v>1546</v>
      </c>
      <c r="I962" t="str">
        <f t="shared" si="28"/>
        <v>YES</v>
      </c>
      <c r="J962" t="s">
        <v>968</v>
      </c>
      <c r="K962">
        <v>277186.41905000003</v>
      </c>
      <c r="L962">
        <f t="shared" si="29"/>
        <v>0</v>
      </c>
    </row>
    <row r="963" spans="1:12" x14ac:dyDescent="0.25">
      <c r="A963">
        <v>1547</v>
      </c>
      <c r="B963">
        <v>68758.01586</v>
      </c>
      <c r="C963">
        <v>68758.01586</v>
      </c>
      <c r="D963">
        <v>0</v>
      </c>
      <c r="E963">
        <v>0.69941719800000002</v>
      </c>
      <c r="F963" s="1">
        <v>1.0500000000000001E-2</v>
      </c>
      <c r="H963">
        <v>1547</v>
      </c>
      <c r="I963" t="str">
        <f t="shared" ref="I963:I1026" si="30">IF(A963=H963,"YES","NO")</f>
        <v>YES</v>
      </c>
      <c r="J963" t="s">
        <v>969</v>
      </c>
      <c r="K963">
        <v>252794.30409399999</v>
      </c>
      <c r="L963">
        <f t="shared" ref="L963:L1026" si="31">EXP(0.2052)*K963*(D963/C963)</f>
        <v>0</v>
      </c>
    </row>
    <row r="964" spans="1:12" x14ac:dyDescent="0.25">
      <c r="A964">
        <v>1548</v>
      </c>
      <c r="B964">
        <v>73843.330520000003</v>
      </c>
      <c r="C964">
        <v>73843.330520000003</v>
      </c>
      <c r="D964">
        <v>0</v>
      </c>
      <c r="E964">
        <v>1.053E-4</v>
      </c>
      <c r="F964" s="1">
        <v>1.6899999999999999E-6</v>
      </c>
      <c r="H964">
        <v>1548</v>
      </c>
      <c r="I964" t="str">
        <f t="shared" si="30"/>
        <v>YES</v>
      </c>
      <c r="J964" t="s">
        <v>970</v>
      </c>
      <c r="K964">
        <v>265397.400624</v>
      </c>
      <c r="L964">
        <f t="shared" si="31"/>
        <v>0</v>
      </c>
    </row>
    <row r="965" spans="1:12" x14ac:dyDescent="0.25">
      <c r="A965">
        <v>1549</v>
      </c>
      <c r="B965">
        <v>53069.771930000003</v>
      </c>
      <c r="C965">
        <v>53069.771930000003</v>
      </c>
      <c r="D965">
        <v>0</v>
      </c>
      <c r="E965">
        <v>3266.135452</v>
      </c>
      <c r="F965" s="1">
        <v>37.700000000000003</v>
      </c>
      <c r="H965">
        <v>1549</v>
      </c>
      <c r="I965" t="str">
        <f t="shared" si="30"/>
        <v>YES</v>
      </c>
      <c r="J965" t="s">
        <v>971</v>
      </c>
      <c r="K965">
        <v>944065.91420200001</v>
      </c>
      <c r="L965">
        <f t="shared" si="31"/>
        <v>0</v>
      </c>
    </row>
    <row r="966" spans="1:12" x14ac:dyDescent="0.25">
      <c r="A966">
        <v>1550</v>
      </c>
      <c r="B966">
        <v>76344.127900000007</v>
      </c>
      <c r="C966">
        <v>76344.127900000007</v>
      </c>
      <c r="D966">
        <v>0</v>
      </c>
      <c r="E966">
        <v>1.053E-4</v>
      </c>
      <c r="F966" s="1">
        <v>1.75E-6</v>
      </c>
      <c r="H966">
        <v>1550</v>
      </c>
      <c r="I966" t="str">
        <f t="shared" si="30"/>
        <v>YES</v>
      </c>
      <c r="J966" t="s">
        <v>972</v>
      </c>
      <c r="K966">
        <v>222978.714717</v>
      </c>
      <c r="L966">
        <f t="shared" si="31"/>
        <v>0</v>
      </c>
    </row>
    <row r="967" spans="1:12" x14ac:dyDescent="0.25">
      <c r="A967">
        <v>1551</v>
      </c>
      <c r="B967">
        <v>16989.87542</v>
      </c>
      <c r="C967">
        <v>16989.87542</v>
      </c>
      <c r="D967">
        <v>0</v>
      </c>
      <c r="E967">
        <v>38.858988830000001</v>
      </c>
      <c r="F967" s="1">
        <v>0.14399999999999999</v>
      </c>
      <c r="H967">
        <v>1551</v>
      </c>
      <c r="I967" t="str">
        <f t="shared" si="30"/>
        <v>YES</v>
      </c>
      <c r="J967" t="s">
        <v>973</v>
      </c>
      <c r="K967">
        <v>1439744.16701</v>
      </c>
      <c r="L967">
        <f t="shared" si="31"/>
        <v>0</v>
      </c>
    </row>
    <row r="968" spans="1:12" x14ac:dyDescent="0.25">
      <c r="A968">
        <v>1552</v>
      </c>
      <c r="B968">
        <v>98618.887889999998</v>
      </c>
      <c r="C968">
        <v>98618.887889999998</v>
      </c>
      <c r="D968">
        <v>0</v>
      </c>
      <c r="E968">
        <v>1.053E-4</v>
      </c>
      <c r="F968" s="1">
        <v>2.26E-6</v>
      </c>
      <c r="H968">
        <v>1552</v>
      </c>
      <c r="I968" t="str">
        <f t="shared" si="30"/>
        <v>YES</v>
      </c>
      <c r="J968" t="s">
        <v>974</v>
      </c>
      <c r="K968">
        <v>206913.363083</v>
      </c>
      <c r="L968">
        <f t="shared" si="31"/>
        <v>0</v>
      </c>
    </row>
    <row r="969" spans="1:12" x14ac:dyDescent="0.25">
      <c r="A969">
        <v>1553</v>
      </c>
      <c r="B969">
        <v>173758.61910000001</v>
      </c>
      <c r="C969">
        <v>173758.61910000001</v>
      </c>
      <c r="D969">
        <v>0</v>
      </c>
      <c r="E969">
        <v>1024.178846</v>
      </c>
      <c r="F969" s="1">
        <v>38.700000000000003</v>
      </c>
      <c r="H969">
        <v>1553</v>
      </c>
      <c r="I969" t="str">
        <f t="shared" si="30"/>
        <v>YES</v>
      </c>
      <c r="J969" t="s">
        <v>975</v>
      </c>
      <c r="K969">
        <v>69826.877719600001</v>
      </c>
      <c r="L969">
        <f t="shared" si="31"/>
        <v>0</v>
      </c>
    </row>
    <row r="970" spans="1:12" x14ac:dyDescent="0.25">
      <c r="A970">
        <v>1554</v>
      </c>
      <c r="B970">
        <v>27384.856670000001</v>
      </c>
      <c r="C970">
        <v>27384.856670000001</v>
      </c>
      <c r="D970">
        <v>0</v>
      </c>
      <c r="E970">
        <v>2150.0116010000002</v>
      </c>
      <c r="F970" s="1">
        <v>12.8</v>
      </c>
      <c r="H970">
        <v>1554</v>
      </c>
      <c r="I970" t="str">
        <f t="shared" si="30"/>
        <v>YES</v>
      </c>
      <c r="J970" t="s">
        <v>976</v>
      </c>
      <c r="K970">
        <v>666315.743716</v>
      </c>
      <c r="L970">
        <f t="shared" si="31"/>
        <v>0</v>
      </c>
    </row>
    <row r="971" spans="1:12" x14ac:dyDescent="0.25">
      <c r="A971">
        <v>1555</v>
      </c>
      <c r="B971">
        <v>45126.227590000002</v>
      </c>
      <c r="C971">
        <v>45126.227590000002</v>
      </c>
      <c r="D971">
        <v>0</v>
      </c>
      <c r="E971">
        <v>2284.5668070000002</v>
      </c>
      <c r="F971" s="1">
        <v>22.4</v>
      </c>
      <c r="H971">
        <v>1555</v>
      </c>
      <c r="I971" t="str">
        <f t="shared" si="30"/>
        <v>YES</v>
      </c>
      <c r="J971" t="s">
        <v>977</v>
      </c>
      <c r="K971">
        <v>642769.27019399998</v>
      </c>
      <c r="L971">
        <f t="shared" si="31"/>
        <v>0</v>
      </c>
    </row>
    <row r="972" spans="1:12" x14ac:dyDescent="0.25">
      <c r="A972">
        <v>1556</v>
      </c>
      <c r="B972">
        <v>34036.87485</v>
      </c>
      <c r="C972">
        <v>34036.87485</v>
      </c>
      <c r="D972">
        <v>0</v>
      </c>
      <c r="E972">
        <v>1688.728944</v>
      </c>
      <c r="F972" s="1">
        <v>12.5</v>
      </c>
      <c r="H972">
        <v>1556</v>
      </c>
      <c r="I972" t="str">
        <f t="shared" si="30"/>
        <v>YES</v>
      </c>
      <c r="J972" t="s">
        <v>978</v>
      </c>
      <c r="K972">
        <v>423628.14247999998</v>
      </c>
      <c r="L972">
        <f t="shared" si="31"/>
        <v>0</v>
      </c>
    </row>
    <row r="973" spans="1:12" x14ac:dyDescent="0.25">
      <c r="A973">
        <v>1557</v>
      </c>
      <c r="B973">
        <v>60471.79062</v>
      </c>
      <c r="C973">
        <v>60471.79062</v>
      </c>
      <c r="D973">
        <v>0</v>
      </c>
      <c r="E973">
        <v>1911.7225120000001</v>
      </c>
      <c r="F973" s="1">
        <v>25.2</v>
      </c>
      <c r="H973">
        <v>1557</v>
      </c>
      <c r="I973" t="str">
        <f t="shared" si="30"/>
        <v>YES</v>
      </c>
      <c r="J973" t="s">
        <v>979</v>
      </c>
      <c r="K973">
        <v>882695.77426700003</v>
      </c>
      <c r="L973">
        <f t="shared" si="31"/>
        <v>0</v>
      </c>
    </row>
    <row r="974" spans="1:12" x14ac:dyDescent="0.25">
      <c r="A974">
        <v>1558</v>
      </c>
      <c r="B974">
        <v>11107.28774</v>
      </c>
      <c r="C974">
        <v>11107.28774</v>
      </c>
      <c r="D974">
        <v>0</v>
      </c>
      <c r="E974">
        <v>32.496507000000001</v>
      </c>
      <c r="F974" s="1">
        <v>7.8600000000000003E-2</v>
      </c>
      <c r="H974">
        <v>1558</v>
      </c>
      <c r="I974" t="str">
        <f t="shared" si="30"/>
        <v>YES</v>
      </c>
      <c r="J974" t="s">
        <v>980</v>
      </c>
      <c r="K974">
        <v>941436.03195700003</v>
      </c>
      <c r="L974">
        <f t="shared" si="31"/>
        <v>0</v>
      </c>
    </row>
    <row r="975" spans="1:12" x14ac:dyDescent="0.25">
      <c r="A975">
        <v>1559</v>
      </c>
      <c r="B975">
        <v>7965.786814</v>
      </c>
      <c r="C975">
        <v>7965.786814</v>
      </c>
      <c r="D975">
        <v>0</v>
      </c>
      <c r="E975">
        <v>209.80859419999999</v>
      </c>
      <c r="F975" s="1">
        <v>0.36399999999999999</v>
      </c>
      <c r="H975">
        <v>1559</v>
      </c>
      <c r="I975" t="str">
        <f t="shared" si="30"/>
        <v>YES</v>
      </c>
      <c r="J975" t="s">
        <v>981</v>
      </c>
      <c r="K975">
        <v>460575.844889</v>
      </c>
      <c r="L975">
        <f t="shared" si="31"/>
        <v>0</v>
      </c>
    </row>
    <row r="976" spans="1:12" x14ac:dyDescent="0.25">
      <c r="A976">
        <v>1560</v>
      </c>
      <c r="B976">
        <v>2902.181196</v>
      </c>
      <c r="C976">
        <v>2902.181196</v>
      </c>
      <c r="D976">
        <v>0</v>
      </c>
      <c r="E976">
        <v>2290.0938070000002</v>
      </c>
      <c r="F976" s="1">
        <v>1.45</v>
      </c>
      <c r="H976">
        <v>1560</v>
      </c>
      <c r="I976" t="str">
        <f t="shared" si="30"/>
        <v>YES</v>
      </c>
      <c r="J976" t="s">
        <v>982</v>
      </c>
      <c r="K976">
        <v>1289606.4780999999</v>
      </c>
      <c r="L976">
        <f t="shared" si="31"/>
        <v>0</v>
      </c>
    </row>
    <row r="977" spans="1:12" x14ac:dyDescent="0.25">
      <c r="A977">
        <v>1561</v>
      </c>
      <c r="B977">
        <v>2956.0001379999999</v>
      </c>
      <c r="C977">
        <v>2956.0001379999999</v>
      </c>
      <c r="D977">
        <v>0</v>
      </c>
      <c r="E977">
        <v>2190.5711139999999</v>
      </c>
      <c r="F977" s="1">
        <v>1.41</v>
      </c>
      <c r="H977">
        <v>1561</v>
      </c>
      <c r="I977" t="str">
        <f t="shared" si="30"/>
        <v>YES</v>
      </c>
      <c r="J977" t="s">
        <v>983</v>
      </c>
      <c r="K977">
        <v>863740.23196300003</v>
      </c>
      <c r="L977">
        <f t="shared" si="31"/>
        <v>0</v>
      </c>
    </row>
    <row r="978" spans="1:12" x14ac:dyDescent="0.25">
      <c r="A978">
        <v>1562</v>
      </c>
      <c r="B978">
        <v>252327.61060000001</v>
      </c>
      <c r="C978">
        <v>252327.61060000001</v>
      </c>
      <c r="D978">
        <v>0</v>
      </c>
      <c r="E978">
        <v>1.1571200000000001E-4</v>
      </c>
      <c r="F978" s="1">
        <v>6.3600000000000001E-6</v>
      </c>
      <c r="H978">
        <v>1562</v>
      </c>
      <c r="I978" t="str">
        <f t="shared" si="30"/>
        <v>YES</v>
      </c>
      <c r="J978" t="s">
        <v>984</v>
      </c>
      <c r="K978">
        <v>40704.095226999998</v>
      </c>
      <c r="L978">
        <f t="shared" si="31"/>
        <v>0</v>
      </c>
    </row>
    <row r="979" spans="1:12" x14ac:dyDescent="0.25">
      <c r="A979">
        <v>1563</v>
      </c>
      <c r="B979">
        <v>7187.3955500000002</v>
      </c>
      <c r="C979">
        <v>7187.3955500000002</v>
      </c>
      <c r="D979">
        <v>0</v>
      </c>
      <c r="E979">
        <v>2346</v>
      </c>
      <c r="F979" s="1">
        <v>3.67</v>
      </c>
      <c r="H979">
        <v>1563</v>
      </c>
      <c r="I979" t="str">
        <f t="shared" si="30"/>
        <v>YES</v>
      </c>
      <c r="J979" t="s">
        <v>985</v>
      </c>
      <c r="K979">
        <v>872427.53143800003</v>
      </c>
      <c r="L979">
        <f t="shared" si="31"/>
        <v>0</v>
      </c>
    </row>
    <row r="980" spans="1:12" x14ac:dyDescent="0.25">
      <c r="A980">
        <v>1564</v>
      </c>
      <c r="B980">
        <v>4804.5313569999998</v>
      </c>
      <c r="C980">
        <v>4804.5313569999998</v>
      </c>
      <c r="D980">
        <v>0</v>
      </c>
      <c r="E980">
        <v>1338.824245</v>
      </c>
      <c r="F980" s="1">
        <v>1.4</v>
      </c>
      <c r="H980">
        <v>1564</v>
      </c>
      <c r="I980" t="str">
        <f t="shared" si="30"/>
        <v>YES</v>
      </c>
      <c r="J980" t="s">
        <v>986</v>
      </c>
      <c r="K980">
        <v>364827.89585799997</v>
      </c>
      <c r="L980">
        <f t="shared" si="31"/>
        <v>0</v>
      </c>
    </row>
    <row r="981" spans="1:12" x14ac:dyDescent="0.25">
      <c r="A981">
        <v>1565</v>
      </c>
      <c r="B981">
        <v>20516.038690000001</v>
      </c>
      <c r="C981">
        <v>20516.038690000001</v>
      </c>
      <c r="D981">
        <v>0</v>
      </c>
      <c r="E981">
        <v>4464.6473509999996</v>
      </c>
      <c r="F981" s="1">
        <v>19.899999999999999</v>
      </c>
      <c r="H981">
        <v>1565</v>
      </c>
      <c r="I981" t="str">
        <f t="shared" si="30"/>
        <v>YES</v>
      </c>
      <c r="J981" t="s">
        <v>987</v>
      </c>
      <c r="K981">
        <v>1078800.90701</v>
      </c>
      <c r="L981">
        <f t="shared" si="31"/>
        <v>0</v>
      </c>
    </row>
    <row r="982" spans="1:12" x14ac:dyDescent="0.25">
      <c r="A982">
        <v>1566</v>
      </c>
      <c r="B982">
        <v>3351.0580420000001</v>
      </c>
      <c r="C982">
        <v>3351.0580420000001</v>
      </c>
      <c r="D982">
        <v>0</v>
      </c>
      <c r="E982">
        <v>626.38568439999995</v>
      </c>
      <c r="F982" s="1">
        <v>0.45700000000000002</v>
      </c>
      <c r="H982">
        <v>1566</v>
      </c>
      <c r="I982" t="str">
        <f t="shared" si="30"/>
        <v>YES</v>
      </c>
      <c r="J982" t="s">
        <v>988</v>
      </c>
      <c r="K982">
        <v>181640.718211</v>
      </c>
      <c r="L982">
        <f t="shared" si="31"/>
        <v>0</v>
      </c>
    </row>
    <row r="983" spans="1:12" x14ac:dyDescent="0.25">
      <c r="A983">
        <v>1567</v>
      </c>
      <c r="B983">
        <v>10705.903130000001</v>
      </c>
      <c r="C983">
        <v>10705.903130000001</v>
      </c>
      <c r="D983">
        <v>0</v>
      </c>
      <c r="E983">
        <v>2365.4562169999999</v>
      </c>
      <c r="F983" s="1">
        <v>5.51</v>
      </c>
      <c r="H983">
        <v>1567</v>
      </c>
      <c r="I983" t="str">
        <f t="shared" si="30"/>
        <v>YES</v>
      </c>
      <c r="J983" t="s">
        <v>989</v>
      </c>
      <c r="K983">
        <v>684069.88513299997</v>
      </c>
      <c r="L983">
        <f t="shared" si="31"/>
        <v>0</v>
      </c>
    </row>
    <row r="984" spans="1:12" x14ac:dyDescent="0.25">
      <c r="A984">
        <v>1568</v>
      </c>
      <c r="B984">
        <v>29106.806329999999</v>
      </c>
      <c r="C984">
        <v>29106.806329999999</v>
      </c>
      <c r="D984">
        <v>0</v>
      </c>
      <c r="E984">
        <v>827.50949170000001</v>
      </c>
      <c r="F984" s="1">
        <v>5.24</v>
      </c>
      <c r="H984">
        <v>1568</v>
      </c>
      <c r="I984" t="str">
        <f t="shared" si="30"/>
        <v>YES</v>
      </c>
      <c r="J984" t="s">
        <v>990</v>
      </c>
      <c r="K984">
        <v>223442.94500599999</v>
      </c>
      <c r="L984">
        <f t="shared" si="31"/>
        <v>0</v>
      </c>
    </row>
    <row r="985" spans="1:12" x14ac:dyDescent="0.25">
      <c r="A985">
        <v>1569</v>
      </c>
      <c r="B985">
        <v>19217.238799999999</v>
      </c>
      <c r="C985">
        <v>19217.238799999999</v>
      </c>
      <c r="D985">
        <v>0</v>
      </c>
      <c r="E985">
        <v>2590.3607350000002</v>
      </c>
      <c r="F985" s="1">
        <v>10.8</v>
      </c>
      <c r="H985">
        <v>1569</v>
      </c>
      <c r="I985" t="str">
        <f t="shared" si="30"/>
        <v>YES</v>
      </c>
      <c r="J985" t="s">
        <v>991</v>
      </c>
      <c r="K985">
        <v>875682.83442900004</v>
      </c>
      <c r="L985">
        <f t="shared" si="31"/>
        <v>0</v>
      </c>
    </row>
    <row r="986" spans="1:12" x14ac:dyDescent="0.25">
      <c r="A986">
        <v>1570</v>
      </c>
      <c r="B986">
        <v>23267.388760000002</v>
      </c>
      <c r="C986">
        <v>23267.388760000002</v>
      </c>
      <c r="D986">
        <v>0</v>
      </c>
      <c r="E986">
        <v>1628.0022570000001</v>
      </c>
      <c r="F986" s="1">
        <v>8.25</v>
      </c>
      <c r="H986">
        <v>1570</v>
      </c>
      <c r="I986" t="str">
        <f t="shared" si="30"/>
        <v>YES</v>
      </c>
      <c r="J986" t="s">
        <v>992</v>
      </c>
      <c r="K986">
        <v>326962.46428399999</v>
      </c>
      <c r="L986">
        <f t="shared" si="31"/>
        <v>0</v>
      </c>
    </row>
    <row r="987" spans="1:12" x14ac:dyDescent="0.25">
      <c r="A987">
        <v>1571</v>
      </c>
      <c r="B987">
        <v>37705.080470000001</v>
      </c>
      <c r="C987">
        <v>37705.080470000001</v>
      </c>
      <c r="D987">
        <v>0</v>
      </c>
      <c r="E987">
        <v>4535.7922269999999</v>
      </c>
      <c r="F987" s="1">
        <v>37.200000000000003</v>
      </c>
      <c r="H987">
        <v>1571</v>
      </c>
      <c r="I987" t="str">
        <f t="shared" si="30"/>
        <v>YES</v>
      </c>
      <c r="J987" t="s">
        <v>993</v>
      </c>
      <c r="K987">
        <v>511463.938539</v>
      </c>
      <c r="L987">
        <f t="shared" si="31"/>
        <v>0</v>
      </c>
    </row>
    <row r="988" spans="1:12" x14ac:dyDescent="0.25">
      <c r="A988">
        <v>1572</v>
      </c>
      <c r="B988">
        <v>3792.9058540000001</v>
      </c>
      <c r="C988">
        <v>3792.9058540000001</v>
      </c>
      <c r="D988">
        <v>0</v>
      </c>
      <c r="E988">
        <v>986.45532519999995</v>
      </c>
      <c r="F988" s="1">
        <v>0.81499999999999995</v>
      </c>
      <c r="H988">
        <v>1572</v>
      </c>
      <c r="I988" t="str">
        <f t="shared" si="30"/>
        <v>YES</v>
      </c>
      <c r="J988" t="s">
        <v>994</v>
      </c>
      <c r="K988">
        <v>930198.03043000004</v>
      </c>
      <c r="L988">
        <f t="shared" si="31"/>
        <v>0</v>
      </c>
    </row>
    <row r="989" spans="1:12" x14ac:dyDescent="0.25">
      <c r="A989">
        <v>1573</v>
      </c>
      <c r="B989">
        <v>29927.468680000002</v>
      </c>
      <c r="C989">
        <v>29927.468680000002</v>
      </c>
      <c r="D989">
        <v>0</v>
      </c>
      <c r="E989">
        <v>1180.403548</v>
      </c>
      <c r="F989" s="1">
        <v>7.69</v>
      </c>
      <c r="H989">
        <v>1573</v>
      </c>
      <c r="I989" t="str">
        <f t="shared" si="30"/>
        <v>YES</v>
      </c>
      <c r="J989" t="s">
        <v>995</v>
      </c>
      <c r="K989">
        <v>345882.05229999998</v>
      </c>
      <c r="L989">
        <f t="shared" si="31"/>
        <v>0</v>
      </c>
    </row>
    <row r="990" spans="1:12" x14ac:dyDescent="0.25">
      <c r="A990">
        <v>1574</v>
      </c>
      <c r="B990">
        <v>14221.66188</v>
      </c>
      <c r="C990">
        <v>14221.66188</v>
      </c>
      <c r="D990">
        <v>0</v>
      </c>
      <c r="E990">
        <v>1586.21046</v>
      </c>
      <c r="F990" s="1">
        <v>4.91</v>
      </c>
      <c r="H990">
        <v>1574</v>
      </c>
      <c r="I990" t="str">
        <f t="shared" si="30"/>
        <v>YES</v>
      </c>
      <c r="J990" t="s">
        <v>996</v>
      </c>
      <c r="K990">
        <v>522144.30534399999</v>
      </c>
      <c r="L990">
        <f t="shared" si="31"/>
        <v>0</v>
      </c>
    </row>
    <row r="991" spans="1:12" x14ac:dyDescent="0.25">
      <c r="A991">
        <v>1575</v>
      </c>
      <c r="B991">
        <v>23482.09388</v>
      </c>
      <c r="C991">
        <v>23482.09388</v>
      </c>
      <c r="D991">
        <v>0</v>
      </c>
      <c r="E991">
        <v>2017.772698</v>
      </c>
      <c r="F991" s="1">
        <v>10.3</v>
      </c>
      <c r="H991">
        <v>1575</v>
      </c>
      <c r="I991" t="str">
        <f t="shared" si="30"/>
        <v>YES</v>
      </c>
      <c r="J991" t="s">
        <v>997</v>
      </c>
      <c r="K991">
        <v>470776.50970499997</v>
      </c>
      <c r="L991">
        <f t="shared" si="31"/>
        <v>0</v>
      </c>
    </row>
    <row r="992" spans="1:12" x14ac:dyDescent="0.25">
      <c r="A992">
        <v>1576</v>
      </c>
      <c r="B992">
        <v>28046.997940000001</v>
      </c>
      <c r="C992">
        <v>28046.997940000001</v>
      </c>
      <c r="D992">
        <v>0</v>
      </c>
      <c r="E992">
        <v>531.26032180000004</v>
      </c>
      <c r="F992" s="1">
        <v>3.24</v>
      </c>
      <c r="H992">
        <v>1576</v>
      </c>
      <c r="I992" t="str">
        <f t="shared" si="30"/>
        <v>YES</v>
      </c>
      <c r="J992" t="s">
        <v>998</v>
      </c>
      <c r="K992">
        <v>83806.750270899996</v>
      </c>
      <c r="L992">
        <f t="shared" si="31"/>
        <v>0</v>
      </c>
    </row>
    <row r="993" spans="1:12" x14ac:dyDescent="0.25">
      <c r="A993">
        <v>1577</v>
      </c>
      <c r="B993">
        <v>16336.631160000001</v>
      </c>
      <c r="C993">
        <v>16336.631160000001</v>
      </c>
      <c r="D993">
        <v>0</v>
      </c>
      <c r="E993">
        <v>1568.1385069999999</v>
      </c>
      <c r="F993" s="1">
        <v>5.58</v>
      </c>
      <c r="H993">
        <v>1577</v>
      </c>
      <c r="I993" t="str">
        <f t="shared" si="30"/>
        <v>YES</v>
      </c>
      <c r="J993" t="s">
        <v>999</v>
      </c>
      <c r="K993">
        <v>542259.81852099998</v>
      </c>
      <c r="L993">
        <f t="shared" si="31"/>
        <v>0</v>
      </c>
    </row>
    <row r="994" spans="1:12" x14ac:dyDescent="0.25">
      <c r="A994">
        <v>1578</v>
      </c>
      <c r="B994">
        <v>23759.07836</v>
      </c>
      <c r="C994">
        <v>23759.07836</v>
      </c>
      <c r="D994">
        <v>0</v>
      </c>
      <c r="E994">
        <v>1926</v>
      </c>
      <c r="F994" s="1">
        <v>9.9600000000000009</v>
      </c>
      <c r="H994">
        <v>1578</v>
      </c>
      <c r="I994" t="str">
        <f t="shared" si="30"/>
        <v>YES</v>
      </c>
      <c r="J994" t="s">
        <v>1000</v>
      </c>
      <c r="K994">
        <v>644289.13457600004</v>
      </c>
      <c r="L994">
        <f t="shared" si="31"/>
        <v>0</v>
      </c>
    </row>
    <row r="995" spans="1:12" x14ac:dyDescent="0.25">
      <c r="A995">
        <v>1581</v>
      </c>
      <c r="B995">
        <v>33150.360670000002</v>
      </c>
      <c r="C995">
        <v>33150.360670000002</v>
      </c>
      <c r="D995">
        <v>0</v>
      </c>
      <c r="E995">
        <v>2061.7809309999998</v>
      </c>
      <c r="F995" s="1">
        <v>14.9</v>
      </c>
      <c r="H995">
        <v>1581</v>
      </c>
      <c r="I995" t="str">
        <f t="shared" si="30"/>
        <v>YES</v>
      </c>
      <c r="J995" t="s">
        <v>1001</v>
      </c>
      <c r="K995">
        <v>112706.739395</v>
      </c>
      <c r="L995">
        <f t="shared" si="31"/>
        <v>0</v>
      </c>
    </row>
    <row r="996" spans="1:12" x14ac:dyDescent="0.25">
      <c r="A996">
        <v>1582</v>
      </c>
      <c r="B996">
        <v>9660.9868669999996</v>
      </c>
      <c r="C996">
        <v>9660.9868669999996</v>
      </c>
      <c r="D996">
        <v>0</v>
      </c>
      <c r="E996">
        <v>2291.191456</v>
      </c>
      <c r="F996" s="1">
        <v>4.82</v>
      </c>
      <c r="H996">
        <v>1582</v>
      </c>
      <c r="I996" t="str">
        <f t="shared" si="30"/>
        <v>YES</v>
      </c>
      <c r="J996" t="s">
        <v>1002</v>
      </c>
      <c r="K996">
        <v>830689.04368400003</v>
      </c>
      <c r="L996">
        <f t="shared" si="31"/>
        <v>0</v>
      </c>
    </row>
    <row r="997" spans="1:12" x14ac:dyDescent="0.25">
      <c r="A997">
        <v>1583</v>
      </c>
      <c r="B997">
        <v>35079.252999999997</v>
      </c>
      <c r="C997">
        <v>35079.252999999997</v>
      </c>
      <c r="D997">
        <v>0</v>
      </c>
      <c r="E997">
        <v>2223.2543599999999</v>
      </c>
      <c r="F997" s="1">
        <v>17</v>
      </c>
      <c r="H997">
        <v>1583</v>
      </c>
      <c r="I997" t="str">
        <f t="shared" si="30"/>
        <v>YES</v>
      </c>
      <c r="J997" t="s">
        <v>1003</v>
      </c>
      <c r="K997">
        <v>407884.24572399998</v>
      </c>
      <c r="L997">
        <f t="shared" si="31"/>
        <v>0</v>
      </c>
    </row>
    <row r="998" spans="1:12" x14ac:dyDescent="0.25">
      <c r="A998">
        <v>1584</v>
      </c>
      <c r="B998">
        <v>36981.330650000004</v>
      </c>
      <c r="C998">
        <v>36981.330650000004</v>
      </c>
      <c r="D998">
        <v>0</v>
      </c>
      <c r="E998">
        <v>2425.8532260000002</v>
      </c>
      <c r="F998" s="1">
        <v>19.5</v>
      </c>
      <c r="H998">
        <v>1584</v>
      </c>
      <c r="I998" t="str">
        <f t="shared" si="30"/>
        <v>YES</v>
      </c>
      <c r="J998" t="s">
        <v>1004</v>
      </c>
      <c r="K998">
        <v>310284.22133700002</v>
      </c>
      <c r="L998">
        <f t="shared" si="31"/>
        <v>0</v>
      </c>
    </row>
    <row r="999" spans="1:12" x14ac:dyDescent="0.25">
      <c r="A999">
        <v>1585</v>
      </c>
      <c r="B999">
        <v>29670.108209999999</v>
      </c>
      <c r="C999">
        <v>29670.108209999999</v>
      </c>
      <c r="D999">
        <v>0</v>
      </c>
      <c r="E999">
        <v>1722.3991900000001</v>
      </c>
      <c r="F999" s="1">
        <v>11.1</v>
      </c>
      <c r="H999">
        <v>1585</v>
      </c>
      <c r="I999" t="str">
        <f t="shared" si="30"/>
        <v>YES</v>
      </c>
      <c r="J999" t="s">
        <v>1005</v>
      </c>
      <c r="K999">
        <v>500268.48068099999</v>
      </c>
      <c r="L999">
        <f t="shared" si="31"/>
        <v>0</v>
      </c>
    </row>
    <row r="1000" spans="1:12" x14ac:dyDescent="0.25">
      <c r="A1000">
        <v>1586</v>
      </c>
      <c r="B1000">
        <v>34444.769229999998</v>
      </c>
      <c r="C1000">
        <v>34444.769229999998</v>
      </c>
      <c r="D1000">
        <v>0</v>
      </c>
      <c r="E1000">
        <v>2617.8110409999999</v>
      </c>
      <c r="F1000" s="1">
        <v>19.600000000000001</v>
      </c>
      <c r="H1000">
        <v>1586</v>
      </c>
      <c r="I1000" t="str">
        <f t="shared" si="30"/>
        <v>YES</v>
      </c>
      <c r="J1000" t="s">
        <v>1006</v>
      </c>
      <c r="K1000">
        <v>391854.96223499998</v>
      </c>
      <c r="L1000">
        <f t="shared" si="31"/>
        <v>0</v>
      </c>
    </row>
    <row r="1001" spans="1:12" x14ac:dyDescent="0.25">
      <c r="A1001">
        <v>1587</v>
      </c>
      <c r="B1001">
        <v>30376.514500000001</v>
      </c>
      <c r="C1001">
        <v>30376.514500000001</v>
      </c>
      <c r="D1001">
        <v>0</v>
      </c>
      <c r="E1001">
        <v>154.22106400000001</v>
      </c>
      <c r="F1001" s="1">
        <v>1.02</v>
      </c>
      <c r="H1001">
        <v>1587</v>
      </c>
      <c r="I1001" t="str">
        <f t="shared" si="30"/>
        <v>YES</v>
      </c>
      <c r="J1001" t="s">
        <v>1007</v>
      </c>
      <c r="K1001">
        <v>181776.49681099999</v>
      </c>
      <c r="L1001">
        <f t="shared" si="31"/>
        <v>0</v>
      </c>
    </row>
    <row r="1002" spans="1:12" x14ac:dyDescent="0.25">
      <c r="A1002">
        <v>1588</v>
      </c>
      <c r="B1002">
        <v>4656.6139219999995</v>
      </c>
      <c r="C1002">
        <v>4656.6139219999995</v>
      </c>
      <c r="D1002">
        <v>0</v>
      </c>
      <c r="E1002">
        <v>2970.7075610000002</v>
      </c>
      <c r="F1002" s="1">
        <v>3.01</v>
      </c>
      <c r="H1002">
        <v>1588</v>
      </c>
      <c r="I1002" t="str">
        <f t="shared" si="30"/>
        <v>YES</v>
      </c>
      <c r="J1002" t="s">
        <v>1008</v>
      </c>
      <c r="K1002">
        <v>1252059.40151</v>
      </c>
      <c r="L1002">
        <f t="shared" si="31"/>
        <v>0</v>
      </c>
    </row>
    <row r="1003" spans="1:12" x14ac:dyDescent="0.25">
      <c r="A1003">
        <v>1589</v>
      </c>
      <c r="B1003">
        <v>49145.210420000003</v>
      </c>
      <c r="C1003">
        <v>49145.210420000003</v>
      </c>
      <c r="D1003">
        <v>0</v>
      </c>
      <c r="E1003">
        <v>898.25124249999999</v>
      </c>
      <c r="F1003" s="1">
        <v>9.61</v>
      </c>
      <c r="H1003">
        <v>1589</v>
      </c>
      <c r="I1003" t="str">
        <f t="shared" si="30"/>
        <v>YES</v>
      </c>
      <c r="J1003" t="s">
        <v>1009</v>
      </c>
      <c r="K1003">
        <v>223930.103565</v>
      </c>
      <c r="L1003">
        <f t="shared" si="31"/>
        <v>0</v>
      </c>
    </row>
    <row r="1004" spans="1:12" x14ac:dyDescent="0.25">
      <c r="A1004">
        <v>1590</v>
      </c>
      <c r="B1004">
        <v>21504.180120000001</v>
      </c>
      <c r="C1004">
        <v>21504.180120000001</v>
      </c>
      <c r="D1004">
        <v>0</v>
      </c>
      <c r="E1004">
        <v>3446.2045840000001</v>
      </c>
      <c r="F1004" s="1">
        <v>16.100000000000001</v>
      </c>
      <c r="H1004">
        <v>1590</v>
      </c>
      <c r="I1004" t="str">
        <f t="shared" si="30"/>
        <v>YES</v>
      </c>
      <c r="J1004" t="s">
        <v>1010</v>
      </c>
      <c r="K1004">
        <v>581748.82022200001</v>
      </c>
      <c r="L1004">
        <f t="shared" si="31"/>
        <v>0</v>
      </c>
    </row>
    <row r="1005" spans="1:12" x14ac:dyDescent="0.25">
      <c r="A1005">
        <v>1591</v>
      </c>
      <c r="B1005">
        <v>36193.948490000002</v>
      </c>
      <c r="C1005">
        <v>36193.948490000002</v>
      </c>
      <c r="D1005">
        <v>0</v>
      </c>
      <c r="E1005">
        <v>1512.1062750000001</v>
      </c>
      <c r="F1005" s="1">
        <v>11.9</v>
      </c>
      <c r="H1005">
        <v>1591</v>
      </c>
      <c r="I1005" t="str">
        <f t="shared" si="30"/>
        <v>YES</v>
      </c>
      <c r="J1005" t="s">
        <v>1011</v>
      </c>
      <c r="K1005">
        <v>102691.801488</v>
      </c>
      <c r="L1005">
        <f t="shared" si="31"/>
        <v>0</v>
      </c>
    </row>
    <row r="1006" spans="1:12" x14ac:dyDescent="0.25">
      <c r="A1006">
        <v>1600</v>
      </c>
      <c r="B1006">
        <v>354.38495139999998</v>
      </c>
      <c r="C1006">
        <v>354.38495139999998</v>
      </c>
      <c r="D1006">
        <v>0</v>
      </c>
      <c r="E1006">
        <v>2556.544586</v>
      </c>
      <c r="F1006" s="1">
        <v>0.19700000000000001</v>
      </c>
      <c r="H1006">
        <v>1600</v>
      </c>
      <c r="I1006" t="str">
        <f t="shared" si="30"/>
        <v>YES</v>
      </c>
      <c r="J1006" t="s">
        <v>1012</v>
      </c>
      <c r="K1006">
        <v>4622500.4824599996</v>
      </c>
      <c r="L1006">
        <f t="shared" si="31"/>
        <v>0</v>
      </c>
    </row>
    <row r="1007" spans="1:12" x14ac:dyDescent="0.25">
      <c r="A1007">
        <v>1601</v>
      </c>
      <c r="B1007">
        <v>2389.094286</v>
      </c>
      <c r="C1007">
        <v>2389.094286</v>
      </c>
      <c r="D1007">
        <v>0</v>
      </c>
      <c r="E1007">
        <v>1733.1380899999999</v>
      </c>
      <c r="F1007" s="1">
        <v>0.90200000000000002</v>
      </c>
      <c r="H1007">
        <v>1601</v>
      </c>
      <c r="I1007" t="str">
        <f t="shared" si="30"/>
        <v>YES</v>
      </c>
      <c r="J1007" t="s">
        <v>1013</v>
      </c>
      <c r="K1007">
        <v>10266871.7501</v>
      </c>
      <c r="L1007">
        <f t="shared" si="31"/>
        <v>0</v>
      </c>
    </row>
    <row r="1008" spans="1:12" x14ac:dyDescent="0.25">
      <c r="A1008">
        <v>1602</v>
      </c>
      <c r="B1008">
        <v>205.24545979999999</v>
      </c>
      <c r="C1008">
        <v>205.24545979999999</v>
      </c>
      <c r="D1008">
        <v>0</v>
      </c>
      <c r="E1008">
        <v>2669.7094090000001</v>
      </c>
      <c r="F1008" s="1">
        <v>0.11899999999999999</v>
      </c>
      <c r="H1008">
        <v>1602</v>
      </c>
      <c r="I1008" t="str">
        <f t="shared" si="30"/>
        <v>YES</v>
      </c>
      <c r="J1008" t="s">
        <v>1014</v>
      </c>
      <c r="K1008">
        <v>2330037.0547000002</v>
      </c>
      <c r="L1008">
        <f t="shared" si="31"/>
        <v>0</v>
      </c>
    </row>
    <row r="1009" spans="1:12" x14ac:dyDescent="0.25">
      <c r="A1009">
        <v>1603</v>
      </c>
      <c r="B1009">
        <v>394.77280630000001</v>
      </c>
      <c r="C1009">
        <v>394.77280630000001</v>
      </c>
      <c r="D1009">
        <v>0</v>
      </c>
      <c r="E1009">
        <v>1576.7046909999999</v>
      </c>
      <c r="F1009" s="1">
        <v>0.13600000000000001</v>
      </c>
      <c r="H1009">
        <v>1603</v>
      </c>
      <c r="I1009" t="str">
        <f t="shared" si="30"/>
        <v>YES</v>
      </c>
      <c r="J1009" t="s">
        <v>1015</v>
      </c>
      <c r="K1009">
        <v>3308687.9978700001</v>
      </c>
      <c r="L1009">
        <f t="shared" si="31"/>
        <v>0</v>
      </c>
    </row>
    <row r="1010" spans="1:12" x14ac:dyDescent="0.25">
      <c r="A1010">
        <v>1604</v>
      </c>
      <c r="B1010">
        <v>1045.8856470000001</v>
      </c>
      <c r="C1010">
        <v>1045.8856470000001</v>
      </c>
      <c r="D1010">
        <v>0</v>
      </c>
      <c r="E1010">
        <v>3378.5072420000001</v>
      </c>
      <c r="F1010" s="1">
        <v>0.76900000000000002</v>
      </c>
      <c r="H1010">
        <v>1604</v>
      </c>
      <c r="I1010" t="str">
        <f t="shared" si="30"/>
        <v>YES</v>
      </c>
      <c r="J1010" t="s">
        <v>1016</v>
      </c>
      <c r="K1010">
        <v>2307156.8396299998</v>
      </c>
      <c r="L1010">
        <f t="shared" si="31"/>
        <v>0</v>
      </c>
    </row>
    <row r="1011" spans="1:12" x14ac:dyDescent="0.25">
      <c r="A1011">
        <v>1605</v>
      </c>
      <c r="B1011">
        <v>179.89538049999999</v>
      </c>
      <c r="C1011">
        <v>179.89538049999999</v>
      </c>
      <c r="D1011">
        <v>0</v>
      </c>
      <c r="E1011">
        <v>1274.837162</v>
      </c>
      <c r="F1011" s="1">
        <v>4.99E-2</v>
      </c>
      <c r="H1011">
        <v>1605</v>
      </c>
      <c r="I1011" t="str">
        <f t="shared" si="30"/>
        <v>YES</v>
      </c>
      <c r="J1011" t="s">
        <v>1017</v>
      </c>
      <c r="K1011">
        <v>6404994.4438699996</v>
      </c>
      <c r="L1011">
        <f t="shared" si="31"/>
        <v>0</v>
      </c>
    </row>
    <row r="1012" spans="1:12" x14ac:dyDescent="0.25">
      <c r="A1012">
        <v>1606</v>
      </c>
      <c r="B1012">
        <v>865.70129489999999</v>
      </c>
      <c r="C1012">
        <v>865.70129489999999</v>
      </c>
      <c r="D1012">
        <v>0</v>
      </c>
      <c r="E1012">
        <v>1822.196567</v>
      </c>
      <c r="F1012" s="1">
        <v>0.34300000000000003</v>
      </c>
      <c r="H1012">
        <v>1606</v>
      </c>
      <c r="I1012" t="str">
        <f t="shared" si="30"/>
        <v>YES</v>
      </c>
      <c r="J1012" t="s">
        <v>1018</v>
      </c>
      <c r="K1012">
        <v>2061848.3590500001</v>
      </c>
      <c r="L1012">
        <f t="shared" si="31"/>
        <v>0</v>
      </c>
    </row>
    <row r="1013" spans="1:12" x14ac:dyDescent="0.25">
      <c r="A1013">
        <v>1607</v>
      </c>
      <c r="B1013">
        <v>9483.836706</v>
      </c>
      <c r="C1013">
        <v>9483.836706</v>
      </c>
      <c r="D1013">
        <v>0</v>
      </c>
      <c r="E1013">
        <v>1483.103554</v>
      </c>
      <c r="F1013" s="1">
        <v>3.06</v>
      </c>
      <c r="H1013">
        <v>1607</v>
      </c>
      <c r="I1013" t="str">
        <f t="shared" si="30"/>
        <v>YES</v>
      </c>
      <c r="J1013" t="s">
        <v>1019</v>
      </c>
      <c r="K1013">
        <v>683054.36629399995</v>
      </c>
      <c r="L1013">
        <f t="shared" si="31"/>
        <v>0</v>
      </c>
    </row>
    <row r="1014" spans="1:12" x14ac:dyDescent="0.25">
      <c r="A1014">
        <v>1608</v>
      </c>
      <c r="B1014">
        <v>236.78742159999999</v>
      </c>
      <c r="C1014">
        <v>236.78742159999999</v>
      </c>
      <c r="D1014">
        <v>0</v>
      </c>
      <c r="E1014">
        <v>1218.053048</v>
      </c>
      <c r="F1014" s="1">
        <v>6.2799999999999995E-2</v>
      </c>
      <c r="H1014">
        <v>1608</v>
      </c>
      <c r="I1014" t="str">
        <f t="shared" si="30"/>
        <v>YES</v>
      </c>
      <c r="J1014" t="s">
        <v>1020</v>
      </c>
      <c r="K1014">
        <v>2163610.1498799999</v>
      </c>
      <c r="L1014">
        <f t="shared" si="31"/>
        <v>0</v>
      </c>
    </row>
    <row r="1015" spans="1:12" x14ac:dyDescent="0.25">
      <c r="A1015">
        <v>1609</v>
      </c>
      <c r="B1015">
        <v>15539.23509</v>
      </c>
      <c r="C1015">
        <v>15539.23509</v>
      </c>
      <c r="D1015">
        <v>0</v>
      </c>
      <c r="E1015">
        <v>1143.2056500000001</v>
      </c>
      <c r="F1015" s="1">
        <v>3.87</v>
      </c>
      <c r="H1015">
        <v>1609</v>
      </c>
      <c r="I1015" t="str">
        <f t="shared" si="30"/>
        <v>YES</v>
      </c>
      <c r="J1015" t="s">
        <v>1021</v>
      </c>
      <c r="K1015">
        <v>472475.85551800003</v>
      </c>
      <c r="L1015">
        <f t="shared" si="31"/>
        <v>0</v>
      </c>
    </row>
    <row r="1016" spans="1:12" x14ac:dyDescent="0.25">
      <c r="A1016">
        <v>1612</v>
      </c>
      <c r="B1016">
        <v>290.57884610000002</v>
      </c>
      <c r="C1016">
        <v>290.57884610000002</v>
      </c>
      <c r="D1016">
        <v>0</v>
      </c>
      <c r="E1016">
        <v>311.19143250000002</v>
      </c>
      <c r="F1016" s="1">
        <v>1.9699999999999999E-2</v>
      </c>
      <c r="H1016">
        <v>1612</v>
      </c>
      <c r="I1016" t="str">
        <f t="shared" si="30"/>
        <v>YES</v>
      </c>
      <c r="J1016" t="s">
        <v>1022</v>
      </c>
      <c r="K1016">
        <v>315727.34422899998</v>
      </c>
      <c r="L1016">
        <f t="shared" si="31"/>
        <v>0</v>
      </c>
    </row>
    <row r="1017" spans="1:12" x14ac:dyDescent="0.25">
      <c r="A1017">
        <v>1613</v>
      </c>
      <c r="B1017">
        <v>290.57884610000002</v>
      </c>
      <c r="C1017">
        <v>290.57884610000002</v>
      </c>
      <c r="D1017">
        <v>0</v>
      </c>
      <c r="F1017" s="1">
        <v>0</v>
      </c>
      <c r="H1017">
        <v>1613</v>
      </c>
      <c r="I1017" t="str">
        <f t="shared" si="30"/>
        <v>YES</v>
      </c>
      <c r="J1017" t="s">
        <v>1023</v>
      </c>
      <c r="K1017">
        <v>2062137.1649499999</v>
      </c>
      <c r="L1017">
        <f t="shared" si="31"/>
        <v>0</v>
      </c>
    </row>
    <row r="1018" spans="1:12" x14ac:dyDescent="0.25">
      <c r="A1018">
        <v>1614</v>
      </c>
      <c r="B1018">
        <v>229.29119259999999</v>
      </c>
      <c r="C1018">
        <v>229.29119259999999</v>
      </c>
      <c r="D1018">
        <v>0</v>
      </c>
      <c r="F1018" s="1">
        <v>0</v>
      </c>
      <c r="H1018">
        <v>1614</v>
      </c>
      <c r="I1018" t="str">
        <f t="shared" si="30"/>
        <v>YES</v>
      </c>
      <c r="J1018" t="s">
        <v>1024</v>
      </c>
      <c r="K1018">
        <v>62663750.447300002</v>
      </c>
      <c r="L1018">
        <f t="shared" si="31"/>
        <v>0</v>
      </c>
    </row>
    <row r="1019" spans="1:12" x14ac:dyDescent="0.25">
      <c r="A1019">
        <v>1615</v>
      </c>
      <c r="B1019">
        <v>322.9601346</v>
      </c>
      <c r="C1019">
        <v>322.9601346</v>
      </c>
      <c r="D1019">
        <v>0</v>
      </c>
      <c r="E1019">
        <v>3074.369205</v>
      </c>
      <c r="F1019" s="1">
        <v>0.216</v>
      </c>
      <c r="H1019">
        <v>1615</v>
      </c>
      <c r="I1019" t="str">
        <f t="shared" si="30"/>
        <v>YES</v>
      </c>
      <c r="J1019" t="s">
        <v>1025</v>
      </c>
      <c r="K1019">
        <v>5049411.0776899997</v>
      </c>
      <c r="L1019">
        <f t="shared" si="31"/>
        <v>0</v>
      </c>
    </row>
    <row r="1020" spans="1:12" x14ac:dyDescent="0.25">
      <c r="A1020">
        <v>1616</v>
      </c>
      <c r="B1020">
        <v>463.46325150000001</v>
      </c>
      <c r="C1020">
        <v>463.46325150000001</v>
      </c>
      <c r="D1020">
        <v>0</v>
      </c>
      <c r="E1020">
        <v>2179.8625109999998</v>
      </c>
      <c r="F1020" s="1">
        <v>0.22</v>
      </c>
      <c r="H1020">
        <v>1616</v>
      </c>
      <c r="I1020" t="str">
        <f t="shared" si="30"/>
        <v>YES</v>
      </c>
      <c r="J1020" t="s">
        <v>1026</v>
      </c>
      <c r="K1020">
        <v>4553153.9128900003</v>
      </c>
      <c r="L1020">
        <f t="shared" si="31"/>
        <v>0</v>
      </c>
    </row>
    <row r="1021" spans="1:12" x14ac:dyDescent="0.25">
      <c r="A1021">
        <v>1617</v>
      </c>
      <c r="B1021">
        <v>852.81615380000005</v>
      </c>
      <c r="C1021">
        <v>852.81615380000005</v>
      </c>
      <c r="D1021">
        <v>0</v>
      </c>
      <c r="E1021">
        <v>2181.3416809999999</v>
      </c>
      <c r="F1021" s="1">
        <v>0.40500000000000003</v>
      </c>
      <c r="H1021">
        <v>1617</v>
      </c>
      <c r="I1021" t="str">
        <f t="shared" si="30"/>
        <v>YES</v>
      </c>
      <c r="J1021" t="s">
        <v>1027</v>
      </c>
      <c r="K1021">
        <v>1373472.74902</v>
      </c>
      <c r="L1021">
        <f t="shared" si="31"/>
        <v>0</v>
      </c>
    </row>
    <row r="1022" spans="1:12" x14ac:dyDescent="0.25">
      <c r="A1022">
        <v>1618</v>
      </c>
      <c r="B1022">
        <v>238.9812642</v>
      </c>
      <c r="C1022">
        <v>238.9812642</v>
      </c>
      <c r="D1022">
        <v>0</v>
      </c>
      <c r="E1022">
        <v>2852.7546390000002</v>
      </c>
      <c r="F1022" s="1">
        <v>0.14799999999999999</v>
      </c>
      <c r="H1022">
        <v>1618</v>
      </c>
      <c r="I1022" t="str">
        <f t="shared" si="30"/>
        <v>YES</v>
      </c>
      <c r="J1022" t="s">
        <v>1028</v>
      </c>
      <c r="K1022">
        <v>5584597.7801900003</v>
      </c>
      <c r="L1022">
        <f t="shared" si="31"/>
        <v>0</v>
      </c>
    </row>
    <row r="1023" spans="1:12" x14ac:dyDescent="0.25">
      <c r="A1023">
        <v>1619</v>
      </c>
      <c r="B1023">
        <v>14619.35535</v>
      </c>
      <c r="C1023">
        <v>14619.35535</v>
      </c>
      <c r="D1023">
        <v>0</v>
      </c>
      <c r="E1023">
        <v>1716.908044</v>
      </c>
      <c r="F1023" s="1">
        <v>5.47</v>
      </c>
      <c r="H1023">
        <v>1619</v>
      </c>
      <c r="I1023" t="str">
        <f t="shared" si="30"/>
        <v>YES</v>
      </c>
      <c r="J1023" t="s">
        <v>1029</v>
      </c>
      <c r="K1023">
        <v>535131.42688899999</v>
      </c>
      <c r="L1023">
        <f t="shared" si="31"/>
        <v>0</v>
      </c>
    </row>
    <row r="1024" spans="1:12" x14ac:dyDescent="0.25">
      <c r="A1024">
        <v>1620</v>
      </c>
      <c r="B1024">
        <v>13629.850899999999</v>
      </c>
      <c r="C1024">
        <v>13629.850899999999</v>
      </c>
      <c r="D1024">
        <v>0</v>
      </c>
      <c r="E1024">
        <v>851.62931249999997</v>
      </c>
      <c r="F1024" s="1">
        <v>2.5299999999999998</v>
      </c>
      <c r="H1024">
        <v>1620</v>
      </c>
      <c r="I1024" t="str">
        <f t="shared" si="30"/>
        <v>YES</v>
      </c>
      <c r="J1024" t="s">
        <v>1030</v>
      </c>
      <c r="K1024">
        <v>280796.90620099998</v>
      </c>
      <c r="L1024">
        <f t="shared" si="31"/>
        <v>0</v>
      </c>
    </row>
    <row r="1025" spans="1:12" x14ac:dyDescent="0.25">
      <c r="A1025">
        <v>1621</v>
      </c>
      <c r="B1025">
        <v>9222.9582009999995</v>
      </c>
      <c r="C1025">
        <v>9222.9582009999995</v>
      </c>
      <c r="D1025">
        <v>0</v>
      </c>
      <c r="E1025">
        <v>2058.2327540000001</v>
      </c>
      <c r="F1025" s="1">
        <v>4.13</v>
      </c>
      <c r="H1025">
        <v>1621</v>
      </c>
      <c r="I1025" t="str">
        <f t="shared" si="30"/>
        <v>YES</v>
      </c>
      <c r="J1025" t="s">
        <v>1031</v>
      </c>
      <c r="K1025">
        <v>740764.54385500005</v>
      </c>
      <c r="L1025">
        <f t="shared" si="31"/>
        <v>0</v>
      </c>
    </row>
    <row r="1026" spans="1:12" x14ac:dyDescent="0.25">
      <c r="A1026">
        <v>1622</v>
      </c>
      <c r="B1026">
        <v>732.19521859999998</v>
      </c>
      <c r="C1026">
        <v>732.19521859999998</v>
      </c>
      <c r="D1026">
        <v>0</v>
      </c>
      <c r="E1026">
        <v>3297.965807</v>
      </c>
      <c r="F1026" s="1">
        <v>0.52600000000000002</v>
      </c>
      <c r="H1026">
        <v>1622</v>
      </c>
      <c r="I1026" t="str">
        <f t="shared" si="30"/>
        <v>YES</v>
      </c>
      <c r="J1026" t="s">
        <v>1032</v>
      </c>
      <c r="K1026">
        <v>3259646.9613999999</v>
      </c>
      <c r="L1026">
        <f t="shared" si="31"/>
        <v>0</v>
      </c>
    </row>
    <row r="1027" spans="1:12" x14ac:dyDescent="0.25">
      <c r="A1027">
        <v>1623</v>
      </c>
      <c r="B1027">
        <v>6782.4315370000004</v>
      </c>
      <c r="C1027">
        <v>6782.4315370000004</v>
      </c>
      <c r="D1027">
        <v>0</v>
      </c>
      <c r="E1027">
        <v>16.718015000000001</v>
      </c>
      <c r="F1027" s="1">
        <v>2.47E-2</v>
      </c>
      <c r="H1027">
        <v>1623</v>
      </c>
      <c r="I1027" t="str">
        <f t="shared" ref="I1027:I1090" si="32">IF(A1027=H1027,"YES","NO")</f>
        <v>YES</v>
      </c>
      <c r="J1027" t="s">
        <v>1033</v>
      </c>
      <c r="K1027">
        <v>680951.56252200005</v>
      </c>
      <c r="L1027">
        <f t="shared" ref="L1027:L1090" si="33">EXP(0.2052)*K1027*(D1027/C1027)</f>
        <v>0</v>
      </c>
    </row>
    <row r="1028" spans="1:12" x14ac:dyDescent="0.25">
      <c r="A1028">
        <v>1624</v>
      </c>
      <c r="B1028">
        <v>15026.928690000001</v>
      </c>
      <c r="C1028">
        <v>15026.928690000001</v>
      </c>
      <c r="D1028">
        <v>0</v>
      </c>
      <c r="E1028">
        <v>3423.356886</v>
      </c>
      <c r="F1028" s="1">
        <v>11.2</v>
      </c>
      <c r="H1028">
        <v>1624</v>
      </c>
      <c r="I1028" t="str">
        <f t="shared" si="32"/>
        <v>YES</v>
      </c>
      <c r="J1028" t="s">
        <v>1034</v>
      </c>
      <c r="K1028">
        <v>457652.42807099997</v>
      </c>
      <c r="L1028">
        <f t="shared" si="33"/>
        <v>0</v>
      </c>
    </row>
    <row r="1029" spans="1:12" x14ac:dyDescent="0.25">
      <c r="A1029">
        <v>1625</v>
      </c>
      <c r="B1029">
        <v>20040.480060000002</v>
      </c>
      <c r="C1029">
        <v>20040.480060000002</v>
      </c>
      <c r="D1029">
        <v>0</v>
      </c>
      <c r="E1029">
        <v>394.25438270000001</v>
      </c>
      <c r="F1029" s="1">
        <v>1.72</v>
      </c>
      <c r="H1029">
        <v>1625</v>
      </c>
      <c r="I1029" t="str">
        <f t="shared" si="32"/>
        <v>YES</v>
      </c>
      <c r="J1029" t="s">
        <v>1035</v>
      </c>
      <c r="K1029">
        <v>224322.82866100001</v>
      </c>
      <c r="L1029">
        <f t="shared" si="33"/>
        <v>0</v>
      </c>
    </row>
    <row r="1030" spans="1:12" x14ac:dyDescent="0.25">
      <c r="A1030">
        <v>1626</v>
      </c>
      <c r="B1030">
        <v>13390.6325</v>
      </c>
      <c r="C1030">
        <v>13390.6325</v>
      </c>
      <c r="D1030">
        <v>0</v>
      </c>
      <c r="E1030">
        <v>1202.0953480000001</v>
      </c>
      <c r="F1030" s="1">
        <v>3.5</v>
      </c>
      <c r="H1030">
        <v>1626</v>
      </c>
      <c r="I1030" t="str">
        <f t="shared" si="32"/>
        <v>YES</v>
      </c>
      <c r="J1030" t="s">
        <v>1036</v>
      </c>
      <c r="K1030">
        <v>399926.61093999998</v>
      </c>
      <c r="L1030">
        <f t="shared" si="33"/>
        <v>0</v>
      </c>
    </row>
    <row r="1031" spans="1:12" x14ac:dyDescent="0.25">
      <c r="A1031">
        <v>1627</v>
      </c>
      <c r="B1031">
        <v>22495.182980000001</v>
      </c>
      <c r="C1031">
        <v>22495.182980000001</v>
      </c>
      <c r="D1031">
        <v>0</v>
      </c>
      <c r="E1031">
        <v>545.49878360000002</v>
      </c>
      <c r="F1031" s="1">
        <v>2.67</v>
      </c>
      <c r="H1031">
        <v>1627</v>
      </c>
      <c r="I1031" t="str">
        <f t="shared" si="32"/>
        <v>YES</v>
      </c>
      <c r="J1031" t="s">
        <v>1037</v>
      </c>
      <c r="K1031">
        <v>282376.567079</v>
      </c>
      <c r="L1031">
        <f t="shared" si="33"/>
        <v>0</v>
      </c>
    </row>
    <row r="1032" spans="1:12" x14ac:dyDescent="0.25">
      <c r="A1032">
        <v>1628</v>
      </c>
      <c r="B1032">
        <v>18189.83656</v>
      </c>
      <c r="C1032">
        <v>18189.83656</v>
      </c>
      <c r="D1032">
        <v>0</v>
      </c>
      <c r="E1032">
        <v>4186.3674060000003</v>
      </c>
      <c r="F1032" s="1">
        <v>16.600000000000001</v>
      </c>
      <c r="H1032">
        <v>1628</v>
      </c>
      <c r="I1032" t="str">
        <f t="shared" si="32"/>
        <v>YES</v>
      </c>
      <c r="J1032" t="s">
        <v>1038</v>
      </c>
      <c r="K1032">
        <v>337918.936934</v>
      </c>
      <c r="L1032">
        <f t="shared" si="33"/>
        <v>0</v>
      </c>
    </row>
    <row r="1033" spans="1:12" x14ac:dyDescent="0.25">
      <c r="A1033">
        <v>1629</v>
      </c>
      <c r="B1033">
        <v>11730.16216</v>
      </c>
      <c r="C1033">
        <v>11730.16216</v>
      </c>
      <c r="D1033">
        <v>0</v>
      </c>
      <c r="E1033">
        <v>2660.811952</v>
      </c>
      <c r="F1033" s="1">
        <v>6.8</v>
      </c>
      <c r="H1033">
        <v>1629</v>
      </c>
      <c r="I1033" t="str">
        <f t="shared" si="32"/>
        <v>YES</v>
      </c>
      <c r="J1033" t="s">
        <v>1039</v>
      </c>
      <c r="K1033">
        <v>688711.58427200001</v>
      </c>
      <c r="L1033">
        <f t="shared" si="33"/>
        <v>0</v>
      </c>
    </row>
    <row r="1034" spans="1:12" x14ac:dyDescent="0.25">
      <c r="A1034">
        <v>1630</v>
      </c>
      <c r="B1034">
        <v>22568.66619</v>
      </c>
      <c r="C1034">
        <v>22568.66619</v>
      </c>
      <c r="D1034">
        <v>0</v>
      </c>
      <c r="E1034">
        <v>2045.3342479999999</v>
      </c>
      <c r="F1034" s="1">
        <v>10.1</v>
      </c>
      <c r="H1034">
        <v>1630</v>
      </c>
      <c r="I1034" t="str">
        <f t="shared" si="32"/>
        <v>YES</v>
      </c>
      <c r="J1034" t="s">
        <v>1040</v>
      </c>
      <c r="K1034">
        <v>124153.55577799999</v>
      </c>
      <c r="L1034">
        <f t="shared" si="33"/>
        <v>0</v>
      </c>
    </row>
    <row r="1035" spans="1:12" x14ac:dyDescent="0.25">
      <c r="A1035">
        <v>1631</v>
      </c>
      <c r="B1035">
        <v>19934.68736</v>
      </c>
      <c r="C1035">
        <v>19934.68736</v>
      </c>
      <c r="D1035">
        <v>0</v>
      </c>
      <c r="E1035">
        <v>3688.6538919999998</v>
      </c>
      <c r="F1035" s="1">
        <v>16</v>
      </c>
      <c r="H1035">
        <v>1631</v>
      </c>
      <c r="I1035" t="str">
        <f t="shared" si="32"/>
        <v>YES</v>
      </c>
      <c r="J1035" t="s">
        <v>1041</v>
      </c>
      <c r="K1035">
        <v>120735.453993</v>
      </c>
      <c r="L1035">
        <f t="shared" si="33"/>
        <v>0</v>
      </c>
    </row>
    <row r="1036" spans="1:12" x14ac:dyDescent="0.25">
      <c r="A1036">
        <v>1632</v>
      </c>
      <c r="B1036">
        <v>10530.420029999999</v>
      </c>
      <c r="C1036">
        <v>10530.420029999999</v>
      </c>
      <c r="D1036">
        <v>0</v>
      </c>
      <c r="E1036">
        <v>2670.7351039999999</v>
      </c>
      <c r="F1036" s="1">
        <v>6.12</v>
      </c>
      <c r="H1036">
        <v>1632</v>
      </c>
      <c r="I1036" t="str">
        <f t="shared" si="32"/>
        <v>YES</v>
      </c>
      <c r="J1036" t="s">
        <v>1042</v>
      </c>
      <c r="K1036">
        <v>1364966.36069</v>
      </c>
      <c r="L1036">
        <f t="shared" si="33"/>
        <v>0</v>
      </c>
    </row>
    <row r="1037" spans="1:12" x14ac:dyDescent="0.25">
      <c r="A1037">
        <v>1633</v>
      </c>
      <c r="B1037">
        <v>15621.270259999999</v>
      </c>
      <c r="C1037">
        <v>15621.270259999999</v>
      </c>
      <c r="D1037">
        <v>0</v>
      </c>
      <c r="E1037">
        <v>1008.002611</v>
      </c>
      <c r="F1037" s="1">
        <v>3.43</v>
      </c>
      <c r="H1037">
        <v>1633</v>
      </c>
      <c r="I1037" t="str">
        <f t="shared" si="32"/>
        <v>YES</v>
      </c>
      <c r="J1037" t="s">
        <v>1043</v>
      </c>
      <c r="K1037">
        <v>442581.71502300003</v>
      </c>
      <c r="L1037">
        <f t="shared" si="33"/>
        <v>0</v>
      </c>
    </row>
    <row r="1038" spans="1:12" x14ac:dyDescent="0.25">
      <c r="A1038">
        <v>1634</v>
      </c>
      <c r="B1038">
        <v>15081.716780000001</v>
      </c>
      <c r="C1038">
        <v>15081.716780000001</v>
      </c>
      <c r="D1038">
        <v>0</v>
      </c>
      <c r="E1038">
        <v>2665.918823</v>
      </c>
      <c r="F1038" s="1">
        <v>8.75</v>
      </c>
      <c r="H1038">
        <v>1634</v>
      </c>
      <c r="I1038" t="str">
        <f t="shared" si="32"/>
        <v>YES</v>
      </c>
      <c r="J1038" t="s">
        <v>1044</v>
      </c>
      <c r="K1038">
        <v>849129.17789799999</v>
      </c>
      <c r="L1038">
        <f t="shared" si="33"/>
        <v>0</v>
      </c>
    </row>
    <row r="1039" spans="1:12" x14ac:dyDescent="0.25">
      <c r="A1039">
        <v>1635</v>
      </c>
      <c r="B1039">
        <v>19472.835179999998</v>
      </c>
      <c r="C1039">
        <v>19472.835179999998</v>
      </c>
      <c r="D1039">
        <v>0</v>
      </c>
      <c r="E1039">
        <v>819.51663080000003</v>
      </c>
      <c r="F1039" s="1">
        <v>3.47</v>
      </c>
      <c r="H1039">
        <v>1635</v>
      </c>
      <c r="I1039" t="str">
        <f t="shared" si="32"/>
        <v>YES</v>
      </c>
      <c r="J1039" t="s">
        <v>1045</v>
      </c>
      <c r="K1039">
        <v>160928.63076100001</v>
      </c>
      <c r="L1039">
        <f t="shared" si="33"/>
        <v>0</v>
      </c>
    </row>
    <row r="1040" spans="1:12" x14ac:dyDescent="0.25">
      <c r="A1040">
        <v>1637</v>
      </c>
      <c r="B1040">
        <v>379.3032164</v>
      </c>
      <c r="C1040">
        <v>379.3032164</v>
      </c>
      <c r="D1040">
        <v>0</v>
      </c>
      <c r="E1040">
        <v>1450.872333</v>
      </c>
      <c r="F1040" s="1">
        <v>0.12</v>
      </c>
      <c r="H1040">
        <v>1637</v>
      </c>
      <c r="I1040" t="str">
        <f t="shared" si="32"/>
        <v>YES</v>
      </c>
      <c r="J1040" t="s">
        <v>1046</v>
      </c>
      <c r="K1040">
        <v>1989830.6100600001</v>
      </c>
      <c r="L1040">
        <f t="shared" si="33"/>
        <v>0</v>
      </c>
    </row>
    <row r="1041" spans="1:12" x14ac:dyDescent="0.25">
      <c r="A1041">
        <v>1638</v>
      </c>
      <c r="B1041">
        <v>2183.4131560000001</v>
      </c>
      <c r="C1041">
        <v>2183.4131560000001</v>
      </c>
      <c r="D1041">
        <v>0</v>
      </c>
      <c r="E1041">
        <v>3253.0257280000001</v>
      </c>
      <c r="F1041" s="1">
        <v>1.55</v>
      </c>
      <c r="H1041">
        <v>1638</v>
      </c>
      <c r="I1041" t="str">
        <f t="shared" si="32"/>
        <v>YES</v>
      </c>
      <c r="J1041" t="s">
        <v>1047</v>
      </c>
      <c r="K1041">
        <v>1445038.1560500001</v>
      </c>
      <c r="L1041">
        <f t="shared" si="33"/>
        <v>0</v>
      </c>
    </row>
    <row r="1042" spans="1:12" x14ac:dyDescent="0.25">
      <c r="A1042">
        <v>1639</v>
      </c>
      <c r="B1042">
        <v>2277.4385590000002</v>
      </c>
      <c r="C1042">
        <v>2277.4385590000002</v>
      </c>
      <c r="D1042">
        <v>0</v>
      </c>
      <c r="E1042">
        <v>2372.4263540000002</v>
      </c>
      <c r="F1042" s="1">
        <v>1.18</v>
      </c>
      <c r="H1042">
        <v>1639</v>
      </c>
      <c r="I1042" t="str">
        <f t="shared" si="32"/>
        <v>YES</v>
      </c>
      <c r="J1042" t="s">
        <v>1048</v>
      </c>
      <c r="K1042">
        <v>1617465.3713400001</v>
      </c>
      <c r="L1042">
        <f t="shared" si="33"/>
        <v>0</v>
      </c>
    </row>
    <row r="1043" spans="1:12" x14ac:dyDescent="0.25">
      <c r="A1043">
        <v>1640</v>
      </c>
      <c r="B1043">
        <v>10334.02087</v>
      </c>
      <c r="C1043">
        <v>10334.02087</v>
      </c>
      <c r="D1043">
        <v>0</v>
      </c>
      <c r="E1043">
        <v>997.44080469999994</v>
      </c>
      <c r="F1043" s="1">
        <v>2.2400000000000002</v>
      </c>
      <c r="H1043">
        <v>1640</v>
      </c>
      <c r="I1043" t="str">
        <f t="shared" si="32"/>
        <v>YES</v>
      </c>
      <c r="J1043" t="s">
        <v>1049</v>
      </c>
      <c r="K1043">
        <v>455183.41965</v>
      </c>
      <c r="L1043">
        <f t="shared" si="33"/>
        <v>0</v>
      </c>
    </row>
    <row r="1044" spans="1:12" x14ac:dyDescent="0.25">
      <c r="A1044">
        <v>1641</v>
      </c>
      <c r="B1044">
        <v>2541.525838</v>
      </c>
      <c r="C1044">
        <v>2541.525838</v>
      </c>
      <c r="D1044">
        <v>0</v>
      </c>
      <c r="E1044">
        <v>1428.859099</v>
      </c>
      <c r="F1044" s="1">
        <v>0.79100000000000004</v>
      </c>
      <c r="H1044">
        <v>1641</v>
      </c>
      <c r="I1044" t="str">
        <f t="shared" si="32"/>
        <v>YES</v>
      </c>
      <c r="J1044" t="s">
        <v>1050</v>
      </c>
      <c r="K1044">
        <v>568808.04195600003</v>
      </c>
      <c r="L1044">
        <f t="shared" si="33"/>
        <v>0</v>
      </c>
    </row>
    <row r="1045" spans="1:12" x14ac:dyDescent="0.25">
      <c r="A1045">
        <v>1642</v>
      </c>
      <c r="B1045">
        <v>3275.1727999999998</v>
      </c>
      <c r="C1045">
        <v>3275.1727999999998</v>
      </c>
      <c r="D1045">
        <v>0</v>
      </c>
      <c r="E1045">
        <v>2826.8101529999999</v>
      </c>
      <c r="F1045" s="1">
        <v>2.02</v>
      </c>
      <c r="H1045">
        <v>1642</v>
      </c>
      <c r="I1045" t="str">
        <f t="shared" si="32"/>
        <v>YES</v>
      </c>
      <c r="J1045" t="s">
        <v>1051</v>
      </c>
      <c r="K1045">
        <v>1078870.1653</v>
      </c>
      <c r="L1045">
        <f t="shared" si="33"/>
        <v>0</v>
      </c>
    </row>
    <row r="1046" spans="1:12" x14ac:dyDescent="0.25">
      <c r="A1046">
        <v>1643</v>
      </c>
      <c r="B1046">
        <v>6735.0372230000003</v>
      </c>
      <c r="C1046">
        <v>6735.0372230000003</v>
      </c>
      <c r="D1046">
        <v>0</v>
      </c>
      <c r="E1046">
        <v>2470.4853050000002</v>
      </c>
      <c r="F1046" s="1">
        <v>3.62</v>
      </c>
      <c r="H1046">
        <v>1643</v>
      </c>
      <c r="I1046" t="str">
        <f t="shared" si="32"/>
        <v>YES</v>
      </c>
      <c r="J1046" t="s">
        <v>1052</v>
      </c>
      <c r="K1046">
        <v>886997.87331499998</v>
      </c>
      <c r="L1046">
        <f t="shared" si="33"/>
        <v>0</v>
      </c>
    </row>
    <row r="1047" spans="1:12" x14ac:dyDescent="0.25">
      <c r="A1047">
        <v>1644</v>
      </c>
      <c r="B1047">
        <v>6440.8633200000004</v>
      </c>
      <c r="C1047">
        <v>6440.8633200000004</v>
      </c>
      <c r="D1047">
        <v>0</v>
      </c>
      <c r="E1047">
        <v>2320.3950730000001</v>
      </c>
      <c r="F1047" s="1">
        <v>3.25</v>
      </c>
      <c r="H1047">
        <v>1644</v>
      </c>
      <c r="I1047" t="str">
        <f t="shared" si="32"/>
        <v>YES</v>
      </c>
      <c r="J1047" t="s">
        <v>1053</v>
      </c>
      <c r="K1047">
        <v>962891.52092399995</v>
      </c>
      <c r="L1047">
        <f t="shared" si="33"/>
        <v>0</v>
      </c>
    </row>
    <row r="1048" spans="1:12" x14ac:dyDescent="0.25">
      <c r="A1048">
        <v>1645</v>
      </c>
      <c r="B1048">
        <v>5979.4944919999998</v>
      </c>
      <c r="C1048">
        <v>5979.4944919999998</v>
      </c>
      <c r="D1048">
        <v>0</v>
      </c>
      <c r="E1048">
        <v>1998.68515</v>
      </c>
      <c r="F1048" s="1">
        <v>2.6</v>
      </c>
      <c r="H1048">
        <v>1645</v>
      </c>
      <c r="I1048" t="str">
        <f t="shared" si="32"/>
        <v>YES</v>
      </c>
      <c r="J1048" t="s">
        <v>1054</v>
      </c>
      <c r="K1048">
        <v>965324.17191000003</v>
      </c>
      <c r="L1048">
        <f t="shared" si="33"/>
        <v>0</v>
      </c>
    </row>
    <row r="1049" spans="1:12" x14ac:dyDescent="0.25">
      <c r="A1049">
        <v>1700</v>
      </c>
      <c r="B1049">
        <v>917.79045840000003</v>
      </c>
      <c r="C1049">
        <v>917.79045840000003</v>
      </c>
      <c r="D1049">
        <v>0</v>
      </c>
      <c r="E1049">
        <v>1193.899672</v>
      </c>
      <c r="F1049" s="1">
        <v>0.23899999999999999</v>
      </c>
      <c r="H1049">
        <v>1700</v>
      </c>
      <c r="I1049" t="str">
        <f t="shared" si="32"/>
        <v>YES</v>
      </c>
      <c r="J1049" t="s">
        <v>1055</v>
      </c>
      <c r="K1049">
        <v>818194.34834400006</v>
      </c>
      <c r="L1049">
        <f t="shared" si="33"/>
        <v>0</v>
      </c>
    </row>
    <row r="1050" spans="1:12" x14ac:dyDescent="0.25">
      <c r="A1050">
        <v>1701</v>
      </c>
      <c r="B1050">
        <v>17624.568510000001</v>
      </c>
      <c r="C1050">
        <v>17624.568510000001</v>
      </c>
      <c r="D1050">
        <v>0</v>
      </c>
      <c r="E1050">
        <v>2765.9122440000001</v>
      </c>
      <c r="F1050" s="1">
        <v>10.6</v>
      </c>
      <c r="H1050">
        <v>1701</v>
      </c>
      <c r="I1050" t="str">
        <f t="shared" si="32"/>
        <v>YES</v>
      </c>
      <c r="J1050" t="s">
        <v>1056</v>
      </c>
      <c r="K1050">
        <v>713358.72071699996</v>
      </c>
      <c r="L1050">
        <f t="shared" si="33"/>
        <v>0</v>
      </c>
    </row>
    <row r="1051" spans="1:12" x14ac:dyDescent="0.25">
      <c r="A1051">
        <v>1702</v>
      </c>
      <c r="B1051">
        <v>299.0684531</v>
      </c>
      <c r="C1051">
        <v>299.0684531</v>
      </c>
      <c r="D1051">
        <v>0</v>
      </c>
      <c r="E1051">
        <v>3081.7880060000002</v>
      </c>
      <c r="F1051" s="1">
        <v>0.20100000000000001</v>
      </c>
      <c r="H1051">
        <v>1702</v>
      </c>
      <c r="I1051" t="str">
        <f t="shared" si="32"/>
        <v>YES</v>
      </c>
      <c r="J1051" t="s">
        <v>1057</v>
      </c>
      <c r="K1051">
        <v>3184521.9714799998</v>
      </c>
      <c r="L1051">
        <f t="shared" si="33"/>
        <v>0</v>
      </c>
    </row>
    <row r="1052" spans="1:12" x14ac:dyDescent="0.25">
      <c r="A1052">
        <v>1703</v>
      </c>
      <c r="B1052">
        <v>36697.562830000003</v>
      </c>
      <c r="C1052">
        <v>36697.562830000003</v>
      </c>
      <c r="D1052">
        <v>0</v>
      </c>
      <c r="E1052">
        <v>2611.086123</v>
      </c>
      <c r="F1052" s="1">
        <v>20.9</v>
      </c>
      <c r="H1052">
        <v>1703</v>
      </c>
      <c r="I1052" t="str">
        <f t="shared" si="32"/>
        <v>YES</v>
      </c>
      <c r="J1052" t="s">
        <v>1058</v>
      </c>
      <c r="K1052">
        <v>1345119.0056700001</v>
      </c>
      <c r="L1052">
        <f t="shared" si="33"/>
        <v>0</v>
      </c>
    </row>
    <row r="1053" spans="1:12" x14ac:dyDescent="0.25">
      <c r="A1053">
        <v>1704</v>
      </c>
      <c r="B1053">
        <v>5101.3450409999996</v>
      </c>
      <c r="C1053">
        <v>5101.3450409999996</v>
      </c>
      <c r="D1053">
        <v>0</v>
      </c>
      <c r="E1053">
        <v>2733.2241330000002</v>
      </c>
      <c r="F1053" s="1">
        <v>3.04</v>
      </c>
      <c r="H1053">
        <v>1704</v>
      </c>
      <c r="I1053" t="str">
        <f t="shared" si="32"/>
        <v>YES</v>
      </c>
      <c r="J1053" t="s">
        <v>1059</v>
      </c>
      <c r="K1053">
        <v>1299145.79375</v>
      </c>
      <c r="L1053">
        <f t="shared" si="33"/>
        <v>0</v>
      </c>
    </row>
    <row r="1054" spans="1:12" x14ac:dyDescent="0.25">
      <c r="A1054">
        <v>1705</v>
      </c>
      <c r="B1054">
        <v>21386.482929999998</v>
      </c>
      <c r="C1054">
        <v>21386.482929999998</v>
      </c>
      <c r="D1054">
        <v>0</v>
      </c>
      <c r="E1054">
        <v>2692.4997170000001</v>
      </c>
      <c r="F1054" s="1">
        <v>12.5</v>
      </c>
      <c r="H1054">
        <v>1705</v>
      </c>
      <c r="I1054" t="str">
        <f t="shared" si="32"/>
        <v>YES</v>
      </c>
      <c r="J1054" t="s">
        <v>1060</v>
      </c>
      <c r="K1054">
        <v>1425893.3247100001</v>
      </c>
      <c r="L1054">
        <f t="shared" si="33"/>
        <v>0</v>
      </c>
    </row>
    <row r="1055" spans="1:12" x14ac:dyDescent="0.25">
      <c r="A1055">
        <v>1706</v>
      </c>
      <c r="B1055">
        <v>9619.4457490000004</v>
      </c>
      <c r="C1055">
        <v>9619.4457490000004</v>
      </c>
      <c r="D1055">
        <v>0</v>
      </c>
      <c r="E1055">
        <v>3094.153084</v>
      </c>
      <c r="F1055" s="1">
        <v>6.48</v>
      </c>
      <c r="H1055">
        <v>1706</v>
      </c>
      <c r="I1055" t="str">
        <f t="shared" si="32"/>
        <v>YES</v>
      </c>
      <c r="J1055" t="s">
        <v>1061</v>
      </c>
      <c r="K1055">
        <v>926424.40329499997</v>
      </c>
      <c r="L1055">
        <f t="shared" si="33"/>
        <v>0</v>
      </c>
    </row>
    <row r="1056" spans="1:12" x14ac:dyDescent="0.25">
      <c r="A1056">
        <v>1707</v>
      </c>
      <c r="B1056">
        <v>1073.2375179999999</v>
      </c>
      <c r="C1056">
        <v>1073.2375179999999</v>
      </c>
      <c r="D1056">
        <v>0</v>
      </c>
      <c r="E1056">
        <v>2020.2055359999999</v>
      </c>
      <c r="F1056" s="1">
        <v>0.47199999999999998</v>
      </c>
      <c r="H1056">
        <v>1707</v>
      </c>
      <c r="I1056" t="str">
        <f t="shared" si="32"/>
        <v>YES</v>
      </c>
      <c r="J1056" t="s">
        <v>1062</v>
      </c>
      <c r="K1056">
        <v>1016504.7050599999</v>
      </c>
      <c r="L1056">
        <f t="shared" si="33"/>
        <v>0</v>
      </c>
    </row>
    <row r="1057" spans="1:12" x14ac:dyDescent="0.25">
      <c r="A1057">
        <v>1708</v>
      </c>
      <c r="B1057">
        <v>3807.7362720000001</v>
      </c>
      <c r="C1057">
        <v>3807.7362720000001</v>
      </c>
      <c r="D1057">
        <v>0</v>
      </c>
      <c r="E1057">
        <v>1954.231485</v>
      </c>
      <c r="F1057" s="1">
        <v>1.62</v>
      </c>
      <c r="H1057">
        <v>1708</v>
      </c>
      <c r="I1057" t="str">
        <f t="shared" si="32"/>
        <v>YES</v>
      </c>
      <c r="J1057" t="s">
        <v>1063</v>
      </c>
      <c r="K1057">
        <v>920621.891298</v>
      </c>
      <c r="L1057">
        <f t="shared" si="33"/>
        <v>0</v>
      </c>
    </row>
    <row r="1058" spans="1:12" x14ac:dyDescent="0.25">
      <c r="A1058">
        <v>1710</v>
      </c>
      <c r="B1058">
        <v>9766.8109750000003</v>
      </c>
      <c r="C1058">
        <v>9766.8109750000003</v>
      </c>
      <c r="D1058">
        <v>0</v>
      </c>
      <c r="E1058">
        <v>4241.9339410000002</v>
      </c>
      <c r="F1058" s="1">
        <v>9.02</v>
      </c>
      <c r="H1058">
        <v>1710</v>
      </c>
      <c r="I1058" t="str">
        <f t="shared" si="32"/>
        <v>YES</v>
      </c>
      <c r="J1058" t="s">
        <v>1064</v>
      </c>
      <c r="K1058">
        <v>2487476.13686</v>
      </c>
      <c r="L1058">
        <f t="shared" si="33"/>
        <v>0</v>
      </c>
    </row>
    <row r="1059" spans="1:12" x14ac:dyDescent="0.25">
      <c r="A1059">
        <v>1711</v>
      </c>
      <c r="B1059">
        <v>37194.210030000002</v>
      </c>
      <c r="C1059">
        <v>37194.210030000002</v>
      </c>
      <c r="D1059">
        <v>0</v>
      </c>
      <c r="E1059">
        <v>3411.9985790000001</v>
      </c>
      <c r="F1059" s="1">
        <v>27.6</v>
      </c>
      <c r="H1059">
        <v>1711</v>
      </c>
      <c r="I1059" t="str">
        <f t="shared" si="32"/>
        <v>YES</v>
      </c>
      <c r="J1059" t="s">
        <v>1065</v>
      </c>
      <c r="K1059">
        <v>1503764.4485200001</v>
      </c>
      <c r="L1059">
        <f t="shared" si="33"/>
        <v>0</v>
      </c>
    </row>
    <row r="1060" spans="1:12" x14ac:dyDescent="0.25">
      <c r="A1060">
        <v>1712</v>
      </c>
      <c r="B1060">
        <v>29980.5746</v>
      </c>
      <c r="C1060">
        <v>29980.5746</v>
      </c>
      <c r="D1060">
        <v>0</v>
      </c>
      <c r="E1060">
        <v>3267.7753950000001</v>
      </c>
      <c r="F1060" s="1">
        <v>21.3</v>
      </c>
      <c r="H1060">
        <v>1712</v>
      </c>
      <c r="I1060" t="str">
        <f t="shared" si="32"/>
        <v>YES</v>
      </c>
      <c r="J1060" t="s">
        <v>1066</v>
      </c>
      <c r="K1060">
        <v>2027493.5780799999</v>
      </c>
      <c r="L1060">
        <f t="shared" si="33"/>
        <v>0</v>
      </c>
    </row>
    <row r="1061" spans="1:12" x14ac:dyDescent="0.25">
      <c r="A1061">
        <v>1713</v>
      </c>
      <c r="B1061">
        <v>9785.4176480000006</v>
      </c>
      <c r="C1061">
        <v>9785.4176480000006</v>
      </c>
      <c r="D1061">
        <v>0</v>
      </c>
      <c r="E1061">
        <v>4026.7023669999999</v>
      </c>
      <c r="F1061" s="1">
        <v>8.58</v>
      </c>
      <c r="H1061">
        <v>1713</v>
      </c>
      <c r="I1061" t="str">
        <f t="shared" si="32"/>
        <v>YES</v>
      </c>
      <c r="J1061" t="s">
        <v>1067</v>
      </c>
      <c r="K1061">
        <v>1570459.7562200001</v>
      </c>
      <c r="L1061">
        <f t="shared" si="33"/>
        <v>0</v>
      </c>
    </row>
    <row r="1062" spans="1:12" x14ac:dyDescent="0.25">
      <c r="A1062">
        <v>1714</v>
      </c>
      <c r="B1062">
        <v>94149.781860000003</v>
      </c>
      <c r="C1062">
        <v>94149.781860000003</v>
      </c>
      <c r="D1062">
        <v>0</v>
      </c>
      <c r="E1062">
        <v>2778.707167</v>
      </c>
      <c r="F1062" s="1">
        <v>57</v>
      </c>
      <c r="H1062">
        <v>1714</v>
      </c>
      <c r="I1062" t="str">
        <f t="shared" si="32"/>
        <v>YES</v>
      </c>
      <c r="J1062" t="s">
        <v>1068</v>
      </c>
      <c r="K1062">
        <v>941094.40270500001</v>
      </c>
      <c r="L1062">
        <f t="shared" si="33"/>
        <v>0</v>
      </c>
    </row>
    <row r="1063" spans="1:12" x14ac:dyDescent="0.25">
      <c r="A1063">
        <v>1715</v>
      </c>
      <c r="B1063">
        <v>778.39056559999995</v>
      </c>
      <c r="C1063">
        <v>778.39056559999995</v>
      </c>
      <c r="D1063">
        <v>0</v>
      </c>
      <c r="E1063">
        <v>1388.904595</v>
      </c>
      <c r="F1063" s="1">
        <v>0.23499999999999999</v>
      </c>
      <c r="H1063">
        <v>1715</v>
      </c>
      <c r="I1063" t="str">
        <f t="shared" si="32"/>
        <v>YES</v>
      </c>
      <c r="J1063" t="s">
        <v>1069</v>
      </c>
      <c r="K1063">
        <v>1490381.3962300001</v>
      </c>
      <c r="L1063">
        <f t="shared" si="33"/>
        <v>0</v>
      </c>
    </row>
    <row r="1064" spans="1:12" x14ac:dyDescent="0.25">
      <c r="A1064">
        <v>1716</v>
      </c>
      <c r="B1064">
        <v>37490.105799999998</v>
      </c>
      <c r="C1064">
        <v>37490.105799999998</v>
      </c>
      <c r="D1064">
        <v>0</v>
      </c>
      <c r="E1064">
        <v>3448.081819</v>
      </c>
      <c r="F1064" s="1">
        <v>28.1</v>
      </c>
      <c r="H1064">
        <v>1716</v>
      </c>
      <c r="I1064" t="str">
        <f t="shared" si="32"/>
        <v>YES</v>
      </c>
      <c r="J1064" t="s">
        <v>1070</v>
      </c>
      <c r="K1064">
        <v>978110.80229300004</v>
      </c>
      <c r="L1064">
        <f t="shared" si="33"/>
        <v>0</v>
      </c>
    </row>
    <row r="1065" spans="1:12" x14ac:dyDescent="0.25">
      <c r="A1065">
        <v>1717</v>
      </c>
      <c r="B1065">
        <v>2183.8464359999998</v>
      </c>
      <c r="C1065">
        <v>2183.8464359999998</v>
      </c>
      <c r="D1065">
        <v>0</v>
      </c>
      <c r="E1065">
        <v>1511.896137</v>
      </c>
      <c r="F1065" s="1">
        <v>0.71899999999999997</v>
      </c>
      <c r="H1065">
        <v>1717</v>
      </c>
      <c r="I1065" t="str">
        <f t="shared" si="32"/>
        <v>YES</v>
      </c>
      <c r="J1065" t="s">
        <v>1071</v>
      </c>
      <c r="K1065">
        <v>856367.39618699998</v>
      </c>
      <c r="L1065">
        <f t="shared" si="33"/>
        <v>0</v>
      </c>
    </row>
    <row r="1066" spans="1:12" x14ac:dyDescent="0.25">
      <c r="A1066">
        <v>1720</v>
      </c>
      <c r="B1066">
        <v>3700.7550900000001</v>
      </c>
      <c r="C1066">
        <v>3700.7550900000001</v>
      </c>
      <c r="D1066">
        <v>0</v>
      </c>
      <c r="E1066">
        <v>3296.5632649999998</v>
      </c>
      <c r="F1066" s="1">
        <v>2.66</v>
      </c>
      <c r="H1066">
        <v>1720</v>
      </c>
      <c r="I1066" t="str">
        <f t="shared" si="32"/>
        <v>YES</v>
      </c>
      <c r="J1066" t="s">
        <v>1072</v>
      </c>
      <c r="K1066">
        <v>1458674.9203699999</v>
      </c>
      <c r="L1066">
        <f t="shared" si="33"/>
        <v>0</v>
      </c>
    </row>
    <row r="1067" spans="1:12" x14ac:dyDescent="0.25">
      <c r="A1067">
        <v>1721</v>
      </c>
      <c r="B1067">
        <v>11518.675800000001</v>
      </c>
      <c r="C1067">
        <v>11518.675800000001</v>
      </c>
      <c r="D1067">
        <v>0</v>
      </c>
      <c r="E1067">
        <v>1622.364429</v>
      </c>
      <c r="F1067" s="1">
        <v>4.07</v>
      </c>
      <c r="H1067">
        <v>1721</v>
      </c>
      <c r="I1067" t="str">
        <f t="shared" si="32"/>
        <v>YES</v>
      </c>
      <c r="J1067" t="s">
        <v>1073</v>
      </c>
      <c r="K1067">
        <v>900235.51870899997</v>
      </c>
      <c r="L1067">
        <f t="shared" si="33"/>
        <v>0</v>
      </c>
    </row>
    <row r="1068" spans="1:12" x14ac:dyDescent="0.25">
      <c r="A1068">
        <v>1722</v>
      </c>
      <c r="B1068">
        <v>7421.6540779999996</v>
      </c>
      <c r="C1068">
        <v>7421.6540779999996</v>
      </c>
      <c r="D1068">
        <v>0</v>
      </c>
      <c r="E1068">
        <v>1480.47939</v>
      </c>
      <c r="F1068" s="1">
        <v>2.39</v>
      </c>
      <c r="H1068">
        <v>1722</v>
      </c>
      <c r="I1068" t="str">
        <f t="shared" si="32"/>
        <v>YES</v>
      </c>
      <c r="J1068" t="s">
        <v>1074</v>
      </c>
      <c r="K1068">
        <v>757586.29365999997</v>
      </c>
      <c r="L1068">
        <f t="shared" si="33"/>
        <v>0</v>
      </c>
    </row>
    <row r="1069" spans="1:12" x14ac:dyDescent="0.25">
      <c r="A1069">
        <v>1723</v>
      </c>
      <c r="B1069">
        <v>824.15597309999998</v>
      </c>
      <c r="C1069">
        <v>824.15597309999998</v>
      </c>
      <c r="D1069">
        <v>0</v>
      </c>
      <c r="E1069">
        <v>1693.5438939999999</v>
      </c>
      <c r="F1069" s="1">
        <v>0.30399999999999999</v>
      </c>
      <c r="H1069">
        <v>1723</v>
      </c>
      <c r="I1069" t="str">
        <f t="shared" si="32"/>
        <v>YES</v>
      </c>
      <c r="J1069" t="s">
        <v>1075</v>
      </c>
      <c r="K1069">
        <v>1885833.9403299999</v>
      </c>
      <c r="L1069">
        <f t="shared" si="33"/>
        <v>0</v>
      </c>
    </row>
    <row r="1070" spans="1:12" x14ac:dyDescent="0.25">
      <c r="A1070">
        <v>1724</v>
      </c>
      <c r="B1070">
        <v>8195.7074730000004</v>
      </c>
      <c r="C1070">
        <v>8195.7074730000004</v>
      </c>
      <c r="D1070">
        <v>0</v>
      </c>
      <c r="E1070">
        <v>3403.2627889999999</v>
      </c>
      <c r="F1070" s="1">
        <v>6.07</v>
      </c>
      <c r="H1070">
        <v>1724</v>
      </c>
      <c r="I1070" t="str">
        <f t="shared" si="32"/>
        <v>YES</v>
      </c>
      <c r="J1070" t="s">
        <v>1076</v>
      </c>
      <c r="K1070">
        <v>1553555.3892600001</v>
      </c>
      <c r="L1070">
        <f t="shared" si="33"/>
        <v>0</v>
      </c>
    </row>
    <row r="1071" spans="1:12" x14ac:dyDescent="0.25">
      <c r="A1071">
        <v>1725</v>
      </c>
      <c r="B1071">
        <v>13197.781419999999</v>
      </c>
      <c r="C1071">
        <v>13197.781419999999</v>
      </c>
      <c r="D1071">
        <v>0</v>
      </c>
      <c r="E1071">
        <v>3683.1925219999998</v>
      </c>
      <c r="F1071" s="1">
        <v>10.6</v>
      </c>
      <c r="H1071">
        <v>1725</v>
      </c>
      <c r="I1071" t="str">
        <f t="shared" si="32"/>
        <v>YES</v>
      </c>
      <c r="J1071" t="s">
        <v>1077</v>
      </c>
      <c r="K1071">
        <v>1990178.1598700001</v>
      </c>
      <c r="L1071">
        <f t="shared" si="33"/>
        <v>0</v>
      </c>
    </row>
    <row r="1072" spans="1:12" x14ac:dyDescent="0.25">
      <c r="A1072">
        <v>1726</v>
      </c>
      <c r="B1072">
        <v>33336.419479999997</v>
      </c>
      <c r="C1072">
        <v>33336.419479999997</v>
      </c>
      <c r="D1072">
        <v>0</v>
      </c>
      <c r="E1072">
        <v>1833.593711</v>
      </c>
      <c r="F1072" s="1">
        <v>13.3</v>
      </c>
      <c r="H1072">
        <v>1726</v>
      </c>
      <c r="I1072" t="str">
        <f t="shared" si="32"/>
        <v>YES</v>
      </c>
      <c r="J1072" t="s">
        <v>1078</v>
      </c>
      <c r="K1072">
        <v>1686753.70569</v>
      </c>
      <c r="L1072">
        <f t="shared" si="33"/>
        <v>0</v>
      </c>
    </row>
    <row r="1073" spans="1:12" x14ac:dyDescent="0.25">
      <c r="A1073">
        <v>1729</v>
      </c>
      <c r="B1073">
        <v>272.491153</v>
      </c>
      <c r="C1073">
        <v>272.491153</v>
      </c>
      <c r="D1073">
        <v>0</v>
      </c>
      <c r="E1073">
        <v>3265.0050460000002</v>
      </c>
      <c r="F1073" s="1">
        <v>0.19400000000000001</v>
      </c>
      <c r="H1073">
        <v>1729</v>
      </c>
      <c r="I1073" t="str">
        <f t="shared" si="32"/>
        <v>YES</v>
      </c>
      <c r="J1073" t="s">
        <v>1079</v>
      </c>
      <c r="K1073">
        <v>3472618.8413</v>
      </c>
      <c r="L1073">
        <f t="shared" si="33"/>
        <v>0</v>
      </c>
    </row>
    <row r="1074" spans="1:12" x14ac:dyDescent="0.25">
      <c r="A1074">
        <v>1730</v>
      </c>
      <c r="B1074">
        <v>2886.103709</v>
      </c>
      <c r="C1074">
        <v>2886.103709</v>
      </c>
      <c r="D1074">
        <v>0</v>
      </c>
      <c r="E1074">
        <v>4154.4548860000004</v>
      </c>
      <c r="F1074" s="1">
        <v>2.61</v>
      </c>
      <c r="H1074">
        <v>1730</v>
      </c>
      <c r="I1074" t="str">
        <f t="shared" si="32"/>
        <v>YES</v>
      </c>
      <c r="J1074" t="s">
        <v>1080</v>
      </c>
      <c r="K1074">
        <v>5955470.57969</v>
      </c>
      <c r="L1074">
        <f t="shared" si="33"/>
        <v>0</v>
      </c>
    </row>
    <row r="1075" spans="1:12" x14ac:dyDescent="0.25">
      <c r="A1075">
        <v>1731</v>
      </c>
      <c r="B1075">
        <v>3094.7458839999999</v>
      </c>
      <c r="C1075">
        <v>3094.7458839999999</v>
      </c>
      <c r="D1075">
        <v>0</v>
      </c>
      <c r="E1075">
        <v>3518.7753769999999</v>
      </c>
      <c r="F1075" s="1">
        <v>2.37</v>
      </c>
      <c r="H1075">
        <v>1731</v>
      </c>
      <c r="I1075" t="str">
        <f t="shared" si="32"/>
        <v>YES</v>
      </c>
      <c r="J1075" t="s">
        <v>1081</v>
      </c>
      <c r="K1075">
        <v>2149119.69778</v>
      </c>
      <c r="L1075">
        <f t="shared" si="33"/>
        <v>0</v>
      </c>
    </row>
    <row r="1076" spans="1:12" x14ac:dyDescent="0.25">
      <c r="A1076">
        <v>1732</v>
      </c>
      <c r="B1076">
        <v>8586.8936059999996</v>
      </c>
      <c r="C1076">
        <v>8586.8936059999996</v>
      </c>
      <c r="D1076">
        <v>0</v>
      </c>
      <c r="E1076">
        <v>3022.23785</v>
      </c>
      <c r="F1076" s="1">
        <v>5.65</v>
      </c>
      <c r="H1076">
        <v>1732</v>
      </c>
      <c r="I1076" t="str">
        <f t="shared" si="32"/>
        <v>YES</v>
      </c>
      <c r="J1076" t="s">
        <v>1082</v>
      </c>
      <c r="K1076">
        <v>644345.64249100001</v>
      </c>
      <c r="L1076">
        <f t="shared" si="33"/>
        <v>0</v>
      </c>
    </row>
    <row r="1077" spans="1:12" x14ac:dyDescent="0.25">
      <c r="A1077">
        <v>1733</v>
      </c>
      <c r="B1077">
        <v>2388.0043540000001</v>
      </c>
      <c r="C1077">
        <v>2388.0043540000001</v>
      </c>
      <c r="D1077">
        <v>0</v>
      </c>
      <c r="E1077">
        <v>2223.270082</v>
      </c>
      <c r="F1077" s="1">
        <v>1.1599999999999999</v>
      </c>
      <c r="H1077">
        <v>1733</v>
      </c>
      <c r="I1077" t="str">
        <f t="shared" si="32"/>
        <v>YES</v>
      </c>
      <c r="J1077" t="s">
        <v>1083</v>
      </c>
      <c r="K1077">
        <v>1614018.7511199999</v>
      </c>
      <c r="L1077">
        <f t="shared" si="33"/>
        <v>0</v>
      </c>
    </row>
    <row r="1078" spans="1:12" x14ac:dyDescent="0.25">
      <c r="A1078">
        <v>1734</v>
      </c>
      <c r="B1078">
        <v>3031.7554289999998</v>
      </c>
      <c r="C1078">
        <v>3031.7554289999998</v>
      </c>
      <c r="D1078">
        <v>0</v>
      </c>
      <c r="E1078">
        <v>1334.1253879999999</v>
      </c>
      <c r="F1078" s="1">
        <v>0.88100000000000001</v>
      </c>
      <c r="H1078">
        <v>1734</v>
      </c>
      <c r="I1078" t="str">
        <f t="shared" si="32"/>
        <v>YES</v>
      </c>
      <c r="J1078" t="s">
        <v>1084</v>
      </c>
      <c r="K1078">
        <v>839086.26555000001</v>
      </c>
      <c r="L1078">
        <f t="shared" si="33"/>
        <v>0</v>
      </c>
    </row>
    <row r="1079" spans="1:12" x14ac:dyDescent="0.25">
      <c r="A1079">
        <v>1735</v>
      </c>
      <c r="B1079">
        <v>542.55276990000004</v>
      </c>
      <c r="C1079">
        <v>542.55276990000004</v>
      </c>
      <c r="D1079">
        <v>0</v>
      </c>
      <c r="E1079">
        <v>2242.6903809999999</v>
      </c>
      <c r="F1079" s="1">
        <v>0.26500000000000001</v>
      </c>
      <c r="H1079">
        <v>1735</v>
      </c>
      <c r="I1079" t="str">
        <f t="shared" si="32"/>
        <v>YES</v>
      </c>
      <c r="J1079" t="s">
        <v>1085</v>
      </c>
      <c r="K1079">
        <v>1747957.1148900001</v>
      </c>
      <c r="L1079">
        <f t="shared" si="33"/>
        <v>0</v>
      </c>
    </row>
    <row r="1080" spans="1:12" x14ac:dyDescent="0.25">
      <c r="A1080">
        <v>1736</v>
      </c>
      <c r="B1080">
        <v>4015.5195349999999</v>
      </c>
      <c r="C1080">
        <v>4015.5195349999999</v>
      </c>
      <c r="D1080">
        <v>0</v>
      </c>
      <c r="E1080">
        <v>1432.4409900000001</v>
      </c>
      <c r="F1080" s="1">
        <v>1.25</v>
      </c>
      <c r="H1080">
        <v>1736</v>
      </c>
      <c r="I1080" t="str">
        <f t="shared" si="32"/>
        <v>YES</v>
      </c>
      <c r="J1080" t="s">
        <v>1086</v>
      </c>
      <c r="K1080">
        <v>1321499.7222800001</v>
      </c>
      <c r="L1080">
        <f t="shared" si="33"/>
        <v>0</v>
      </c>
    </row>
    <row r="1081" spans="1:12" x14ac:dyDescent="0.25">
      <c r="A1081">
        <v>1739</v>
      </c>
      <c r="B1081">
        <v>1494.326468</v>
      </c>
      <c r="C1081">
        <v>1494.326468</v>
      </c>
      <c r="D1081">
        <v>0</v>
      </c>
      <c r="F1081" s="1">
        <v>0</v>
      </c>
      <c r="H1081">
        <v>1739</v>
      </c>
      <c r="I1081" t="str">
        <f t="shared" si="32"/>
        <v>YES</v>
      </c>
      <c r="J1081" t="s">
        <v>1087</v>
      </c>
      <c r="K1081">
        <v>11554165.9377</v>
      </c>
      <c r="L1081">
        <f t="shared" si="33"/>
        <v>0</v>
      </c>
    </row>
    <row r="1082" spans="1:12" x14ac:dyDescent="0.25">
      <c r="A1082">
        <v>1740</v>
      </c>
      <c r="B1082">
        <v>2013.0735910000001</v>
      </c>
      <c r="C1082">
        <v>2013.0735910000001</v>
      </c>
      <c r="D1082">
        <v>0</v>
      </c>
      <c r="E1082">
        <v>2484.5943619999998</v>
      </c>
      <c r="F1082" s="1">
        <v>1.0900000000000001</v>
      </c>
      <c r="H1082">
        <v>1740</v>
      </c>
      <c r="I1082" t="str">
        <f t="shared" si="32"/>
        <v>YES</v>
      </c>
      <c r="J1082" t="s">
        <v>1088</v>
      </c>
      <c r="K1082">
        <v>1223042.4046700001</v>
      </c>
      <c r="L1082">
        <f t="shared" si="33"/>
        <v>0</v>
      </c>
    </row>
    <row r="1083" spans="1:12" x14ac:dyDescent="0.25">
      <c r="A1083">
        <v>1741</v>
      </c>
      <c r="B1083">
        <v>1730.913933</v>
      </c>
      <c r="C1083">
        <v>1730.913933</v>
      </c>
      <c r="D1083">
        <v>0</v>
      </c>
      <c r="E1083">
        <v>2198.981679</v>
      </c>
      <c r="F1083" s="1">
        <v>0.82899999999999996</v>
      </c>
      <c r="H1083">
        <v>1741</v>
      </c>
      <c r="I1083" t="str">
        <f t="shared" si="32"/>
        <v>YES</v>
      </c>
      <c r="J1083" t="s">
        <v>1089</v>
      </c>
      <c r="K1083">
        <v>971414.07475999999</v>
      </c>
      <c r="L1083">
        <f t="shared" si="33"/>
        <v>0</v>
      </c>
    </row>
    <row r="1084" spans="1:12" x14ac:dyDescent="0.25">
      <c r="A1084">
        <v>1742</v>
      </c>
      <c r="B1084">
        <v>14014.81279</v>
      </c>
      <c r="C1084">
        <v>14014.81279</v>
      </c>
      <c r="D1084">
        <v>0</v>
      </c>
      <c r="E1084">
        <v>2528.923456</v>
      </c>
      <c r="F1084" s="1">
        <v>7.72</v>
      </c>
      <c r="H1084">
        <v>1742</v>
      </c>
      <c r="I1084" t="str">
        <f t="shared" si="32"/>
        <v>YES</v>
      </c>
      <c r="J1084" t="s">
        <v>1090</v>
      </c>
      <c r="K1084">
        <v>887733.08433800004</v>
      </c>
      <c r="L1084">
        <f t="shared" si="33"/>
        <v>0</v>
      </c>
    </row>
    <row r="1085" spans="1:12" x14ac:dyDescent="0.25">
      <c r="A1085">
        <v>1743</v>
      </c>
      <c r="B1085">
        <v>2260.3449690000002</v>
      </c>
      <c r="C1085">
        <v>2260.3449690000002</v>
      </c>
      <c r="D1085">
        <v>0</v>
      </c>
      <c r="E1085">
        <v>3280.5562580000001</v>
      </c>
      <c r="F1085" s="1">
        <v>1.61</v>
      </c>
      <c r="H1085">
        <v>1743</v>
      </c>
      <c r="I1085" t="str">
        <f t="shared" si="32"/>
        <v>YES</v>
      </c>
      <c r="J1085" t="s">
        <v>1091</v>
      </c>
      <c r="K1085">
        <v>1338016.7951400001</v>
      </c>
      <c r="L1085">
        <f t="shared" si="33"/>
        <v>0</v>
      </c>
    </row>
    <row r="1086" spans="1:12" x14ac:dyDescent="0.25">
      <c r="A1086">
        <v>1744</v>
      </c>
      <c r="B1086">
        <v>2766.994099</v>
      </c>
      <c r="C1086">
        <v>2766.994099</v>
      </c>
      <c r="D1086">
        <v>0</v>
      </c>
      <c r="E1086">
        <v>1548.653188</v>
      </c>
      <c r="F1086" s="1">
        <v>0.93300000000000005</v>
      </c>
      <c r="H1086">
        <v>1744</v>
      </c>
      <c r="I1086" t="str">
        <f t="shared" si="32"/>
        <v>YES</v>
      </c>
      <c r="J1086" t="s">
        <v>1092</v>
      </c>
      <c r="K1086">
        <v>1429426.1267200001</v>
      </c>
      <c r="L1086">
        <f t="shared" si="33"/>
        <v>0</v>
      </c>
    </row>
    <row r="1087" spans="1:12" x14ac:dyDescent="0.25">
      <c r="A1087">
        <v>1745</v>
      </c>
      <c r="B1087">
        <v>1295.9373660000001</v>
      </c>
      <c r="C1087">
        <v>1295.9373660000001</v>
      </c>
      <c r="D1087">
        <v>0</v>
      </c>
      <c r="E1087">
        <v>3565.6447330000001</v>
      </c>
      <c r="F1087" s="1">
        <v>1.01</v>
      </c>
      <c r="H1087">
        <v>1745</v>
      </c>
      <c r="I1087" t="str">
        <f t="shared" si="32"/>
        <v>YES</v>
      </c>
      <c r="J1087" t="s">
        <v>1093</v>
      </c>
      <c r="K1087">
        <v>3201446.1554700001</v>
      </c>
      <c r="L1087">
        <f t="shared" si="33"/>
        <v>0</v>
      </c>
    </row>
    <row r="1088" spans="1:12" x14ac:dyDescent="0.25">
      <c r="A1088">
        <v>1748</v>
      </c>
      <c r="B1088">
        <v>556.61594200000002</v>
      </c>
      <c r="C1088">
        <v>556.61594200000002</v>
      </c>
      <c r="D1088">
        <v>0</v>
      </c>
      <c r="E1088">
        <v>2447.923182</v>
      </c>
      <c r="F1088" s="1">
        <v>0.29699999999999999</v>
      </c>
      <c r="H1088">
        <v>1748</v>
      </c>
      <c r="I1088" t="str">
        <f t="shared" si="32"/>
        <v>YES</v>
      </c>
      <c r="J1088" t="s">
        <v>1094</v>
      </c>
      <c r="K1088">
        <v>4095585.4641499999</v>
      </c>
      <c r="L1088">
        <f t="shared" si="33"/>
        <v>0</v>
      </c>
    </row>
    <row r="1089" spans="1:12" x14ac:dyDescent="0.25">
      <c r="A1089">
        <v>1749</v>
      </c>
      <c r="B1089">
        <v>5491.0428149999998</v>
      </c>
      <c r="C1089">
        <v>5491.0428149999998</v>
      </c>
      <c r="D1089">
        <v>0</v>
      </c>
      <c r="E1089">
        <v>3076.6739779999998</v>
      </c>
      <c r="F1089" s="1">
        <v>3.68</v>
      </c>
      <c r="H1089">
        <v>1749</v>
      </c>
      <c r="I1089" t="str">
        <f t="shared" si="32"/>
        <v>YES</v>
      </c>
      <c r="J1089" t="s">
        <v>1095</v>
      </c>
      <c r="K1089">
        <v>1701153.5356399999</v>
      </c>
      <c r="L1089">
        <f t="shared" si="33"/>
        <v>0</v>
      </c>
    </row>
    <row r="1090" spans="1:12" x14ac:dyDescent="0.25">
      <c r="A1090">
        <v>1750</v>
      </c>
      <c r="B1090">
        <v>1148.992757</v>
      </c>
      <c r="C1090">
        <v>1148.992757</v>
      </c>
      <c r="D1090">
        <v>0</v>
      </c>
      <c r="E1090">
        <v>1221.4586509999999</v>
      </c>
      <c r="F1090" s="1">
        <v>0.30599999999999999</v>
      </c>
      <c r="H1090">
        <v>1750</v>
      </c>
      <c r="I1090" t="str">
        <f t="shared" si="32"/>
        <v>YES</v>
      </c>
      <c r="J1090" t="s">
        <v>1096</v>
      </c>
      <c r="K1090">
        <v>619829.61948400002</v>
      </c>
      <c r="L1090">
        <f t="shared" si="33"/>
        <v>0</v>
      </c>
    </row>
    <row r="1091" spans="1:12" x14ac:dyDescent="0.25">
      <c r="A1091">
        <v>1751</v>
      </c>
      <c r="B1091">
        <v>13596.671759999999</v>
      </c>
      <c r="C1091">
        <v>13596.671759999999</v>
      </c>
      <c r="D1091">
        <v>0</v>
      </c>
      <c r="E1091">
        <v>2721.9788669999998</v>
      </c>
      <c r="F1091" s="1">
        <v>8.06</v>
      </c>
      <c r="H1091">
        <v>1751</v>
      </c>
      <c r="I1091" t="str">
        <f t="shared" ref="I1091:I1150" si="34">IF(A1091=H1091,"YES","NO")</f>
        <v>YES</v>
      </c>
      <c r="J1091" t="s">
        <v>1097</v>
      </c>
      <c r="K1091">
        <v>1234551.2671999999</v>
      </c>
      <c r="L1091">
        <f t="shared" ref="L1091:L1154" si="35">EXP(0.2052)*K1091*(D1091/C1091)</f>
        <v>0</v>
      </c>
    </row>
    <row r="1092" spans="1:12" x14ac:dyDescent="0.25">
      <c r="A1092">
        <v>1752</v>
      </c>
      <c r="B1092">
        <v>4701.0024240000002</v>
      </c>
      <c r="C1092">
        <v>4701.0024240000002</v>
      </c>
      <c r="D1092">
        <v>0</v>
      </c>
      <c r="E1092">
        <v>2091.871494</v>
      </c>
      <c r="F1092" s="1">
        <v>2.14</v>
      </c>
      <c r="H1092">
        <v>1752</v>
      </c>
      <c r="I1092" t="str">
        <f t="shared" si="34"/>
        <v>YES</v>
      </c>
      <c r="J1092" t="s">
        <v>1098</v>
      </c>
      <c r="K1092">
        <v>976996.29651799996</v>
      </c>
      <c r="L1092">
        <f t="shared" si="35"/>
        <v>0</v>
      </c>
    </row>
    <row r="1093" spans="1:12" x14ac:dyDescent="0.25">
      <c r="A1093">
        <v>1753</v>
      </c>
      <c r="B1093">
        <v>13572.34319</v>
      </c>
      <c r="C1093">
        <v>13572.34319</v>
      </c>
      <c r="D1093">
        <v>0</v>
      </c>
      <c r="E1093">
        <v>2015.4592769999999</v>
      </c>
      <c r="F1093" s="1">
        <v>5.96</v>
      </c>
      <c r="H1093">
        <v>1753</v>
      </c>
      <c r="I1093" t="str">
        <f t="shared" si="34"/>
        <v>YES</v>
      </c>
      <c r="J1093" t="s">
        <v>1099</v>
      </c>
      <c r="K1093">
        <v>959771.03182399995</v>
      </c>
      <c r="L1093">
        <f t="shared" si="35"/>
        <v>0</v>
      </c>
    </row>
    <row r="1094" spans="1:12" x14ac:dyDescent="0.25">
      <c r="A1094">
        <v>1754</v>
      </c>
      <c r="B1094">
        <v>2070.657745</v>
      </c>
      <c r="C1094">
        <v>2070.657745</v>
      </c>
      <c r="D1094">
        <v>0</v>
      </c>
      <c r="E1094">
        <v>3032.0925670000001</v>
      </c>
      <c r="F1094" s="1">
        <v>1.37</v>
      </c>
      <c r="H1094">
        <v>1754</v>
      </c>
      <c r="I1094" t="str">
        <f t="shared" si="34"/>
        <v>YES</v>
      </c>
      <c r="J1094" t="s">
        <v>1100</v>
      </c>
      <c r="K1094">
        <v>1571836.92851</v>
      </c>
      <c r="L1094">
        <f t="shared" si="35"/>
        <v>0</v>
      </c>
    </row>
    <row r="1095" spans="1:12" x14ac:dyDescent="0.25">
      <c r="A1095">
        <v>1755</v>
      </c>
      <c r="B1095">
        <v>3203.1988839999999</v>
      </c>
      <c r="C1095">
        <v>3203.1988839999999</v>
      </c>
      <c r="D1095">
        <v>0</v>
      </c>
      <c r="E1095">
        <v>1828.5419850000001</v>
      </c>
      <c r="F1095" s="1">
        <v>1.28</v>
      </c>
      <c r="H1095">
        <v>1755</v>
      </c>
      <c r="I1095" t="str">
        <f t="shared" si="34"/>
        <v>YES</v>
      </c>
      <c r="J1095" t="s">
        <v>1101</v>
      </c>
      <c r="K1095">
        <v>2142205.1806600001</v>
      </c>
      <c r="L1095">
        <f t="shared" si="35"/>
        <v>0</v>
      </c>
    </row>
    <row r="1096" spans="1:12" x14ac:dyDescent="0.25">
      <c r="A1096">
        <v>1800</v>
      </c>
      <c r="B1096">
        <v>35268.378140000001</v>
      </c>
      <c r="C1096">
        <v>35268.378140000001</v>
      </c>
      <c r="D1096">
        <v>0</v>
      </c>
      <c r="E1096">
        <v>2237.50675</v>
      </c>
      <c r="F1096" s="1">
        <v>17.2</v>
      </c>
      <c r="H1096">
        <v>1800</v>
      </c>
      <c r="I1096" t="str">
        <f t="shared" si="34"/>
        <v>YES</v>
      </c>
      <c r="J1096" t="s">
        <v>1102</v>
      </c>
      <c r="K1096">
        <v>650457.25314599997</v>
      </c>
      <c r="L1096">
        <f t="shared" si="35"/>
        <v>0</v>
      </c>
    </row>
    <row r="1097" spans="1:12" x14ac:dyDescent="0.25">
      <c r="A1097">
        <v>1801</v>
      </c>
      <c r="B1097">
        <v>23075.762910000001</v>
      </c>
      <c r="C1097">
        <v>23075.762910000001</v>
      </c>
      <c r="D1097">
        <v>0</v>
      </c>
      <c r="E1097">
        <v>345.68617260000002</v>
      </c>
      <c r="F1097" s="1">
        <v>1.74</v>
      </c>
      <c r="H1097">
        <v>1801</v>
      </c>
      <c r="I1097" t="str">
        <f t="shared" si="34"/>
        <v>YES</v>
      </c>
      <c r="J1097" t="s">
        <v>1103</v>
      </c>
      <c r="K1097">
        <v>392282.357066</v>
      </c>
      <c r="L1097">
        <f t="shared" si="35"/>
        <v>0</v>
      </c>
    </row>
    <row r="1098" spans="1:12" x14ac:dyDescent="0.25">
      <c r="A1098">
        <v>1802</v>
      </c>
      <c r="B1098">
        <v>55866.420169999998</v>
      </c>
      <c r="C1098">
        <v>55866.420169999998</v>
      </c>
      <c r="D1098">
        <v>0</v>
      </c>
      <c r="E1098">
        <v>1543.8579480000001</v>
      </c>
      <c r="F1098" s="1">
        <v>18.8</v>
      </c>
      <c r="H1098">
        <v>1802</v>
      </c>
      <c r="I1098" t="str">
        <f t="shared" si="34"/>
        <v>YES</v>
      </c>
      <c r="J1098" t="s">
        <v>1104</v>
      </c>
      <c r="K1098">
        <v>494141.23603099998</v>
      </c>
      <c r="L1098">
        <f t="shared" si="35"/>
        <v>0</v>
      </c>
    </row>
    <row r="1099" spans="1:12" x14ac:dyDescent="0.25">
      <c r="A1099">
        <v>1803</v>
      </c>
      <c r="B1099">
        <v>105601.33719999999</v>
      </c>
      <c r="C1099">
        <v>105601.33719999999</v>
      </c>
      <c r="D1099">
        <v>0</v>
      </c>
      <c r="E1099">
        <v>752.10275799999999</v>
      </c>
      <c r="F1099" s="1">
        <v>17.3</v>
      </c>
      <c r="H1099">
        <v>1803</v>
      </c>
      <c r="I1099" t="str">
        <f t="shared" si="34"/>
        <v>YES</v>
      </c>
      <c r="J1099" t="s">
        <v>1105</v>
      </c>
      <c r="K1099">
        <v>194876.95516700001</v>
      </c>
      <c r="L1099">
        <f t="shared" si="35"/>
        <v>0</v>
      </c>
    </row>
    <row r="1100" spans="1:12" x14ac:dyDescent="0.25">
      <c r="A1100">
        <v>1804</v>
      </c>
      <c r="B1100">
        <v>67821.354479999995</v>
      </c>
      <c r="C1100">
        <v>67821.354479999995</v>
      </c>
      <c r="D1100">
        <v>0</v>
      </c>
      <c r="E1100">
        <v>3987.2013579999998</v>
      </c>
      <c r="F1100" s="1">
        <v>58.9</v>
      </c>
      <c r="H1100">
        <v>1804</v>
      </c>
      <c r="I1100" t="str">
        <f t="shared" si="34"/>
        <v>YES</v>
      </c>
      <c r="J1100" t="s">
        <v>1106</v>
      </c>
      <c r="K1100">
        <v>728236.26938900002</v>
      </c>
      <c r="L1100">
        <f t="shared" si="35"/>
        <v>0</v>
      </c>
    </row>
    <row r="1101" spans="1:12" x14ac:dyDescent="0.25">
      <c r="A1101">
        <v>1805</v>
      </c>
      <c r="B1101">
        <v>277350.30180000002</v>
      </c>
      <c r="C1101">
        <v>277350.30180000002</v>
      </c>
      <c r="D1101">
        <v>0</v>
      </c>
      <c r="E1101">
        <v>643.1977435</v>
      </c>
      <c r="F1101" s="1">
        <v>38.799999999999997</v>
      </c>
      <c r="H1101">
        <v>1805</v>
      </c>
      <c r="I1101" t="str">
        <f t="shared" si="34"/>
        <v>YES</v>
      </c>
      <c r="J1101" t="s">
        <v>1107</v>
      </c>
      <c r="K1101">
        <v>121598.68614999999</v>
      </c>
      <c r="L1101">
        <f t="shared" si="35"/>
        <v>0</v>
      </c>
    </row>
    <row r="1102" spans="1:12" x14ac:dyDescent="0.25">
      <c r="A1102">
        <v>1806</v>
      </c>
      <c r="B1102">
        <v>365299.82900000003</v>
      </c>
      <c r="C1102">
        <v>365299.82900000003</v>
      </c>
      <c r="D1102">
        <v>0</v>
      </c>
      <c r="E1102">
        <v>2878.1261199999999</v>
      </c>
      <c r="F1102" s="1">
        <v>229</v>
      </c>
      <c r="H1102">
        <v>1806</v>
      </c>
      <c r="I1102" t="str">
        <f t="shared" si="34"/>
        <v>YES</v>
      </c>
      <c r="J1102" t="s">
        <v>1108</v>
      </c>
      <c r="K1102">
        <v>93233.082871799998</v>
      </c>
      <c r="L1102">
        <f t="shared" si="35"/>
        <v>0</v>
      </c>
    </row>
    <row r="1103" spans="1:12" x14ac:dyDescent="0.25">
      <c r="A1103">
        <v>1807</v>
      </c>
      <c r="B1103">
        <v>123925.5049</v>
      </c>
      <c r="C1103">
        <v>123925.5049</v>
      </c>
      <c r="D1103">
        <v>0</v>
      </c>
      <c r="E1103">
        <v>3560.719184</v>
      </c>
      <c r="F1103" s="1">
        <v>96.1</v>
      </c>
      <c r="H1103">
        <v>1807</v>
      </c>
      <c r="I1103" t="str">
        <f t="shared" si="34"/>
        <v>YES</v>
      </c>
      <c r="J1103" t="s">
        <v>1109</v>
      </c>
      <c r="K1103">
        <v>573847.60132300004</v>
      </c>
      <c r="L1103">
        <f t="shared" si="35"/>
        <v>0</v>
      </c>
    </row>
    <row r="1104" spans="1:12" x14ac:dyDescent="0.25">
      <c r="A1104">
        <v>1808</v>
      </c>
      <c r="B1104">
        <v>132550.9051</v>
      </c>
      <c r="C1104">
        <v>132550.9051</v>
      </c>
      <c r="D1104">
        <v>0</v>
      </c>
      <c r="E1104">
        <v>2918.3498359999999</v>
      </c>
      <c r="F1104" s="1">
        <v>84.2</v>
      </c>
      <c r="H1104">
        <v>1808</v>
      </c>
      <c r="I1104" t="str">
        <f t="shared" si="34"/>
        <v>YES</v>
      </c>
      <c r="J1104" t="s">
        <v>1110</v>
      </c>
      <c r="K1104">
        <v>935529.43397899996</v>
      </c>
      <c r="L1104">
        <f t="shared" si="35"/>
        <v>0</v>
      </c>
    </row>
    <row r="1105" spans="1:12" x14ac:dyDescent="0.25">
      <c r="A1105">
        <v>1809</v>
      </c>
      <c r="B1105">
        <v>153397.628</v>
      </c>
      <c r="C1105">
        <v>153397.628</v>
      </c>
      <c r="D1105">
        <v>0</v>
      </c>
      <c r="E1105">
        <v>3284.017758</v>
      </c>
      <c r="F1105" s="1">
        <v>110</v>
      </c>
      <c r="H1105">
        <v>1809</v>
      </c>
      <c r="I1105" t="str">
        <f t="shared" si="34"/>
        <v>YES</v>
      </c>
      <c r="J1105" t="s">
        <v>1111</v>
      </c>
      <c r="K1105">
        <v>295017.44603699999</v>
      </c>
      <c r="L1105">
        <f t="shared" si="35"/>
        <v>0</v>
      </c>
    </row>
    <row r="1106" spans="1:12" x14ac:dyDescent="0.25">
      <c r="A1106">
        <v>1810</v>
      </c>
      <c r="B1106">
        <v>150446.20129999999</v>
      </c>
      <c r="C1106">
        <v>150446.20129999999</v>
      </c>
      <c r="D1106">
        <v>0</v>
      </c>
      <c r="E1106">
        <v>3749.5949489999998</v>
      </c>
      <c r="F1106" s="1">
        <v>123</v>
      </c>
      <c r="H1106">
        <v>1810</v>
      </c>
      <c r="I1106" t="str">
        <f t="shared" si="34"/>
        <v>YES</v>
      </c>
      <c r="J1106" t="s">
        <v>1112</v>
      </c>
      <c r="K1106">
        <v>425336.18336700002</v>
      </c>
      <c r="L1106">
        <f t="shared" si="35"/>
        <v>0</v>
      </c>
    </row>
    <row r="1107" spans="1:12" x14ac:dyDescent="0.25">
      <c r="A1107">
        <v>1811</v>
      </c>
      <c r="B1107">
        <v>241285.59039999999</v>
      </c>
      <c r="C1107">
        <v>241285.59039999999</v>
      </c>
      <c r="D1107">
        <v>0</v>
      </c>
      <c r="E1107">
        <v>1889.6318699999999</v>
      </c>
      <c r="F1107" s="1">
        <v>99.3</v>
      </c>
      <c r="H1107">
        <v>1811</v>
      </c>
      <c r="I1107" t="str">
        <f t="shared" si="34"/>
        <v>YES</v>
      </c>
      <c r="J1107" t="s">
        <v>1113</v>
      </c>
      <c r="K1107">
        <v>83296.761230100004</v>
      </c>
      <c r="L1107">
        <f t="shared" si="35"/>
        <v>0</v>
      </c>
    </row>
    <row r="1108" spans="1:12" x14ac:dyDescent="0.25">
      <c r="A1108">
        <v>1812</v>
      </c>
      <c r="B1108">
        <v>234580.3401</v>
      </c>
      <c r="C1108">
        <v>234580.3401</v>
      </c>
      <c r="D1108">
        <v>0</v>
      </c>
      <c r="E1108">
        <v>2219.007552</v>
      </c>
      <c r="F1108" s="1">
        <v>113</v>
      </c>
      <c r="H1108">
        <v>1812</v>
      </c>
      <c r="I1108" t="str">
        <f t="shared" si="34"/>
        <v>YES</v>
      </c>
      <c r="J1108" t="s">
        <v>1114</v>
      </c>
      <c r="K1108">
        <v>71611.847815000001</v>
      </c>
      <c r="L1108">
        <f t="shared" si="35"/>
        <v>0</v>
      </c>
    </row>
    <row r="1109" spans="1:12" x14ac:dyDescent="0.25">
      <c r="A1109">
        <v>1813</v>
      </c>
      <c r="B1109">
        <v>23342.467820000002</v>
      </c>
      <c r="C1109">
        <v>23342.467820000002</v>
      </c>
      <c r="D1109">
        <v>0</v>
      </c>
      <c r="E1109">
        <v>2585.28811</v>
      </c>
      <c r="F1109" s="1">
        <v>13.1</v>
      </c>
      <c r="H1109">
        <v>1813</v>
      </c>
      <c r="I1109" t="str">
        <f t="shared" si="34"/>
        <v>YES</v>
      </c>
      <c r="J1109" t="s">
        <v>1115</v>
      </c>
      <c r="K1109">
        <v>738236.39932600001</v>
      </c>
      <c r="L1109">
        <f t="shared" si="35"/>
        <v>0</v>
      </c>
    </row>
    <row r="1110" spans="1:12" x14ac:dyDescent="0.25">
      <c r="A1110">
        <v>1814</v>
      </c>
      <c r="B1110">
        <v>1758.3371500000001</v>
      </c>
      <c r="C1110">
        <v>1758.3371500000001</v>
      </c>
      <c r="D1110">
        <v>0</v>
      </c>
      <c r="E1110">
        <v>1879.6920889999999</v>
      </c>
      <c r="F1110" s="1">
        <v>0.72</v>
      </c>
      <c r="H1110">
        <v>1814</v>
      </c>
      <c r="I1110" t="str">
        <f t="shared" si="34"/>
        <v>YES</v>
      </c>
      <c r="J1110" t="s">
        <v>1116</v>
      </c>
      <c r="K1110">
        <v>1098304.59146</v>
      </c>
      <c r="L1110">
        <f t="shared" si="35"/>
        <v>0</v>
      </c>
    </row>
    <row r="1111" spans="1:12" x14ac:dyDescent="0.25">
      <c r="A1111">
        <v>1815</v>
      </c>
      <c r="B1111">
        <v>42990.629639999999</v>
      </c>
      <c r="C1111">
        <v>42990.629639999999</v>
      </c>
      <c r="D1111">
        <v>0</v>
      </c>
      <c r="E1111">
        <v>3606.443984</v>
      </c>
      <c r="F1111" s="1">
        <v>33.799999999999997</v>
      </c>
      <c r="H1111">
        <v>1815</v>
      </c>
      <c r="I1111" t="str">
        <f t="shared" si="34"/>
        <v>YES</v>
      </c>
      <c r="J1111" t="s">
        <v>1117</v>
      </c>
      <c r="K1111">
        <v>701166.81556300004</v>
      </c>
      <c r="L1111">
        <f t="shared" si="35"/>
        <v>0</v>
      </c>
    </row>
    <row r="1112" spans="1:12" x14ac:dyDescent="0.25">
      <c r="A1112">
        <v>1816</v>
      </c>
      <c r="B1112">
        <v>19165.577389999999</v>
      </c>
      <c r="C1112">
        <v>19165.577389999999</v>
      </c>
      <c r="D1112">
        <v>0</v>
      </c>
      <c r="E1112">
        <v>3174.96632</v>
      </c>
      <c r="F1112" s="1">
        <v>13.2</v>
      </c>
      <c r="H1112">
        <v>1816</v>
      </c>
      <c r="I1112" t="str">
        <f t="shared" si="34"/>
        <v>YES</v>
      </c>
      <c r="J1112" t="s">
        <v>1118</v>
      </c>
      <c r="K1112">
        <v>1099940.8468800001</v>
      </c>
      <c r="L1112">
        <f t="shared" si="35"/>
        <v>0</v>
      </c>
    </row>
    <row r="1113" spans="1:12" x14ac:dyDescent="0.25">
      <c r="A1113">
        <v>1817</v>
      </c>
      <c r="B1113">
        <v>18787.83467</v>
      </c>
      <c r="C1113">
        <v>18787.83467</v>
      </c>
      <c r="D1113">
        <v>0</v>
      </c>
      <c r="E1113">
        <v>1800.2600050000001</v>
      </c>
      <c r="F1113" s="1">
        <v>7.36</v>
      </c>
      <c r="H1113">
        <v>1817</v>
      </c>
      <c r="I1113" t="str">
        <f t="shared" si="34"/>
        <v>YES</v>
      </c>
      <c r="J1113" t="s">
        <v>1119</v>
      </c>
      <c r="K1113">
        <v>630896.22621500003</v>
      </c>
      <c r="L1113">
        <f t="shared" si="35"/>
        <v>0</v>
      </c>
    </row>
    <row r="1114" spans="1:12" x14ac:dyDescent="0.25">
      <c r="A1114">
        <v>1818</v>
      </c>
      <c r="B1114">
        <v>33800.43075</v>
      </c>
      <c r="C1114">
        <v>33800.43075</v>
      </c>
      <c r="D1114">
        <v>0</v>
      </c>
      <c r="E1114">
        <v>945.18660890000001</v>
      </c>
      <c r="F1114" s="1">
        <v>6.96</v>
      </c>
      <c r="H1114">
        <v>1818</v>
      </c>
      <c r="I1114" t="str">
        <f t="shared" si="34"/>
        <v>YES</v>
      </c>
      <c r="J1114" t="s">
        <v>1120</v>
      </c>
      <c r="K1114">
        <v>259983.08181500001</v>
      </c>
      <c r="L1114">
        <f t="shared" si="35"/>
        <v>0</v>
      </c>
    </row>
    <row r="1115" spans="1:12" x14ac:dyDescent="0.25">
      <c r="A1115">
        <v>1819</v>
      </c>
      <c r="B1115">
        <v>55368.35527</v>
      </c>
      <c r="C1115">
        <v>55368.35527</v>
      </c>
      <c r="D1115">
        <v>0</v>
      </c>
      <c r="E1115">
        <v>3632.8686200000002</v>
      </c>
      <c r="F1115" s="1">
        <v>43.8</v>
      </c>
      <c r="H1115">
        <v>1819</v>
      </c>
      <c r="I1115" t="str">
        <f t="shared" si="34"/>
        <v>YES</v>
      </c>
      <c r="J1115" t="s">
        <v>1121</v>
      </c>
      <c r="K1115">
        <v>257580.04911600001</v>
      </c>
      <c r="L1115">
        <f t="shared" si="35"/>
        <v>0</v>
      </c>
    </row>
    <row r="1116" spans="1:12" x14ac:dyDescent="0.25">
      <c r="A1116">
        <v>1820</v>
      </c>
      <c r="B1116">
        <v>107193.32460000001</v>
      </c>
      <c r="C1116">
        <v>107193.32460000001</v>
      </c>
      <c r="D1116">
        <v>0</v>
      </c>
      <c r="E1116">
        <v>2380.9890099999998</v>
      </c>
      <c r="F1116" s="1">
        <v>55.6</v>
      </c>
      <c r="H1116">
        <v>1820</v>
      </c>
      <c r="I1116" t="str">
        <f t="shared" si="34"/>
        <v>YES</v>
      </c>
      <c r="J1116" t="s">
        <v>1122</v>
      </c>
      <c r="K1116">
        <v>555648.61508100003</v>
      </c>
      <c r="L1116">
        <f t="shared" si="35"/>
        <v>0</v>
      </c>
    </row>
    <row r="1117" spans="1:12" x14ac:dyDescent="0.25">
      <c r="A1117">
        <v>1821</v>
      </c>
      <c r="B1117">
        <v>20999.155640000001</v>
      </c>
      <c r="C1117">
        <v>20999.155640000001</v>
      </c>
      <c r="D1117">
        <v>0</v>
      </c>
      <c r="E1117">
        <v>1836.305253</v>
      </c>
      <c r="F1117" s="1">
        <v>8.4</v>
      </c>
      <c r="H1117">
        <v>1821</v>
      </c>
      <c r="I1117" t="str">
        <f t="shared" si="34"/>
        <v>YES</v>
      </c>
      <c r="J1117" t="s">
        <v>1123</v>
      </c>
      <c r="K1117">
        <v>185411.94442799999</v>
      </c>
      <c r="L1117">
        <f t="shared" si="35"/>
        <v>0</v>
      </c>
    </row>
    <row r="1118" spans="1:12" x14ac:dyDescent="0.25">
      <c r="A1118">
        <v>1823</v>
      </c>
      <c r="B1118">
        <v>17460.833879999998</v>
      </c>
      <c r="C1118">
        <v>17460.833879999998</v>
      </c>
      <c r="D1118">
        <v>0</v>
      </c>
      <c r="E1118">
        <v>302.9512254</v>
      </c>
      <c r="F1118" s="1">
        <v>1.1499999999999999</v>
      </c>
      <c r="H1118">
        <v>1823</v>
      </c>
      <c r="I1118" t="str">
        <f t="shared" si="34"/>
        <v>YES</v>
      </c>
      <c r="J1118" t="s">
        <v>1124</v>
      </c>
      <c r="K1118">
        <v>912326.08397299994</v>
      </c>
      <c r="L1118">
        <f t="shared" si="35"/>
        <v>0</v>
      </c>
    </row>
    <row r="1119" spans="1:12" x14ac:dyDescent="0.25">
      <c r="A1119">
        <v>1824</v>
      </c>
      <c r="B1119">
        <v>19968.710330000002</v>
      </c>
      <c r="C1119">
        <v>19968.710330000002</v>
      </c>
      <c r="D1119">
        <v>0</v>
      </c>
      <c r="E1119">
        <v>1773.7139460000001</v>
      </c>
      <c r="F1119" s="1">
        <v>7.71</v>
      </c>
      <c r="H1119">
        <v>1824</v>
      </c>
      <c r="I1119" t="str">
        <f t="shared" si="34"/>
        <v>YES</v>
      </c>
      <c r="J1119" t="s">
        <v>1125</v>
      </c>
      <c r="K1119">
        <v>541394.58033499995</v>
      </c>
      <c r="L1119">
        <f t="shared" si="35"/>
        <v>0</v>
      </c>
    </row>
    <row r="1120" spans="1:12" x14ac:dyDescent="0.25">
      <c r="A1120">
        <v>1825</v>
      </c>
      <c r="B1120">
        <v>105496.38800000001</v>
      </c>
      <c r="C1120">
        <v>105496.38800000001</v>
      </c>
      <c r="D1120">
        <v>0</v>
      </c>
      <c r="E1120">
        <v>639.89686559999996</v>
      </c>
      <c r="F1120" s="1">
        <v>14.7</v>
      </c>
      <c r="H1120">
        <v>1825</v>
      </c>
      <c r="I1120" t="str">
        <f t="shared" si="34"/>
        <v>YES</v>
      </c>
      <c r="J1120" t="s">
        <v>1126</v>
      </c>
      <c r="K1120">
        <v>138015.29327299999</v>
      </c>
      <c r="L1120">
        <f t="shared" si="35"/>
        <v>0</v>
      </c>
    </row>
    <row r="1121" spans="1:12" x14ac:dyDescent="0.25">
      <c r="A1121">
        <v>1826</v>
      </c>
      <c r="B1121">
        <v>17241.703870000001</v>
      </c>
      <c r="C1121">
        <v>17241.703870000001</v>
      </c>
      <c r="D1121">
        <v>0</v>
      </c>
      <c r="E1121">
        <v>4173.2286270000004</v>
      </c>
      <c r="F1121" s="1">
        <v>15.7</v>
      </c>
      <c r="H1121">
        <v>1826</v>
      </c>
      <c r="I1121" t="str">
        <f t="shared" si="34"/>
        <v>YES</v>
      </c>
      <c r="J1121" t="s">
        <v>1127</v>
      </c>
      <c r="K1121">
        <v>869367.52624000004</v>
      </c>
      <c r="L1121">
        <f t="shared" si="35"/>
        <v>0</v>
      </c>
    </row>
    <row r="1122" spans="1:12" x14ac:dyDescent="0.25">
      <c r="A1122">
        <v>1827</v>
      </c>
      <c r="B1122">
        <v>13892.71925</v>
      </c>
      <c r="C1122">
        <v>13892.71925</v>
      </c>
      <c r="D1122">
        <v>0</v>
      </c>
      <c r="E1122">
        <v>3440.4178510000002</v>
      </c>
      <c r="F1122" s="1">
        <v>10.4</v>
      </c>
      <c r="H1122">
        <v>1827</v>
      </c>
      <c r="I1122" t="str">
        <f t="shared" si="34"/>
        <v>YES</v>
      </c>
      <c r="J1122" t="s">
        <v>1128</v>
      </c>
      <c r="K1122">
        <v>673359.33306099998</v>
      </c>
      <c r="L1122">
        <f t="shared" si="35"/>
        <v>0</v>
      </c>
    </row>
    <row r="1123" spans="1:12" x14ac:dyDescent="0.25">
      <c r="A1123">
        <v>1828</v>
      </c>
      <c r="B1123">
        <v>38359.486519999999</v>
      </c>
      <c r="C1123">
        <v>38359.486519999999</v>
      </c>
      <c r="D1123">
        <v>0</v>
      </c>
      <c r="E1123">
        <v>2198.0784680000002</v>
      </c>
      <c r="F1123" s="1">
        <v>18.399999999999999</v>
      </c>
      <c r="H1123">
        <v>1828</v>
      </c>
      <c r="I1123" t="str">
        <f t="shared" si="34"/>
        <v>YES</v>
      </c>
      <c r="J1123" t="s">
        <v>1129</v>
      </c>
      <c r="K1123">
        <v>690690.20981399994</v>
      </c>
      <c r="L1123">
        <f t="shared" si="35"/>
        <v>0</v>
      </c>
    </row>
    <row r="1124" spans="1:12" x14ac:dyDescent="0.25">
      <c r="A1124">
        <v>1829</v>
      </c>
      <c r="B1124">
        <v>51730.132700000002</v>
      </c>
      <c r="C1124">
        <v>51730.132700000002</v>
      </c>
      <c r="D1124">
        <v>0</v>
      </c>
      <c r="E1124">
        <v>1888.724115</v>
      </c>
      <c r="F1124" s="1">
        <v>21.3</v>
      </c>
      <c r="H1124">
        <v>1829</v>
      </c>
      <c r="I1124" t="str">
        <f t="shared" si="34"/>
        <v>YES</v>
      </c>
      <c r="J1124" t="s">
        <v>1130</v>
      </c>
      <c r="K1124">
        <v>636564.92431799998</v>
      </c>
      <c r="L1124">
        <f t="shared" si="35"/>
        <v>0</v>
      </c>
    </row>
    <row r="1125" spans="1:12" x14ac:dyDescent="0.25">
      <c r="A1125">
        <v>1830</v>
      </c>
      <c r="B1125">
        <v>5409.272363</v>
      </c>
      <c r="C1125">
        <v>5409.272363</v>
      </c>
      <c r="D1125">
        <v>0</v>
      </c>
      <c r="E1125">
        <v>3506.429975</v>
      </c>
      <c r="F1125" s="1">
        <v>4.13</v>
      </c>
      <c r="H1125">
        <v>1830</v>
      </c>
      <c r="I1125" t="str">
        <f t="shared" si="34"/>
        <v>YES</v>
      </c>
      <c r="J1125" t="s">
        <v>1131</v>
      </c>
      <c r="K1125">
        <v>1369331.7630700001</v>
      </c>
      <c r="L1125">
        <f t="shared" si="35"/>
        <v>0</v>
      </c>
    </row>
    <row r="1126" spans="1:12" x14ac:dyDescent="0.25">
      <c r="A1126">
        <v>1831</v>
      </c>
      <c r="B1126">
        <v>109823.7599</v>
      </c>
      <c r="C1126">
        <v>109823.7599</v>
      </c>
      <c r="D1126">
        <v>0</v>
      </c>
      <c r="E1126">
        <v>3286.7384710000001</v>
      </c>
      <c r="F1126" s="1">
        <v>78.599999999999994</v>
      </c>
      <c r="H1126">
        <v>1831</v>
      </c>
      <c r="I1126" t="str">
        <f t="shared" si="34"/>
        <v>YES</v>
      </c>
      <c r="J1126" t="s">
        <v>1132</v>
      </c>
      <c r="K1126">
        <v>783892.68622100004</v>
      </c>
      <c r="L1126">
        <f t="shared" si="35"/>
        <v>0</v>
      </c>
    </row>
    <row r="1127" spans="1:12" x14ac:dyDescent="0.25">
      <c r="A1127">
        <v>1832</v>
      </c>
      <c r="B1127">
        <v>155149.1679</v>
      </c>
      <c r="C1127">
        <v>155149.1679</v>
      </c>
      <c r="D1127">
        <v>0</v>
      </c>
      <c r="E1127">
        <v>1242.3589919999999</v>
      </c>
      <c r="F1127" s="1">
        <v>42</v>
      </c>
      <c r="H1127">
        <v>1832</v>
      </c>
      <c r="I1127" t="str">
        <f t="shared" si="34"/>
        <v>YES</v>
      </c>
      <c r="J1127" t="s">
        <v>1133</v>
      </c>
      <c r="K1127">
        <v>238638.25104</v>
      </c>
      <c r="L1127">
        <f t="shared" si="35"/>
        <v>0</v>
      </c>
    </row>
    <row r="1128" spans="1:12" x14ac:dyDescent="0.25">
      <c r="A1128">
        <v>1833</v>
      </c>
      <c r="B1128">
        <v>4754.1761749999996</v>
      </c>
      <c r="C1128">
        <v>4754.1761749999996</v>
      </c>
      <c r="D1128">
        <v>0</v>
      </c>
      <c r="E1128">
        <v>1022.835086</v>
      </c>
      <c r="F1128" s="1">
        <v>1.06</v>
      </c>
      <c r="H1128">
        <v>1833</v>
      </c>
      <c r="I1128" t="str">
        <f t="shared" si="34"/>
        <v>YES</v>
      </c>
      <c r="J1128" t="s">
        <v>1134</v>
      </c>
      <c r="K1128">
        <v>381277.61633400002</v>
      </c>
      <c r="L1128">
        <f t="shared" si="35"/>
        <v>0</v>
      </c>
    </row>
    <row r="1129" spans="1:12" x14ac:dyDescent="0.25">
      <c r="A1129">
        <v>1834</v>
      </c>
      <c r="B1129">
        <v>15241.421909999999</v>
      </c>
      <c r="C1129">
        <v>15241.421909999999</v>
      </c>
      <c r="D1129">
        <v>0</v>
      </c>
      <c r="E1129">
        <v>2152.6528109999999</v>
      </c>
      <c r="F1129" s="1">
        <v>7.14</v>
      </c>
      <c r="H1129">
        <v>1834</v>
      </c>
      <c r="I1129" t="str">
        <f t="shared" si="34"/>
        <v>YES</v>
      </c>
      <c r="J1129" t="s">
        <v>1135</v>
      </c>
      <c r="K1129">
        <v>991300.89118799998</v>
      </c>
      <c r="L1129">
        <f t="shared" si="35"/>
        <v>0</v>
      </c>
    </row>
    <row r="1130" spans="1:12" x14ac:dyDescent="0.25">
      <c r="A1130">
        <v>1835</v>
      </c>
      <c r="B1130">
        <v>22657.968730000001</v>
      </c>
      <c r="C1130">
        <v>22657.968730000001</v>
      </c>
      <c r="D1130">
        <v>0</v>
      </c>
      <c r="E1130">
        <v>1843.0009849999999</v>
      </c>
      <c r="F1130" s="1">
        <v>9.09</v>
      </c>
      <c r="H1130">
        <v>1835</v>
      </c>
      <c r="I1130" t="str">
        <f t="shared" si="34"/>
        <v>YES</v>
      </c>
      <c r="J1130" t="s">
        <v>1136</v>
      </c>
      <c r="K1130">
        <v>682616.94981899997</v>
      </c>
      <c r="L1130">
        <f t="shared" si="35"/>
        <v>0</v>
      </c>
    </row>
    <row r="1131" spans="1:12" x14ac:dyDescent="0.25">
      <c r="A1131">
        <v>1836</v>
      </c>
      <c r="B1131">
        <v>171664.8566</v>
      </c>
      <c r="C1131">
        <v>171664.8566</v>
      </c>
      <c r="D1131">
        <v>0</v>
      </c>
      <c r="E1131">
        <v>1403.3282799999999</v>
      </c>
      <c r="F1131" s="1">
        <v>52.5</v>
      </c>
      <c r="H1131">
        <v>1836</v>
      </c>
      <c r="I1131" t="str">
        <f t="shared" si="34"/>
        <v>YES</v>
      </c>
      <c r="J1131" t="s">
        <v>1137</v>
      </c>
      <c r="K1131">
        <v>244193.26857799999</v>
      </c>
      <c r="L1131">
        <f t="shared" si="35"/>
        <v>0</v>
      </c>
    </row>
    <row r="1132" spans="1:12" x14ac:dyDescent="0.25">
      <c r="A1132">
        <v>1837</v>
      </c>
      <c r="B1132">
        <v>225940.17509999999</v>
      </c>
      <c r="C1132">
        <v>225940.17509999999</v>
      </c>
      <c r="D1132">
        <v>0</v>
      </c>
      <c r="E1132">
        <v>1665.7054700000001</v>
      </c>
      <c r="F1132" s="1">
        <v>81.900000000000006</v>
      </c>
      <c r="H1132">
        <v>1837</v>
      </c>
      <c r="I1132" t="str">
        <f t="shared" si="34"/>
        <v>YES</v>
      </c>
      <c r="J1132" t="s">
        <v>1138</v>
      </c>
      <c r="K1132">
        <v>58499.922488700002</v>
      </c>
      <c r="L1132">
        <f t="shared" si="35"/>
        <v>0</v>
      </c>
    </row>
    <row r="1133" spans="1:12" x14ac:dyDescent="0.25">
      <c r="A1133">
        <v>1838</v>
      </c>
      <c r="B1133">
        <v>83273.203529999999</v>
      </c>
      <c r="C1133">
        <v>83273.203529999999</v>
      </c>
      <c r="D1133">
        <v>0</v>
      </c>
      <c r="E1133">
        <v>2.831986412</v>
      </c>
      <c r="F1133" s="1">
        <v>5.1299999999999998E-2</v>
      </c>
      <c r="H1133">
        <v>1838</v>
      </c>
      <c r="I1133" t="str">
        <f t="shared" si="34"/>
        <v>YES</v>
      </c>
      <c r="J1133" t="s">
        <v>1139</v>
      </c>
      <c r="K1133">
        <v>271258.82410000003</v>
      </c>
      <c r="L1133">
        <f t="shared" si="35"/>
        <v>0</v>
      </c>
    </row>
    <row r="1134" spans="1:12" x14ac:dyDescent="0.25">
      <c r="A1134">
        <v>1839</v>
      </c>
      <c r="B1134">
        <v>181481.83410000001</v>
      </c>
      <c r="C1134">
        <v>181481.83410000001</v>
      </c>
      <c r="D1134">
        <v>0</v>
      </c>
      <c r="E1134">
        <v>2048.178582</v>
      </c>
      <c r="F1134" s="1">
        <v>80.900000000000006</v>
      </c>
      <c r="H1134">
        <v>1839</v>
      </c>
      <c r="I1134" t="str">
        <f t="shared" si="34"/>
        <v>YES</v>
      </c>
      <c r="J1134" t="s">
        <v>1140</v>
      </c>
      <c r="K1134">
        <v>397693.15597099997</v>
      </c>
      <c r="L1134">
        <f t="shared" si="35"/>
        <v>0</v>
      </c>
    </row>
    <row r="1135" spans="1:12" x14ac:dyDescent="0.25">
      <c r="A1135">
        <v>1840</v>
      </c>
      <c r="B1135">
        <v>90833.56151</v>
      </c>
      <c r="C1135">
        <v>90833.56151</v>
      </c>
      <c r="D1135">
        <v>0</v>
      </c>
      <c r="E1135">
        <v>2156.0300080000002</v>
      </c>
      <c r="F1135" s="1">
        <v>42.6</v>
      </c>
      <c r="H1135">
        <v>1840</v>
      </c>
      <c r="I1135" t="str">
        <f t="shared" si="34"/>
        <v>YES</v>
      </c>
      <c r="J1135" t="s">
        <v>1141</v>
      </c>
      <c r="K1135">
        <v>561283.56307200005</v>
      </c>
      <c r="L1135">
        <f t="shared" si="35"/>
        <v>0</v>
      </c>
    </row>
    <row r="1136" spans="1:12" x14ac:dyDescent="0.25">
      <c r="A1136">
        <v>1841</v>
      </c>
      <c r="B1136">
        <v>108912.45140000001</v>
      </c>
      <c r="C1136">
        <v>108912.45140000001</v>
      </c>
      <c r="D1136">
        <v>0</v>
      </c>
      <c r="E1136">
        <v>20.113242199999998</v>
      </c>
      <c r="F1136" s="1">
        <v>0.47699999999999998</v>
      </c>
      <c r="H1136">
        <v>1841</v>
      </c>
      <c r="I1136" t="str">
        <f t="shared" si="34"/>
        <v>YES</v>
      </c>
      <c r="J1136" t="s">
        <v>1142</v>
      </c>
      <c r="K1136">
        <v>547573.96945700003</v>
      </c>
      <c r="L1136">
        <f t="shared" si="35"/>
        <v>0</v>
      </c>
    </row>
    <row r="1137" spans="1:12" x14ac:dyDescent="0.25">
      <c r="A1137">
        <v>1842</v>
      </c>
      <c r="B1137">
        <v>182931.97690000001</v>
      </c>
      <c r="C1137">
        <v>182931.97690000001</v>
      </c>
      <c r="D1137">
        <v>0</v>
      </c>
      <c r="E1137">
        <v>1609.9430110000001</v>
      </c>
      <c r="F1137" s="1">
        <v>64.099999999999994</v>
      </c>
      <c r="H1137">
        <v>1842</v>
      </c>
      <c r="I1137" t="str">
        <f t="shared" si="34"/>
        <v>YES</v>
      </c>
      <c r="J1137" t="s">
        <v>1143</v>
      </c>
      <c r="K1137">
        <v>285239.54073499999</v>
      </c>
      <c r="L1137">
        <f t="shared" si="35"/>
        <v>0</v>
      </c>
    </row>
    <row r="1138" spans="1:12" x14ac:dyDescent="0.25">
      <c r="A1138">
        <v>1843</v>
      </c>
      <c r="B1138">
        <v>146639.4289</v>
      </c>
      <c r="C1138">
        <v>146639.4289</v>
      </c>
      <c r="D1138">
        <v>0</v>
      </c>
      <c r="E1138">
        <v>28.890204189999999</v>
      </c>
      <c r="F1138" s="1">
        <v>0.92200000000000004</v>
      </c>
      <c r="H1138">
        <v>1843</v>
      </c>
      <c r="I1138" t="str">
        <f t="shared" si="34"/>
        <v>YES</v>
      </c>
      <c r="J1138" t="s">
        <v>1144</v>
      </c>
      <c r="K1138">
        <v>232336.43709399999</v>
      </c>
      <c r="L1138">
        <f t="shared" si="35"/>
        <v>0</v>
      </c>
    </row>
    <row r="1139" spans="1:12" x14ac:dyDescent="0.25">
      <c r="A1139">
        <v>1844</v>
      </c>
      <c r="B1139">
        <v>451056.19280000002</v>
      </c>
      <c r="C1139">
        <v>451056.19280000002</v>
      </c>
      <c r="D1139">
        <v>0</v>
      </c>
      <c r="E1139">
        <v>1795.5266300000001</v>
      </c>
      <c r="F1139" s="1">
        <v>176</v>
      </c>
      <c r="H1139">
        <v>1844</v>
      </c>
      <c r="I1139" t="str">
        <f t="shared" si="34"/>
        <v>YES</v>
      </c>
      <c r="J1139" t="s">
        <v>1145</v>
      </c>
      <c r="K1139">
        <v>80001.248380899997</v>
      </c>
      <c r="L1139">
        <f t="shared" si="35"/>
        <v>0</v>
      </c>
    </row>
    <row r="1140" spans="1:12" x14ac:dyDescent="0.25">
      <c r="A1140">
        <v>1845</v>
      </c>
      <c r="B1140">
        <v>238179.4958</v>
      </c>
      <c r="C1140">
        <v>238179.4958</v>
      </c>
      <c r="D1140">
        <v>0</v>
      </c>
      <c r="E1140">
        <v>397.45258719999998</v>
      </c>
      <c r="F1140" s="1">
        <v>20.6</v>
      </c>
      <c r="H1140">
        <v>1845</v>
      </c>
      <c r="I1140" t="str">
        <f t="shared" si="34"/>
        <v>YES</v>
      </c>
      <c r="J1140" t="s">
        <v>1146</v>
      </c>
      <c r="K1140">
        <v>78233.193266899994</v>
      </c>
      <c r="L1140">
        <f t="shared" si="35"/>
        <v>0</v>
      </c>
    </row>
    <row r="1141" spans="1:12" x14ac:dyDescent="0.25">
      <c r="A1141">
        <v>1846</v>
      </c>
      <c r="B1141">
        <v>291342.0197</v>
      </c>
      <c r="C1141">
        <v>291342.0197</v>
      </c>
      <c r="D1141">
        <v>0</v>
      </c>
      <c r="E1141">
        <v>466.97258190000002</v>
      </c>
      <c r="F1141" s="1">
        <v>29.6</v>
      </c>
      <c r="H1141">
        <v>1846</v>
      </c>
      <c r="I1141" t="str">
        <f t="shared" si="34"/>
        <v>YES</v>
      </c>
      <c r="J1141" t="s">
        <v>1147</v>
      </c>
      <c r="K1141">
        <v>131116.627431</v>
      </c>
      <c r="L1141">
        <f t="shared" si="35"/>
        <v>0</v>
      </c>
    </row>
    <row r="1142" spans="1:12" x14ac:dyDescent="0.25">
      <c r="A1142">
        <v>1847</v>
      </c>
      <c r="B1142">
        <v>452.38708459999998</v>
      </c>
      <c r="C1142">
        <v>452.38708459999998</v>
      </c>
      <c r="D1142">
        <v>0</v>
      </c>
      <c r="F1142" s="1">
        <v>0</v>
      </c>
      <c r="H1142">
        <v>1847</v>
      </c>
      <c r="I1142" t="str">
        <f t="shared" si="34"/>
        <v>YES</v>
      </c>
      <c r="J1142" t="s">
        <v>1148</v>
      </c>
      <c r="K1142">
        <v>2338621.5109600001</v>
      </c>
      <c r="L1142">
        <f t="shared" si="35"/>
        <v>0</v>
      </c>
    </row>
    <row r="1143" spans="1:12" x14ac:dyDescent="0.25">
      <c r="A1143">
        <v>1848</v>
      </c>
      <c r="B1143">
        <v>23576.457590000002</v>
      </c>
      <c r="C1143">
        <v>23576.457590000002</v>
      </c>
      <c r="D1143">
        <v>0</v>
      </c>
      <c r="E1143">
        <v>2164.8617800000002</v>
      </c>
      <c r="F1143" s="1">
        <v>11.1</v>
      </c>
      <c r="H1143">
        <v>1848</v>
      </c>
      <c r="I1143" t="str">
        <f t="shared" si="34"/>
        <v>YES</v>
      </c>
      <c r="J1143" t="s">
        <v>1149</v>
      </c>
      <c r="K1143">
        <v>676408.59523700003</v>
      </c>
      <c r="L1143">
        <f t="shared" si="35"/>
        <v>0</v>
      </c>
    </row>
    <row r="1144" spans="1:12" x14ac:dyDescent="0.25">
      <c r="A1144">
        <v>1849</v>
      </c>
      <c r="B1144">
        <v>6829.8905279999999</v>
      </c>
      <c r="C1144">
        <v>6829.8905279999999</v>
      </c>
      <c r="D1144">
        <v>0</v>
      </c>
      <c r="E1144">
        <v>1257.393906</v>
      </c>
      <c r="F1144" s="1">
        <v>1.87</v>
      </c>
      <c r="H1144">
        <v>1849</v>
      </c>
      <c r="I1144" t="str">
        <f t="shared" si="34"/>
        <v>YES</v>
      </c>
      <c r="J1144" t="s">
        <v>1150</v>
      </c>
      <c r="K1144">
        <v>910493.55269000004</v>
      </c>
      <c r="L1144">
        <f t="shared" si="35"/>
        <v>0</v>
      </c>
    </row>
    <row r="1145" spans="1:12" x14ac:dyDescent="0.25">
      <c r="A1145">
        <v>1850</v>
      </c>
      <c r="B1145">
        <v>239329.2194</v>
      </c>
      <c r="C1145">
        <v>239329.2194</v>
      </c>
      <c r="D1145">
        <v>0</v>
      </c>
      <c r="E1145">
        <v>3574.059921</v>
      </c>
      <c r="F1145" s="1">
        <v>186</v>
      </c>
      <c r="H1145">
        <v>1850</v>
      </c>
      <c r="I1145" t="str">
        <f t="shared" si="34"/>
        <v>YES</v>
      </c>
      <c r="J1145" t="s">
        <v>1151</v>
      </c>
      <c r="K1145">
        <v>773995.22744100005</v>
      </c>
      <c r="L1145">
        <f t="shared" si="35"/>
        <v>0</v>
      </c>
    </row>
    <row r="1146" spans="1:12" x14ac:dyDescent="0.25">
      <c r="A1146">
        <v>1851</v>
      </c>
      <c r="B1146">
        <v>19843.725559999999</v>
      </c>
      <c r="C1146">
        <v>19843.725559999999</v>
      </c>
      <c r="D1146">
        <v>0</v>
      </c>
      <c r="E1146">
        <v>2481.6951829999998</v>
      </c>
      <c r="F1146" s="1">
        <v>10.7</v>
      </c>
      <c r="H1146">
        <v>1851</v>
      </c>
      <c r="I1146" t="str">
        <f t="shared" si="34"/>
        <v>YES</v>
      </c>
      <c r="J1146" t="s">
        <v>1152</v>
      </c>
      <c r="K1146">
        <v>711825.94461200002</v>
      </c>
      <c r="L1146">
        <f t="shared" si="35"/>
        <v>0</v>
      </c>
    </row>
    <row r="1147" spans="1:12" x14ac:dyDescent="0.25">
      <c r="A1147">
        <v>1852</v>
      </c>
      <c r="B1147">
        <v>3504.3216080000002</v>
      </c>
      <c r="C1147">
        <v>3504.3216080000002</v>
      </c>
      <c r="D1147">
        <v>0</v>
      </c>
      <c r="E1147">
        <v>2809.4678709999998</v>
      </c>
      <c r="F1147" s="1">
        <v>2.14</v>
      </c>
      <c r="H1147">
        <v>1852</v>
      </c>
      <c r="I1147" t="str">
        <f t="shared" si="34"/>
        <v>YES</v>
      </c>
      <c r="J1147" t="s">
        <v>1153</v>
      </c>
      <c r="K1147">
        <v>1407979.0232800001</v>
      </c>
      <c r="L1147">
        <f t="shared" si="35"/>
        <v>0</v>
      </c>
    </row>
    <row r="1148" spans="1:12" x14ac:dyDescent="0.25">
      <c r="A1148">
        <v>1853</v>
      </c>
      <c r="B1148">
        <v>164738.0386</v>
      </c>
      <c r="C1148">
        <v>164738.0386</v>
      </c>
      <c r="D1148">
        <v>0</v>
      </c>
      <c r="E1148">
        <v>2699.580614</v>
      </c>
      <c r="F1148" s="1">
        <v>96.8</v>
      </c>
      <c r="H1148">
        <v>1853</v>
      </c>
      <c r="I1148" t="str">
        <f t="shared" si="34"/>
        <v>YES</v>
      </c>
      <c r="J1148" t="s">
        <v>1154</v>
      </c>
      <c r="K1148">
        <v>580836.64387200004</v>
      </c>
      <c r="L1148">
        <f t="shared" si="35"/>
        <v>0</v>
      </c>
    </row>
    <row r="1149" spans="1:12" x14ac:dyDescent="0.25">
      <c r="A1149">
        <v>1854</v>
      </c>
      <c r="B1149">
        <v>185256.16219999999</v>
      </c>
      <c r="C1149">
        <v>185256.16219999999</v>
      </c>
      <c r="D1149">
        <v>0</v>
      </c>
      <c r="E1149">
        <v>2354.7619260000001</v>
      </c>
      <c r="F1149" s="1">
        <v>95</v>
      </c>
      <c r="H1149">
        <v>1854</v>
      </c>
      <c r="I1149" t="str">
        <f t="shared" si="34"/>
        <v>YES</v>
      </c>
      <c r="J1149" t="s">
        <v>1155</v>
      </c>
      <c r="K1149">
        <v>549569.92771399999</v>
      </c>
      <c r="L1149">
        <f t="shared" si="35"/>
        <v>0</v>
      </c>
    </row>
    <row r="1150" spans="1:12" x14ac:dyDescent="0.25">
      <c r="A1150">
        <v>1855</v>
      </c>
      <c r="B1150">
        <v>120590.7553</v>
      </c>
      <c r="C1150">
        <v>120590.7553</v>
      </c>
      <c r="D1150">
        <v>0</v>
      </c>
      <c r="E1150">
        <v>1724.043956</v>
      </c>
      <c r="F1150" s="1">
        <v>45.3</v>
      </c>
      <c r="H1150">
        <v>1855</v>
      </c>
      <c r="I1150" t="str">
        <f t="shared" si="34"/>
        <v>YES</v>
      </c>
      <c r="J1150" t="s">
        <v>1156</v>
      </c>
      <c r="K1150">
        <v>613250.577055</v>
      </c>
      <c r="L1150">
        <f t="shared" si="35"/>
        <v>0</v>
      </c>
    </row>
    <row r="1151" spans="1:12" x14ac:dyDescent="0.25">
      <c r="A1151">
        <v>1856</v>
      </c>
      <c r="B1151">
        <v>14196.551369999999</v>
      </c>
      <c r="C1151">
        <v>14196.551369999999</v>
      </c>
      <c r="D1151">
        <v>0</v>
      </c>
      <c r="F1151" s="1">
        <v>0</v>
      </c>
      <c r="H1151">
        <v>1856</v>
      </c>
      <c r="I1151" t="str">
        <f>IF(A1151=H1151,"YES","NO")</f>
        <v>YES</v>
      </c>
      <c r="J1151" t="s">
        <v>1157</v>
      </c>
      <c r="K1151">
        <v>1447844.9905099999</v>
      </c>
      <c r="L1151">
        <f t="shared" si="35"/>
        <v>0</v>
      </c>
    </row>
    <row r="1152" spans="1:12" x14ac:dyDescent="0.25">
      <c r="A1152">
        <v>1857</v>
      </c>
      <c r="B1152">
        <v>243984.27350000001</v>
      </c>
      <c r="C1152">
        <v>243984.27350000001</v>
      </c>
      <c r="D1152">
        <v>0</v>
      </c>
      <c r="E1152">
        <v>2044.8905050000001</v>
      </c>
      <c r="F1152" s="1">
        <v>109</v>
      </c>
      <c r="H1152">
        <v>1857</v>
      </c>
      <c r="I1152" t="str">
        <f t="shared" ref="I1152:I1215" si="36">IF(A1152=H1152,"YES","NO")</f>
        <v>YES</v>
      </c>
      <c r="J1152" t="s">
        <v>1158</v>
      </c>
      <c r="K1152">
        <v>721312.53770900005</v>
      </c>
      <c r="L1152">
        <f t="shared" si="35"/>
        <v>0</v>
      </c>
    </row>
    <row r="1153" spans="1:12" x14ac:dyDescent="0.25">
      <c r="A1153">
        <v>1900</v>
      </c>
      <c r="B1153">
        <v>221769.0013</v>
      </c>
      <c r="C1153">
        <v>221769.0013</v>
      </c>
      <c r="D1153">
        <v>0</v>
      </c>
      <c r="E1153">
        <v>1752.6018770000001</v>
      </c>
      <c r="F1153" s="1">
        <v>84.6</v>
      </c>
      <c r="H1153">
        <v>1900</v>
      </c>
      <c r="I1153" t="str">
        <f t="shared" si="36"/>
        <v>YES</v>
      </c>
      <c r="J1153" t="s">
        <v>1159</v>
      </c>
      <c r="K1153">
        <v>252685.054298</v>
      </c>
      <c r="L1153">
        <f t="shared" si="35"/>
        <v>0</v>
      </c>
    </row>
    <row r="1154" spans="1:12" x14ac:dyDescent="0.25">
      <c r="A1154">
        <v>1901</v>
      </c>
      <c r="B1154">
        <v>11066.49386</v>
      </c>
      <c r="C1154">
        <v>11066.49386</v>
      </c>
      <c r="D1154">
        <v>0</v>
      </c>
      <c r="E1154">
        <v>1729.9984139999999</v>
      </c>
      <c r="F1154" s="1">
        <v>4.17</v>
      </c>
      <c r="H1154">
        <v>1901</v>
      </c>
      <c r="I1154" t="str">
        <f t="shared" si="36"/>
        <v>YES</v>
      </c>
      <c r="J1154" t="s">
        <v>1160</v>
      </c>
      <c r="K1154">
        <v>383945.949089</v>
      </c>
      <c r="L1154">
        <f t="shared" si="35"/>
        <v>0</v>
      </c>
    </row>
    <row r="1155" spans="1:12" x14ac:dyDescent="0.25">
      <c r="A1155">
        <v>1902</v>
      </c>
      <c r="B1155">
        <v>134010.52179999999</v>
      </c>
      <c r="C1155">
        <v>134010.52179999999</v>
      </c>
      <c r="D1155">
        <v>0</v>
      </c>
      <c r="E1155">
        <v>3898.7342269999999</v>
      </c>
      <c r="F1155" s="1">
        <v>114</v>
      </c>
      <c r="H1155">
        <v>1902</v>
      </c>
      <c r="I1155" t="str">
        <f t="shared" si="36"/>
        <v>YES</v>
      </c>
      <c r="J1155" t="s">
        <v>1161</v>
      </c>
      <c r="K1155">
        <v>940909.07605399995</v>
      </c>
      <c r="L1155">
        <f t="shared" ref="L1155:L1218" si="37">EXP(0.2052)*K1155*(D1155/C1155)</f>
        <v>0</v>
      </c>
    </row>
    <row r="1156" spans="1:12" x14ac:dyDescent="0.25">
      <c r="A1156">
        <v>1903</v>
      </c>
      <c r="B1156">
        <v>150799.2819</v>
      </c>
      <c r="C1156">
        <v>150799.2819</v>
      </c>
      <c r="D1156">
        <v>0</v>
      </c>
      <c r="E1156">
        <v>3004.2194530000002</v>
      </c>
      <c r="F1156" s="1">
        <v>98.6</v>
      </c>
      <c r="H1156">
        <v>1903</v>
      </c>
      <c r="I1156" t="str">
        <f t="shared" si="36"/>
        <v>YES</v>
      </c>
      <c r="J1156" t="s">
        <v>1162</v>
      </c>
      <c r="K1156">
        <v>441501.32905200002</v>
      </c>
      <c r="L1156">
        <f t="shared" si="37"/>
        <v>0</v>
      </c>
    </row>
    <row r="1157" spans="1:12" x14ac:dyDescent="0.25">
      <c r="A1157">
        <v>1904</v>
      </c>
      <c r="B1157">
        <v>75216.913560000001</v>
      </c>
      <c r="C1157">
        <v>75216.913560000001</v>
      </c>
      <c r="D1157">
        <v>0</v>
      </c>
      <c r="E1157">
        <v>3022.4457870000001</v>
      </c>
      <c r="F1157" s="1">
        <v>49.5</v>
      </c>
      <c r="H1157">
        <v>1904</v>
      </c>
      <c r="I1157" t="str">
        <f t="shared" si="36"/>
        <v>YES</v>
      </c>
      <c r="J1157" t="s">
        <v>1163</v>
      </c>
      <c r="K1157">
        <v>396202.47924800002</v>
      </c>
      <c r="L1157">
        <f t="shared" si="37"/>
        <v>0</v>
      </c>
    </row>
    <row r="1158" spans="1:12" x14ac:dyDescent="0.25">
      <c r="A1158">
        <v>1905</v>
      </c>
      <c r="B1158">
        <v>244520.54569999999</v>
      </c>
      <c r="C1158">
        <v>244520.54569999999</v>
      </c>
      <c r="D1158">
        <v>0</v>
      </c>
      <c r="E1158">
        <v>3535.9064020000001</v>
      </c>
      <c r="F1158" s="1">
        <v>188</v>
      </c>
      <c r="H1158">
        <v>1905</v>
      </c>
      <c r="I1158" t="str">
        <f t="shared" si="36"/>
        <v>YES</v>
      </c>
      <c r="J1158" t="s">
        <v>1164</v>
      </c>
      <c r="K1158">
        <v>301090.87833600002</v>
      </c>
      <c r="L1158">
        <f t="shared" si="37"/>
        <v>0</v>
      </c>
    </row>
    <row r="1159" spans="1:12" x14ac:dyDescent="0.25">
      <c r="A1159">
        <v>1906</v>
      </c>
      <c r="B1159">
        <v>101572.7129</v>
      </c>
      <c r="C1159">
        <v>101572.7129</v>
      </c>
      <c r="D1159">
        <v>0</v>
      </c>
      <c r="E1159">
        <v>1179.7419480000001</v>
      </c>
      <c r="F1159" s="1">
        <v>26.1</v>
      </c>
      <c r="H1159">
        <v>1906</v>
      </c>
      <c r="I1159" t="str">
        <f t="shared" si="36"/>
        <v>YES</v>
      </c>
      <c r="J1159" t="s">
        <v>1165</v>
      </c>
      <c r="K1159">
        <v>193594.57615099999</v>
      </c>
      <c r="L1159">
        <f t="shared" si="37"/>
        <v>0</v>
      </c>
    </row>
    <row r="1160" spans="1:12" x14ac:dyDescent="0.25">
      <c r="A1160">
        <v>1907</v>
      </c>
      <c r="B1160">
        <v>7810.8507540000001</v>
      </c>
      <c r="C1160">
        <v>7810.8507540000001</v>
      </c>
      <c r="D1160">
        <v>0</v>
      </c>
      <c r="E1160">
        <v>2005.3518919999999</v>
      </c>
      <c r="F1160" s="1">
        <v>3.41</v>
      </c>
      <c r="H1160">
        <v>1907</v>
      </c>
      <c r="I1160" t="str">
        <f t="shared" si="36"/>
        <v>YES</v>
      </c>
      <c r="J1160" t="s">
        <v>1166</v>
      </c>
      <c r="K1160">
        <v>323203.044956</v>
      </c>
      <c r="L1160">
        <f t="shared" si="37"/>
        <v>0</v>
      </c>
    </row>
    <row r="1161" spans="1:12" x14ac:dyDescent="0.25">
      <c r="A1161">
        <v>1908</v>
      </c>
      <c r="B1161">
        <v>166255.54569999999</v>
      </c>
      <c r="C1161">
        <v>166255.54569999999</v>
      </c>
      <c r="D1161">
        <v>0</v>
      </c>
      <c r="E1161">
        <v>1258.121975</v>
      </c>
      <c r="F1161" s="1">
        <v>45.5</v>
      </c>
      <c r="H1161">
        <v>1908</v>
      </c>
      <c r="I1161" t="str">
        <f t="shared" si="36"/>
        <v>YES</v>
      </c>
      <c r="J1161" t="s">
        <v>1167</v>
      </c>
      <c r="K1161">
        <v>119122.08425</v>
      </c>
      <c r="L1161">
        <f t="shared" si="37"/>
        <v>0</v>
      </c>
    </row>
    <row r="1162" spans="1:12" x14ac:dyDescent="0.25">
      <c r="A1162">
        <v>1910</v>
      </c>
      <c r="B1162">
        <v>130662.7834</v>
      </c>
      <c r="C1162">
        <v>130662.7834</v>
      </c>
      <c r="D1162">
        <v>0</v>
      </c>
      <c r="E1162">
        <v>1317.9467440000001</v>
      </c>
      <c r="F1162" s="1">
        <v>37.5</v>
      </c>
      <c r="H1162">
        <v>1910</v>
      </c>
      <c r="I1162" t="str">
        <f t="shared" si="36"/>
        <v>YES</v>
      </c>
      <c r="J1162" t="s">
        <v>1168</v>
      </c>
      <c r="K1162">
        <v>252965.885759</v>
      </c>
      <c r="L1162">
        <f t="shared" si="37"/>
        <v>0</v>
      </c>
    </row>
    <row r="1163" spans="1:12" x14ac:dyDescent="0.25">
      <c r="A1163">
        <v>1911</v>
      </c>
      <c r="B1163">
        <v>173065.7788</v>
      </c>
      <c r="C1163">
        <v>173065.7788</v>
      </c>
      <c r="D1163">
        <v>0</v>
      </c>
      <c r="E1163">
        <v>517.63881100000003</v>
      </c>
      <c r="F1163" s="1">
        <v>19.5</v>
      </c>
      <c r="H1163">
        <v>1911</v>
      </c>
      <c r="I1163" t="str">
        <f t="shared" si="36"/>
        <v>YES</v>
      </c>
      <c r="J1163" t="s">
        <v>1169</v>
      </c>
      <c r="K1163">
        <v>96931.4957459</v>
      </c>
      <c r="L1163">
        <f t="shared" si="37"/>
        <v>0</v>
      </c>
    </row>
    <row r="1164" spans="1:12" x14ac:dyDescent="0.25">
      <c r="A1164">
        <v>1912</v>
      </c>
      <c r="B1164">
        <v>177878.72659999999</v>
      </c>
      <c r="C1164">
        <v>177878.72659999999</v>
      </c>
      <c r="D1164">
        <v>0</v>
      </c>
      <c r="E1164">
        <v>1069.3871810000001</v>
      </c>
      <c r="F1164" s="1">
        <v>41.4</v>
      </c>
      <c r="H1164">
        <v>1912</v>
      </c>
      <c r="I1164" t="str">
        <f t="shared" si="36"/>
        <v>YES</v>
      </c>
      <c r="J1164" t="s">
        <v>1170</v>
      </c>
      <c r="K1164">
        <v>176549.673365</v>
      </c>
      <c r="L1164">
        <f t="shared" si="37"/>
        <v>0</v>
      </c>
    </row>
    <row r="1165" spans="1:12" x14ac:dyDescent="0.25">
      <c r="A1165">
        <v>1913</v>
      </c>
      <c r="B1165">
        <v>277814.65639999998</v>
      </c>
      <c r="C1165">
        <v>277814.65639999998</v>
      </c>
      <c r="D1165">
        <v>0</v>
      </c>
      <c r="E1165">
        <v>2754.983467</v>
      </c>
      <c r="F1165" s="1">
        <v>167</v>
      </c>
      <c r="H1165">
        <v>1913</v>
      </c>
      <c r="I1165" t="str">
        <f t="shared" si="36"/>
        <v>YES</v>
      </c>
      <c r="J1165" t="s">
        <v>1171</v>
      </c>
      <c r="K1165">
        <v>373315.77311399998</v>
      </c>
      <c r="L1165">
        <f t="shared" si="37"/>
        <v>0</v>
      </c>
    </row>
    <row r="1166" spans="1:12" x14ac:dyDescent="0.25">
      <c r="A1166">
        <v>1914</v>
      </c>
      <c r="B1166">
        <v>213204.50169999999</v>
      </c>
      <c r="C1166">
        <v>213204.50169999999</v>
      </c>
      <c r="D1166">
        <v>0</v>
      </c>
      <c r="E1166">
        <v>713.50210400000003</v>
      </c>
      <c r="F1166" s="1">
        <v>33.1</v>
      </c>
      <c r="H1166">
        <v>1914</v>
      </c>
      <c r="I1166" t="str">
        <f t="shared" si="36"/>
        <v>YES</v>
      </c>
      <c r="J1166" t="s">
        <v>1172</v>
      </c>
      <c r="K1166">
        <v>116014.347841</v>
      </c>
      <c r="L1166">
        <f t="shared" si="37"/>
        <v>0</v>
      </c>
    </row>
    <row r="1167" spans="1:12" x14ac:dyDescent="0.25">
      <c r="A1167">
        <v>1915</v>
      </c>
      <c r="B1167">
        <v>206855.95680000001</v>
      </c>
      <c r="C1167">
        <v>206855.95680000001</v>
      </c>
      <c r="D1167">
        <v>0</v>
      </c>
      <c r="E1167">
        <v>2324.7065149999999</v>
      </c>
      <c r="F1167" s="1">
        <v>105</v>
      </c>
      <c r="H1167">
        <v>1915</v>
      </c>
      <c r="I1167" t="str">
        <f t="shared" si="36"/>
        <v>YES</v>
      </c>
      <c r="J1167" t="s">
        <v>1173</v>
      </c>
      <c r="K1167">
        <v>171650.313008</v>
      </c>
      <c r="L1167">
        <f t="shared" si="37"/>
        <v>0</v>
      </c>
    </row>
    <row r="1168" spans="1:12" x14ac:dyDescent="0.25">
      <c r="A1168">
        <v>1916</v>
      </c>
      <c r="B1168">
        <v>325326.71669999999</v>
      </c>
      <c r="C1168">
        <v>325326.71669999999</v>
      </c>
      <c r="D1168">
        <v>0</v>
      </c>
      <c r="E1168">
        <v>3837.1915330000002</v>
      </c>
      <c r="F1168" s="1">
        <v>272</v>
      </c>
      <c r="H1168">
        <v>1916</v>
      </c>
      <c r="I1168" t="str">
        <f t="shared" si="36"/>
        <v>YES</v>
      </c>
      <c r="J1168" t="s">
        <v>1174</v>
      </c>
      <c r="K1168">
        <v>431491.84165299998</v>
      </c>
      <c r="L1168">
        <f t="shared" si="37"/>
        <v>0</v>
      </c>
    </row>
    <row r="1169" spans="1:12" x14ac:dyDescent="0.25">
      <c r="A1169">
        <v>1917</v>
      </c>
      <c r="B1169">
        <v>324896.75540000002</v>
      </c>
      <c r="C1169">
        <v>324896.75540000002</v>
      </c>
      <c r="D1169">
        <v>0</v>
      </c>
      <c r="E1169">
        <v>1030.2810010000001</v>
      </c>
      <c r="F1169" s="1">
        <v>72.900000000000006</v>
      </c>
      <c r="H1169">
        <v>1917</v>
      </c>
      <c r="I1169" t="str">
        <f t="shared" si="36"/>
        <v>YES</v>
      </c>
      <c r="J1169" t="s">
        <v>1175</v>
      </c>
      <c r="K1169">
        <v>406136.38447699999</v>
      </c>
      <c r="L1169">
        <f t="shared" si="37"/>
        <v>0</v>
      </c>
    </row>
    <row r="1170" spans="1:12" x14ac:dyDescent="0.25">
      <c r="A1170">
        <v>1918</v>
      </c>
      <c r="B1170">
        <v>388447.33010000002</v>
      </c>
      <c r="C1170">
        <v>388447.33010000002</v>
      </c>
      <c r="D1170">
        <v>0</v>
      </c>
      <c r="E1170">
        <v>1814.026979</v>
      </c>
      <c r="F1170" s="1">
        <v>153</v>
      </c>
      <c r="H1170">
        <v>1918</v>
      </c>
      <c r="I1170" t="str">
        <f t="shared" si="36"/>
        <v>YES</v>
      </c>
      <c r="J1170" t="s">
        <v>1176</v>
      </c>
      <c r="K1170">
        <v>260376.222476</v>
      </c>
      <c r="L1170">
        <f t="shared" si="37"/>
        <v>0</v>
      </c>
    </row>
    <row r="1171" spans="1:12" x14ac:dyDescent="0.25">
      <c r="A1171">
        <v>1919</v>
      </c>
      <c r="B1171">
        <v>359433.22570000001</v>
      </c>
      <c r="C1171">
        <v>359433.22570000001</v>
      </c>
      <c r="D1171">
        <v>0</v>
      </c>
      <c r="E1171">
        <v>2448.2136890000002</v>
      </c>
      <c r="F1171" s="1">
        <v>192</v>
      </c>
      <c r="H1171">
        <v>1919</v>
      </c>
      <c r="I1171" t="str">
        <f t="shared" si="36"/>
        <v>YES</v>
      </c>
      <c r="J1171" t="s">
        <v>1177</v>
      </c>
      <c r="K1171">
        <v>551595.97701999999</v>
      </c>
      <c r="L1171">
        <f t="shared" si="37"/>
        <v>0</v>
      </c>
    </row>
    <row r="1172" spans="1:12" x14ac:dyDescent="0.25">
      <c r="A1172">
        <v>1922</v>
      </c>
      <c r="B1172">
        <v>27620.696070000002</v>
      </c>
      <c r="C1172">
        <v>27620.696070000002</v>
      </c>
      <c r="D1172">
        <v>0</v>
      </c>
      <c r="E1172">
        <v>2371.539436</v>
      </c>
      <c r="F1172" s="1">
        <v>14.3</v>
      </c>
      <c r="H1172">
        <v>1922</v>
      </c>
      <c r="I1172" t="str">
        <f t="shared" si="36"/>
        <v>YES</v>
      </c>
      <c r="J1172" t="s">
        <v>1178</v>
      </c>
      <c r="K1172">
        <v>917833.89851199999</v>
      </c>
      <c r="L1172">
        <f t="shared" si="37"/>
        <v>0</v>
      </c>
    </row>
    <row r="1173" spans="1:12" x14ac:dyDescent="0.25">
      <c r="A1173">
        <v>1923</v>
      </c>
      <c r="B1173">
        <v>17924.379110000002</v>
      </c>
      <c r="C1173">
        <v>17924.379110000002</v>
      </c>
      <c r="D1173">
        <v>0</v>
      </c>
      <c r="E1173">
        <v>2961.8040919999999</v>
      </c>
      <c r="F1173" s="1">
        <v>11.6</v>
      </c>
      <c r="H1173">
        <v>1923</v>
      </c>
      <c r="I1173" t="str">
        <f t="shared" si="36"/>
        <v>YES</v>
      </c>
      <c r="J1173" t="s">
        <v>1179</v>
      </c>
      <c r="K1173">
        <v>687930.30011399998</v>
      </c>
      <c r="L1173">
        <f t="shared" si="37"/>
        <v>0</v>
      </c>
    </row>
    <row r="1174" spans="1:12" x14ac:dyDescent="0.25">
      <c r="A1174">
        <v>1924</v>
      </c>
      <c r="B1174">
        <v>16461.750489999999</v>
      </c>
      <c r="C1174">
        <v>16461.750489999999</v>
      </c>
      <c r="D1174">
        <v>0</v>
      </c>
      <c r="E1174">
        <v>3709.1914360000001</v>
      </c>
      <c r="F1174" s="1">
        <v>13.3</v>
      </c>
      <c r="H1174">
        <v>1924</v>
      </c>
      <c r="I1174" t="str">
        <f t="shared" si="36"/>
        <v>YES</v>
      </c>
      <c r="J1174" t="s">
        <v>1180</v>
      </c>
      <c r="K1174">
        <v>693447.45464600006</v>
      </c>
      <c r="L1174">
        <f t="shared" si="37"/>
        <v>0</v>
      </c>
    </row>
    <row r="1175" spans="1:12" x14ac:dyDescent="0.25">
      <c r="A1175">
        <v>1925</v>
      </c>
      <c r="B1175">
        <v>55154.168680000002</v>
      </c>
      <c r="C1175">
        <v>55154.168680000002</v>
      </c>
      <c r="D1175">
        <v>0</v>
      </c>
      <c r="E1175">
        <v>2036.6586970000001</v>
      </c>
      <c r="F1175" s="1">
        <v>24.5</v>
      </c>
      <c r="H1175">
        <v>1925</v>
      </c>
      <c r="I1175" t="str">
        <f t="shared" si="36"/>
        <v>YES</v>
      </c>
      <c r="J1175" t="s">
        <v>1181</v>
      </c>
      <c r="K1175">
        <v>328426.28039500001</v>
      </c>
      <c r="L1175">
        <f t="shared" si="37"/>
        <v>0</v>
      </c>
    </row>
    <row r="1176" spans="1:12" x14ac:dyDescent="0.25">
      <c r="A1176">
        <v>1926</v>
      </c>
      <c r="B1176">
        <v>120465.3318</v>
      </c>
      <c r="C1176">
        <v>120465.3318</v>
      </c>
      <c r="D1176">
        <v>0</v>
      </c>
      <c r="E1176">
        <v>558.52003049999996</v>
      </c>
      <c r="F1176" s="1">
        <v>14.6</v>
      </c>
      <c r="H1176">
        <v>1926</v>
      </c>
      <c r="I1176" t="str">
        <f t="shared" si="36"/>
        <v>YES</v>
      </c>
      <c r="J1176" t="s">
        <v>1182</v>
      </c>
      <c r="K1176">
        <v>51589.692036699998</v>
      </c>
      <c r="L1176">
        <f t="shared" si="37"/>
        <v>0</v>
      </c>
    </row>
    <row r="1177" spans="1:12" x14ac:dyDescent="0.25">
      <c r="A1177">
        <v>1927</v>
      </c>
      <c r="B1177">
        <v>117606.76360000001</v>
      </c>
      <c r="C1177">
        <v>117606.76360000001</v>
      </c>
      <c r="D1177">
        <v>0</v>
      </c>
      <c r="E1177">
        <v>1766.470853</v>
      </c>
      <c r="F1177" s="1">
        <v>45.2</v>
      </c>
      <c r="H1177">
        <v>1927</v>
      </c>
      <c r="I1177" t="str">
        <f t="shared" si="36"/>
        <v>YES</v>
      </c>
      <c r="J1177" t="s">
        <v>1183</v>
      </c>
      <c r="K1177">
        <v>275958.375933</v>
      </c>
      <c r="L1177">
        <f t="shared" si="37"/>
        <v>0</v>
      </c>
    </row>
    <row r="1178" spans="1:12" x14ac:dyDescent="0.25">
      <c r="A1178">
        <v>1928</v>
      </c>
      <c r="B1178">
        <v>14448.08964</v>
      </c>
      <c r="C1178">
        <v>14448.08964</v>
      </c>
      <c r="D1178">
        <v>0</v>
      </c>
      <c r="E1178">
        <v>1106.901527</v>
      </c>
      <c r="F1178" s="1">
        <v>3.48</v>
      </c>
      <c r="H1178">
        <v>1928</v>
      </c>
      <c r="I1178" t="str">
        <f t="shared" si="36"/>
        <v>YES</v>
      </c>
      <c r="J1178" t="s">
        <v>1184</v>
      </c>
      <c r="K1178">
        <v>257326.00714</v>
      </c>
      <c r="L1178">
        <f t="shared" si="37"/>
        <v>0</v>
      </c>
    </row>
    <row r="1179" spans="1:12" x14ac:dyDescent="0.25">
      <c r="A1179">
        <v>1929</v>
      </c>
      <c r="B1179">
        <v>93551.515029999995</v>
      </c>
      <c r="C1179">
        <v>93551.515029999995</v>
      </c>
      <c r="D1179">
        <v>0</v>
      </c>
      <c r="E1179">
        <v>1883.533997</v>
      </c>
      <c r="F1179" s="1">
        <v>38.4</v>
      </c>
      <c r="H1179">
        <v>1929</v>
      </c>
      <c r="I1179" t="str">
        <f t="shared" si="36"/>
        <v>YES</v>
      </c>
      <c r="J1179" t="s">
        <v>1185</v>
      </c>
      <c r="K1179">
        <v>313593.79086200002</v>
      </c>
      <c r="L1179">
        <f t="shared" si="37"/>
        <v>0</v>
      </c>
    </row>
    <row r="1180" spans="1:12" x14ac:dyDescent="0.25">
      <c r="A1180">
        <v>1930</v>
      </c>
      <c r="B1180">
        <v>18449.786349999998</v>
      </c>
      <c r="C1180">
        <v>18449.786349999998</v>
      </c>
      <c r="D1180">
        <v>0</v>
      </c>
      <c r="E1180">
        <v>1077.137144</v>
      </c>
      <c r="F1180" s="1">
        <v>4.33</v>
      </c>
      <c r="H1180">
        <v>1930</v>
      </c>
      <c r="I1180" t="str">
        <f t="shared" si="36"/>
        <v>YES</v>
      </c>
      <c r="J1180" t="s">
        <v>1186</v>
      </c>
      <c r="K1180">
        <v>243745.64309600001</v>
      </c>
      <c r="L1180">
        <f t="shared" si="37"/>
        <v>0</v>
      </c>
    </row>
    <row r="1181" spans="1:12" x14ac:dyDescent="0.25">
      <c r="A1181">
        <v>1931</v>
      </c>
      <c r="B1181">
        <v>17545.855879999999</v>
      </c>
      <c r="C1181">
        <v>17545.855879999999</v>
      </c>
      <c r="D1181">
        <v>0</v>
      </c>
      <c r="E1181">
        <v>1176.95858</v>
      </c>
      <c r="F1181" s="1">
        <v>4.5</v>
      </c>
      <c r="H1181">
        <v>1931</v>
      </c>
      <c r="I1181" t="str">
        <f t="shared" si="36"/>
        <v>YES</v>
      </c>
      <c r="J1181" t="s">
        <v>1187</v>
      </c>
      <c r="K1181">
        <v>234021.360533</v>
      </c>
      <c r="L1181">
        <f t="shared" si="37"/>
        <v>0</v>
      </c>
    </row>
    <row r="1182" spans="1:12" x14ac:dyDescent="0.25">
      <c r="A1182">
        <v>1932</v>
      </c>
      <c r="B1182">
        <v>5304.8497729999999</v>
      </c>
      <c r="C1182">
        <v>5304.8497729999999</v>
      </c>
      <c r="D1182">
        <v>0</v>
      </c>
      <c r="E1182">
        <v>1341.582488</v>
      </c>
      <c r="F1182" s="1">
        <v>1.55</v>
      </c>
      <c r="H1182">
        <v>1932</v>
      </c>
      <c r="I1182" t="str">
        <f t="shared" si="36"/>
        <v>YES</v>
      </c>
      <c r="J1182" t="s">
        <v>1188</v>
      </c>
      <c r="K1182">
        <v>1469431.9106699999</v>
      </c>
      <c r="L1182">
        <f t="shared" si="37"/>
        <v>0</v>
      </c>
    </row>
    <row r="1183" spans="1:12" x14ac:dyDescent="0.25">
      <c r="A1183">
        <v>1933</v>
      </c>
      <c r="B1183">
        <v>17119.15451</v>
      </c>
      <c r="C1183">
        <v>17119.15451</v>
      </c>
      <c r="D1183">
        <v>0</v>
      </c>
      <c r="E1183">
        <v>2592.8317480000001</v>
      </c>
      <c r="F1183" s="1">
        <v>9.66</v>
      </c>
      <c r="H1183">
        <v>1933</v>
      </c>
      <c r="I1183" t="str">
        <f t="shared" si="36"/>
        <v>YES</v>
      </c>
      <c r="J1183" t="s">
        <v>1189</v>
      </c>
      <c r="K1183">
        <v>509176.546638</v>
      </c>
      <c r="L1183">
        <f t="shared" si="37"/>
        <v>0</v>
      </c>
    </row>
    <row r="1184" spans="1:12" x14ac:dyDescent="0.25">
      <c r="A1184">
        <v>1934</v>
      </c>
      <c r="B1184">
        <v>18221.793529999999</v>
      </c>
      <c r="C1184">
        <v>18221.793529999999</v>
      </c>
      <c r="D1184">
        <v>0</v>
      </c>
      <c r="E1184">
        <v>2108.2605979999998</v>
      </c>
      <c r="F1184" s="1">
        <v>8.36</v>
      </c>
      <c r="H1184">
        <v>1934</v>
      </c>
      <c r="I1184" t="str">
        <f t="shared" si="36"/>
        <v>YES</v>
      </c>
      <c r="J1184" t="s">
        <v>1190</v>
      </c>
      <c r="K1184">
        <v>338788.840539</v>
      </c>
      <c r="L1184">
        <f t="shared" si="37"/>
        <v>0</v>
      </c>
    </row>
    <row r="1185" spans="1:12" x14ac:dyDescent="0.25">
      <c r="A1185">
        <v>1935</v>
      </c>
      <c r="B1185">
        <v>6484.1431249999996</v>
      </c>
      <c r="C1185">
        <v>6484.1431249999996</v>
      </c>
      <c r="D1185">
        <v>0</v>
      </c>
      <c r="E1185">
        <v>3532.9432780000002</v>
      </c>
      <c r="F1185" s="1">
        <v>4.99</v>
      </c>
      <c r="H1185">
        <v>1935</v>
      </c>
      <c r="I1185" t="str">
        <f t="shared" si="36"/>
        <v>YES</v>
      </c>
      <c r="J1185" t="s">
        <v>1191</v>
      </c>
      <c r="K1185">
        <v>576820.77669800003</v>
      </c>
      <c r="L1185">
        <f t="shared" si="37"/>
        <v>0</v>
      </c>
    </row>
    <row r="1186" spans="1:12" x14ac:dyDescent="0.25">
      <c r="A1186">
        <v>1936</v>
      </c>
      <c r="B1186">
        <v>13528.77432</v>
      </c>
      <c r="C1186">
        <v>13528.77432</v>
      </c>
      <c r="D1186">
        <v>0</v>
      </c>
      <c r="E1186">
        <v>2035.6659999999999</v>
      </c>
      <c r="F1186" s="1">
        <v>6</v>
      </c>
      <c r="H1186">
        <v>1936</v>
      </c>
      <c r="I1186" t="str">
        <f t="shared" si="36"/>
        <v>YES</v>
      </c>
      <c r="J1186" t="s">
        <v>1192</v>
      </c>
      <c r="K1186">
        <v>1071933.76492</v>
      </c>
      <c r="L1186">
        <f t="shared" si="37"/>
        <v>0</v>
      </c>
    </row>
    <row r="1187" spans="1:12" x14ac:dyDescent="0.25">
      <c r="A1187">
        <v>1937</v>
      </c>
      <c r="B1187">
        <v>5071.3331310000003</v>
      </c>
      <c r="C1187">
        <v>5071.3331310000003</v>
      </c>
      <c r="D1187">
        <v>0</v>
      </c>
      <c r="E1187" s="1">
        <v>9.5799999999999998E-5</v>
      </c>
      <c r="F1187" s="1">
        <v>1.06E-7</v>
      </c>
      <c r="H1187">
        <v>1937</v>
      </c>
      <c r="I1187" t="str">
        <f t="shared" si="36"/>
        <v>YES</v>
      </c>
      <c r="J1187" t="s">
        <v>1193</v>
      </c>
      <c r="K1187">
        <v>665412.799673</v>
      </c>
      <c r="L1187">
        <f t="shared" si="37"/>
        <v>0</v>
      </c>
    </row>
    <row r="1188" spans="1:12" x14ac:dyDescent="0.25">
      <c r="A1188">
        <v>1940</v>
      </c>
      <c r="B1188">
        <v>400095.93150000001</v>
      </c>
      <c r="C1188">
        <v>400095.93150000001</v>
      </c>
      <c r="D1188">
        <v>0</v>
      </c>
      <c r="E1188">
        <v>1146.413499</v>
      </c>
      <c r="F1188" s="1">
        <v>99.9</v>
      </c>
      <c r="H1188">
        <v>1940</v>
      </c>
      <c r="I1188" t="str">
        <f t="shared" si="36"/>
        <v>YES</v>
      </c>
      <c r="J1188" t="s">
        <v>1194</v>
      </c>
      <c r="K1188">
        <v>151813.35855400001</v>
      </c>
      <c r="L1188">
        <f t="shared" si="37"/>
        <v>0</v>
      </c>
    </row>
    <row r="1189" spans="1:12" x14ac:dyDescent="0.25">
      <c r="A1189">
        <v>1941</v>
      </c>
      <c r="B1189">
        <v>313484.36489999999</v>
      </c>
      <c r="C1189">
        <v>313484.36489999999</v>
      </c>
      <c r="D1189">
        <v>0</v>
      </c>
      <c r="E1189">
        <v>4016.6645109999999</v>
      </c>
      <c r="F1189" s="1">
        <v>274</v>
      </c>
      <c r="H1189">
        <v>1941</v>
      </c>
      <c r="I1189" t="str">
        <f t="shared" si="36"/>
        <v>YES</v>
      </c>
      <c r="J1189" t="s">
        <v>1195</v>
      </c>
      <c r="K1189">
        <v>435598.68769499997</v>
      </c>
      <c r="L1189">
        <f t="shared" si="37"/>
        <v>0</v>
      </c>
    </row>
    <row r="1190" spans="1:12" x14ac:dyDescent="0.25">
      <c r="A1190">
        <v>1942</v>
      </c>
      <c r="B1190">
        <v>167045.00949999999</v>
      </c>
      <c r="C1190">
        <v>167045.00949999999</v>
      </c>
      <c r="D1190">
        <v>0</v>
      </c>
      <c r="E1190">
        <v>4473.9383820000003</v>
      </c>
      <c r="F1190" s="1">
        <v>163</v>
      </c>
      <c r="H1190">
        <v>1942</v>
      </c>
      <c r="I1190" t="str">
        <f t="shared" si="36"/>
        <v>YES</v>
      </c>
      <c r="J1190" t="s">
        <v>1196</v>
      </c>
      <c r="K1190">
        <v>543005.62668800005</v>
      </c>
      <c r="L1190">
        <f t="shared" si="37"/>
        <v>0</v>
      </c>
    </row>
    <row r="1191" spans="1:12" x14ac:dyDescent="0.25">
      <c r="A1191">
        <v>1943</v>
      </c>
      <c r="B1191">
        <v>380319.97149999999</v>
      </c>
      <c r="C1191">
        <v>380319.97149999999</v>
      </c>
      <c r="D1191">
        <v>0</v>
      </c>
      <c r="E1191">
        <v>2089.3773289999999</v>
      </c>
      <c r="F1191" s="1">
        <v>173</v>
      </c>
      <c r="H1191">
        <v>1943</v>
      </c>
      <c r="I1191" t="str">
        <f t="shared" si="36"/>
        <v>YES</v>
      </c>
      <c r="J1191" t="s">
        <v>1197</v>
      </c>
      <c r="K1191">
        <v>159604.335689</v>
      </c>
      <c r="L1191">
        <f t="shared" si="37"/>
        <v>0</v>
      </c>
    </row>
    <row r="1192" spans="1:12" x14ac:dyDescent="0.25">
      <c r="A1192">
        <v>1944</v>
      </c>
      <c r="B1192">
        <v>50796.720739999997</v>
      </c>
      <c r="C1192">
        <v>50796.720739999997</v>
      </c>
      <c r="D1192">
        <v>0</v>
      </c>
      <c r="E1192">
        <v>3097.2218630000002</v>
      </c>
      <c r="F1192" s="1">
        <v>34.299999999999997</v>
      </c>
      <c r="H1192">
        <v>1944</v>
      </c>
      <c r="I1192" t="str">
        <f t="shared" si="36"/>
        <v>YES</v>
      </c>
      <c r="J1192" t="s">
        <v>1198</v>
      </c>
      <c r="K1192">
        <v>388360.18939000001</v>
      </c>
      <c r="L1192">
        <f t="shared" si="37"/>
        <v>0</v>
      </c>
    </row>
    <row r="1193" spans="1:12" x14ac:dyDescent="0.25">
      <c r="A1193">
        <v>1945</v>
      </c>
      <c r="B1193">
        <v>519230.30839999998</v>
      </c>
      <c r="C1193">
        <v>519230.30839999998</v>
      </c>
      <c r="D1193">
        <v>0</v>
      </c>
      <c r="E1193">
        <v>2099.2108079999998</v>
      </c>
      <c r="F1193" s="1">
        <v>237</v>
      </c>
      <c r="H1193">
        <v>1945</v>
      </c>
      <c r="I1193" t="str">
        <f t="shared" si="36"/>
        <v>YES</v>
      </c>
      <c r="J1193" t="s">
        <v>1199</v>
      </c>
      <c r="K1193">
        <v>304806.98476299999</v>
      </c>
      <c r="L1193">
        <f t="shared" si="37"/>
        <v>0</v>
      </c>
    </row>
    <row r="1194" spans="1:12" x14ac:dyDescent="0.25">
      <c r="A1194">
        <v>1946</v>
      </c>
      <c r="B1194">
        <v>281867.30800000002</v>
      </c>
      <c r="C1194">
        <v>281867.30800000002</v>
      </c>
      <c r="D1194">
        <v>0</v>
      </c>
      <c r="E1194">
        <v>2189.1736080000001</v>
      </c>
      <c r="F1194" s="1">
        <v>134</v>
      </c>
      <c r="H1194">
        <v>1946</v>
      </c>
      <c r="I1194" t="str">
        <f t="shared" si="36"/>
        <v>YES</v>
      </c>
      <c r="J1194" t="s">
        <v>1200</v>
      </c>
      <c r="K1194">
        <v>222794.99213999999</v>
      </c>
      <c r="L1194">
        <f t="shared" si="37"/>
        <v>0</v>
      </c>
    </row>
    <row r="1195" spans="1:12" x14ac:dyDescent="0.25">
      <c r="A1195">
        <v>1947</v>
      </c>
      <c r="B1195">
        <v>538819.43770000001</v>
      </c>
      <c r="C1195">
        <v>538819.43770000001</v>
      </c>
      <c r="D1195">
        <v>0</v>
      </c>
      <c r="E1195">
        <v>284.46692539999998</v>
      </c>
      <c r="F1195" s="1">
        <v>33.4</v>
      </c>
      <c r="H1195">
        <v>1947</v>
      </c>
      <c r="I1195" t="str">
        <f t="shared" si="36"/>
        <v>YES</v>
      </c>
      <c r="J1195" t="s">
        <v>1201</v>
      </c>
      <c r="K1195">
        <v>98380.798809500004</v>
      </c>
      <c r="L1195">
        <f t="shared" si="37"/>
        <v>0</v>
      </c>
    </row>
    <row r="1196" spans="1:12" x14ac:dyDescent="0.25">
      <c r="A1196">
        <v>1948</v>
      </c>
      <c r="B1196">
        <v>463682.00199999998</v>
      </c>
      <c r="C1196">
        <v>463682.00199999998</v>
      </c>
      <c r="D1196">
        <v>0</v>
      </c>
      <c r="E1196">
        <v>654.78448270000001</v>
      </c>
      <c r="F1196" s="1">
        <v>66.099999999999994</v>
      </c>
      <c r="H1196">
        <v>1948</v>
      </c>
      <c r="I1196" t="str">
        <f t="shared" si="36"/>
        <v>YES</v>
      </c>
      <c r="J1196" t="s">
        <v>1202</v>
      </c>
      <c r="K1196">
        <v>119976.390377</v>
      </c>
      <c r="L1196">
        <f t="shared" si="37"/>
        <v>0</v>
      </c>
    </row>
    <row r="1197" spans="1:12" x14ac:dyDescent="0.25">
      <c r="A1197">
        <v>1949</v>
      </c>
      <c r="B1197">
        <v>315545.78970000002</v>
      </c>
      <c r="C1197">
        <v>315545.78970000002</v>
      </c>
      <c r="D1197">
        <v>0</v>
      </c>
      <c r="E1197">
        <v>533.49203929999999</v>
      </c>
      <c r="F1197" s="1">
        <v>36.700000000000003</v>
      </c>
      <c r="H1197">
        <v>1949</v>
      </c>
      <c r="I1197" t="str">
        <f t="shared" si="36"/>
        <v>YES</v>
      </c>
      <c r="J1197" t="s">
        <v>1203</v>
      </c>
      <c r="K1197">
        <v>62791.113725000003</v>
      </c>
      <c r="L1197">
        <f t="shared" si="37"/>
        <v>0</v>
      </c>
    </row>
    <row r="1198" spans="1:12" x14ac:dyDescent="0.25">
      <c r="A1198">
        <v>1950</v>
      </c>
      <c r="B1198">
        <v>395326.16100000002</v>
      </c>
      <c r="C1198">
        <v>395326.16100000002</v>
      </c>
      <c r="D1198">
        <v>0</v>
      </c>
      <c r="E1198">
        <v>527.69306359999996</v>
      </c>
      <c r="F1198" s="1">
        <v>45.4</v>
      </c>
      <c r="H1198">
        <v>1950</v>
      </c>
      <c r="I1198" t="str">
        <f t="shared" si="36"/>
        <v>YES</v>
      </c>
      <c r="J1198" t="s">
        <v>1204</v>
      </c>
      <c r="K1198">
        <v>306207.14974299999</v>
      </c>
      <c r="L1198">
        <f t="shared" si="37"/>
        <v>0</v>
      </c>
    </row>
    <row r="1199" spans="1:12" x14ac:dyDescent="0.25">
      <c r="A1199">
        <v>1951</v>
      </c>
      <c r="B1199">
        <v>573376.3811</v>
      </c>
      <c r="C1199">
        <v>573376.3811</v>
      </c>
      <c r="D1199">
        <v>0</v>
      </c>
      <c r="E1199">
        <v>1137.4350790000001</v>
      </c>
      <c r="F1199" s="1">
        <v>142</v>
      </c>
      <c r="H1199">
        <v>1951</v>
      </c>
      <c r="I1199" t="str">
        <f t="shared" si="36"/>
        <v>YES</v>
      </c>
      <c r="J1199" t="s">
        <v>1205</v>
      </c>
      <c r="K1199">
        <v>86588.463766800007</v>
      </c>
      <c r="L1199">
        <f t="shared" si="37"/>
        <v>0</v>
      </c>
    </row>
    <row r="1200" spans="1:12" x14ac:dyDescent="0.25">
      <c r="A1200">
        <v>1952</v>
      </c>
      <c r="B1200">
        <v>491741.96990000003</v>
      </c>
      <c r="C1200">
        <v>491741.96990000003</v>
      </c>
      <c r="D1200">
        <v>0</v>
      </c>
      <c r="E1200">
        <v>487.7779769</v>
      </c>
      <c r="F1200" s="1">
        <v>52.2</v>
      </c>
      <c r="H1200">
        <v>1952</v>
      </c>
      <c r="I1200" t="str">
        <f t="shared" si="36"/>
        <v>YES</v>
      </c>
      <c r="J1200" t="s">
        <v>1206</v>
      </c>
      <c r="K1200">
        <v>51600.121320699996</v>
      </c>
      <c r="L1200">
        <f t="shared" si="37"/>
        <v>0</v>
      </c>
    </row>
    <row r="1201" spans="1:12" x14ac:dyDescent="0.25">
      <c r="A1201">
        <v>1953</v>
      </c>
      <c r="B1201">
        <v>510026.8469</v>
      </c>
      <c r="C1201">
        <v>510026.8469</v>
      </c>
      <c r="D1201">
        <v>0</v>
      </c>
      <c r="E1201">
        <v>376.50792159999997</v>
      </c>
      <c r="F1201" s="1">
        <v>41.8</v>
      </c>
      <c r="H1201">
        <v>1953</v>
      </c>
      <c r="I1201" t="str">
        <f t="shared" si="36"/>
        <v>YES</v>
      </c>
      <c r="J1201" t="s">
        <v>1207</v>
      </c>
      <c r="K1201">
        <v>45464.368529599997</v>
      </c>
      <c r="L1201">
        <f t="shared" si="37"/>
        <v>0</v>
      </c>
    </row>
    <row r="1202" spans="1:12" x14ac:dyDescent="0.25">
      <c r="A1202">
        <v>1954</v>
      </c>
      <c r="B1202">
        <v>396288.97499999998</v>
      </c>
      <c r="C1202">
        <v>396288.97499999998</v>
      </c>
      <c r="D1202">
        <v>0</v>
      </c>
      <c r="E1202">
        <v>798.31279989999996</v>
      </c>
      <c r="F1202" s="1">
        <v>68.900000000000006</v>
      </c>
      <c r="H1202">
        <v>1954</v>
      </c>
      <c r="I1202" t="str">
        <f t="shared" si="36"/>
        <v>YES</v>
      </c>
      <c r="J1202" t="s">
        <v>1208</v>
      </c>
      <c r="K1202">
        <v>180007.06928500001</v>
      </c>
      <c r="L1202">
        <f t="shared" si="37"/>
        <v>0</v>
      </c>
    </row>
    <row r="1203" spans="1:12" x14ac:dyDescent="0.25">
      <c r="A1203">
        <v>1955</v>
      </c>
      <c r="B1203">
        <v>580875.98620000004</v>
      </c>
      <c r="C1203">
        <v>580875.98620000004</v>
      </c>
      <c r="D1203">
        <v>0</v>
      </c>
      <c r="E1203" s="1">
        <v>9.7899999999999994E-5</v>
      </c>
      <c r="F1203" s="1">
        <v>1.24E-5</v>
      </c>
      <c r="H1203">
        <v>1955</v>
      </c>
      <c r="I1203" t="str">
        <f t="shared" si="36"/>
        <v>YES</v>
      </c>
      <c r="J1203" t="s">
        <v>1209</v>
      </c>
      <c r="K1203">
        <v>25195.662602100001</v>
      </c>
      <c r="L1203">
        <f t="shared" si="37"/>
        <v>0</v>
      </c>
    </row>
    <row r="1204" spans="1:12" x14ac:dyDescent="0.25">
      <c r="A1204">
        <v>1956</v>
      </c>
      <c r="B1204">
        <v>490418.26929999999</v>
      </c>
      <c r="C1204">
        <v>490418.26929999999</v>
      </c>
      <c r="D1204">
        <v>0</v>
      </c>
      <c r="E1204">
        <v>53.784439929999998</v>
      </c>
      <c r="F1204" s="1">
        <v>5.74</v>
      </c>
      <c r="H1204">
        <v>1956</v>
      </c>
      <c r="I1204" t="str">
        <f t="shared" si="36"/>
        <v>YES</v>
      </c>
      <c r="J1204" t="s">
        <v>1210</v>
      </c>
      <c r="K1204">
        <v>92630.840915199995</v>
      </c>
      <c r="L1204">
        <f t="shared" si="37"/>
        <v>0</v>
      </c>
    </row>
    <row r="1205" spans="1:12" x14ac:dyDescent="0.25">
      <c r="A1205">
        <v>1957</v>
      </c>
      <c r="B1205">
        <v>540194.6237</v>
      </c>
      <c r="C1205">
        <v>540194.6237</v>
      </c>
      <c r="D1205">
        <v>0</v>
      </c>
      <c r="E1205">
        <v>622.00231470000006</v>
      </c>
      <c r="F1205" s="1">
        <v>73.2</v>
      </c>
      <c r="H1205">
        <v>1957</v>
      </c>
      <c r="I1205" t="str">
        <f t="shared" si="36"/>
        <v>YES</v>
      </c>
      <c r="J1205" t="s">
        <v>1211</v>
      </c>
      <c r="K1205">
        <v>105749.976758</v>
      </c>
      <c r="L1205">
        <f t="shared" si="37"/>
        <v>0</v>
      </c>
    </row>
    <row r="1206" spans="1:12" x14ac:dyDescent="0.25">
      <c r="A1206">
        <v>1958</v>
      </c>
      <c r="B1206">
        <v>440354.11109999998</v>
      </c>
      <c r="C1206">
        <v>440354.11109999998</v>
      </c>
      <c r="D1206">
        <v>0</v>
      </c>
      <c r="E1206">
        <v>1363.785762</v>
      </c>
      <c r="F1206" s="1">
        <v>131</v>
      </c>
      <c r="H1206">
        <v>1958</v>
      </c>
      <c r="I1206" t="str">
        <f t="shared" si="36"/>
        <v>YES</v>
      </c>
      <c r="J1206" t="s">
        <v>1212</v>
      </c>
      <c r="K1206">
        <v>246662.74338500001</v>
      </c>
      <c r="L1206">
        <f t="shared" si="37"/>
        <v>0</v>
      </c>
    </row>
    <row r="1207" spans="1:12" x14ac:dyDescent="0.25">
      <c r="A1207">
        <v>1959</v>
      </c>
      <c r="B1207">
        <v>300112.31099999999</v>
      </c>
      <c r="C1207">
        <v>300112.31099999999</v>
      </c>
      <c r="D1207">
        <v>0</v>
      </c>
      <c r="E1207">
        <v>1500.583322</v>
      </c>
      <c r="F1207" s="1">
        <v>98.1</v>
      </c>
      <c r="H1207">
        <v>1959</v>
      </c>
      <c r="I1207" t="str">
        <f t="shared" si="36"/>
        <v>YES</v>
      </c>
      <c r="J1207" t="s">
        <v>1213</v>
      </c>
      <c r="K1207">
        <v>164305.01116699999</v>
      </c>
      <c r="L1207">
        <f t="shared" si="37"/>
        <v>0</v>
      </c>
    </row>
    <row r="1208" spans="1:12" x14ac:dyDescent="0.25">
      <c r="A1208">
        <v>1960</v>
      </c>
      <c r="B1208">
        <v>575404.92590000003</v>
      </c>
      <c r="C1208">
        <v>575404.92590000003</v>
      </c>
      <c r="D1208">
        <v>0</v>
      </c>
      <c r="E1208">
        <v>2296.7514449999999</v>
      </c>
      <c r="F1208" s="1">
        <v>288</v>
      </c>
      <c r="H1208">
        <v>1960</v>
      </c>
      <c r="I1208" t="str">
        <f t="shared" si="36"/>
        <v>YES</v>
      </c>
      <c r="J1208" t="s">
        <v>1214</v>
      </c>
      <c r="K1208">
        <v>201909.16870400001</v>
      </c>
      <c r="L1208">
        <f t="shared" si="37"/>
        <v>0</v>
      </c>
    </row>
    <row r="1209" spans="1:12" x14ac:dyDescent="0.25">
      <c r="A1209">
        <v>1961</v>
      </c>
      <c r="B1209">
        <v>450520.28149999998</v>
      </c>
      <c r="C1209">
        <v>450520.28149999998</v>
      </c>
      <c r="D1209">
        <v>0</v>
      </c>
      <c r="E1209">
        <v>507.60817589999999</v>
      </c>
      <c r="F1209" s="1">
        <v>49.8</v>
      </c>
      <c r="H1209">
        <v>1961</v>
      </c>
      <c r="I1209" t="str">
        <f t="shared" si="36"/>
        <v>YES</v>
      </c>
      <c r="J1209" t="s">
        <v>1215</v>
      </c>
      <c r="K1209">
        <v>64843.149473799996</v>
      </c>
      <c r="L1209">
        <f t="shared" si="37"/>
        <v>0</v>
      </c>
    </row>
    <row r="1210" spans="1:12" x14ac:dyDescent="0.25">
      <c r="A1210">
        <v>1962</v>
      </c>
      <c r="B1210">
        <v>583195.08609999996</v>
      </c>
      <c r="C1210">
        <v>583195.08609999996</v>
      </c>
      <c r="D1210">
        <v>0</v>
      </c>
      <c r="E1210" s="1">
        <v>9.7899999999999994E-5</v>
      </c>
      <c r="F1210" s="1">
        <v>1.24E-5</v>
      </c>
      <c r="H1210">
        <v>1962</v>
      </c>
      <c r="I1210" t="str">
        <f t="shared" si="36"/>
        <v>YES</v>
      </c>
      <c r="J1210" t="s">
        <v>1216</v>
      </c>
      <c r="K1210">
        <v>40333.614568199999</v>
      </c>
      <c r="L1210">
        <f t="shared" si="37"/>
        <v>0</v>
      </c>
    </row>
    <row r="1211" spans="1:12" x14ac:dyDescent="0.25">
      <c r="A1211">
        <v>1963</v>
      </c>
      <c r="B1211">
        <v>584528.87049999996</v>
      </c>
      <c r="C1211">
        <v>584528.87049999996</v>
      </c>
      <c r="D1211">
        <v>0</v>
      </c>
      <c r="E1211">
        <v>224.0140586</v>
      </c>
      <c r="F1211" s="1">
        <v>28.5</v>
      </c>
      <c r="H1211">
        <v>1963</v>
      </c>
      <c r="I1211" t="str">
        <f t="shared" si="36"/>
        <v>YES</v>
      </c>
      <c r="J1211" t="s">
        <v>1217</v>
      </c>
      <c r="K1211">
        <v>18236.712626</v>
      </c>
      <c r="L1211">
        <f t="shared" si="37"/>
        <v>0</v>
      </c>
    </row>
    <row r="1212" spans="1:12" x14ac:dyDescent="0.25">
      <c r="A1212">
        <v>2000</v>
      </c>
      <c r="B1212">
        <v>1425.9722469999999</v>
      </c>
      <c r="C1212">
        <v>1425.9722469999999</v>
      </c>
      <c r="D1212">
        <v>0</v>
      </c>
      <c r="F1212" s="1">
        <v>0</v>
      </c>
      <c r="H1212">
        <v>2000</v>
      </c>
      <c r="I1212" t="str">
        <f t="shared" si="36"/>
        <v>YES</v>
      </c>
      <c r="J1212" t="s">
        <v>1218</v>
      </c>
      <c r="K1212">
        <v>3136945.8018</v>
      </c>
      <c r="L1212">
        <f t="shared" si="37"/>
        <v>0</v>
      </c>
    </row>
    <row r="1213" spans="1:12" x14ac:dyDescent="0.25">
      <c r="A1213">
        <v>2001</v>
      </c>
      <c r="B1213">
        <v>4238.426692</v>
      </c>
      <c r="C1213">
        <v>4238.426692</v>
      </c>
      <c r="D1213">
        <v>0</v>
      </c>
      <c r="F1213" s="1">
        <v>0</v>
      </c>
      <c r="H1213">
        <v>2001</v>
      </c>
      <c r="I1213" t="str">
        <f t="shared" si="36"/>
        <v>YES</v>
      </c>
      <c r="J1213" t="s">
        <v>1219</v>
      </c>
      <c r="K1213">
        <v>1452657.4904400001</v>
      </c>
      <c r="L1213">
        <f t="shared" si="37"/>
        <v>0</v>
      </c>
    </row>
    <row r="1214" spans="1:12" x14ac:dyDescent="0.25">
      <c r="A1214">
        <v>2002</v>
      </c>
      <c r="B1214">
        <v>1425.0547349999999</v>
      </c>
      <c r="C1214">
        <v>1425.0547349999999</v>
      </c>
      <c r="D1214">
        <v>0</v>
      </c>
      <c r="E1214">
        <v>4653.3440819999996</v>
      </c>
      <c r="F1214" s="1">
        <v>1.44</v>
      </c>
      <c r="H1214">
        <v>2002</v>
      </c>
      <c r="I1214" t="str">
        <f t="shared" si="36"/>
        <v>YES</v>
      </c>
      <c r="J1214" t="s">
        <v>1220</v>
      </c>
      <c r="K1214">
        <v>1947130.40124</v>
      </c>
      <c r="L1214">
        <f t="shared" si="37"/>
        <v>0</v>
      </c>
    </row>
    <row r="1215" spans="1:12" x14ac:dyDescent="0.25">
      <c r="A1215">
        <v>2003</v>
      </c>
      <c r="B1215">
        <v>1988.722274</v>
      </c>
      <c r="C1215">
        <v>1988.722274</v>
      </c>
      <c r="D1215">
        <v>0</v>
      </c>
      <c r="E1215">
        <v>1416.580796</v>
      </c>
      <c r="F1215" s="1">
        <v>0.61299999999999999</v>
      </c>
      <c r="H1215">
        <v>2003</v>
      </c>
      <c r="I1215" t="str">
        <f t="shared" si="36"/>
        <v>YES</v>
      </c>
      <c r="J1215" t="s">
        <v>1221</v>
      </c>
      <c r="K1215">
        <v>763296.65298899997</v>
      </c>
      <c r="L1215">
        <f t="shared" si="37"/>
        <v>0</v>
      </c>
    </row>
    <row r="1216" spans="1:12" x14ac:dyDescent="0.25">
      <c r="A1216">
        <v>2004</v>
      </c>
      <c r="B1216">
        <v>3371.1195379999999</v>
      </c>
      <c r="C1216">
        <v>3371.1195379999999</v>
      </c>
      <c r="D1216">
        <v>0</v>
      </c>
      <c r="E1216">
        <v>2275.5965070000002</v>
      </c>
      <c r="F1216" s="1">
        <v>1.67</v>
      </c>
      <c r="H1216">
        <v>2004</v>
      </c>
      <c r="I1216" t="str">
        <f t="shared" ref="I1216:I1279" si="38">IF(A1216=H1216,"YES","NO")</f>
        <v>YES</v>
      </c>
      <c r="J1216" t="s">
        <v>1222</v>
      </c>
      <c r="K1216">
        <v>1289052.4259299999</v>
      </c>
      <c r="L1216">
        <f t="shared" si="37"/>
        <v>0</v>
      </c>
    </row>
    <row r="1217" spans="1:12" x14ac:dyDescent="0.25">
      <c r="A1217">
        <v>2007</v>
      </c>
      <c r="B1217">
        <v>51.879855829999997</v>
      </c>
      <c r="C1217">
        <v>51.879855829999997</v>
      </c>
      <c r="D1217">
        <v>0</v>
      </c>
      <c r="F1217" s="1">
        <v>0</v>
      </c>
      <c r="H1217">
        <v>2007</v>
      </c>
      <c r="I1217" t="str">
        <f t="shared" si="38"/>
        <v>YES</v>
      </c>
      <c r="J1217" t="s">
        <v>1223</v>
      </c>
      <c r="K1217">
        <v>47872858.1976</v>
      </c>
      <c r="L1217">
        <f t="shared" si="37"/>
        <v>0</v>
      </c>
    </row>
    <row r="1218" spans="1:12" x14ac:dyDescent="0.25">
      <c r="A1218">
        <v>2008</v>
      </c>
      <c r="B1218">
        <v>2494.4847119999999</v>
      </c>
      <c r="C1218">
        <v>2494.4847119999999</v>
      </c>
      <c r="D1218">
        <v>0</v>
      </c>
      <c r="E1218">
        <v>601.73937060000003</v>
      </c>
      <c r="F1218" s="1">
        <v>0.32700000000000001</v>
      </c>
      <c r="H1218">
        <v>2008</v>
      </c>
      <c r="I1218" t="str">
        <f t="shared" si="38"/>
        <v>YES</v>
      </c>
      <c r="J1218" t="s">
        <v>1224</v>
      </c>
      <c r="K1218">
        <v>545239.86125700001</v>
      </c>
      <c r="L1218">
        <f t="shared" si="37"/>
        <v>0</v>
      </c>
    </row>
    <row r="1219" spans="1:12" x14ac:dyDescent="0.25">
      <c r="A1219">
        <v>2009</v>
      </c>
      <c r="B1219">
        <v>2494.4847119999999</v>
      </c>
      <c r="C1219">
        <v>2494.4847119999999</v>
      </c>
      <c r="D1219">
        <v>0</v>
      </c>
      <c r="F1219" s="1">
        <v>0</v>
      </c>
      <c r="H1219">
        <v>2009</v>
      </c>
      <c r="I1219" t="str">
        <f t="shared" si="38"/>
        <v>YES</v>
      </c>
      <c r="J1219" t="s">
        <v>1225</v>
      </c>
      <c r="K1219">
        <v>1770329.48587</v>
      </c>
      <c r="L1219">
        <f t="shared" ref="L1219:L1282" si="39">EXP(0.2052)*K1219*(D1219/C1219)</f>
        <v>0</v>
      </c>
    </row>
    <row r="1220" spans="1:12" x14ac:dyDescent="0.25">
      <c r="A1220">
        <v>2010</v>
      </c>
      <c r="B1220">
        <v>616.59505039999999</v>
      </c>
      <c r="C1220">
        <v>616.59505039999999</v>
      </c>
      <c r="D1220">
        <v>0</v>
      </c>
      <c r="E1220">
        <v>3023.3378120000002</v>
      </c>
      <c r="F1220" s="1">
        <v>0.40600000000000003</v>
      </c>
      <c r="H1220">
        <v>2010</v>
      </c>
      <c r="I1220" t="str">
        <f t="shared" si="38"/>
        <v>YES</v>
      </c>
      <c r="J1220" t="s">
        <v>1226</v>
      </c>
      <c r="K1220">
        <v>2461723.4072799999</v>
      </c>
      <c r="L1220">
        <f t="shared" si="39"/>
        <v>0</v>
      </c>
    </row>
    <row r="1221" spans="1:12" x14ac:dyDescent="0.25">
      <c r="A1221">
        <v>2011</v>
      </c>
      <c r="B1221">
        <v>89.713294050000002</v>
      </c>
      <c r="C1221">
        <v>89.713294050000002</v>
      </c>
      <c r="D1221">
        <v>0</v>
      </c>
      <c r="E1221">
        <v>382.10205589999998</v>
      </c>
      <c r="F1221" s="1">
        <v>7.4599999999999996E-3</v>
      </c>
      <c r="H1221">
        <v>2011</v>
      </c>
      <c r="I1221" t="str">
        <f t="shared" si="38"/>
        <v>YES</v>
      </c>
      <c r="J1221" t="s">
        <v>1227</v>
      </c>
      <c r="K1221">
        <v>2593969.00189</v>
      </c>
      <c r="L1221">
        <f t="shared" si="39"/>
        <v>0</v>
      </c>
    </row>
    <row r="1222" spans="1:12" x14ac:dyDescent="0.25">
      <c r="A1222">
        <v>2012</v>
      </c>
      <c r="B1222">
        <v>279.8578862</v>
      </c>
      <c r="C1222">
        <v>279.8578862</v>
      </c>
      <c r="D1222">
        <v>0</v>
      </c>
      <c r="E1222">
        <v>165.30781289999999</v>
      </c>
      <c r="F1222" s="1">
        <v>1.01E-2</v>
      </c>
      <c r="H1222">
        <v>2012</v>
      </c>
      <c r="I1222" t="str">
        <f t="shared" si="38"/>
        <v>YES</v>
      </c>
      <c r="J1222" t="s">
        <v>1228</v>
      </c>
      <c r="K1222">
        <v>2378360.26743</v>
      </c>
      <c r="L1222">
        <f t="shared" si="39"/>
        <v>0</v>
      </c>
    </row>
    <row r="1223" spans="1:12" x14ac:dyDescent="0.25">
      <c r="A1223">
        <v>2013</v>
      </c>
      <c r="B1223">
        <v>191.1882052</v>
      </c>
      <c r="C1223">
        <v>191.1882052</v>
      </c>
      <c r="D1223">
        <v>0</v>
      </c>
      <c r="E1223">
        <v>504.68561640000001</v>
      </c>
      <c r="F1223" s="1">
        <v>2.1000000000000001E-2</v>
      </c>
      <c r="H1223">
        <v>2013</v>
      </c>
      <c r="I1223" t="str">
        <f t="shared" si="38"/>
        <v>YES</v>
      </c>
      <c r="J1223" t="s">
        <v>1229</v>
      </c>
      <c r="K1223">
        <v>3061675.60891</v>
      </c>
      <c r="L1223">
        <f t="shared" si="39"/>
        <v>0</v>
      </c>
    </row>
    <row r="1224" spans="1:12" x14ac:dyDescent="0.25">
      <c r="A1224">
        <v>2014</v>
      </c>
      <c r="B1224">
        <v>603.21318310000004</v>
      </c>
      <c r="C1224">
        <v>603.21318310000004</v>
      </c>
      <c r="D1224">
        <v>0</v>
      </c>
      <c r="E1224">
        <v>831.29430779999996</v>
      </c>
      <c r="F1224" s="1">
        <v>0.109</v>
      </c>
      <c r="H1224">
        <v>2014</v>
      </c>
      <c r="I1224" t="str">
        <f t="shared" si="38"/>
        <v>YES</v>
      </c>
      <c r="J1224" t="s">
        <v>1230</v>
      </c>
      <c r="K1224">
        <v>1117357.0577</v>
      </c>
      <c r="L1224">
        <f t="shared" si="39"/>
        <v>0</v>
      </c>
    </row>
    <row r="1225" spans="1:12" x14ac:dyDescent="0.25">
      <c r="A1225">
        <v>2015</v>
      </c>
      <c r="B1225">
        <v>1183.4401210000001</v>
      </c>
      <c r="C1225">
        <v>1183.4401210000001</v>
      </c>
      <c r="D1225">
        <v>0</v>
      </c>
      <c r="E1225">
        <v>3546.5122660000002</v>
      </c>
      <c r="F1225" s="1">
        <v>0.91400000000000003</v>
      </c>
      <c r="H1225">
        <v>2015</v>
      </c>
      <c r="I1225" t="str">
        <f t="shared" si="38"/>
        <v>YES</v>
      </c>
      <c r="J1225" t="s">
        <v>1231</v>
      </c>
      <c r="K1225">
        <v>2661873.9310099999</v>
      </c>
      <c r="L1225">
        <f t="shared" si="39"/>
        <v>0</v>
      </c>
    </row>
    <row r="1226" spans="1:12" x14ac:dyDescent="0.25">
      <c r="A1226">
        <v>2018</v>
      </c>
      <c r="B1226">
        <v>420.18394480000001</v>
      </c>
      <c r="C1226">
        <v>420.18394480000001</v>
      </c>
      <c r="D1226">
        <v>0</v>
      </c>
      <c r="E1226">
        <v>1223.35643</v>
      </c>
      <c r="F1226" s="1">
        <v>0.112</v>
      </c>
      <c r="H1226">
        <v>2018</v>
      </c>
      <c r="I1226" t="str">
        <f t="shared" si="38"/>
        <v>YES</v>
      </c>
      <c r="J1226" t="s">
        <v>1232</v>
      </c>
      <c r="K1226">
        <v>748517.26651500002</v>
      </c>
      <c r="L1226">
        <f t="shared" si="39"/>
        <v>0</v>
      </c>
    </row>
    <row r="1227" spans="1:12" x14ac:dyDescent="0.25">
      <c r="A1227">
        <v>2019</v>
      </c>
      <c r="B1227">
        <v>9381.6286049999999</v>
      </c>
      <c r="C1227">
        <v>9381.6286049999999</v>
      </c>
      <c r="D1227">
        <v>0</v>
      </c>
      <c r="E1227">
        <v>2183.71938</v>
      </c>
      <c r="F1227" s="1">
        <v>4.46</v>
      </c>
      <c r="H1227">
        <v>2019</v>
      </c>
      <c r="I1227" t="str">
        <f t="shared" si="38"/>
        <v>YES</v>
      </c>
      <c r="J1227" t="s">
        <v>1233</v>
      </c>
      <c r="K1227">
        <v>1292230.17539</v>
      </c>
      <c r="L1227">
        <f t="shared" si="39"/>
        <v>0</v>
      </c>
    </row>
    <row r="1228" spans="1:12" x14ac:dyDescent="0.25">
      <c r="A1228">
        <v>2020</v>
      </c>
      <c r="B1228">
        <v>2286.5273229999998</v>
      </c>
      <c r="C1228">
        <v>2286.5273229999998</v>
      </c>
      <c r="D1228">
        <v>0</v>
      </c>
      <c r="E1228">
        <v>1994.0558309999999</v>
      </c>
      <c r="F1228" s="1">
        <v>0.99299999999999999</v>
      </c>
      <c r="H1228">
        <v>2020</v>
      </c>
      <c r="I1228" t="str">
        <f t="shared" si="38"/>
        <v>YES</v>
      </c>
      <c r="J1228" t="s">
        <v>1234</v>
      </c>
      <c r="K1228">
        <v>920124.43099200004</v>
      </c>
      <c r="L1228">
        <f t="shared" si="39"/>
        <v>0</v>
      </c>
    </row>
    <row r="1229" spans="1:12" x14ac:dyDescent="0.25">
      <c r="A1229">
        <v>2021</v>
      </c>
      <c r="B1229">
        <v>2705.5973730000001</v>
      </c>
      <c r="C1229">
        <v>2705.5973730000001</v>
      </c>
      <c r="D1229">
        <v>0</v>
      </c>
      <c r="E1229">
        <v>3679.4691320000002</v>
      </c>
      <c r="F1229" s="1">
        <v>2.17</v>
      </c>
      <c r="H1229">
        <v>2021</v>
      </c>
      <c r="I1229" t="str">
        <f t="shared" si="38"/>
        <v>YES</v>
      </c>
      <c r="J1229" t="s">
        <v>1235</v>
      </c>
      <c r="K1229">
        <v>1011509.18119</v>
      </c>
      <c r="L1229">
        <f t="shared" si="39"/>
        <v>0</v>
      </c>
    </row>
    <row r="1230" spans="1:12" x14ac:dyDescent="0.25">
      <c r="A1230">
        <v>2022</v>
      </c>
      <c r="B1230">
        <v>11382.07584</v>
      </c>
      <c r="C1230">
        <v>11382.07584</v>
      </c>
      <c r="D1230">
        <v>0</v>
      </c>
      <c r="E1230">
        <v>3578.4168359999999</v>
      </c>
      <c r="F1230" s="1">
        <v>8.8699999999999992</v>
      </c>
      <c r="H1230">
        <v>2022</v>
      </c>
      <c r="I1230" t="str">
        <f t="shared" si="38"/>
        <v>YES</v>
      </c>
      <c r="J1230" t="s">
        <v>1236</v>
      </c>
      <c r="K1230">
        <v>1195229.51367</v>
      </c>
      <c r="L1230">
        <f t="shared" si="39"/>
        <v>0</v>
      </c>
    </row>
    <row r="1231" spans="1:12" x14ac:dyDescent="0.25">
      <c r="A1231">
        <v>2023</v>
      </c>
      <c r="B1231">
        <v>9255.7899280000001</v>
      </c>
      <c r="C1231">
        <v>9255.7899280000001</v>
      </c>
      <c r="D1231">
        <v>0</v>
      </c>
      <c r="E1231">
        <v>1256.982391</v>
      </c>
      <c r="F1231" s="1">
        <v>2.5299999999999998</v>
      </c>
      <c r="H1231">
        <v>2023</v>
      </c>
      <c r="I1231" t="str">
        <f t="shared" si="38"/>
        <v>YES</v>
      </c>
      <c r="J1231" t="s">
        <v>1237</v>
      </c>
      <c r="K1231">
        <v>620232.63309200003</v>
      </c>
      <c r="L1231">
        <f t="shared" si="39"/>
        <v>0</v>
      </c>
    </row>
    <row r="1232" spans="1:12" x14ac:dyDescent="0.25">
      <c r="A1232">
        <v>2025</v>
      </c>
      <c r="B1232">
        <v>11172.65958</v>
      </c>
      <c r="C1232">
        <v>11172.65958</v>
      </c>
      <c r="D1232">
        <v>0</v>
      </c>
      <c r="E1232">
        <v>4344.882345</v>
      </c>
      <c r="F1232" s="1">
        <v>10.6</v>
      </c>
      <c r="H1232">
        <v>2025</v>
      </c>
      <c r="I1232" t="str">
        <f t="shared" si="38"/>
        <v>YES</v>
      </c>
      <c r="J1232" t="s">
        <v>1238</v>
      </c>
      <c r="K1232">
        <v>1439144.5138699999</v>
      </c>
      <c r="L1232">
        <f t="shared" si="39"/>
        <v>0</v>
      </c>
    </row>
    <row r="1233" spans="1:12" x14ac:dyDescent="0.25">
      <c r="A1233">
        <v>2026</v>
      </c>
      <c r="B1233">
        <v>7375.9561329999997</v>
      </c>
      <c r="C1233">
        <v>7375.9561329999997</v>
      </c>
      <c r="D1233">
        <v>0</v>
      </c>
      <c r="E1233">
        <v>2028.9615180000001</v>
      </c>
      <c r="F1233" s="1">
        <v>3.26</v>
      </c>
      <c r="H1233">
        <v>2026</v>
      </c>
      <c r="I1233" t="str">
        <f t="shared" si="38"/>
        <v>YES</v>
      </c>
      <c r="J1233" t="s">
        <v>1239</v>
      </c>
      <c r="K1233">
        <v>837615.05790599994</v>
      </c>
      <c r="L1233">
        <f t="shared" si="39"/>
        <v>0</v>
      </c>
    </row>
    <row r="1234" spans="1:12" x14ac:dyDescent="0.25">
      <c r="A1234">
        <v>2027</v>
      </c>
      <c r="B1234">
        <v>8119.8082949999998</v>
      </c>
      <c r="C1234">
        <v>8119.8082949999998</v>
      </c>
      <c r="D1234">
        <v>0</v>
      </c>
      <c r="E1234">
        <v>3451.7418819999998</v>
      </c>
      <c r="F1234" s="1">
        <v>6.1</v>
      </c>
      <c r="H1234">
        <v>2027</v>
      </c>
      <c r="I1234" t="str">
        <f t="shared" si="38"/>
        <v>YES</v>
      </c>
      <c r="J1234" t="s">
        <v>1240</v>
      </c>
      <c r="K1234">
        <v>1372105.9145500001</v>
      </c>
      <c r="L1234">
        <f t="shared" si="39"/>
        <v>0</v>
      </c>
    </row>
    <row r="1235" spans="1:12" x14ac:dyDescent="0.25">
      <c r="A1235">
        <v>2028</v>
      </c>
      <c r="B1235">
        <v>18021.248</v>
      </c>
      <c r="C1235">
        <v>18021.248</v>
      </c>
      <c r="D1235">
        <v>0</v>
      </c>
      <c r="E1235">
        <v>183.75831550000001</v>
      </c>
      <c r="F1235" s="1">
        <v>0.72099999999999997</v>
      </c>
      <c r="H1235">
        <v>2028</v>
      </c>
      <c r="I1235" t="str">
        <f t="shared" si="38"/>
        <v>YES</v>
      </c>
      <c r="J1235" t="s">
        <v>1241</v>
      </c>
      <c r="K1235">
        <v>370616.335594</v>
      </c>
      <c r="L1235">
        <f t="shared" si="39"/>
        <v>0</v>
      </c>
    </row>
    <row r="1236" spans="1:12" x14ac:dyDescent="0.25">
      <c r="A1236">
        <v>2029</v>
      </c>
      <c r="B1236">
        <v>21301.873360000001</v>
      </c>
      <c r="C1236">
        <v>21301.873360000001</v>
      </c>
      <c r="D1236">
        <v>0</v>
      </c>
      <c r="E1236">
        <v>215.4389697</v>
      </c>
      <c r="F1236" s="1">
        <v>0.999</v>
      </c>
      <c r="H1236">
        <v>2029</v>
      </c>
      <c r="I1236" t="str">
        <f t="shared" si="38"/>
        <v>YES</v>
      </c>
      <c r="J1236" t="s">
        <v>1242</v>
      </c>
      <c r="K1236">
        <v>164643.42032599999</v>
      </c>
      <c r="L1236">
        <f t="shared" si="39"/>
        <v>0</v>
      </c>
    </row>
    <row r="1237" spans="1:12" x14ac:dyDescent="0.25">
      <c r="A1237">
        <v>2030</v>
      </c>
      <c r="B1237">
        <v>12937.37715</v>
      </c>
      <c r="C1237">
        <v>12937.37715</v>
      </c>
      <c r="D1237">
        <v>0</v>
      </c>
      <c r="E1237">
        <v>2868.473144</v>
      </c>
      <c r="F1237" s="1">
        <v>8.08</v>
      </c>
      <c r="H1237">
        <v>2030</v>
      </c>
      <c r="I1237" t="str">
        <f t="shared" si="38"/>
        <v>YES</v>
      </c>
      <c r="J1237" t="s">
        <v>1243</v>
      </c>
      <c r="K1237">
        <v>1277596.6282899999</v>
      </c>
      <c r="L1237">
        <f t="shared" si="39"/>
        <v>0</v>
      </c>
    </row>
    <row r="1238" spans="1:12" x14ac:dyDescent="0.25">
      <c r="A1238">
        <v>2031</v>
      </c>
      <c r="B1238">
        <v>10391.73653</v>
      </c>
      <c r="C1238">
        <v>10391.73653</v>
      </c>
      <c r="D1238">
        <v>0</v>
      </c>
      <c r="E1238">
        <v>70.322319440000001</v>
      </c>
      <c r="F1238" s="1">
        <v>0.159</v>
      </c>
      <c r="H1238">
        <v>2031</v>
      </c>
      <c r="I1238" t="str">
        <f t="shared" si="38"/>
        <v>YES</v>
      </c>
      <c r="J1238" t="s">
        <v>1244</v>
      </c>
      <c r="K1238">
        <v>689743.04089099995</v>
      </c>
      <c r="L1238">
        <f t="shared" si="39"/>
        <v>0</v>
      </c>
    </row>
    <row r="1239" spans="1:12" x14ac:dyDescent="0.25">
      <c r="A1239">
        <v>2032</v>
      </c>
      <c r="B1239">
        <v>9702.6486150000001</v>
      </c>
      <c r="C1239">
        <v>9702.6486150000001</v>
      </c>
      <c r="D1239">
        <v>0</v>
      </c>
      <c r="E1239">
        <v>3045.5151190000001</v>
      </c>
      <c r="F1239" s="1">
        <v>6.43</v>
      </c>
      <c r="H1239">
        <v>2032</v>
      </c>
      <c r="I1239" t="str">
        <f t="shared" si="38"/>
        <v>YES</v>
      </c>
      <c r="J1239" t="s">
        <v>1245</v>
      </c>
      <c r="K1239">
        <v>936581.26628700003</v>
      </c>
      <c r="L1239">
        <f t="shared" si="39"/>
        <v>0</v>
      </c>
    </row>
    <row r="1240" spans="1:12" x14ac:dyDescent="0.25">
      <c r="A1240">
        <v>2033</v>
      </c>
      <c r="B1240">
        <v>14668.2809</v>
      </c>
      <c r="C1240">
        <v>14668.2809</v>
      </c>
      <c r="D1240">
        <v>0</v>
      </c>
      <c r="E1240">
        <v>598.15543609999997</v>
      </c>
      <c r="F1240" s="1">
        <v>1.91</v>
      </c>
      <c r="H1240">
        <v>2033</v>
      </c>
      <c r="I1240" t="str">
        <f t="shared" si="38"/>
        <v>YES</v>
      </c>
      <c r="J1240" t="s">
        <v>1246</v>
      </c>
      <c r="K1240">
        <v>329552.11867499998</v>
      </c>
      <c r="L1240">
        <f t="shared" si="39"/>
        <v>0</v>
      </c>
    </row>
    <row r="1241" spans="1:12" x14ac:dyDescent="0.25">
      <c r="A1241">
        <v>2034</v>
      </c>
      <c r="B1241">
        <v>12237.03722</v>
      </c>
      <c r="C1241">
        <v>12237.03722</v>
      </c>
      <c r="D1241">
        <v>0</v>
      </c>
      <c r="E1241">
        <v>1466.247345</v>
      </c>
      <c r="F1241" s="1">
        <v>3.91</v>
      </c>
      <c r="H1241">
        <v>2034</v>
      </c>
      <c r="I1241" t="str">
        <f t="shared" si="38"/>
        <v>YES</v>
      </c>
      <c r="J1241" t="s">
        <v>1247</v>
      </c>
      <c r="K1241">
        <v>1155517.3628100001</v>
      </c>
      <c r="L1241">
        <f t="shared" si="39"/>
        <v>0</v>
      </c>
    </row>
    <row r="1242" spans="1:12" x14ac:dyDescent="0.25">
      <c r="A1242">
        <v>2035</v>
      </c>
      <c r="B1242">
        <v>8704.9951170000004</v>
      </c>
      <c r="C1242">
        <v>8704.9951170000004</v>
      </c>
      <c r="D1242">
        <v>0</v>
      </c>
      <c r="F1242" s="1">
        <v>0</v>
      </c>
      <c r="H1242">
        <v>2035</v>
      </c>
      <c r="I1242" t="str">
        <f t="shared" si="38"/>
        <v>YES</v>
      </c>
      <c r="J1242" t="s">
        <v>1248</v>
      </c>
      <c r="K1242">
        <v>1159050.3974899999</v>
      </c>
      <c r="L1242">
        <f t="shared" si="39"/>
        <v>0</v>
      </c>
    </row>
    <row r="1243" spans="1:12" x14ac:dyDescent="0.25">
      <c r="A1243">
        <v>2036</v>
      </c>
      <c r="B1243">
        <v>3197.0280720000001</v>
      </c>
      <c r="C1243">
        <v>3197.0280720000001</v>
      </c>
      <c r="D1243">
        <v>0</v>
      </c>
      <c r="E1243">
        <v>2276.798499</v>
      </c>
      <c r="F1243" s="1">
        <v>1.58</v>
      </c>
      <c r="H1243">
        <v>2036</v>
      </c>
      <c r="I1243" t="str">
        <f t="shared" si="38"/>
        <v>YES</v>
      </c>
      <c r="J1243" t="s">
        <v>1249</v>
      </c>
      <c r="K1243">
        <v>821686.68620400003</v>
      </c>
      <c r="L1243">
        <f t="shared" si="39"/>
        <v>0</v>
      </c>
    </row>
    <row r="1244" spans="1:12" x14ac:dyDescent="0.25">
      <c r="A1244">
        <v>2037</v>
      </c>
      <c r="B1244">
        <v>9502.6773649999996</v>
      </c>
      <c r="C1244">
        <v>9502.6773649999996</v>
      </c>
      <c r="D1244">
        <v>0</v>
      </c>
      <c r="E1244">
        <v>2929.6008569999999</v>
      </c>
      <c r="F1244" s="1">
        <v>6.06</v>
      </c>
      <c r="H1244">
        <v>2037</v>
      </c>
      <c r="I1244" t="str">
        <f t="shared" si="38"/>
        <v>YES</v>
      </c>
      <c r="J1244" t="s">
        <v>1250</v>
      </c>
      <c r="K1244">
        <v>1088131.20554</v>
      </c>
      <c r="L1244">
        <f t="shared" si="39"/>
        <v>0</v>
      </c>
    </row>
    <row r="1245" spans="1:12" x14ac:dyDescent="0.25">
      <c r="A1245">
        <v>2100</v>
      </c>
      <c r="B1245">
        <v>5702.0060810000004</v>
      </c>
      <c r="C1245">
        <v>5702.0060810000004</v>
      </c>
      <c r="D1245">
        <v>0</v>
      </c>
      <c r="E1245">
        <v>2669.3891880000001</v>
      </c>
      <c r="F1245" s="1">
        <v>3.31</v>
      </c>
      <c r="H1245">
        <v>2100</v>
      </c>
      <c r="I1245" t="str">
        <f t="shared" si="38"/>
        <v>YES</v>
      </c>
      <c r="J1245" t="s">
        <v>1251</v>
      </c>
      <c r="K1245">
        <v>685506.94965199998</v>
      </c>
      <c r="L1245">
        <f t="shared" si="39"/>
        <v>0</v>
      </c>
    </row>
    <row r="1246" spans="1:12" x14ac:dyDescent="0.25">
      <c r="A1246">
        <v>2101</v>
      </c>
      <c r="B1246">
        <v>8848.2341550000001</v>
      </c>
      <c r="C1246">
        <v>8848.2341550000001</v>
      </c>
      <c r="D1246">
        <v>0</v>
      </c>
      <c r="E1246">
        <v>2764.8001949999998</v>
      </c>
      <c r="F1246" s="1">
        <v>5.33</v>
      </c>
      <c r="H1246">
        <v>2101</v>
      </c>
      <c r="I1246" t="str">
        <f t="shared" si="38"/>
        <v>YES</v>
      </c>
      <c r="J1246" t="s">
        <v>1252</v>
      </c>
      <c r="K1246">
        <v>979778.97372200002</v>
      </c>
      <c r="L1246">
        <f t="shared" si="39"/>
        <v>0</v>
      </c>
    </row>
    <row r="1247" spans="1:12" x14ac:dyDescent="0.25">
      <c r="A1247">
        <v>2102</v>
      </c>
      <c r="B1247">
        <v>14994.986650000001</v>
      </c>
      <c r="C1247">
        <v>14994.986650000001</v>
      </c>
      <c r="D1247">
        <v>0</v>
      </c>
      <c r="E1247">
        <v>2838.2269470000001</v>
      </c>
      <c r="F1247" s="1">
        <v>9.27</v>
      </c>
      <c r="H1247">
        <v>2102</v>
      </c>
      <c r="I1247" t="str">
        <f t="shared" si="38"/>
        <v>YES</v>
      </c>
      <c r="J1247" t="s">
        <v>1253</v>
      </c>
      <c r="K1247">
        <v>790261.09090299997</v>
      </c>
      <c r="L1247">
        <f t="shared" si="39"/>
        <v>0</v>
      </c>
    </row>
    <row r="1248" spans="1:12" x14ac:dyDescent="0.25">
      <c r="A1248">
        <v>2103</v>
      </c>
      <c r="B1248">
        <v>25123.143779999999</v>
      </c>
      <c r="C1248">
        <v>25123.143779999999</v>
      </c>
      <c r="D1248">
        <v>0</v>
      </c>
      <c r="E1248">
        <v>2744.670376</v>
      </c>
      <c r="F1248" s="1">
        <v>15</v>
      </c>
      <c r="H1248">
        <v>2103</v>
      </c>
      <c r="I1248" t="str">
        <f t="shared" si="38"/>
        <v>YES</v>
      </c>
      <c r="J1248" t="s">
        <v>1254</v>
      </c>
      <c r="K1248">
        <v>782873.70758299995</v>
      </c>
      <c r="L1248">
        <f t="shared" si="39"/>
        <v>0</v>
      </c>
    </row>
    <row r="1249" spans="1:12" x14ac:dyDescent="0.25">
      <c r="A1249">
        <v>2104</v>
      </c>
      <c r="B1249">
        <v>10069.21902</v>
      </c>
      <c r="C1249">
        <v>10069.21902</v>
      </c>
      <c r="D1249">
        <v>0</v>
      </c>
      <c r="E1249">
        <v>1840.827468</v>
      </c>
      <c r="F1249" s="1">
        <v>4.04</v>
      </c>
      <c r="H1249">
        <v>2104</v>
      </c>
      <c r="I1249" t="str">
        <f t="shared" si="38"/>
        <v>YES</v>
      </c>
      <c r="J1249" t="s">
        <v>1255</v>
      </c>
      <c r="K1249">
        <v>567488.84526700003</v>
      </c>
      <c r="L1249">
        <f t="shared" si="39"/>
        <v>0</v>
      </c>
    </row>
    <row r="1250" spans="1:12" x14ac:dyDescent="0.25">
      <c r="A1250">
        <v>2105</v>
      </c>
      <c r="B1250">
        <v>18152.723409999999</v>
      </c>
      <c r="C1250">
        <v>18152.723409999999</v>
      </c>
      <c r="D1250">
        <v>0</v>
      </c>
      <c r="E1250">
        <v>1614.085826</v>
      </c>
      <c r="F1250" s="1">
        <v>6.38</v>
      </c>
      <c r="H1250">
        <v>2105</v>
      </c>
      <c r="I1250" t="str">
        <f t="shared" si="38"/>
        <v>YES</v>
      </c>
      <c r="J1250" t="s">
        <v>1256</v>
      </c>
      <c r="K1250">
        <v>526863.88352100004</v>
      </c>
      <c r="L1250">
        <f t="shared" si="39"/>
        <v>0</v>
      </c>
    </row>
    <row r="1251" spans="1:12" x14ac:dyDescent="0.25">
      <c r="A1251">
        <v>2107</v>
      </c>
      <c r="B1251">
        <v>47391.728419999999</v>
      </c>
      <c r="C1251">
        <v>47391.728419999999</v>
      </c>
      <c r="D1251">
        <v>0</v>
      </c>
      <c r="E1251">
        <v>2228.4929149999998</v>
      </c>
      <c r="F1251" s="1">
        <v>23</v>
      </c>
      <c r="H1251">
        <v>2107</v>
      </c>
      <c r="I1251" t="str">
        <f t="shared" si="38"/>
        <v>YES</v>
      </c>
      <c r="J1251" t="s">
        <v>1257</v>
      </c>
      <c r="K1251">
        <v>207473.33726</v>
      </c>
      <c r="L1251">
        <f t="shared" si="39"/>
        <v>0</v>
      </c>
    </row>
    <row r="1252" spans="1:12" x14ac:dyDescent="0.25">
      <c r="A1252">
        <v>2108</v>
      </c>
      <c r="B1252">
        <v>908.30495510000003</v>
      </c>
      <c r="C1252">
        <v>908.30495510000003</v>
      </c>
      <c r="D1252">
        <v>0</v>
      </c>
      <c r="E1252">
        <v>3975.859062</v>
      </c>
      <c r="F1252" s="1">
        <v>0.78600000000000003</v>
      </c>
      <c r="H1252">
        <v>2108</v>
      </c>
      <c r="I1252" t="str">
        <f t="shared" si="38"/>
        <v>YES</v>
      </c>
      <c r="J1252" t="s">
        <v>1258</v>
      </c>
      <c r="K1252">
        <v>5788835.18915</v>
      </c>
      <c r="L1252">
        <f t="shared" si="39"/>
        <v>0</v>
      </c>
    </row>
    <row r="1253" spans="1:12" x14ac:dyDescent="0.25">
      <c r="A1253">
        <v>2109</v>
      </c>
      <c r="B1253">
        <v>8112.0103349999999</v>
      </c>
      <c r="C1253">
        <v>8112.0103349999999</v>
      </c>
      <c r="D1253">
        <v>0</v>
      </c>
      <c r="E1253">
        <v>48.965610069999997</v>
      </c>
      <c r="F1253" s="1">
        <v>8.6499999999999994E-2</v>
      </c>
      <c r="H1253">
        <v>2109</v>
      </c>
      <c r="I1253" t="str">
        <f t="shared" si="38"/>
        <v>YES</v>
      </c>
      <c r="J1253" t="s">
        <v>1259</v>
      </c>
      <c r="K1253">
        <v>719023.92783199996</v>
      </c>
      <c r="L1253">
        <f t="shared" si="39"/>
        <v>0</v>
      </c>
    </row>
    <row r="1254" spans="1:12" x14ac:dyDescent="0.25">
      <c r="A1254">
        <v>2110</v>
      </c>
      <c r="B1254">
        <v>8302.9768530000001</v>
      </c>
      <c r="C1254">
        <v>8302.9768530000001</v>
      </c>
      <c r="D1254">
        <v>0</v>
      </c>
      <c r="E1254">
        <v>3766.1753279999998</v>
      </c>
      <c r="F1254" s="1">
        <v>6.81</v>
      </c>
      <c r="H1254">
        <v>2110</v>
      </c>
      <c r="I1254" t="str">
        <f t="shared" si="38"/>
        <v>YES</v>
      </c>
      <c r="J1254" t="s">
        <v>1260</v>
      </c>
      <c r="K1254">
        <v>970100.94656900002</v>
      </c>
      <c r="L1254">
        <f t="shared" si="39"/>
        <v>0</v>
      </c>
    </row>
    <row r="1255" spans="1:12" x14ac:dyDescent="0.25">
      <c r="A1255">
        <v>2113</v>
      </c>
      <c r="B1255">
        <v>23011.959449999998</v>
      </c>
      <c r="C1255">
        <v>23011.959449999998</v>
      </c>
      <c r="D1255">
        <v>0</v>
      </c>
      <c r="E1255">
        <v>4798.6394520000003</v>
      </c>
      <c r="F1255" s="1">
        <v>24</v>
      </c>
      <c r="H1255">
        <v>2113</v>
      </c>
      <c r="I1255" t="str">
        <f t="shared" si="38"/>
        <v>YES</v>
      </c>
      <c r="J1255" t="s">
        <v>1261</v>
      </c>
      <c r="K1255">
        <v>672310.01452500001</v>
      </c>
      <c r="L1255">
        <f t="shared" si="39"/>
        <v>0</v>
      </c>
    </row>
    <row r="1256" spans="1:12" x14ac:dyDescent="0.25">
      <c r="A1256">
        <v>2114</v>
      </c>
      <c r="B1256">
        <v>17217.36161</v>
      </c>
      <c r="C1256">
        <v>17217.36161</v>
      </c>
      <c r="D1256">
        <v>0</v>
      </c>
      <c r="E1256">
        <v>2245.0747270000002</v>
      </c>
      <c r="F1256" s="1">
        <v>8.42</v>
      </c>
      <c r="H1256">
        <v>2114</v>
      </c>
      <c r="I1256" t="str">
        <f t="shared" si="38"/>
        <v>YES</v>
      </c>
      <c r="J1256" t="s">
        <v>1262</v>
      </c>
      <c r="K1256">
        <v>420079.46409099997</v>
      </c>
      <c r="L1256">
        <f t="shared" si="39"/>
        <v>0</v>
      </c>
    </row>
    <row r="1257" spans="1:12" x14ac:dyDescent="0.25">
      <c r="A1257">
        <v>2115</v>
      </c>
      <c r="B1257">
        <v>35266.504300000001</v>
      </c>
      <c r="C1257">
        <v>35266.504300000001</v>
      </c>
      <c r="D1257">
        <v>0</v>
      </c>
      <c r="E1257">
        <v>1766.0293569999999</v>
      </c>
      <c r="F1257" s="1">
        <v>13.6</v>
      </c>
      <c r="H1257">
        <v>2115</v>
      </c>
      <c r="I1257" t="str">
        <f t="shared" si="38"/>
        <v>YES</v>
      </c>
      <c r="J1257" t="s">
        <v>1263</v>
      </c>
      <c r="K1257">
        <v>196618.18228400001</v>
      </c>
      <c r="L1257">
        <f t="shared" si="39"/>
        <v>0</v>
      </c>
    </row>
    <row r="1258" spans="1:12" x14ac:dyDescent="0.25">
      <c r="A1258">
        <v>2116</v>
      </c>
      <c r="B1258">
        <v>17681.73054</v>
      </c>
      <c r="C1258">
        <v>17681.73054</v>
      </c>
      <c r="D1258">
        <v>0</v>
      </c>
      <c r="E1258">
        <v>1907.0802200000001</v>
      </c>
      <c r="F1258" s="1">
        <v>7.34</v>
      </c>
      <c r="H1258">
        <v>2116</v>
      </c>
      <c r="I1258" t="str">
        <f t="shared" si="38"/>
        <v>YES</v>
      </c>
      <c r="J1258" t="s">
        <v>1264</v>
      </c>
      <c r="K1258">
        <v>347962.74816900003</v>
      </c>
      <c r="L1258">
        <f t="shared" si="39"/>
        <v>0</v>
      </c>
    </row>
    <row r="1259" spans="1:12" x14ac:dyDescent="0.25">
      <c r="A1259">
        <v>2117</v>
      </c>
      <c r="B1259">
        <v>14694.325409999999</v>
      </c>
      <c r="C1259">
        <v>14694.325409999999</v>
      </c>
      <c r="D1259">
        <v>0</v>
      </c>
      <c r="E1259">
        <v>5231.5741690000004</v>
      </c>
      <c r="F1259" s="1">
        <v>16.7</v>
      </c>
      <c r="H1259">
        <v>2117</v>
      </c>
      <c r="I1259" t="str">
        <f t="shared" si="38"/>
        <v>YES</v>
      </c>
      <c r="J1259" t="s">
        <v>1265</v>
      </c>
      <c r="K1259">
        <v>561114.98992600001</v>
      </c>
      <c r="L1259">
        <f t="shared" si="39"/>
        <v>0</v>
      </c>
    </row>
    <row r="1260" spans="1:12" x14ac:dyDescent="0.25">
      <c r="A1260">
        <v>2118</v>
      </c>
      <c r="B1260">
        <v>19316.271929999999</v>
      </c>
      <c r="C1260">
        <v>19316.271929999999</v>
      </c>
      <c r="D1260">
        <v>0</v>
      </c>
      <c r="E1260">
        <v>3962.8764339999998</v>
      </c>
      <c r="F1260" s="1">
        <v>16.7</v>
      </c>
      <c r="H1260">
        <v>2118</v>
      </c>
      <c r="I1260" t="str">
        <f t="shared" si="38"/>
        <v>YES</v>
      </c>
      <c r="J1260" t="s">
        <v>1266</v>
      </c>
      <c r="K1260">
        <v>515109.07723</v>
      </c>
      <c r="L1260">
        <f t="shared" si="39"/>
        <v>0</v>
      </c>
    </row>
    <row r="1261" spans="1:12" x14ac:dyDescent="0.25">
      <c r="A1261">
        <v>2119</v>
      </c>
      <c r="B1261">
        <v>17014.594730000001</v>
      </c>
      <c r="C1261">
        <v>17014.594730000001</v>
      </c>
      <c r="D1261">
        <v>0</v>
      </c>
      <c r="E1261">
        <v>1872.8698569999999</v>
      </c>
      <c r="F1261" s="1">
        <v>6.94</v>
      </c>
      <c r="H1261">
        <v>2119</v>
      </c>
      <c r="I1261" t="str">
        <f t="shared" si="38"/>
        <v>YES</v>
      </c>
      <c r="J1261" t="s">
        <v>1267</v>
      </c>
      <c r="K1261">
        <v>559746.29813500005</v>
      </c>
      <c r="L1261">
        <f t="shared" si="39"/>
        <v>0</v>
      </c>
    </row>
    <row r="1262" spans="1:12" x14ac:dyDescent="0.25">
      <c r="A1262">
        <v>2120</v>
      </c>
      <c r="B1262">
        <v>18777.545259999999</v>
      </c>
      <c r="C1262">
        <v>18777.545259999999</v>
      </c>
      <c r="D1262">
        <v>0</v>
      </c>
      <c r="E1262">
        <v>2247.362869</v>
      </c>
      <c r="F1262" s="1">
        <v>9.19</v>
      </c>
      <c r="H1262">
        <v>2120</v>
      </c>
      <c r="I1262" t="str">
        <f t="shared" si="38"/>
        <v>YES</v>
      </c>
      <c r="J1262" t="s">
        <v>1268</v>
      </c>
      <c r="K1262">
        <v>585467.81635700003</v>
      </c>
      <c r="L1262">
        <f t="shared" si="39"/>
        <v>0</v>
      </c>
    </row>
    <row r="1263" spans="1:12" x14ac:dyDescent="0.25">
      <c r="A1263">
        <v>2123</v>
      </c>
      <c r="B1263">
        <v>2920.6982119999998</v>
      </c>
      <c r="C1263">
        <v>2920.6982119999998</v>
      </c>
      <c r="D1263">
        <v>0</v>
      </c>
      <c r="E1263">
        <v>3115.1035179999999</v>
      </c>
      <c r="F1263" s="1">
        <v>1.98</v>
      </c>
      <c r="H1263">
        <v>2123</v>
      </c>
      <c r="I1263" t="str">
        <f t="shared" si="38"/>
        <v>YES</v>
      </c>
      <c r="J1263" t="s">
        <v>1269</v>
      </c>
      <c r="K1263">
        <v>985179.70847299998</v>
      </c>
      <c r="L1263">
        <f t="shared" si="39"/>
        <v>0</v>
      </c>
    </row>
    <row r="1264" spans="1:12" x14ac:dyDescent="0.25">
      <c r="A1264">
        <v>2124</v>
      </c>
      <c r="B1264">
        <v>1869.4103419999999</v>
      </c>
      <c r="C1264">
        <v>1869.4103419999999</v>
      </c>
      <c r="D1264">
        <v>0</v>
      </c>
      <c r="E1264">
        <v>2409.8981359999998</v>
      </c>
      <c r="F1264" s="1">
        <v>0.98099999999999998</v>
      </c>
      <c r="H1264">
        <v>2124</v>
      </c>
      <c r="I1264" t="str">
        <f t="shared" si="38"/>
        <v>YES</v>
      </c>
      <c r="J1264" t="s">
        <v>1270</v>
      </c>
      <c r="K1264">
        <v>2005847.20832</v>
      </c>
      <c r="L1264">
        <f t="shared" si="39"/>
        <v>0</v>
      </c>
    </row>
    <row r="1265" spans="1:12" x14ac:dyDescent="0.25">
      <c r="A1265">
        <v>2125</v>
      </c>
      <c r="B1265">
        <v>1388.0690509999999</v>
      </c>
      <c r="C1265">
        <v>1388.0690509999999</v>
      </c>
      <c r="D1265">
        <v>0</v>
      </c>
      <c r="E1265">
        <v>3095.6836990000002</v>
      </c>
      <c r="F1265" s="1">
        <v>0.93600000000000005</v>
      </c>
      <c r="H1265">
        <v>2125</v>
      </c>
      <c r="I1265" t="str">
        <f t="shared" si="38"/>
        <v>YES</v>
      </c>
      <c r="J1265" t="s">
        <v>1271</v>
      </c>
      <c r="K1265">
        <v>3238298.6935800002</v>
      </c>
      <c r="L1265">
        <f t="shared" si="39"/>
        <v>0</v>
      </c>
    </row>
    <row r="1266" spans="1:12" x14ac:dyDescent="0.25">
      <c r="A1266">
        <v>2126</v>
      </c>
      <c r="B1266">
        <v>2343.9747600000001</v>
      </c>
      <c r="C1266">
        <v>2343.9747600000001</v>
      </c>
      <c r="D1266">
        <v>0</v>
      </c>
      <c r="E1266">
        <v>4632.3146479999996</v>
      </c>
      <c r="F1266" s="1">
        <v>2.36</v>
      </c>
      <c r="H1266">
        <v>2126</v>
      </c>
      <c r="I1266" t="str">
        <f t="shared" si="38"/>
        <v>YES</v>
      </c>
      <c r="J1266" t="s">
        <v>1272</v>
      </c>
      <c r="K1266">
        <v>2685137.61418</v>
      </c>
      <c r="L1266">
        <f t="shared" si="39"/>
        <v>0</v>
      </c>
    </row>
    <row r="1267" spans="1:12" x14ac:dyDescent="0.25">
      <c r="A1267">
        <v>2127</v>
      </c>
      <c r="B1267">
        <v>608.86246510000001</v>
      </c>
      <c r="C1267">
        <v>608.86246510000001</v>
      </c>
      <c r="D1267">
        <v>0</v>
      </c>
      <c r="E1267">
        <v>1598.8706729999999</v>
      </c>
      <c r="F1267" s="1">
        <v>0.21199999999999999</v>
      </c>
      <c r="H1267">
        <v>2127</v>
      </c>
      <c r="I1267" t="str">
        <f t="shared" si="38"/>
        <v>YES</v>
      </c>
      <c r="J1267" t="s">
        <v>1273</v>
      </c>
      <c r="K1267">
        <v>593014.84429799998</v>
      </c>
      <c r="L1267">
        <f t="shared" si="39"/>
        <v>0</v>
      </c>
    </row>
    <row r="1268" spans="1:12" x14ac:dyDescent="0.25">
      <c r="A1268">
        <v>2128</v>
      </c>
      <c r="B1268">
        <v>8474.646514</v>
      </c>
      <c r="C1268">
        <v>8474.646514</v>
      </c>
      <c r="D1268">
        <v>0</v>
      </c>
      <c r="E1268">
        <v>1166.0187679999999</v>
      </c>
      <c r="F1268" s="1">
        <v>2.15</v>
      </c>
      <c r="H1268">
        <v>2128</v>
      </c>
      <c r="I1268" t="str">
        <f t="shared" si="38"/>
        <v>YES</v>
      </c>
      <c r="J1268" t="s">
        <v>1274</v>
      </c>
      <c r="K1268">
        <v>553208.37231200002</v>
      </c>
      <c r="L1268">
        <f t="shared" si="39"/>
        <v>0</v>
      </c>
    </row>
    <row r="1269" spans="1:12" x14ac:dyDescent="0.25">
      <c r="A1269">
        <v>2129</v>
      </c>
      <c r="B1269">
        <v>4099.7210869999999</v>
      </c>
      <c r="C1269">
        <v>4099.7210869999999</v>
      </c>
      <c r="D1269">
        <v>0</v>
      </c>
      <c r="E1269">
        <v>1.00896E-4</v>
      </c>
      <c r="F1269" s="1">
        <v>9.0100000000000006E-8</v>
      </c>
      <c r="H1269">
        <v>2129</v>
      </c>
      <c r="I1269" t="str">
        <f t="shared" si="38"/>
        <v>YES</v>
      </c>
      <c r="J1269" t="s">
        <v>1275</v>
      </c>
      <c r="K1269">
        <v>2238799.13882</v>
      </c>
      <c r="L1269">
        <f t="shared" si="39"/>
        <v>0</v>
      </c>
    </row>
    <row r="1270" spans="1:12" x14ac:dyDescent="0.25">
      <c r="A1270">
        <v>2130</v>
      </c>
      <c r="B1270">
        <v>753.30005300000005</v>
      </c>
      <c r="C1270">
        <v>753.30005300000005</v>
      </c>
      <c r="D1270">
        <v>0</v>
      </c>
      <c r="E1270">
        <v>2935.726901</v>
      </c>
      <c r="F1270" s="1">
        <v>0.48199999999999998</v>
      </c>
      <c r="H1270">
        <v>2130</v>
      </c>
      <c r="I1270" t="str">
        <f t="shared" si="38"/>
        <v>YES</v>
      </c>
      <c r="J1270" t="s">
        <v>1276</v>
      </c>
      <c r="K1270">
        <v>7252561.7940199999</v>
      </c>
      <c r="L1270">
        <f t="shared" si="39"/>
        <v>0</v>
      </c>
    </row>
    <row r="1271" spans="1:12" x14ac:dyDescent="0.25">
      <c r="A1271">
        <v>2131</v>
      </c>
      <c r="B1271">
        <v>817.18709269999999</v>
      </c>
      <c r="C1271">
        <v>817.18709269999999</v>
      </c>
      <c r="D1271">
        <v>0</v>
      </c>
      <c r="E1271">
        <v>3000.0475459999998</v>
      </c>
      <c r="F1271" s="1">
        <v>0.53400000000000003</v>
      </c>
      <c r="H1271">
        <v>2131</v>
      </c>
      <c r="I1271" t="str">
        <f t="shared" si="38"/>
        <v>YES</v>
      </c>
      <c r="J1271" t="s">
        <v>1277</v>
      </c>
      <c r="K1271">
        <v>5665904.0046100002</v>
      </c>
      <c r="L1271">
        <f t="shared" si="39"/>
        <v>0</v>
      </c>
    </row>
    <row r="1272" spans="1:12" x14ac:dyDescent="0.25">
      <c r="A1272">
        <v>2132</v>
      </c>
      <c r="B1272">
        <v>341.95310060000003</v>
      </c>
      <c r="C1272">
        <v>341.95310060000003</v>
      </c>
      <c r="D1272">
        <v>0</v>
      </c>
      <c r="E1272">
        <v>81.715780379999998</v>
      </c>
      <c r="F1272" s="1">
        <v>6.0800000000000003E-3</v>
      </c>
      <c r="H1272">
        <v>2132</v>
      </c>
      <c r="I1272" t="str">
        <f t="shared" si="38"/>
        <v>YES</v>
      </c>
      <c r="J1272" t="s">
        <v>1278</v>
      </c>
      <c r="K1272">
        <v>2225993.8171799998</v>
      </c>
      <c r="L1272">
        <f t="shared" si="39"/>
        <v>0</v>
      </c>
    </row>
    <row r="1273" spans="1:12" x14ac:dyDescent="0.25">
      <c r="A1273">
        <v>2133</v>
      </c>
      <c r="B1273">
        <v>2493.6769920000002</v>
      </c>
      <c r="C1273">
        <v>2493.6769920000002</v>
      </c>
      <c r="D1273">
        <v>0</v>
      </c>
      <c r="E1273">
        <v>3167.1612829999999</v>
      </c>
      <c r="F1273" s="1">
        <v>1.72</v>
      </c>
      <c r="H1273">
        <v>2133</v>
      </c>
      <c r="I1273" t="str">
        <f t="shared" si="38"/>
        <v>YES</v>
      </c>
      <c r="J1273" t="s">
        <v>1279</v>
      </c>
      <c r="K1273">
        <v>1347851.9698600001</v>
      </c>
      <c r="L1273">
        <f t="shared" si="39"/>
        <v>0</v>
      </c>
    </row>
    <row r="1274" spans="1:12" x14ac:dyDescent="0.25">
      <c r="A1274">
        <v>2134</v>
      </c>
      <c r="B1274">
        <v>599.28489809999996</v>
      </c>
      <c r="C1274">
        <v>599.28489809999996</v>
      </c>
      <c r="D1274">
        <v>0</v>
      </c>
      <c r="E1274">
        <v>3879.5382209999998</v>
      </c>
      <c r="F1274" s="1">
        <v>0.50600000000000001</v>
      </c>
      <c r="H1274">
        <v>2134</v>
      </c>
      <c r="I1274" t="str">
        <f t="shared" si="38"/>
        <v>YES</v>
      </c>
      <c r="J1274" t="s">
        <v>1280</v>
      </c>
      <c r="K1274">
        <v>3952373.8448000001</v>
      </c>
      <c r="L1274">
        <f t="shared" si="39"/>
        <v>0</v>
      </c>
    </row>
    <row r="1275" spans="1:12" x14ac:dyDescent="0.25">
      <c r="A1275">
        <v>2135</v>
      </c>
      <c r="B1275">
        <v>10947.83843</v>
      </c>
      <c r="C1275">
        <v>10947.83843</v>
      </c>
      <c r="D1275">
        <v>0</v>
      </c>
      <c r="E1275">
        <v>1665.2189249999999</v>
      </c>
      <c r="F1275" s="1">
        <v>3.97</v>
      </c>
      <c r="H1275">
        <v>2135</v>
      </c>
      <c r="I1275" t="str">
        <f t="shared" si="38"/>
        <v>YES</v>
      </c>
      <c r="J1275" t="s">
        <v>1281</v>
      </c>
      <c r="K1275">
        <v>506438.58898300002</v>
      </c>
      <c r="L1275">
        <f t="shared" si="39"/>
        <v>0</v>
      </c>
    </row>
    <row r="1276" spans="1:12" x14ac:dyDescent="0.25">
      <c r="A1276">
        <v>2136</v>
      </c>
      <c r="B1276">
        <v>8031.6341410000005</v>
      </c>
      <c r="C1276">
        <v>8031.6341410000005</v>
      </c>
      <c r="D1276">
        <v>0</v>
      </c>
      <c r="E1276">
        <v>196.48705509999999</v>
      </c>
      <c r="F1276" s="1">
        <v>0.34399999999999997</v>
      </c>
      <c r="H1276">
        <v>2136</v>
      </c>
      <c r="I1276" t="str">
        <f t="shared" si="38"/>
        <v>YES</v>
      </c>
      <c r="J1276" t="s">
        <v>1282</v>
      </c>
      <c r="K1276">
        <v>690842.28722399997</v>
      </c>
      <c r="L1276">
        <f t="shared" si="39"/>
        <v>0</v>
      </c>
    </row>
    <row r="1277" spans="1:12" x14ac:dyDescent="0.25">
      <c r="A1277">
        <v>2137</v>
      </c>
      <c r="B1277">
        <v>2675.49325</v>
      </c>
      <c r="C1277">
        <v>2675.49325</v>
      </c>
      <c r="D1277">
        <v>0</v>
      </c>
      <c r="E1277">
        <v>3080.5720489999999</v>
      </c>
      <c r="F1277" s="1">
        <v>1.79</v>
      </c>
      <c r="H1277">
        <v>2137</v>
      </c>
      <c r="I1277" t="str">
        <f t="shared" si="38"/>
        <v>YES</v>
      </c>
      <c r="J1277" t="s">
        <v>1283</v>
      </c>
      <c r="K1277">
        <v>1766740.1120500001</v>
      </c>
      <c r="L1277">
        <f t="shared" si="39"/>
        <v>0</v>
      </c>
    </row>
    <row r="1278" spans="1:12" x14ac:dyDescent="0.25">
      <c r="A1278">
        <v>2138</v>
      </c>
      <c r="B1278">
        <v>12764.001</v>
      </c>
      <c r="C1278">
        <v>12764.001</v>
      </c>
      <c r="D1278">
        <v>0</v>
      </c>
      <c r="E1278">
        <v>491.83385809999999</v>
      </c>
      <c r="F1278" s="1">
        <v>1.37</v>
      </c>
      <c r="H1278">
        <v>2138</v>
      </c>
      <c r="I1278" t="str">
        <f t="shared" si="38"/>
        <v>YES</v>
      </c>
      <c r="J1278" t="s">
        <v>1284</v>
      </c>
      <c r="K1278">
        <v>420617.23083299998</v>
      </c>
      <c r="L1278">
        <f t="shared" si="39"/>
        <v>0</v>
      </c>
    </row>
    <row r="1279" spans="1:12" x14ac:dyDescent="0.25">
      <c r="A1279">
        <v>2139</v>
      </c>
      <c r="B1279">
        <v>13879.62184</v>
      </c>
      <c r="C1279">
        <v>13879.62184</v>
      </c>
      <c r="D1279">
        <v>0</v>
      </c>
      <c r="E1279">
        <v>1.00896E-4</v>
      </c>
      <c r="F1279" s="1">
        <v>3.0499999999999999E-7</v>
      </c>
      <c r="H1279">
        <v>2139</v>
      </c>
      <c r="I1279" t="str">
        <f t="shared" si="38"/>
        <v>YES</v>
      </c>
      <c r="J1279" t="s">
        <v>1285</v>
      </c>
      <c r="K1279">
        <v>735885.17266899999</v>
      </c>
      <c r="L1279">
        <f t="shared" si="39"/>
        <v>0</v>
      </c>
    </row>
    <row r="1280" spans="1:12" x14ac:dyDescent="0.25">
      <c r="A1280">
        <v>2140</v>
      </c>
      <c r="B1280">
        <v>14981.85881</v>
      </c>
      <c r="C1280">
        <v>14981.85881</v>
      </c>
      <c r="D1280">
        <v>0</v>
      </c>
      <c r="E1280">
        <v>1.00896E-4</v>
      </c>
      <c r="F1280" s="1">
        <v>3.2899999999999999E-7</v>
      </c>
      <c r="H1280">
        <v>2140</v>
      </c>
      <c r="I1280" t="str">
        <f t="shared" ref="I1280:I1343" si="40">IF(A1280=H1280,"YES","NO")</f>
        <v>YES</v>
      </c>
      <c r="J1280" t="s">
        <v>1286</v>
      </c>
      <c r="K1280">
        <v>154552.38547199999</v>
      </c>
      <c r="L1280">
        <f t="shared" si="39"/>
        <v>0</v>
      </c>
    </row>
    <row r="1281" spans="1:12" x14ac:dyDescent="0.25">
      <c r="A1281">
        <v>2141</v>
      </c>
      <c r="B1281">
        <v>10425.74415</v>
      </c>
      <c r="C1281">
        <v>10425.74415</v>
      </c>
      <c r="D1281">
        <v>0</v>
      </c>
      <c r="E1281">
        <v>2470.7710120000002</v>
      </c>
      <c r="F1281" s="1">
        <v>5.61</v>
      </c>
      <c r="H1281">
        <v>2141</v>
      </c>
      <c r="I1281" t="str">
        <f t="shared" si="40"/>
        <v>YES</v>
      </c>
      <c r="J1281" t="s">
        <v>1287</v>
      </c>
      <c r="K1281">
        <v>959021.31027599995</v>
      </c>
      <c r="L1281">
        <f t="shared" si="39"/>
        <v>0</v>
      </c>
    </row>
    <row r="1282" spans="1:12" x14ac:dyDescent="0.25">
      <c r="A1282">
        <v>2142</v>
      </c>
      <c r="B1282">
        <v>1677.584018</v>
      </c>
      <c r="C1282">
        <v>1677.584018</v>
      </c>
      <c r="D1282">
        <v>0</v>
      </c>
      <c r="E1282">
        <v>2373.0376289999999</v>
      </c>
      <c r="F1282" s="1">
        <v>0.86699999999999999</v>
      </c>
      <c r="H1282">
        <v>2142</v>
      </c>
      <c r="I1282" t="str">
        <f t="shared" si="40"/>
        <v>YES</v>
      </c>
      <c r="J1282" t="s">
        <v>1288</v>
      </c>
      <c r="K1282">
        <v>1013065.4590799999</v>
      </c>
      <c r="L1282">
        <f t="shared" si="39"/>
        <v>0</v>
      </c>
    </row>
    <row r="1283" spans="1:12" x14ac:dyDescent="0.25">
      <c r="A1283">
        <v>2143</v>
      </c>
      <c r="B1283">
        <v>25017.619559999999</v>
      </c>
      <c r="C1283">
        <v>25017.619559999999</v>
      </c>
      <c r="D1283">
        <v>0</v>
      </c>
      <c r="E1283">
        <v>2034.4750100000001</v>
      </c>
      <c r="F1283" s="1">
        <v>11.1</v>
      </c>
      <c r="H1283">
        <v>2143</v>
      </c>
      <c r="I1283" t="str">
        <f t="shared" si="40"/>
        <v>YES</v>
      </c>
      <c r="J1283" t="s">
        <v>1289</v>
      </c>
      <c r="K1283">
        <v>554232.48990100005</v>
      </c>
      <c r="L1283">
        <f t="shared" ref="L1283:L1346" si="41">EXP(0.2052)*K1283*(D1283/C1283)</f>
        <v>0</v>
      </c>
    </row>
    <row r="1284" spans="1:12" x14ac:dyDescent="0.25">
      <c r="A1284">
        <v>2144</v>
      </c>
      <c r="B1284">
        <v>30510.54336</v>
      </c>
      <c r="C1284">
        <v>30510.54336</v>
      </c>
      <c r="D1284">
        <v>0</v>
      </c>
      <c r="E1284">
        <v>52.091899779999999</v>
      </c>
      <c r="F1284" s="1">
        <v>0.34599999999999997</v>
      </c>
      <c r="H1284">
        <v>2144</v>
      </c>
      <c r="I1284" t="str">
        <f t="shared" si="40"/>
        <v>YES</v>
      </c>
      <c r="J1284" t="s">
        <v>1290</v>
      </c>
      <c r="K1284">
        <v>717402.46750200004</v>
      </c>
      <c r="L1284">
        <f t="shared" si="41"/>
        <v>0</v>
      </c>
    </row>
    <row r="1285" spans="1:12" x14ac:dyDescent="0.25">
      <c r="A1285">
        <v>2145</v>
      </c>
      <c r="B1285">
        <v>21548.49581</v>
      </c>
      <c r="C1285">
        <v>21548.49581</v>
      </c>
      <c r="D1285">
        <v>0</v>
      </c>
      <c r="E1285">
        <v>1307.3043339999999</v>
      </c>
      <c r="F1285" s="1">
        <v>6.13</v>
      </c>
      <c r="H1285">
        <v>2145</v>
      </c>
      <c r="I1285" t="str">
        <f t="shared" si="40"/>
        <v>YES</v>
      </c>
      <c r="J1285" t="s">
        <v>1291</v>
      </c>
      <c r="K1285">
        <v>933797.52689099999</v>
      </c>
      <c r="L1285">
        <f t="shared" si="41"/>
        <v>0</v>
      </c>
    </row>
    <row r="1286" spans="1:12" x14ac:dyDescent="0.25">
      <c r="A1286">
        <v>2146</v>
      </c>
      <c r="B1286">
        <v>15684.537899999999</v>
      </c>
      <c r="C1286">
        <v>15684.537899999999</v>
      </c>
      <c r="D1286">
        <v>0</v>
      </c>
      <c r="E1286">
        <v>1881.2176280000001</v>
      </c>
      <c r="F1286" s="1">
        <v>6.42</v>
      </c>
      <c r="H1286">
        <v>2146</v>
      </c>
      <c r="I1286" t="str">
        <f t="shared" si="40"/>
        <v>YES</v>
      </c>
      <c r="J1286" t="s">
        <v>1292</v>
      </c>
      <c r="K1286">
        <v>783898.98840699997</v>
      </c>
      <c r="L1286">
        <f t="shared" si="41"/>
        <v>0</v>
      </c>
    </row>
    <row r="1287" spans="1:12" x14ac:dyDescent="0.25">
      <c r="A1287">
        <v>2147</v>
      </c>
      <c r="B1287">
        <v>8461.6515199999994</v>
      </c>
      <c r="C1287">
        <v>8461.6515199999994</v>
      </c>
      <c r="D1287">
        <v>0</v>
      </c>
      <c r="E1287">
        <v>3895.6506749999999</v>
      </c>
      <c r="F1287" s="1">
        <v>7.18</v>
      </c>
      <c r="H1287">
        <v>2147</v>
      </c>
      <c r="I1287" t="str">
        <f t="shared" si="40"/>
        <v>YES</v>
      </c>
      <c r="J1287" t="s">
        <v>1293</v>
      </c>
      <c r="K1287">
        <v>1257269.8073</v>
      </c>
      <c r="L1287">
        <f t="shared" si="41"/>
        <v>0</v>
      </c>
    </row>
    <row r="1288" spans="1:12" x14ac:dyDescent="0.25">
      <c r="A1288">
        <v>2148</v>
      </c>
      <c r="B1288">
        <v>36980.90885</v>
      </c>
      <c r="C1288">
        <v>36980.90885</v>
      </c>
      <c r="D1288">
        <v>0</v>
      </c>
      <c r="E1288">
        <v>2057.2998389999998</v>
      </c>
      <c r="F1288" s="1">
        <v>16.600000000000001</v>
      </c>
      <c r="H1288">
        <v>2148</v>
      </c>
      <c r="I1288" t="str">
        <f t="shared" si="40"/>
        <v>YES</v>
      </c>
      <c r="J1288" t="s">
        <v>1294</v>
      </c>
      <c r="K1288">
        <v>818353.57857200003</v>
      </c>
      <c r="L1288">
        <f t="shared" si="41"/>
        <v>0</v>
      </c>
    </row>
    <row r="1289" spans="1:12" x14ac:dyDescent="0.25">
      <c r="A1289">
        <v>2149</v>
      </c>
      <c r="B1289">
        <v>10874.0555</v>
      </c>
      <c r="C1289">
        <v>10874.0555</v>
      </c>
      <c r="D1289">
        <v>0</v>
      </c>
      <c r="E1289">
        <v>3302.19533</v>
      </c>
      <c r="F1289" s="1">
        <v>7.82</v>
      </c>
      <c r="H1289">
        <v>2149</v>
      </c>
      <c r="I1289" t="str">
        <f t="shared" si="40"/>
        <v>YES</v>
      </c>
      <c r="J1289" t="s">
        <v>1295</v>
      </c>
      <c r="K1289">
        <v>561542.73863899999</v>
      </c>
      <c r="L1289">
        <f t="shared" si="41"/>
        <v>0</v>
      </c>
    </row>
    <row r="1290" spans="1:12" x14ac:dyDescent="0.25">
      <c r="A1290">
        <v>2150</v>
      </c>
      <c r="B1290">
        <v>16842.851490000001</v>
      </c>
      <c r="C1290">
        <v>16842.851490000001</v>
      </c>
      <c r="D1290">
        <v>0</v>
      </c>
      <c r="E1290">
        <v>4521.1720260000002</v>
      </c>
      <c r="F1290" s="1">
        <v>16.600000000000001</v>
      </c>
      <c r="H1290">
        <v>2150</v>
      </c>
      <c r="I1290" t="str">
        <f t="shared" si="40"/>
        <v>YES</v>
      </c>
      <c r="J1290" t="s">
        <v>1296</v>
      </c>
      <c r="K1290">
        <v>602939.57552900002</v>
      </c>
      <c r="L1290">
        <f t="shared" si="41"/>
        <v>0</v>
      </c>
    </row>
    <row r="1291" spans="1:12" x14ac:dyDescent="0.25">
      <c r="A1291">
        <v>2151</v>
      </c>
      <c r="B1291">
        <v>28163.459940000001</v>
      </c>
      <c r="C1291">
        <v>28163.459940000001</v>
      </c>
      <c r="D1291">
        <v>0</v>
      </c>
      <c r="E1291">
        <v>3117.5932579999999</v>
      </c>
      <c r="F1291" s="1">
        <v>19.100000000000001</v>
      </c>
      <c r="H1291">
        <v>2151</v>
      </c>
      <c r="I1291" t="str">
        <f t="shared" si="40"/>
        <v>YES</v>
      </c>
      <c r="J1291" t="s">
        <v>1297</v>
      </c>
      <c r="K1291">
        <v>940733.05937100004</v>
      </c>
      <c r="L1291">
        <f t="shared" si="41"/>
        <v>0</v>
      </c>
    </row>
    <row r="1292" spans="1:12" x14ac:dyDescent="0.25">
      <c r="A1292">
        <v>2153</v>
      </c>
      <c r="B1292">
        <v>12528.39883</v>
      </c>
      <c r="C1292">
        <v>12528.39883</v>
      </c>
      <c r="D1292">
        <v>0</v>
      </c>
      <c r="E1292">
        <v>923.23944080000001</v>
      </c>
      <c r="F1292" s="1">
        <v>2.52</v>
      </c>
      <c r="H1292">
        <v>2153</v>
      </c>
      <c r="I1292" t="str">
        <f t="shared" si="40"/>
        <v>YES</v>
      </c>
      <c r="J1292" t="s">
        <v>1298</v>
      </c>
      <c r="K1292">
        <v>440727.92914299999</v>
      </c>
      <c r="L1292">
        <f t="shared" si="41"/>
        <v>0</v>
      </c>
    </row>
    <row r="1293" spans="1:12" x14ac:dyDescent="0.25">
      <c r="A1293">
        <v>2154</v>
      </c>
      <c r="B1293">
        <v>1949.4445209999999</v>
      </c>
      <c r="C1293">
        <v>1949.4445209999999</v>
      </c>
      <c r="D1293">
        <v>0</v>
      </c>
      <c r="E1293">
        <v>3095.6191330000001</v>
      </c>
      <c r="F1293" s="1">
        <v>1.31</v>
      </c>
      <c r="H1293">
        <v>2154</v>
      </c>
      <c r="I1293" t="str">
        <f t="shared" si="40"/>
        <v>YES</v>
      </c>
      <c r="J1293" t="s">
        <v>1299</v>
      </c>
      <c r="K1293">
        <v>5301554.9014499998</v>
      </c>
      <c r="L1293">
        <f t="shared" si="41"/>
        <v>0</v>
      </c>
    </row>
    <row r="1294" spans="1:12" x14ac:dyDescent="0.25">
      <c r="A1294">
        <v>2155</v>
      </c>
      <c r="B1294">
        <v>24168.54983</v>
      </c>
      <c r="C1294">
        <v>24168.54983</v>
      </c>
      <c r="D1294">
        <v>0</v>
      </c>
      <c r="E1294">
        <v>3362.5125149999999</v>
      </c>
      <c r="F1294" s="1">
        <v>17.7</v>
      </c>
      <c r="H1294">
        <v>2155</v>
      </c>
      <c r="I1294" t="str">
        <f t="shared" si="40"/>
        <v>YES</v>
      </c>
      <c r="J1294" t="s">
        <v>1300</v>
      </c>
      <c r="K1294">
        <v>959967.75939799997</v>
      </c>
      <c r="L1294">
        <f t="shared" si="41"/>
        <v>0</v>
      </c>
    </row>
    <row r="1295" spans="1:12" x14ac:dyDescent="0.25">
      <c r="A1295">
        <v>2156</v>
      </c>
      <c r="B1295">
        <v>5567.355321</v>
      </c>
      <c r="C1295">
        <v>5567.355321</v>
      </c>
      <c r="D1295">
        <v>0</v>
      </c>
      <c r="E1295">
        <v>2735.9576229999998</v>
      </c>
      <c r="F1295" s="1">
        <v>3.32</v>
      </c>
      <c r="H1295">
        <v>2156</v>
      </c>
      <c r="I1295" t="str">
        <f t="shared" si="40"/>
        <v>YES</v>
      </c>
      <c r="J1295" t="s">
        <v>1301</v>
      </c>
      <c r="K1295">
        <v>1250619.5940099999</v>
      </c>
      <c r="L1295">
        <f t="shared" si="41"/>
        <v>0</v>
      </c>
    </row>
    <row r="1296" spans="1:12" x14ac:dyDescent="0.25">
      <c r="A1296">
        <v>2157</v>
      </c>
      <c r="B1296">
        <v>11592.313529999999</v>
      </c>
      <c r="C1296">
        <v>11592.313529999999</v>
      </c>
      <c r="D1296">
        <v>0</v>
      </c>
      <c r="E1296">
        <v>4217.5514679999997</v>
      </c>
      <c r="F1296" s="1">
        <v>10.6</v>
      </c>
      <c r="H1296">
        <v>2157</v>
      </c>
      <c r="I1296" t="str">
        <f t="shared" si="40"/>
        <v>YES</v>
      </c>
      <c r="J1296" t="s">
        <v>1302</v>
      </c>
      <c r="K1296">
        <v>501700.18037000002</v>
      </c>
      <c r="L1296">
        <f t="shared" si="41"/>
        <v>0</v>
      </c>
    </row>
    <row r="1297" spans="1:12" x14ac:dyDescent="0.25">
      <c r="A1297">
        <v>2158</v>
      </c>
      <c r="B1297">
        <v>7952.8562780000002</v>
      </c>
      <c r="C1297">
        <v>7952.8562780000002</v>
      </c>
      <c r="D1297">
        <v>0</v>
      </c>
      <c r="E1297">
        <v>3353.119819</v>
      </c>
      <c r="F1297" s="1">
        <v>5.81</v>
      </c>
      <c r="H1297">
        <v>2158</v>
      </c>
      <c r="I1297" t="str">
        <f t="shared" si="40"/>
        <v>YES</v>
      </c>
      <c r="J1297" t="s">
        <v>1303</v>
      </c>
      <c r="K1297">
        <v>882559.17302500003</v>
      </c>
      <c r="L1297">
        <f t="shared" si="41"/>
        <v>0</v>
      </c>
    </row>
    <row r="1298" spans="1:12" x14ac:dyDescent="0.25">
      <c r="A1298">
        <v>2161</v>
      </c>
      <c r="B1298">
        <v>17553.59071</v>
      </c>
      <c r="C1298">
        <v>17553.59071</v>
      </c>
      <c r="D1298">
        <v>0</v>
      </c>
      <c r="E1298">
        <v>4495.9845880000003</v>
      </c>
      <c r="F1298" s="1">
        <v>17.2</v>
      </c>
      <c r="H1298">
        <v>2161</v>
      </c>
      <c r="I1298" t="str">
        <f t="shared" si="40"/>
        <v>YES</v>
      </c>
      <c r="J1298" t="s">
        <v>1304</v>
      </c>
      <c r="K1298">
        <v>943913.08305599994</v>
      </c>
      <c r="L1298">
        <f t="shared" si="41"/>
        <v>0</v>
      </c>
    </row>
    <row r="1299" spans="1:12" x14ac:dyDescent="0.25">
      <c r="A1299">
        <v>2162</v>
      </c>
      <c r="B1299">
        <v>6395.3288309999998</v>
      </c>
      <c r="C1299">
        <v>6395.3288309999998</v>
      </c>
      <c r="D1299">
        <v>0</v>
      </c>
      <c r="E1299">
        <v>4429.4119810000002</v>
      </c>
      <c r="F1299" s="1">
        <v>6.17</v>
      </c>
      <c r="H1299">
        <v>2162</v>
      </c>
      <c r="I1299" t="str">
        <f t="shared" si="40"/>
        <v>YES</v>
      </c>
      <c r="J1299" t="s">
        <v>1305</v>
      </c>
      <c r="K1299">
        <v>1664413.07901</v>
      </c>
      <c r="L1299">
        <f t="shared" si="41"/>
        <v>0</v>
      </c>
    </row>
    <row r="1300" spans="1:12" x14ac:dyDescent="0.25">
      <c r="A1300">
        <v>2163</v>
      </c>
      <c r="B1300">
        <v>12519.88609</v>
      </c>
      <c r="C1300">
        <v>12519.88609</v>
      </c>
      <c r="D1300">
        <v>0</v>
      </c>
      <c r="E1300">
        <v>3086.1661159999999</v>
      </c>
      <c r="F1300" s="1">
        <v>8.41</v>
      </c>
      <c r="H1300">
        <v>2163</v>
      </c>
      <c r="I1300" t="str">
        <f t="shared" si="40"/>
        <v>YES</v>
      </c>
      <c r="J1300" t="s">
        <v>1306</v>
      </c>
      <c r="K1300">
        <v>747942.57903999998</v>
      </c>
      <c r="L1300">
        <f t="shared" si="41"/>
        <v>0</v>
      </c>
    </row>
    <row r="1301" spans="1:12" x14ac:dyDescent="0.25">
      <c r="A1301">
        <v>2164</v>
      </c>
      <c r="B1301">
        <v>9522.1546909999997</v>
      </c>
      <c r="C1301">
        <v>9522.1546909999997</v>
      </c>
      <c r="D1301">
        <v>0</v>
      </c>
      <c r="E1301">
        <v>3539.8461830000001</v>
      </c>
      <c r="F1301" s="1">
        <v>7.34</v>
      </c>
      <c r="H1301">
        <v>2164</v>
      </c>
      <c r="I1301" t="str">
        <f t="shared" si="40"/>
        <v>YES</v>
      </c>
      <c r="J1301" t="s">
        <v>1307</v>
      </c>
      <c r="K1301">
        <v>317520.79392700002</v>
      </c>
      <c r="L1301">
        <f t="shared" si="41"/>
        <v>0</v>
      </c>
    </row>
    <row r="1302" spans="1:12" x14ac:dyDescent="0.25">
      <c r="A1302">
        <v>2165</v>
      </c>
      <c r="B1302">
        <v>10955.96954</v>
      </c>
      <c r="C1302">
        <v>10955.96954</v>
      </c>
      <c r="D1302">
        <v>0</v>
      </c>
      <c r="E1302">
        <v>3346.8080530000002</v>
      </c>
      <c r="F1302" s="1">
        <v>7.98</v>
      </c>
      <c r="H1302">
        <v>2165</v>
      </c>
      <c r="I1302" t="str">
        <f t="shared" si="40"/>
        <v>YES</v>
      </c>
      <c r="J1302" t="s">
        <v>1308</v>
      </c>
      <c r="K1302">
        <v>892374.48412599997</v>
      </c>
      <c r="L1302">
        <f t="shared" si="41"/>
        <v>0</v>
      </c>
    </row>
    <row r="1303" spans="1:12" x14ac:dyDescent="0.25">
      <c r="A1303">
        <v>2166</v>
      </c>
      <c r="B1303">
        <v>10124.09251</v>
      </c>
      <c r="C1303">
        <v>10124.09251</v>
      </c>
      <c r="D1303">
        <v>0</v>
      </c>
      <c r="E1303">
        <v>2042.0224069999999</v>
      </c>
      <c r="F1303" s="1">
        <v>4.5</v>
      </c>
      <c r="H1303">
        <v>2166</v>
      </c>
      <c r="I1303" t="str">
        <f t="shared" si="40"/>
        <v>YES</v>
      </c>
      <c r="J1303" t="s">
        <v>1309</v>
      </c>
      <c r="K1303">
        <v>443131.350011</v>
      </c>
      <c r="L1303">
        <f t="shared" si="41"/>
        <v>0</v>
      </c>
    </row>
    <row r="1304" spans="1:12" x14ac:dyDescent="0.25">
      <c r="A1304">
        <v>2167</v>
      </c>
      <c r="B1304">
        <v>8798.7841179999996</v>
      </c>
      <c r="C1304">
        <v>8798.7841179999996</v>
      </c>
      <c r="D1304">
        <v>0</v>
      </c>
      <c r="F1304" s="1">
        <v>0</v>
      </c>
      <c r="H1304">
        <v>2167</v>
      </c>
      <c r="I1304" t="str">
        <f t="shared" si="40"/>
        <v>YES</v>
      </c>
      <c r="J1304" t="s">
        <v>1310</v>
      </c>
      <c r="K1304">
        <v>2139706.2120699999</v>
      </c>
      <c r="L1304">
        <f t="shared" si="41"/>
        <v>0</v>
      </c>
    </row>
    <row r="1305" spans="1:12" x14ac:dyDescent="0.25">
      <c r="A1305">
        <v>2170</v>
      </c>
      <c r="B1305">
        <v>755.49591750000002</v>
      </c>
      <c r="C1305">
        <v>755.49591750000002</v>
      </c>
      <c r="D1305">
        <v>0</v>
      </c>
      <c r="F1305" s="1">
        <v>0</v>
      </c>
      <c r="H1305">
        <v>2170</v>
      </c>
      <c r="I1305" t="str">
        <f t="shared" si="40"/>
        <v>YES</v>
      </c>
      <c r="J1305" t="s">
        <v>1311</v>
      </c>
      <c r="K1305">
        <v>54519647.481899999</v>
      </c>
      <c r="L1305">
        <f t="shared" si="41"/>
        <v>0</v>
      </c>
    </row>
    <row r="1306" spans="1:12" x14ac:dyDescent="0.25">
      <c r="A1306">
        <v>2171</v>
      </c>
      <c r="B1306">
        <v>2084.044774</v>
      </c>
      <c r="C1306">
        <v>2084.044774</v>
      </c>
      <c r="D1306">
        <v>0</v>
      </c>
      <c r="E1306">
        <v>2844.1459150000001</v>
      </c>
      <c r="F1306" s="1">
        <v>1.29</v>
      </c>
      <c r="H1306">
        <v>2171</v>
      </c>
      <c r="I1306" t="str">
        <f t="shared" si="40"/>
        <v>YES</v>
      </c>
      <c r="J1306" t="s">
        <v>1312</v>
      </c>
      <c r="K1306">
        <v>15894049.6842</v>
      </c>
      <c r="L1306">
        <f t="shared" si="41"/>
        <v>0</v>
      </c>
    </row>
    <row r="1307" spans="1:12" x14ac:dyDescent="0.25">
      <c r="A1307">
        <v>2200</v>
      </c>
      <c r="B1307">
        <v>5040.2824469999996</v>
      </c>
      <c r="C1307">
        <v>5040.2824469999996</v>
      </c>
      <c r="D1307">
        <v>0</v>
      </c>
      <c r="E1307">
        <v>3446.9999990000001</v>
      </c>
      <c r="F1307" s="1">
        <v>3.78</v>
      </c>
      <c r="H1307">
        <v>2200</v>
      </c>
      <c r="I1307" t="str">
        <f t="shared" si="40"/>
        <v>YES</v>
      </c>
      <c r="J1307" t="s">
        <v>1313</v>
      </c>
      <c r="K1307">
        <v>1739214.0073299999</v>
      </c>
      <c r="L1307">
        <f t="shared" si="41"/>
        <v>0</v>
      </c>
    </row>
    <row r="1308" spans="1:12" x14ac:dyDescent="0.25">
      <c r="A1308">
        <v>2201</v>
      </c>
      <c r="B1308">
        <v>44495.263720000003</v>
      </c>
      <c r="C1308">
        <v>44495.263720000003</v>
      </c>
      <c r="D1308">
        <v>0</v>
      </c>
      <c r="E1308">
        <v>1163</v>
      </c>
      <c r="F1308" s="1">
        <v>11.3</v>
      </c>
      <c r="H1308">
        <v>2201</v>
      </c>
      <c r="I1308" t="str">
        <f t="shared" si="40"/>
        <v>YES</v>
      </c>
      <c r="J1308" t="s">
        <v>1314</v>
      </c>
      <c r="K1308">
        <v>373531.62576099997</v>
      </c>
      <c r="L1308">
        <f t="shared" si="41"/>
        <v>0</v>
      </c>
    </row>
    <row r="1309" spans="1:12" x14ac:dyDescent="0.25">
      <c r="A1309">
        <v>2202</v>
      </c>
      <c r="B1309">
        <v>18610.486250000002</v>
      </c>
      <c r="C1309">
        <v>18610.486250000002</v>
      </c>
      <c r="D1309">
        <v>0</v>
      </c>
      <c r="E1309">
        <v>1799</v>
      </c>
      <c r="F1309" s="1">
        <v>7.29</v>
      </c>
      <c r="H1309">
        <v>2202</v>
      </c>
      <c r="I1309" t="str">
        <f t="shared" si="40"/>
        <v>YES</v>
      </c>
      <c r="J1309" t="s">
        <v>1315</v>
      </c>
      <c r="K1309">
        <v>436469.79161299998</v>
      </c>
      <c r="L1309">
        <f t="shared" si="41"/>
        <v>0</v>
      </c>
    </row>
    <row r="1310" spans="1:12" x14ac:dyDescent="0.25">
      <c r="A1310">
        <v>2203</v>
      </c>
      <c r="B1310">
        <v>18650.02277</v>
      </c>
      <c r="C1310">
        <v>18650.02277</v>
      </c>
      <c r="D1310">
        <v>0</v>
      </c>
      <c r="E1310">
        <v>2181</v>
      </c>
      <c r="F1310" s="1">
        <v>8.86</v>
      </c>
      <c r="H1310">
        <v>2203</v>
      </c>
      <c r="I1310" t="str">
        <f t="shared" si="40"/>
        <v>YES</v>
      </c>
      <c r="J1310" t="s">
        <v>1316</v>
      </c>
      <c r="K1310">
        <v>297650.25839099998</v>
      </c>
      <c r="L1310">
        <f t="shared" si="41"/>
        <v>0</v>
      </c>
    </row>
    <row r="1311" spans="1:12" x14ac:dyDescent="0.25">
      <c r="A1311">
        <v>2204</v>
      </c>
      <c r="B1311">
        <v>10677.236940000001</v>
      </c>
      <c r="C1311">
        <v>10677.236940000001</v>
      </c>
      <c r="D1311">
        <v>0</v>
      </c>
      <c r="E1311">
        <v>3027.697373</v>
      </c>
      <c r="F1311" s="1">
        <v>7.04</v>
      </c>
      <c r="H1311">
        <v>2204</v>
      </c>
      <c r="I1311" t="str">
        <f t="shared" si="40"/>
        <v>YES</v>
      </c>
      <c r="J1311" t="s">
        <v>1317</v>
      </c>
      <c r="K1311">
        <v>806565.85845199996</v>
      </c>
      <c r="L1311">
        <f t="shared" si="41"/>
        <v>0</v>
      </c>
    </row>
    <row r="1312" spans="1:12" x14ac:dyDescent="0.25">
      <c r="A1312">
        <v>2205</v>
      </c>
      <c r="B1312">
        <v>12823.69067</v>
      </c>
      <c r="C1312">
        <v>12823.69067</v>
      </c>
      <c r="D1312">
        <v>0</v>
      </c>
      <c r="E1312">
        <v>4029</v>
      </c>
      <c r="F1312" s="1">
        <v>11.2</v>
      </c>
      <c r="H1312">
        <v>2205</v>
      </c>
      <c r="I1312" t="str">
        <f t="shared" si="40"/>
        <v>YES</v>
      </c>
      <c r="J1312" t="s">
        <v>1318</v>
      </c>
      <c r="K1312">
        <v>1362883.6545800001</v>
      </c>
      <c r="L1312">
        <f t="shared" si="41"/>
        <v>0</v>
      </c>
    </row>
    <row r="1313" spans="1:12" x14ac:dyDescent="0.25">
      <c r="A1313">
        <v>2206</v>
      </c>
      <c r="B1313">
        <v>3885.4537700000001</v>
      </c>
      <c r="C1313">
        <v>3885.4537700000001</v>
      </c>
      <c r="D1313">
        <v>0</v>
      </c>
      <c r="E1313">
        <v>2764.6047250000001</v>
      </c>
      <c r="F1313" s="1">
        <v>2.34</v>
      </c>
      <c r="H1313">
        <v>2206</v>
      </c>
      <c r="I1313" t="str">
        <f t="shared" si="40"/>
        <v>YES</v>
      </c>
      <c r="J1313" t="s">
        <v>1319</v>
      </c>
      <c r="K1313">
        <v>959589.47957600001</v>
      </c>
      <c r="L1313">
        <f t="shared" si="41"/>
        <v>0</v>
      </c>
    </row>
    <row r="1314" spans="1:12" x14ac:dyDescent="0.25">
      <c r="A1314">
        <v>2207</v>
      </c>
      <c r="B1314">
        <v>1251.6909000000001</v>
      </c>
      <c r="C1314">
        <v>1251.6909000000001</v>
      </c>
      <c r="D1314">
        <v>0</v>
      </c>
      <c r="E1314">
        <v>2728.6979030000002</v>
      </c>
      <c r="F1314" s="1">
        <v>0.74399999999999999</v>
      </c>
      <c r="H1314">
        <v>2207</v>
      </c>
      <c r="I1314" t="str">
        <f t="shared" si="40"/>
        <v>YES</v>
      </c>
      <c r="J1314" t="s">
        <v>1320</v>
      </c>
      <c r="K1314">
        <v>1620500.38372</v>
      </c>
      <c r="L1314">
        <f t="shared" si="41"/>
        <v>0</v>
      </c>
    </row>
    <row r="1315" spans="1:12" x14ac:dyDescent="0.25">
      <c r="A1315">
        <v>2208</v>
      </c>
      <c r="B1315">
        <v>26253.823540000001</v>
      </c>
      <c r="C1315">
        <v>26253.823540000001</v>
      </c>
      <c r="D1315">
        <v>0</v>
      </c>
      <c r="E1315">
        <v>1572.7700850000001</v>
      </c>
      <c r="F1315" s="1">
        <v>8.99</v>
      </c>
      <c r="H1315">
        <v>2208</v>
      </c>
      <c r="I1315" t="str">
        <f t="shared" si="40"/>
        <v>YES</v>
      </c>
      <c r="J1315" t="s">
        <v>1321</v>
      </c>
      <c r="K1315">
        <v>221969.08094700001</v>
      </c>
      <c r="L1315">
        <f t="shared" si="41"/>
        <v>0</v>
      </c>
    </row>
    <row r="1316" spans="1:12" x14ac:dyDescent="0.25">
      <c r="A1316">
        <v>2209</v>
      </c>
      <c r="B1316">
        <v>9371.040035</v>
      </c>
      <c r="C1316">
        <v>9371.040035</v>
      </c>
      <c r="D1316">
        <v>0</v>
      </c>
      <c r="E1316">
        <v>2753.1074619999999</v>
      </c>
      <c r="F1316" s="1">
        <v>5.62</v>
      </c>
      <c r="H1316">
        <v>2209</v>
      </c>
      <c r="I1316" t="str">
        <f t="shared" si="40"/>
        <v>YES</v>
      </c>
      <c r="J1316" t="s">
        <v>1322</v>
      </c>
      <c r="K1316">
        <v>389472.937989</v>
      </c>
      <c r="L1316">
        <f t="shared" si="41"/>
        <v>0</v>
      </c>
    </row>
    <row r="1317" spans="1:12" x14ac:dyDescent="0.25">
      <c r="A1317">
        <v>2210</v>
      </c>
      <c r="B1317">
        <v>22360.577789999999</v>
      </c>
      <c r="C1317">
        <v>22360.577789999999</v>
      </c>
      <c r="D1317">
        <v>0</v>
      </c>
      <c r="E1317">
        <v>3670.5037619999998</v>
      </c>
      <c r="F1317" s="1">
        <v>17.899999999999999</v>
      </c>
      <c r="H1317">
        <v>2210</v>
      </c>
      <c r="I1317" t="str">
        <f t="shared" si="40"/>
        <v>YES</v>
      </c>
      <c r="J1317" t="s">
        <v>1323</v>
      </c>
      <c r="K1317">
        <v>789659.56251399999</v>
      </c>
      <c r="L1317">
        <f t="shared" si="41"/>
        <v>0</v>
      </c>
    </row>
    <row r="1318" spans="1:12" x14ac:dyDescent="0.25">
      <c r="A1318">
        <v>2211</v>
      </c>
      <c r="B1318">
        <v>11773.02507</v>
      </c>
      <c r="C1318">
        <v>11773.02507</v>
      </c>
      <c r="D1318">
        <v>0</v>
      </c>
      <c r="E1318">
        <v>1394.877518</v>
      </c>
      <c r="F1318" s="1">
        <v>3.58</v>
      </c>
      <c r="H1318">
        <v>2211</v>
      </c>
      <c r="I1318" t="str">
        <f t="shared" si="40"/>
        <v>YES</v>
      </c>
      <c r="J1318" t="s">
        <v>1324</v>
      </c>
      <c r="K1318">
        <v>534933.85276899999</v>
      </c>
      <c r="L1318">
        <f t="shared" si="41"/>
        <v>0</v>
      </c>
    </row>
    <row r="1319" spans="1:12" x14ac:dyDescent="0.25">
      <c r="A1319">
        <v>2212</v>
      </c>
      <c r="B1319">
        <v>13544.18123</v>
      </c>
      <c r="C1319">
        <v>13544.18123</v>
      </c>
      <c r="D1319">
        <v>0</v>
      </c>
      <c r="E1319">
        <v>2287.117702</v>
      </c>
      <c r="F1319" s="1">
        <v>6.74</v>
      </c>
      <c r="H1319">
        <v>2212</v>
      </c>
      <c r="I1319" t="str">
        <f t="shared" si="40"/>
        <v>YES</v>
      </c>
      <c r="J1319" t="s">
        <v>1325</v>
      </c>
      <c r="K1319">
        <v>276012.09674399998</v>
      </c>
      <c r="L1319">
        <f t="shared" si="41"/>
        <v>0</v>
      </c>
    </row>
    <row r="1320" spans="1:12" x14ac:dyDescent="0.25">
      <c r="A1320">
        <v>2213</v>
      </c>
      <c r="B1320">
        <v>16959.504400000002</v>
      </c>
      <c r="C1320">
        <v>16959.504400000002</v>
      </c>
      <c r="D1320">
        <v>0</v>
      </c>
      <c r="E1320">
        <v>2998.537808</v>
      </c>
      <c r="F1320" s="1">
        <v>11.1</v>
      </c>
      <c r="H1320">
        <v>2213</v>
      </c>
      <c r="I1320" t="str">
        <f t="shared" si="40"/>
        <v>YES</v>
      </c>
      <c r="J1320" t="s">
        <v>1326</v>
      </c>
      <c r="K1320">
        <v>457001.89109400002</v>
      </c>
      <c r="L1320">
        <f t="shared" si="41"/>
        <v>0</v>
      </c>
    </row>
    <row r="1321" spans="1:12" x14ac:dyDescent="0.25">
      <c r="A1321">
        <v>2214</v>
      </c>
      <c r="B1321">
        <v>18735.869739999998</v>
      </c>
      <c r="C1321">
        <v>18735.869739999998</v>
      </c>
      <c r="D1321">
        <v>0</v>
      </c>
      <c r="E1321">
        <v>3758.2404980000001</v>
      </c>
      <c r="F1321" s="1">
        <v>15.3</v>
      </c>
      <c r="H1321">
        <v>2214</v>
      </c>
      <c r="I1321" t="str">
        <f t="shared" si="40"/>
        <v>YES</v>
      </c>
      <c r="J1321" t="s">
        <v>1327</v>
      </c>
      <c r="K1321">
        <v>367889.50310600002</v>
      </c>
      <c r="L1321">
        <f t="shared" si="41"/>
        <v>0</v>
      </c>
    </row>
    <row r="1322" spans="1:12" x14ac:dyDescent="0.25">
      <c r="A1322">
        <v>2215</v>
      </c>
      <c r="B1322">
        <v>15475.10693</v>
      </c>
      <c r="C1322">
        <v>15475.10693</v>
      </c>
      <c r="D1322">
        <v>0</v>
      </c>
      <c r="E1322">
        <v>2450.721759</v>
      </c>
      <c r="F1322" s="1">
        <v>8.26</v>
      </c>
      <c r="H1322">
        <v>2215</v>
      </c>
      <c r="I1322" t="str">
        <f t="shared" si="40"/>
        <v>YES</v>
      </c>
      <c r="J1322" t="s">
        <v>1328</v>
      </c>
      <c r="K1322">
        <v>261699.997332</v>
      </c>
      <c r="L1322">
        <f t="shared" si="41"/>
        <v>0</v>
      </c>
    </row>
    <row r="1323" spans="1:12" x14ac:dyDescent="0.25">
      <c r="A1323">
        <v>2216</v>
      </c>
      <c r="B1323">
        <v>9607.7403780000004</v>
      </c>
      <c r="C1323">
        <v>9607.7403780000004</v>
      </c>
      <c r="D1323">
        <v>0</v>
      </c>
      <c r="E1323">
        <v>2296.4869680000002</v>
      </c>
      <c r="F1323" s="1">
        <v>4.8</v>
      </c>
      <c r="H1323">
        <v>2216</v>
      </c>
      <c r="I1323" t="str">
        <f t="shared" si="40"/>
        <v>YES</v>
      </c>
      <c r="J1323" t="s">
        <v>1329</v>
      </c>
      <c r="K1323">
        <v>298720.89630099997</v>
      </c>
      <c r="L1323">
        <f t="shared" si="41"/>
        <v>0</v>
      </c>
    </row>
    <row r="1324" spans="1:12" x14ac:dyDescent="0.25">
      <c r="A1324">
        <v>2217</v>
      </c>
      <c r="B1324">
        <v>2011.7645560000001</v>
      </c>
      <c r="C1324">
        <v>2011.7645560000001</v>
      </c>
      <c r="D1324">
        <v>0</v>
      </c>
      <c r="E1324">
        <v>472.63633700000003</v>
      </c>
      <c r="F1324" s="1">
        <v>0.20699999999999999</v>
      </c>
      <c r="H1324">
        <v>2217</v>
      </c>
      <c r="I1324" t="str">
        <f t="shared" si="40"/>
        <v>YES</v>
      </c>
      <c r="J1324" t="s">
        <v>1330</v>
      </c>
      <c r="K1324">
        <v>3107264.0580899999</v>
      </c>
      <c r="L1324">
        <f t="shared" si="41"/>
        <v>0</v>
      </c>
    </row>
    <row r="1325" spans="1:12" x14ac:dyDescent="0.25">
      <c r="A1325">
        <v>2218</v>
      </c>
      <c r="B1325">
        <v>27320.355879999999</v>
      </c>
      <c r="C1325">
        <v>27320.355879999999</v>
      </c>
      <c r="D1325">
        <v>0</v>
      </c>
      <c r="E1325">
        <v>1.0217000000000001E-4</v>
      </c>
      <c r="F1325" s="1">
        <v>6.0800000000000004E-7</v>
      </c>
      <c r="H1325">
        <v>2218</v>
      </c>
      <c r="I1325" t="str">
        <f t="shared" si="40"/>
        <v>YES</v>
      </c>
      <c r="J1325" t="s">
        <v>1331</v>
      </c>
      <c r="K1325">
        <v>18660.5084025</v>
      </c>
      <c r="L1325">
        <f t="shared" si="41"/>
        <v>0</v>
      </c>
    </row>
    <row r="1326" spans="1:12" x14ac:dyDescent="0.25">
      <c r="A1326">
        <v>2298</v>
      </c>
      <c r="B1326">
        <v>31368.65553</v>
      </c>
      <c r="C1326">
        <v>31368.65553</v>
      </c>
      <c r="D1326">
        <v>0</v>
      </c>
      <c r="E1326">
        <v>325.6750323</v>
      </c>
      <c r="F1326" s="1">
        <v>2.2200000000000002</v>
      </c>
      <c r="H1326">
        <v>2298</v>
      </c>
      <c r="I1326" t="str">
        <f t="shared" si="40"/>
        <v>YES</v>
      </c>
      <c r="J1326" t="s">
        <v>1332</v>
      </c>
      <c r="K1326">
        <v>106842.826367</v>
      </c>
      <c r="L1326">
        <f t="shared" si="41"/>
        <v>0</v>
      </c>
    </row>
    <row r="1327" spans="1:12" x14ac:dyDescent="0.25">
      <c r="A1327">
        <v>2299</v>
      </c>
      <c r="B1327">
        <v>18323.109410000001</v>
      </c>
      <c r="C1327">
        <v>18323.109410000001</v>
      </c>
      <c r="D1327">
        <v>0</v>
      </c>
      <c r="E1327">
        <v>2505.3154979999999</v>
      </c>
      <c r="F1327" s="1">
        <v>10</v>
      </c>
      <c r="H1327">
        <v>2299</v>
      </c>
      <c r="I1327" t="str">
        <f t="shared" si="40"/>
        <v>YES</v>
      </c>
      <c r="J1327" t="s">
        <v>1333</v>
      </c>
      <c r="K1327">
        <v>175738.823313</v>
      </c>
      <c r="L1327">
        <f t="shared" si="41"/>
        <v>0</v>
      </c>
    </row>
    <row r="1328" spans="1:12" x14ac:dyDescent="0.25">
      <c r="A1328">
        <v>2300</v>
      </c>
      <c r="B1328">
        <v>20007.004509999999</v>
      </c>
      <c r="C1328">
        <v>20007.004509999999</v>
      </c>
      <c r="D1328">
        <v>0</v>
      </c>
      <c r="E1328">
        <v>897.03468729999997</v>
      </c>
      <c r="F1328" s="1">
        <v>3.91</v>
      </c>
      <c r="H1328">
        <v>2300</v>
      </c>
      <c r="I1328" t="str">
        <f t="shared" si="40"/>
        <v>YES</v>
      </c>
      <c r="J1328" t="s">
        <v>1334</v>
      </c>
      <c r="K1328">
        <v>266636.57215999998</v>
      </c>
      <c r="L1328">
        <f t="shared" si="41"/>
        <v>0</v>
      </c>
    </row>
    <row r="1329" spans="1:12" x14ac:dyDescent="0.25">
      <c r="A1329">
        <v>2301</v>
      </c>
      <c r="B1329">
        <v>16619.34908</v>
      </c>
      <c r="C1329">
        <v>16619.34908</v>
      </c>
      <c r="D1329">
        <v>0</v>
      </c>
      <c r="E1329">
        <v>2997.9796230000002</v>
      </c>
      <c r="F1329" s="1">
        <v>10.8</v>
      </c>
      <c r="H1329">
        <v>2301</v>
      </c>
      <c r="I1329" t="str">
        <f t="shared" si="40"/>
        <v>YES</v>
      </c>
      <c r="J1329" t="s">
        <v>1335</v>
      </c>
      <c r="K1329">
        <v>340956.13857900002</v>
      </c>
      <c r="L1329">
        <f t="shared" si="41"/>
        <v>0</v>
      </c>
    </row>
    <row r="1330" spans="1:12" x14ac:dyDescent="0.25">
      <c r="A1330">
        <v>2302</v>
      </c>
      <c r="B1330">
        <v>16770.367969999999</v>
      </c>
      <c r="C1330">
        <v>16770.367969999999</v>
      </c>
      <c r="D1330">
        <v>0</v>
      </c>
      <c r="E1330">
        <v>3837.585869</v>
      </c>
      <c r="F1330" s="1">
        <v>14</v>
      </c>
      <c r="H1330">
        <v>2302</v>
      </c>
      <c r="I1330" t="str">
        <f t="shared" si="40"/>
        <v>YES</v>
      </c>
      <c r="J1330" t="s">
        <v>1336</v>
      </c>
      <c r="K1330">
        <v>266021.24404199998</v>
      </c>
      <c r="L1330">
        <f t="shared" si="41"/>
        <v>0</v>
      </c>
    </row>
    <row r="1331" spans="1:12" x14ac:dyDescent="0.25">
      <c r="A1331">
        <v>2303</v>
      </c>
      <c r="B1331">
        <v>13334.407660000001</v>
      </c>
      <c r="C1331">
        <v>13334.407660000001</v>
      </c>
      <c r="D1331">
        <v>0</v>
      </c>
      <c r="E1331">
        <v>2186.4946300000001</v>
      </c>
      <c r="F1331" s="1">
        <v>6.35</v>
      </c>
      <c r="H1331">
        <v>2303</v>
      </c>
      <c r="I1331" t="str">
        <f t="shared" si="40"/>
        <v>YES</v>
      </c>
      <c r="J1331" t="s">
        <v>1337</v>
      </c>
      <c r="K1331">
        <v>537605.31186899997</v>
      </c>
      <c r="L1331">
        <f t="shared" si="41"/>
        <v>0</v>
      </c>
    </row>
    <row r="1332" spans="1:12" x14ac:dyDescent="0.25">
      <c r="A1332">
        <v>2304</v>
      </c>
      <c r="B1332">
        <v>13905.18849</v>
      </c>
      <c r="C1332">
        <v>13905.18849</v>
      </c>
      <c r="D1332">
        <v>0</v>
      </c>
      <c r="E1332">
        <v>2461.4424880000001</v>
      </c>
      <c r="F1332" s="1">
        <v>7.45</v>
      </c>
      <c r="H1332">
        <v>2304</v>
      </c>
      <c r="I1332" t="str">
        <f t="shared" si="40"/>
        <v>YES</v>
      </c>
      <c r="J1332" t="s">
        <v>1338</v>
      </c>
      <c r="K1332">
        <v>179665.22688199999</v>
      </c>
      <c r="L1332">
        <f t="shared" si="41"/>
        <v>0</v>
      </c>
    </row>
    <row r="1333" spans="1:12" x14ac:dyDescent="0.25">
      <c r="A1333">
        <v>2305</v>
      </c>
      <c r="B1333">
        <v>43415.434910000004</v>
      </c>
      <c r="C1333">
        <v>43415.434910000004</v>
      </c>
      <c r="D1333">
        <v>0</v>
      </c>
      <c r="E1333">
        <v>987.76356050000004</v>
      </c>
      <c r="F1333" s="1">
        <v>9.34</v>
      </c>
      <c r="H1333">
        <v>2305</v>
      </c>
      <c r="I1333" t="str">
        <f t="shared" si="40"/>
        <v>YES</v>
      </c>
      <c r="J1333" t="s">
        <v>1339</v>
      </c>
      <c r="K1333">
        <v>293582.92593199998</v>
      </c>
      <c r="L1333">
        <f t="shared" si="41"/>
        <v>0</v>
      </c>
    </row>
    <row r="1334" spans="1:12" x14ac:dyDescent="0.25">
      <c r="A1334">
        <v>2306</v>
      </c>
      <c r="B1334">
        <v>13051.007299999999</v>
      </c>
      <c r="C1334">
        <v>13051.007299999999</v>
      </c>
      <c r="D1334">
        <v>0</v>
      </c>
      <c r="E1334">
        <v>1347.8409349999999</v>
      </c>
      <c r="F1334" s="1">
        <v>3.83</v>
      </c>
      <c r="H1334">
        <v>2306</v>
      </c>
      <c r="I1334" t="str">
        <f t="shared" si="40"/>
        <v>YES</v>
      </c>
      <c r="J1334" t="s">
        <v>1340</v>
      </c>
      <c r="K1334">
        <v>303322.22373500001</v>
      </c>
      <c r="L1334">
        <f t="shared" si="41"/>
        <v>0</v>
      </c>
    </row>
    <row r="1335" spans="1:12" x14ac:dyDescent="0.25">
      <c r="A1335">
        <v>2307</v>
      </c>
      <c r="B1335">
        <v>39794.337570000003</v>
      </c>
      <c r="C1335">
        <v>39794.337570000003</v>
      </c>
      <c r="D1335">
        <v>0</v>
      </c>
      <c r="E1335">
        <v>109.0329778</v>
      </c>
      <c r="F1335" s="1">
        <v>0.94499999999999995</v>
      </c>
      <c r="H1335">
        <v>2307</v>
      </c>
      <c r="I1335" t="str">
        <f t="shared" si="40"/>
        <v>YES</v>
      </c>
      <c r="J1335" t="s">
        <v>1341</v>
      </c>
      <c r="K1335">
        <v>136725.23173999999</v>
      </c>
      <c r="L1335">
        <f t="shared" si="41"/>
        <v>0</v>
      </c>
    </row>
    <row r="1336" spans="1:12" x14ac:dyDescent="0.25">
      <c r="A1336">
        <v>2308</v>
      </c>
      <c r="B1336">
        <v>18046.445169999999</v>
      </c>
      <c r="C1336">
        <v>18046.445169999999</v>
      </c>
      <c r="D1336">
        <v>0</v>
      </c>
      <c r="E1336">
        <v>2930.0295529999999</v>
      </c>
      <c r="F1336" s="1">
        <v>11.5</v>
      </c>
      <c r="H1336">
        <v>2308</v>
      </c>
      <c r="I1336" t="str">
        <f t="shared" si="40"/>
        <v>YES</v>
      </c>
      <c r="J1336" t="s">
        <v>1342</v>
      </c>
      <c r="K1336">
        <v>503594.73880300001</v>
      </c>
      <c r="L1336">
        <f t="shared" si="41"/>
        <v>0</v>
      </c>
    </row>
    <row r="1337" spans="1:12" x14ac:dyDescent="0.25">
      <c r="A1337">
        <v>2309</v>
      </c>
      <c r="B1337">
        <v>13945.46645</v>
      </c>
      <c r="C1337">
        <v>13945.46645</v>
      </c>
      <c r="D1337">
        <v>0</v>
      </c>
      <c r="E1337">
        <v>1439.031804</v>
      </c>
      <c r="F1337" s="1">
        <v>4.37</v>
      </c>
      <c r="H1337">
        <v>2309</v>
      </c>
      <c r="I1337" t="str">
        <f t="shared" si="40"/>
        <v>YES</v>
      </c>
      <c r="J1337" t="s">
        <v>1343</v>
      </c>
      <c r="K1337">
        <v>332316.93917500001</v>
      </c>
      <c r="L1337">
        <f t="shared" si="41"/>
        <v>0</v>
      </c>
    </row>
    <row r="1338" spans="1:12" x14ac:dyDescent="0.25">
      <c r="A1338">
        <v>2310</v>
      </c>
      <c r="B1338">
        <v>9201.7239420000005</v>
      </c>
      <c r="C1338">
        <v>9201.7239420000005</v>
      </c>
      <c r="D1338">
        <v>0</v>
      </c>
      <c r="E1338">
        <v>641.56842649999999</v>
      </c>
      <c r="F1338" s="1">
        <v>1.29</v>
      </c>
      <c r="H1338">
        <v>2310</v>
      </c>
      <c r="I1338" t="str">
        <f t="shared" si="40"/>
        <v>YES</v>
      </c>
      <c r="J1338" t="s">
        <v>1344</v>
      </c>
      <c r="K1338">
        <v>174669.40114999999</v>
      </c>
      <c r="L1338">
        <f t="shared" si="41"/>
        <v>0</v>
      </c>
    </row>
    <row r="1339" spans="1:12" x14ac:dyDescent="0.25">
      <c r="A1339">
        <v>2311</v>
      </c>
      <c r="B1339">
        <v>49895.983090000002</v>
      </c>
      <c r="C1339">
        <v>49895.983090000002</v>
      </c>
      <c r="D1339">
        <v>0</v>
      </c>
      <c r="E1339">
        <v>2661.2148929999998</v>
      </c>
      <c r="F1339" s="1">
        <v>28.9</v>
      </c>
      <c r="H1339">
        <v>2311</v>
      </c>
      <c r="I1339" t="str">
        <f t="shared" si="40"/>
        <v>YES</v>
      </c>
      <c r="J1339" t="s">
        <v>1345</v>
      </c>
      <c r="K1339">
        <v>579386.43642100005</v>
      </c>
      <c r="L1339">
        <f t="shared" si="41"/>
        <v>0</v>
      </c>
    </row>
    <row r="1340" spans="1:12" x14ac:dyDescent="0.25">
      <c r="A1340">
        <v>2312</v>
      </c>
      <c r="B1340">
        <v>17250.710169999998</v>
      </c>
      <c r="C1340">
        <v>17250.710169999998</v>
      </c>
      <c r="D1340">
        <v>0</v>
      </c>
      <c r="E1340">
        <v>2121.5746589999999</v>
      </c>
      <c r="F1340" s="1">
        <v>7.97</v>
      </c>
      <c r="H1340">
        <v>2312</v>
      </c>
      <c r="I1340" t="str">
        <f t="shared" si="40"/>
        <v>YES</v>
      </c>
      <c r="J1340" t="s">
        <v>1346</v>
      </c>
      <c r="K1340">
        <v>315030.30735399999</v>
      </c>
      <c r="L1340">
        <f t="shared" si="41"/>
        <v>0</v>
      </c>
    </row>
    <row r="1341" spans="1:12" x14ac:dyDescent="0.25">
      <c r="A1341">
        <v>2313</v>
      </c>
      <c r="B1341">
        <v>27205.691180000002</v>
      </c>
      <c r="C1341">
        <v>27205.691180000002</v>
      </c>
      <c r="D1341">
        <v>0</v>
      </c>
      <c r="E1341">
        <v>2865.6966579999998</v>
      </c>
      <c r="F1341" s="1">
        <v>17</v>
      </c>
      <c r="H1341">
        <v>2313</v>
      </c>
      <c r="I1341" t="str">
        <f t="shared" si="40"/>
        <v>YES</v>
      </c>
      <c r="J1341" t="s">
        <v>1347</v>
      </c>
      <c r="K1341">
        <v>713968.01857399999</v>
      </c>
      <c r="L1341">
        <f t="shared" si="41"/>
        <v>0</v>
      </c>
    </row>
    <row r="1342" spans="1:12" x14ac:dyDescent="0.25">
      <c r="A1342">
        <v>2314</v>
      </c>
      <c r="B1342">
        <v>29634.996569999999</v>
      </c>
      <c r="C1342">
        <v>29634.996569999999</v>
      </c>
      <c r="D1342">
        <v>0</v>
      </c>
      <c r="E1342">
        <v>1369.4535080000001</v>
      </c>
      <c r="F1342" s="1">
        <v>8.84</v>
      </c>
      <c r="H1342">
        <v>2314</v>
      </c>
      <c r="I1342" t="str">
        <f t="shared" si="40"/>
        <v>YES</v>
      </c>
      <c r="J1342" t="s">
        <v>1348</v>
      </c>
      <c r="K1342">
        <v>681281.68351799995</v>
      </c>
      <c r="L1342">
        <f t="shared" si="41"/>
        <v>0</v>
      </c>
    </row>
    <row r="1343" spans="1:12" x14ac:dyDescent="0.25">
      <c r="A1343">
        <v>2315</v>
      </c>
      <c r="B1343">
        <v>21641.360919999999</v>
      </c>
      <c r="C1343">
        <v>21641.360919999999</v>
      </c>
      <c r="D1343">
        <v>0</v>
      </c>
      <c r="E1343">
        <v>15.082023209999999</v>
      </c>
      <c r="F1343" s="1">
        <v>7.1099999999999997E-2</v>
      </c>
      <c r="H1343">
        <v>2315</v>
      </c>
      <c r="I1343" t="str">
        <f t="shared" si="40"/>
        <v>YES</v>
      </c>
      <c r="J1343" t="s">
        <v>1349</v>
      </c>
      <c r="K1343">
        <v>803106.62257699994</v>
      </c>
      <c r="L1343">
        <f t="shared" si="41"/>
        <v>0</v>
      </c>
    </row>
    <row r="1344" spans="1:12" x14ac:dyDescent="0.25">
      <c r="A1344">
        <v>2316</v>
      </c>
      <c r="B1344">
        <v>12408.40798</v>
      </c>
      <c r="C1344">
        <v>12408.40798</v>
      </c>
      <c r="D1344">
        <v>0</v>
      </c>
      <c r="E1344">
        <v>2026.1831749999999</v>
      </c>
      <c r="F1344" s="1">
        <v>5.47</v>
      </c>
      <c r="H1344">
        <v>2316</v>
      </c>
      <c r="I1344" t="str">
        <f t="shared" ref="I1344:I1407" si="42">IF(A1344=H1344,"YES","NO")</f>
        <v>YES</v>
      </c>
      <c r="J1344" t="s">
        <v>1350</v>
      </c>
      <c r="K1344">
        <v>441079.81883200002</v>
      </c>
      <c r="L1344">
        <f t="shared" si="41"/>
        <v>0</v>
      </c>
    </row>
    <row r="1345" spans="1:12" x14ac:dyDescent="0.25">
      <c r="A1345">
        <v>2318</v>
      </c>
      <c r="B1345">
        <v>7481.0385969999998</v>
      </c>
      <c r="C1345">
        <v>7481.0385969999998</v>
      </c>
      <c r="D1345">
        <v>0</v>
      </c>
      <c r="E1345">
        <v>3673.1883969999999</v>
      </c>
      <c r="F1345" s="1">
        <v>5.98</v>
      </c>
      <c r="H1345">
        <v>2318</v>
      </c>
      <c r="I1345" t="str">
        <f t="shared" si="42"/>
        <v>YES</v>
      </c>
      <c r="J1345" t="s">
        <v>1351</v>
      </c>
      <c r="K1345">
        <v>1192369.51935</v>
      </c>
      <c r="L1345">
        <f t="shared" si="41"/>
        <v>0</v>
      </c>
    </row>
    <row r="1346" spans="1:12" x14ac:dyDescent="0.25">
      <c r="A1346">
        <v>2319</v>
      </c>
      <c r="B1346">
        <v>6392.4680790000002</v>
      </c>
      <c r="C1346">
        <v>6392.4680790000002</v>
      </c>
      <c r="D1346">
        <v>0</v>
      </c>
      <c r="E1346">
        <v>3276.3028260000001</v>
      </c>
      <c r="F1346" s="1">
        <v>4.5599999999999996</v>
      </c>
      <c r="H1346">
        <v>2319</v>
      </c>
      <c r="I1346" t="str">
        <f t="shared" si="42"/>
        <v>YES</v>
      </c>
      <c r="J1346" t="s">
        <v>1352</v>
      </c>
      <c r="K1346">
        <v>771404.43749699998</v>
      </c>
      <c r="L1346">
        <f t="shared" si="41"/>
        <v>0</v>
      </c>
    </row>
    <row r="1347" spans="1:12" x14ac:dyDescent="0.25">
      <c r="A1347">
        <v>2320</v>
      </c>
      <c r="B1347">
        <v>689.85974529999999</v>
      </c>
      <c r="C1347">
        <v>689.85974529999999</v>
      </c>
      <c r="D1347">
        <v>0</v>
      </c>
      <c r="E1347">
        <v>1675.998572</v>
      </c>
      <c r="F1347" s="1">
        <v>0.252</v>
      </c>
      <c r="H1347">
        <v>2320</v>
      </c>
      <c r="I1347" t="str">
        <f t="shared" si="42"/>
        <v>YES</v>
      </c>
      <c r="J1347" t="s">
        <v>1353</v>
      </c>
      <c r="K1347">
        <v>1899935.1835099999</v>
      </c>
      <c r="L1347">
        <f t="shared" ref="L1347:L1410" si="43">EXP(0.2052)*K1347*(D1347/C1347)</f>
        <v>0</v>
      </c>
    </row>
    <row r="1348" spans="1:12" x14ac:dyDescent="0.25">
      <c r="A1348">
        <v>2321</v>
      </c>
      <c r="B1348">
        <v>4713.4516860000003</v>
      </c>
      <c r="C1348">
        <v>4713.4516860000003</v>
      </c>
      <c r="D1348">
        <v>0</v>
      </c>
      <c r="E1348">
        <v>1056.629584</v>
      </c>
      <c r="F1348" s="1">
        <v>1.08</v>
      </c>
      <c r="H1348">
        <v>2321</v>
      </c>
      <c r="I1348" t="str">
        <f t="shared" si="42"/>
        <v>YES</v>
      </c>
      <c r="J1348" t="s">
        <v>1354</v>
      </c>
      <c r="K1348">
        <v>533641.97328699997</v>
      </c>
      <c r="L1348">
        <f t="shared" si="43"/>
        <v>0</v>
      </c>
    </row>
    <row r="1349" spans="1:12" x14ac:dyDescent="0.25">
      <c r="A1349">
        <v>2322</v>
      </c>
      <c r="B1349">
        <v>5855.064558</v>
      </c>
      <c r="C1349">
        <v>5855.064558</v>
      </c>
      <c r="D1349">
        <v>0</v>
      </c>
      <c r="E1349">
        <v>2364.101467</v>
      </c>
      <c r="F1349" s="1">
        <v>3.01</v>
      </c>
      <c r="H1349">
        <v>2322</v>
      </c>
      <c r="I1349" t="str">
        <f t="shared" si="42"/>
        <v>YES</v>
      </c>
      <c r="J1349" t="s">
        <v>1355</v>
      </c>
      <c r="K1349">
        <v>619827.84594699997</v>
      </c>
      <c r="L1349">
        <f t="shared" si="43"/>
        <v>0</v>
      </c>
    </row>
    <row r="1350" spans="1:12" x14ac:dyDescent="0.25">
      <c r="A1350">
        <v>2323</v>
      </c>
      <c r="B1350">
        <v>3404.3161300000002</v>
      </c>
      <c r="C1350">
        <v>3404.3161300000002</v>
      </c>
      <c r="D1350">
        <v>0</v>
      </c>
      <c r="E1350">
        <v>2727.460133</v>
      </c>
      <c r="F1350" s="1">
        <v>2.02</v>
      </c>
      <c r="H1350">
        <v>2323</v>
      </c>
      <c r="I1350" t="str">
        <f t="shared" si="42"/>
        <v>YES</v>
      </c>
      <c r="J1350" t="s">
        <v>1356</v>
      </c>
      <c r="K1350">
        <v>1079626.0448499999</v>
      </c>
      <c r="L1350">
        <f t="shared" si="43"/>
        <v>0</v>
      </c>
    </row>
    <row r="1351" spans="1:12" x14ac:dyDescent="0.25">
      <c r="A1351">
        <v>2324</v>
      </c>
      <c r="B1351">
        <v>5409.1454970000004</v>
      </c>
      <c r="C1351">
        <v>5409.1454970000004</v>
      </c>
      <c r="D1351">
        <v>0</v>
      </c>
      <c r="E1351">
        <v>4003.1928549999998</v>
      </c>
      <c r="F1351" s="1">
        <v>4.71</v>
      </c>
      <c r="H1351">
        <v>2324</v>
      </c>
      <c r="I1351" t="str">
        <f t="shared" si="42"/>
        <v>YES</v>
      </c>
      <c r="J1351" t="s">
        <v>1357</v>
      </c>
      <c r="K1351">
        <v>1629308.1832600001</v>
      </c>
      <c r="L1351">
        <f t="shared" si="43"/>
        <v>0</v>
      </c>
    </row>
    <row r="1352" spans="1:12" x14ac:dyDescent="0.25">
      <c r="A1352">
        <v>2325</v>
      </c>
      <c r="B1352">
        <v>12635.06601</v>
      </c>
      <c r="C1352">
        <v>12635.06601</v>
      </c>
      <c r="D1352">
        <v>0</v>
      </c>
      <c r="E1352">
        <v>3981.126166</v>
      </c>
      <c r="F1352" s="1">
        <v>11</v>
      </c>
      <c r="H1352">
        <v>2325</v>
      </c>
      <c r="I1352" t="str">
        <f t="shared" si="42"/>
        <v>YES</v>
      </c>
      <c r="J1352" t="s">
        <v>1358</v>
      </c>
      <c r="K1352">
        <v>1173333.5330000001</v>
      </c>
      <c r="L1352">
        <f t="shared" si="43"/>
        <v>0</v>
      </c>
    </row>
    <row r="1353" spans="1:12" x14ac:dyDescent="0.25">
      <c r="A1353">
        <v>2328</v>
      </c>
      <c r="B1353">
        <v>6063.4532300000001</v>
      </c>
      <c r="C1353">
        <v>6063.4532300000001</v>
      </c>
      <c r="D1353">
        <v>0</v>
      </c>
      <c r="E1353" s="1">
        <v>9.9999999999999995E-7</v>
      </c>
      <c r="F1353" s="1">
        <v>1.32E-9</v>
      </c>
      <c r="H1353">
        <v>2328</v>
      </c>
      <c r="I1353" t="str">
        <f t="shared" si="42"/>
        <v>YES</v>
      </c>
      <c r="J1353" t="s">
        <v>1359</v>
      </c>
      <c r="K1353">
        <v>1812622.4373900001</v>
      </c>
      <c r="L1353">
        <f t="shared" si="43"/>
        <v>0</v>
      </c>
    </row>
    <row r="1354" spans="1:12" x14ac:dyDescent="0.25">
      <c r="A1354">
        <v>2329</v>
      </c>
      <c r="B1354">
        <v>5173.5063929999997</v>
      </c>
      <c r="C1354">
        <v>5173.5063929999997</v>
      </c>
      <c r="D1354">
        <v>0</v>
      </c>
      <c r="E1354">
        <v>942</v>
      </c>
      <c r="F1354" s="1">
        <v>1.06</v>
      </c>
      <c r="H1354">
        <v>2329</v>
      </c>
      <c r="I1354" t="str">
        <f t="shared" si="42"/>
        <v>YES</v>
      </c>
      <c r="J1354" t="s">
        <v>1360</v>
      </c>
      <c r="K1354">
        <v>1106962.4385500001</v>
      </c>
      <c r="L1354">
        <f t="shared" si="43"/>
        <v>0</v>
      </c>
    </row>
    <row r="1355" spans="1:12" x14ac:dyDescent="0.25">
      <c r="A1355">
        <v>2330</v>
      </c>
      <c r="B1355">
        <v>10089.9548</v>
      </c>
      <c r="C1355">
        <v>10089.9548</v>
      </c>
      <c r="D1355">
        <v>0</v>
      </c>
      <c r="E1355" s="1">
        <v>9.9999999999999995E-7</v>
      </c>
      <c r="F1355" s="1">
        <v>2.1999999999999998E-9</v>
      </c>
      <c r="H1355">
        <v>2330</v>
      </c>
      <c r="I1355" t="str">
        <f t="shared" si="42"/>
        <v>YES</v>
      </c>
      <c r="J1355" t="s">
        <v>1361</v>
      </c>
      <c r="K1355">
        <v>756042.44251600001</v>
      </c>
      <c r="L1355">
        <f t="shared" si="43"/>
        <v>0</v>
      </c>
    </row>
    <row r="1356" spans="1:12" x14ac:dyDescent="0.25">
      <c r="A1356">
        <v>2331</v>
      </c>
      <c r="B1356">
        <v>14520.94887</v>
      </c>
      <c r="C1356">
        <v>14520.94887</v>
      </c>
      <c r="D1356">
        <v>0</v>
      </c>
      <c r="E1356" s="1">
        <v>9.9999999999999995E-7</v>
      </c>
      <c r="F1356" s="1">
        <v>3.1599999999999998E-9</v>
      </c>
      <c r="H1356">
        <v>2331</v>
      </c>
      <c r="I1356" t="str">
        <f t="shared" si="42"/>
        <v>YES</v>
      </c>
      <c r="J1356" t="s">
        <v>1362</v>
      </c>
      <c r="K1356">
        <v>367231.66508300003</v>
      </c>
      <c r="L1356">
        <f t="shared" si="43"/>
        <v>0</v>
      </c>
    </row>
    <row r="1357" spans="1:12" x14ac:dyDescent="0.25">
      <c r="A1357">
        <v>2334</v>
      </c>
      <c r="B1357">
        <v>11145.611360000001</v>
      </c>
      <c r="C1357">
        <v>11145.611360000001</v>
      </c>
      <c r="D1357">
        <v>0</v>
      </c>
      <c r="E1357">
        <v>2567.1492280000002</v>
      </c>
      <c r="F1357" s="1">
        <v>6.23</v>
      </c>
      <c r="H1357">
        <v>2334</v>
      </c>
      <c r="I1357" t="str">
        <f t="shared" si="42"/>
        <v>YES</v>
      </c>
      <c r="J1357" t="s">
        <v>1363</v>
      </c>
      <c r="K1357">
        <v>565998.91243400006</v>
      </c>
      <c r="L1357">
        <f t="shared" si="43"/>
        <v>0</v>
      </c>
    </row>
    <row r="1358" spans="1:12" x14ac:dyDescent="0.25">
      <c r="A1358">
        <v>2335</v>
      </c>
      <c r="B1358">
        <v>3452.0228729999999</v>
      </c>
      <c r="C1358">
        <v>3452.0228729999999</v>
      </c>
      <c r="D1358">
        <v>0</v>
      </c>
      <c r="E1358">
        <v>981.7953215</v>
      </c>
      <c r="F1358" s="1">
        <v>0.73799999999999999</v>
      </c>
      <c r="H1358">
        <v>2335</v>
      </c>
      <c r="I1358" t="str">
        <f t="shared" si="42"/>
        <v>YES</v>
      </c>
      <c r="J1358" t="s">
        <v>1364</v>
      </c>
      <c r="K1358">
        <v>630378.84810199996</v>
      </c>
      <c r="L1358">
        <f t="shared" si="43"/>
        <v>0</v>
      </c>
    </row>
    <row r="1359" spans="1:12" x14ac:dyDescent="0.25">
      <c r="A1359">
        <v>2336</v>
      </c>
      <c r="B1359">
        <v>3767.181701</v>
      </c>
      <c r="C1359">
        <v>3767.181701</v>
      </c>
      <c r="D1359">
        <v>0</v>
      </c>
      <c r="E1359">
        <v>2411.4958499999998</v>
      </c>
      <c r="F1359" s="1">
        <v>1.98</v>
      </c>
      <c r="H1359">
        <v>2336</v>
      </c>
      <c r="I1359" t="str">
        <f t="shared" si="42"/>
        <v>YES</v>
      </c>
      <c r="J1359" t="s">
        <v>1365</v>
      </c>
      <c r="K1359">
        <v>617023.90314499999</v>
      </c>
      <c r="L1359">
        <f t="shared" si="43"/>
        <v>0</v>
      </c>
    </row>
    <row r="1360" spans="1:12" x14ac:dyDescent="0.25">
      <c r="A1360">
        <v>2337</v>
      </c>
      <c r="B1360">
        <v>7899.7820030000003</v>
      </c>
      <c r="C1360">
        <v>7899.7820030000003</v>
      </c>
      <c r="D1360">
        <v>0</v>
      </c>
      <c r="E1360">
        <v>1.12062E-4</v>
      </c>
      <c r="F1360" s="1">
        <v>1.9299999999999999E-7</v>
      </c>
      <c r="H1360">
        <v>2337</v>
      </c>
      <c r="I1360" t="str">
        <f t="shared" si="42"/>
        <v>YES</v>
      </c>
      <c r="J1360" t="s">
        <v>1366</v>
      </c>
      <c r="K1360">
        <v>3558829.1583599998</v>
      </c>
      <c r="L1360">
        <f t="shared" si="43"/>
        <v>0</v>
      </c>
    </row>
    <row r="1361" spans="1:12" x14ac:dyDescent="0.25">
      <c r="A1361">
        <v>2338</v>
      </c>
      <c r="B1361">
        <v>6265.1807429999999</v>
      </c>
      <c r="C1361">
        <v>6265.1807429999999</v>
      </c>
      <c r="D1361">
        <v>0</v>
      </c>
      <c r="E1361">
        <v>2169.2465569999999</v>
      </c>
      <c r="F1361" s="1">
        <v>2.96</v>
      </c>
      <c r="H1361">
        <v>2338</v>
      </c>
      <c r="I1361" t="str">
        <f t="shared" si="42"/>
        <v>YES</v>
      </c>
      <c r="J1361" t="s">
        <v>1367</v>
      </c>
      <c r="K1361">
        <v>682060.65348700003</v>
      </c>
      <c r="L1361">
        <f t="shared" si="43"/>
        <v>0</v>
      </c>
    </row>
    <row r="1362" spans="1:12" x14ac:dyDescent="0.25">
      <c r="A1362">
        <v>2339</v>
      </c>
      <c r="B1362">
        <v>6537.4166070000001</v>
      </c>
      <c r="C1362">
        <v>6537.4166070000001</v>
      </c>
      <c r="D1362">
        <v>0</v>
      </c>
      <c r="E1362">
        <v>3210.0027180000002</v>
      </c>
      <c r="F1362" s="1">
        <v>4.57</v>
      </c>
      <c r="H1362">
        <v>2339</v>
      </c>
      <c r="I1362" t="str">
        <f t="shared" si="42"/>
        <v>YES</v>
      </c>
      <c r="J1362" t="s">
        <v>1368</v>
      </c>
      <c r="K1362">
        <v>719112.90362800006</v>
      </c>
      <c r="L1362">
        <f t="shared" si="43"/>
        <v>0</v>
      </c>
    </row>
    <row r="1363" spans="1:12" x14ac:dyDescent="0.25">
      <c r="A1363">
        <v>2340</v>
      </c>
      <c r="B1363">
        <v>27250.369579999999</v>
      </c>
      <c r="C1363">
        <v>27250.369579999999</v>
      </c>
      <c r="D1363">
        <v>0</v>
      </c>
      <c r="E1363">
        <v>0.60796582399999999</v>
      </c>
      <c r="F1363" s="1">
        <v>3.6099999999999999E-3</v>
      </c>
      <c r="H1363">
        <v>2340</v>
      </c>
      <c r="I1363" t="str">
        <f t="shared" si="42"/>
        <v>YES</v>
      </c>
      <c r="J1363" t="s">
        <v>1369</v>
      </c>
      <c r="K1363">
        <v>291072.42890699999</v>
      </c>
      <c r="L1363">
        <f t="shared" si="43"/>
        <v>0</v>
      </c>
    </row>
    <row r="1364" spans="1:12" x14ac:dyDescent="0.25">
      <c r="A1364">
        <v>2341</v>
      </c>
      <c r="B1364">
        <v>14961.305120000001</v>
      </c>
      <c r="C1364">
        <v>14961.305120000001</v>
      </c>
      <c r="D1364">
        <v>0</v>
      </c>
      <c r="E1364">
        <v>493.89770279999999</v>
      </c>
      <c r="F1364" s="1">
        <v>1.61</v>
      </c>
      <c r="H1364">
        <v>2341</v>
      </c>
      <c r="I1364" t="str">
        <f t="shared" si="42"/>
        <v>YES</v>
      </c>
      <c r="J1364" t="s">
        <v>1370</v>
      </c>
      <c r="K1364">
        <v>915866.72851699998</v>
      </c>
      <c r="L1364">
        <f t="shared" si="43"/>
        <v>0</v>
      </c>
    </row>
    <row r="1365" spans="1:12" x14ac:dyDescent="0.25">
      <c r="A1365">
        <v>2342</v>
      </c>
      <c r="B1365">
        <v>22344.64819</v>
      </c>
      <c r="C1365">
        <v>22344.64819</v>
      </c>
      <c r="D1365">
        <v>0</v>
      </c>
      <c r="E1365">
        <v>1.12062E-4</v>
      </c>
      <c r="F1365" s="1">
        <v>5.4499999999999997E-7</v>
      </c>
      <c r="H1365">
        <v>2342</v>
      </c>
      <c r="I1365" t="str">
        <f t="shared" si="42"/>
        <v>YES</v>
      </c>
      <c r="J1365" t="s">
        <v>1371</v>
      </c>
      <c r="K1365">
        <v>1009939.39376</v>
      </c>
      <c r="L1365">
        <f t="shared" si="43"/>
        <v>0</v>
      </c>
    </row>
    <row r="1366" spans="1:12" x14ac:dyDescent="0.25">
      <c r="A1366">
        <v>2343</v>
      </c>
      <c r="B1366">
        <v>12411.87067</v>
      </c>
      <c r="C1366">
        <v>12411.87067</v>
      </c>
      <c r="D1366">
        <v>0</v>
      </c>
      <c r="E1366">
        <v>6.8044345049999997</v>
      </c>
      <c r="F1366" s="1">
        <v>1.84E-2</v>
      </c>
      <c r="H1366">
        <v>2343</v>
      </c>
      <c r="I1366" t="str">
        <f t="shared" si="42"/>
        <v>YES</v>
      </c>
      <c r="J1366" t="s">
        <v>1372</v>
      </c>
      <c r="K1366">
        <v>996815.53466400004</v>
      </c>
      <c r="L1366">
        <f t="shared" si="43"/>
        <v>0</v>
      </c>
    </row>
    <row r="1367" spans="1:12" x14ac:dyDescent="0.25">
      <c r="A1367">
        <v>2346</v>
      </c>
      <c r="B1367">
        <v>13885.611290000001</v>
      </c>
      <c r="C1367">
        <v>13885.611290000001</v>
      </c>
      <c r="D1367">
        <v>0</v>
      </c>
      <c r="E1367">
        <v>3961.2032909999998</v>
      </c>
      <c r="F1367" s="1">
        <v>12</v>
      </c>
      <c r="H1367">
        <v>2346</v>
      </c>
      <c r="I1367" t="str">
        <f t="shared" si="42"/>
        <v>YES</v>
      </c>
      <c r="J1367" t="s">
        <v>1373</v>
      </c>
      <c r="K1367">
        <v>1117107.0676800001</v>
      </c>
      <c r="L1367">
        <f t="shared" si="43"/>
        <v>0</v>
      </c>
    </row>
    <row r="1368" spans="1:12" x14ac:dyDescent="0.25">
      <c r="A1368">
        <v>2347</v>
      </c>
      <c r="B1368">
        <v>17775.656650000001</v>
      </c>
      <c r="C1368">
        <v>17775.656650000001</v>
      </c>
      <c r="D1368">
        <v>0</v>
      </c>
      <c r="E1368">
        <v>3716.4545109999999</v>
      </c>
      <c r="F1368" s="1">
        <v>14.4</v>
      </c>
      <c r="H1368">
        <v>2347</v>
      </c>
      <c r="I1368" t="str">
        <f t="shared" si="42"/>
        <v>YES</v>
      </c>
      <c r="J1368" t="s">
        <v>1374</v>
      </c>
      <c r="K1368">
        <v>750767.82912000001</v>
      </c>
      <c r="L1368">
        <f t="shared" si="43"/>
        <v>0</v>
      </c>
    </row>
    <row r="1369" spans="1:12" x14ac:dyDescent="0.25">
      <c r="A1369">
        <v>2348</v>
      </c>
      <c r="B1369">
        <v>13394.079</v>
      </c>
      <c r="C1369">
        <v>13394.079</v>
      </c>
      <c r="D1369">
        <v>0</v>
      </c>
      <c r="E1369">
        <v>5420.1160259999997</v>
      </c>
      <c r="F1369" s="1">
        <v>15.8</v>
      </c>
      <c r="H1369">
        <v>2348</v>
      </c>
      <c r="I1369" t="str">
        <f t="shared" si="42"/>
        <v>YES</v>
      </c>
      <c r="J1369" t="s">
        <v>1375</v>
      </c>
      <c r="K1369">
        <v>1166854.3804200001</v>
      </c>
      <c r="L1369">
        <f t="shared" si="43"/>
        <v>0</v>
      </c>
    </row>
    <row r="1370" spans="1:12" x14ac:dyDescent="0.25">
      <c r="A1370">
        <v>2349</v>
      </c>
      <c r="B1370">
        <v>4139.7488810000004</v>
      </c>
      <c r="C1370">
        <v>4139.7488810000004</v>
      </c>
      <c r="D1370">
        <v>0</v>
      </c>
      <c r="E1370">
        <v>1316.7352350000001</v>
      </c>
      <c r="F1370" s="1">
        <v>1.19</v>
      </c>
      <c r="H1370">
        <v>2349</v>
      </c>
      <c r="I1370" t="str">
        <f t="shared" si="42"/>
        <v>YES</v>
      </c>
      <c r="J1370" t="s">
        <v>1376</v>
      </c>
      <c r="K1370">
        <v>1038303.86176</v>
      </c>
      <c r="L1370">
        <f t="shared" si="43"/>
        <v>0</v>
      </c>
    </row>
    <row r="1371" spans="1:12" x14ac:dyDescent="0.25">
      <c r="A1371">
        <v>2350</v>
      </c>
      <c r="B1371">
        <v>14784.036749999999</v>
      </c>
      <c r="C1371">
        <v>14784.036749999999</v>
      </c>
      <c r="D1371">
        <v>0</v>
      </c>
      <c r="E1371">
        <v>4062.2640500000002</v>
      </c>
      <c r="F1371" s="1">
        <v>13.1</v>
      </c>
      <c r="H1371">
        <v>2350</v>
      </c>
      <c r="I1371" t="str">
        <f t="shared" si="42"/>
        <v>YES</v>
      </c>
      <c r="J1371" t="s">
        <v>1377</v>
      </c>
      <c r="K1371">
        <v>983824.17681099998</v>
      </c>
      <c r="L1371">
        <f t="shared" si="43"/>
        <v>0</v>
      </c>
    </row>
    <row r="1372" spans="1:12" x14ac:dyDescent="0.25">
      <c r="A1372">
        <v>2351</v>
      </c>
      <c r="B1372">
        <v>7654.1416479999998</v>
      </c>
      <c r="C1372">
        <v>7654.1416479999998</v>
      </c>
      <c r="D1372">
        <v>0</v>
      </c>
      <c r="E1372">
        <v>2659.4651399999998</v>
      </c>
      <c r="F1372" s="1">
        <v>4.43</v>
      </c>
      <c r="H1372">
        <v>2351</v>
      </c>
      <c r="I1372" t="str">
        <f t="shared" si="42"/>
        <v>YES</v>
      </c>
      <c r="J1372" t="s">
        <v>1378</v>
      </c>
      <c r="K1372">
        <v>534976.95911399997</v>
      </c>
      <c r="L1372">
        <f t="shared" si="43"/>
        <v>0</v>
      </c>
    </row>
    <row r="1373" spans="1:12" x14ac:dyDescent="0.25">
      <c r="A1373">
        <v>2352</v>
      </c>
      <c r="B1373">
        <v>4123.7917260000004</v>
      </c>
      <c r="C1373">
        <v>4123.7917260000004</v>
      </c>
      <c r="D1373">
        <v>0</v>
      </c>
      <c r="E1373">
        <v>3440.30807</v>
      </c>
      <c r="F1373" s="1">
        <v>3.09</v>
      </c>
      <c r="H1373">
        <v>2352</v>
      </c>
      <c r="I1373" t="str">
        <f t="shared" si="42"/>
        <v>YES</v>
      </c>
      <c r="J1373" t="s">
        <v>1379</v>
      </c>
      <c r="K1373">
        <v>735725.7156</v>
      </c>
      <c r="L1373">
        <f t="shared" si="43"/>
        <v>0</v>
      </c>
    </row>
    <row r="1374" spans="1:12" x14ac:dyDescent="0.25">
      <c r="A1374">
        <v>2353</v>
      </c>
      <c r="B1374">
        <v>12615.325940000001</v>
      </c>
      <c r="C1374">
        <v>12615.325940000001</v>
      </c>
      <c r="D1374">
        <v>0</v>
      </c>
      <c r="E1374">
        <v>2716.453677</v>
      </c>
      <c r="F1374" s="1">
        <v>7.46</v>
      </c>
      <c r="H1374">
        <v>2353</v>
      </c>
      <c r="I1374" t="str">
        <f t="shared" si="42"/>
        <v>YES</v>
      </c>
      <c r="J1374" t="s">
        <v>1380</v>
      </c>
      <c r="K1374">
        <v>642381.85435899999</v>
      </c>
      <c r="L1374">
        <f t="shared" si="43"/>
        <v>0</v>
      </c>
    </row>
    <row r="1375" spans="1:12" x14ac:dyDescent="0.25">
      <c r="A1375">
        <v>2356</v>
      </c>
      <c r="B1375">
        <v>22582.803189999999</v>
      </c>
      <c r="C1375">
        <v>22582.803189999999</v>
      </c>
      <c r="D1375">
        <v>0</v>
      </c>
      <c r="E1375">
        <v>1916.1458560000001</v>
      </c>
      <c r="F1375" s="1">
        <v>9.42</v>
      </c>
      <c r="H1375">
        <v>2356</v>
      </c>
      <c r="I1375" t="str">
        <f t="shared" si="42"/>
        <v>YES</v>
      </c>
      <c r="J1375" t="s">
        <v>1381</v>
      </c>
      <c r="K1375">
        <v>510890.50843500003</v>
      </c>
      <c r="L1375">
        <f t="shared" si="43"/>
        <v>0</v>
      </c>
    </row>
    <row r="1376" spans="1:12" x14ac:dyDescent="0.25">
      <c r="A1376">
        <v>2357</v>
      </c>
      <c r="B1376">
        <v>16213.58365</v>
      </c>
      <c r="C1376">
        <v>16213.58365</v>
      </c>
      <c r="D1376">
        <v>0</v>
      </c>
      <c r="E1376">
        <v>10.99703407</v>
      </c>
      <c r="F1376" s="1">
        <v>3.8800000000000001E-2</v>
      </c>
      <c r="H1376">
        <v>2357</v>
      </c>
      <c r="I1376" t="str">
        <f t="shared" si="42"/>
        <v>YES</v>
      </c>
      <c r="J1376" t="s">
        <v>1382</v>
      </c>
      <c r="K1376">
        <v>867764.43948499998</v>
      </c>
      <c r="L1376">
        <f t="shared" si="43"/>
        <v>0</v>
      </c>
    </row>
    <row r="1377" spans="1:12" x14ac:dyDescent="0.25">
      <c r="A1377">
        <v>2358</v>
      </c>
      <c r="B1377">
        <v>23431.708040000001</v>
      </c>
      <c r="C1377">
        <v>23431.708040000001</v>
      </c>
      <c r="D1377">
        <v>0</v>
      </c>
      <c r="E1377">
        <v>2435.1878299999998</v>
      </c>
      <c r="F1377" s="1">
        <v>12.4</v>
      </c>
      <c r="H1377">
        <v>2358</v>
      </c>
      <c r="I1377" t="str">
        <f t="shared" si="42"/>
        <v>YES</v>
      </c>
      <c r="J1377" t="s">
        <v>1383</v>
      </c>
      <c r="K1377">
        <v>679432.90864599997</v>
      </c>
      <c r="L1377">
        <f t="shared" si="43"/>
        <v>0</v>
      </c>
    </row>
    <row r="1378" spans="1:12" x14ac:dyDescent="0.25">
      <c r="A1378">
        <v>2359</v>
      </c>
      <c r="B1378">
        <v>8852.6879860000008</v>
      </c>
      <c r="C1378">
        <v>8852.6879860000008</v>
      </c>
      <c r="D1378">
        <v>0</v>
      </c>
      <c r="E1378">
        <v>1042.0800879999999</v>
      </c>
      <c r="F1378" s="1">
        <v>2.0099999999999998</v>
      </c>
      <c r="H1378">
        <v>2359</v>
      </c>
      <c r="I1378" t="str">
        <f t="shared" si="42"/>
        <v>YES</v>
      </c>
      <c r="J1378" t="s">
        <v>1384</v>
      </c>
      <c r="K1378">
        <v>280374.14071399998</v>
      </c>
      <c r="L1378">
        <f t="shared" si="43"/>
        <v>0</v>
      </c>
    </row>
    <row r="1379" spans="1:12" x14ac:dyDescent="0.25">
      <c r="A1379">
        <v>2360</v>
      </c>
      <c r="B1379">
        <v>11801.09022</v>
      </c>
      <c r="C1379">
        <v>11801.09022</v>
      </c>
      <c r="D1379">
        <v>0</v>
      </c>
      <c r="E1379">
        <v>3384.261344</v>
      </c>
      <c r="F1379" s="1">
        <v>8.6999999999999993</v>
      </c>
      <c r="H1379">
        <v>2360</v>
      </c>
      <c r="I1379" t="str">
        <f t="shared" si="42"/>
        <v>YES</v>
      </c>
      <c r="J1379" t="s">
        <v>1385</v>
      </c>
      <c r="K1379">
        <v>979861.54094500002</v>
      </c>
      <c r="L1379">
        <f t="shared" si="43"/>
        <v>0</v>
      </c>
    </row>
    <row r="1380" spans="1:12" x14ac:dyDescent="0.25">
      <c r="A1380">
        <v>2361</v>
      </c>
      <c r="B1380">
        <v>9911.862556</v>
      </c>
      <c r="C1380">
        <v>9911.862556</v>
      </c>
      <c r="D1380">
        <v>0</v>
      </c>
      <c r="E1380">
        <v>3271.6780140000001</v>
      </c>
      <c r="F1380" s="1">
        <v>7.06</v>
      </c>
      <c r="H1380">
        <v>2361</v>
      </c>
      <c r="I1380" t="str">
        <f t="shared" si="42"/>
        <v>YES</v>
      </c>
      <c r="J1380" t="s">
        <v>1386</v>
      </c>
      <c r="K1380">
        <v>1013271.48857</v>
      </c>
      <c r="L1380">
        <f t="shared" si="43"/>
        <v>0</v>
      </c>
    </row>
    <row r="1381" spans="1:12" x14ac:dyDescent="0.25">
      <c r="A1381">
        <v>2362</v>
      </c>
      <c r="B1381">
        <v>3371.1959590000001</v>
      </c>
      <c r="C1381">
        <v>3371.1959590000001</v>
      </c>
      <c r="D1381">
        <v>0</v>
      </c>
      <c r="E1381">
        <v>2397.6292880000001</v>
      </c>
      <c r="F1381" s="1">
        <v>1.76</v>
      </c>
      <c r="H1381">
        <v>2362</v>
      </c>
      <c r="I1381" t="str">
        <f t="shared" si="42"/>
        <v>YES</v>
      </c>
      <c r="J1381" t="s">
        <v>1387</v>
      </c>
      <c r="K1381">
        <v>684755.19737399998</v>
      </c>
      <c r="L1381">
        <f t="shared" si="43"/>
        <v>0</v>
      </c>
    </row>
    <row r="1382" spans="1:12" x14ac:dyDescent="0.25">
      <c r="A1382">
        <v>2363</v>
      </c>
      <c r="B1382">
        <v>2216.0178190000001</v>
      </c>
      <c r="C1382">
        <v>2216.0178190000001</v>
      </c>
      <c r="D1382">
        <v>0</v>
      </c>
      <c r="E1382">
        <v>2647.0205449999999</v>
      </c>
      <c r="F1382" s="1">
        <v>1.28</v>
      </c>
      <c r="H1382">
        <v>2363</v>
      </c>
      <c r="I1382" t="str">
        <f t="shared" si="42"/>
        <v>YES</v>
      </c>
      <c r="J1382" t="s">
        <v>1388</v>
      </c>
      <c r="K1382">
        <v>1480801.62353</v>
      </c>
      <c r="L1382">
        <f t="shared" si="43"/>
        <v>0</v>
      </c>
    </row>
    <row r="1383" spans="1:12" x14ac:dyDescent="0.25">
      <c r="A1383">
        <v>2366</v>
      </c>
      <c r="B1383">
        <v>1115.674223</v>
      </c>
      <c r="C1383">
        <v>1115.674223</v>
      </c>
      <c r="D1383">
        <v>0</v>
      </c>
      <c r="E1383">
        <v>2363.3969390000002</v>
      </c>
      <c r="F1383" s="1">
        <v>0.57399999999999995</v>
      </c>
      <c r="H1383">
        <v>2366</v>
      </c>
      <c r="I1383" t="str">
        <f t="shared" si="42"/>
        <v>YES</v>
      </c>
      <c r="J1383" t="s">
        <v>1389</v>
      </c>
      <c r="K1383">
        <v>2164399.2543600001</v>
      </c>
      <c r="L1383">
        <f t="shared" si="43"/>
        <v>0</v>
      </c>
    </row>
    <row r="1384" spans="1:12" x14ac:dyDescent="0.25">
      <c r="A1384">
        <v>2367</v>
      </c>
      <c r="B1384">
        <v>18519.346300000001</v>
      </c>
      <c r="C1384">
        <v>18519.346300000001</v>
      </c>
      <c r="D1384">
        <v>0</v>
      </c>
      <c r="E1384">
        <v>1709.5537220000001</v>
      </c>
      <c r="F1384" s="1">
        <v>6.89</v>
      </c>
      <c r="H1384">
        <v>2367</v>
      </c>
      <c r="I1384" t="str">
        <f t="shared" si="42"/>
        <v>YES</v>
      </c>
      <c r="J1384" t="s">
        <v>1390</v>
      </c>
      <c r="K1384">
        <v>1435967.04788</v>
      </c>
      <c r="L1384">
        <f t="shared" si="43"/>
        <v>0</v>
      </c>
    </row>
    <row r="1385" spans="1:12" x14ac:dyDescent="0.25">
      <c r="A1385">
        <v>2368</v>
      </c>
      <c r="B1385">
        <v>16406.450580000001</v>
      </c>
      <c r="C1385">
        <v>16406.450580000001</v>
      </c>
      <c r="D1385">
        <v>0</v>
      </c>
      <c r="E1385">
        <v>2530.0637390000002</v>
      </c>
      <c r="F1385" s="1">
        <v>9.0399999999999991</v>
      </c>
      <c r="H1385">
        <v>2368</v>
      </c>
      <c r="I1385" t="str">
        <f t="shared" si="42"/>
        <v>YES</v>
      </c>
      <c r="J1385" t="s">
        <v>1391</v>
      </c>
      <c r="K1385">
        <v>738348.96580300003</v>
      </c>
      <c r="L1385">
        <f t="shared" si="43"/>
        <v>0</v>
      </c>
    </row>
    <row r="1386" spans="1:12" x14ac:dyDescent="0.25">
      <c r="A1386">
        <v>2369</v>
      </c>
      <c r="B1386">
        <v>1244.7628239999999</v>
      </c>
      <c r="C1386">
        <v>1244.7628239999999</v>
      </c>
      <c r="D1386">
        <v>0</v>
      </c>
      <c r="E1386">
        <v>4.4069186839999999</v>
      </c>
      <c r="F1386" s="1">
        <v>1.1900000000000001E-3</v>
      </c>
      <c r="H1386">
        <v>2369</v>
      </c>
      <c r="I1386" t="str">
        <f t="shared" si="42"/>
        <v>YES</v>
      </c>
      <c r="J1386" t="s">
        <v>1392</v>
      </c>
      <c r="K1386">
        <v>1984587.9730199999</v>
      </c>
      <c r="L1386">
        <f t="shared" si="43"/>
        <v>0</v>
      </c>
    </row>
    <row r="1387" spans="1:12" x14ac:dyDescent="0.25">
      <c r="A1387">
        <v>2370</v>
      </c>
      <c r="B1387">
        <v>6324.0092180000001</v>
      </c>
      <c r="C1387">
        <v>6324.0092180000001</v>
      </c>
      <c r="D1387">
        <v>0</v>
      </c>
      <c r="E1387">
        <v>3068.8639469999998</v>
      </c>
      <c r="F1387" s="1">
        <v>4.2300000000000004</v>
      </c>
      <c r="H1387">
        <v>2370</v>
      </c>
      <c r="I1387" t="str">
        <f t="shared" si="42"/>
        <v>YES</v>
      </c>
      <c r="J1387" t="s">
        <v>1393</v>
      </c>
      <c r="K1387">
        <v>767568.47802899999</v>
      </c>
      <c r="L1387">
        <f t="shared" si="43"/>
        <v>0</v>
      </c>
    </row>
    <row r="1388" spans="1:12" x14ac:dyDescent="0.25">
      <c r="A1388">
        <v>2371</v>
      </c>
      <c r="B1388">
        <v>4208.6502449999998</v>
      </c>
      <c r="C1388">
        <v>4208.6502449999998</v>
      </c>
      <c r="D1388">
        <v>0</v>
      </c>
      <c r="E1388">
        <v>1066.6052420000001</v>
      </c>
      <c r="F1388" s="1">
        <v>0.97699999999999998</v>
      </c>
      <c r="H1388">
        <v>2371</v>
      </c>
      <c r="I1388" t="str">
        <f t="shared" si="42"/>
        <v>YES</v>
      </c>
      <c r="J1388" t="s">
        <v>1394</v>
      </c>
      <c r="K1388">
        <v>293005.7414</v>
      </c>
      <c r="L1388">
        <f t="shared" si="43"/>
        <v>0</v>
      </c>
    </row>
    <row r="1389" spans="1:12" x14ac:dyDescent="0.25">
      <c r="A1389">
        <v>2372</v>
      </c>
      <c r="B1389">
        <v>4378.4598100000003</v>
      </c>
      <c r="C1389">
        <v>4378.4598100000003</v>
      </c>
      <c r="D1389">
        <v>0</v>
      </c>
      <c r="E1389">
        <v>2872.9366879999998</v>
      </c>
      <c r="F1389" s="1">
        <v>2.74</v>
      </c>
      <c r="H1389">
        <v>2372</v>
      </c>
      <c r="I1389" t="str">
        <f t="shared" si="42"/>
        <v>YES</v>
      </c>
      <c r="J1389" t="s">
        <v>1395</v>
      </c>
      <c r="K1389">
        <v>908283.31916900002</v>
      </c>
      <c r="L1389">
        <f t="shared" si="43"/>
        <v>0</v>
      </c>
    </row>
    <row r="1390" spans="1:12" x14ac:dyDescent="0.25">
      <c r="A1390">
        <v>2373</v>
      </c>
      <c r="B1390">
        <v>4914.3570799999998</v>
      </c>
      <c r="C1390">
        <v>4914.3570799999998</v>
      </c>
      <c r="D1390">
        <v>0</v>
      </c>
      <c r="E1390">
        <v>2258.5262349999998</v>
      </c>
      <c r="F1390" s="1">
        <v>2.42</v>
      </c>
      <c r="H1390">
        <v>2373</v>
      </c>
      <c r="I1390" t="str">
        <f t="shared" si="42"/>
        <v>YES</v>
      </c>
      <c r="J1390" t="s">
        <v>1396</v>
      </c>
      <c r="K1390">
        <v>930462.50892399997</v>
      </c>
      <c r="L1390">
        <f t="shared" si="43"/>
        <v>0</v>
      </c>
    </row>
    <row r="1391" spans="1:12" x14ac:dyDescent="0.25">
      <c r="A1391">
        <v>2374</v>
      </c>
      <c r="B1391">
        <v>4175.5759980000003</v>
      </c>
      <c r="C1391">
        <v>4175.5759980000003</v>
      </c>
      <c r="D1391">
        <v>0</v>
      </c>
      <c r="E1391">
        <v>2218.1789920000001</v>
      </c>
      <c r="F1391" s="1">
        <v>2.02</v>
      </c>
      <c r="H1391">
        <v>2374</v>
      </c>
      <c r="I1391" t="str">
        <f t="shared" si="42"/>
        <v>YES</v>
      </c>
      <c r="J1391" t="s">
        <v>1397</v>
      </c>
      <c r="K1391">
        <v>562586.76037799998</v>
      </c>
      <c r="L1391">
        <f t="shared" si="43"/>
        <v>0</v>
      </c>
    </row>
    <row r="1392" spans="1:12" x14ac:dyDescent="0.25">
      <c r="A1392">
        <v>2375</v>
      </c>
      <c r="B1392">
        <v>1759.969004</v>
      </c>
      <c r="C1392">
        <v>1759.969004</v>
      </c>
      <c r="D1392">
        <v>0</v>
      </c>
      <c r="E1392">
        <v>3324.4206450000001</v>
      </c>
      <c r="F1392" s="1">
        <v>1.27</v>
      </c>
      <c r="H1392">
        <v>2375</v>
      </c>
      <c r="I1392" t="str">
        <f t="shared" si="42"/>
        <v>YES</v>
      </c>
      <c r="J1392" t="s">
        <v>1398</v>
      </c>
      <c r="K1392">
        <v>1177559.8192799999</v>
      </c>
      <c r="L1392">
        <f t="shared" si="43"/>
        <v>0</v>
      </c>
    </row>
    <row r="1393" spans="1:12" x14ac:dyDescent="0.25">
      <c r="A1393">
        <v>2376</v>
      </c>
      <c r="B1393">
        <v>4510.5886170000003</v>
      </c>
      <c r="C1393">
        <v>4510.5886170000003</v>
      </c>
      <c r="D1393">
        <v>0</v>
      </c>
      <c r="E1393">
        <v>2011.3054999999999</v>
      </c>
      <c r="F1393" s="1">
        <v>1.98</v>
      </c>
      <c r="H1393">
        <v>2376</v>
      </c>
      <c r="I1393" t="str">
        <f t="shared" si="42"/>
        <v>YES</v>
      </c>
      <c r="J1393" t="s">
        <v>1399</v>
      </c>
      <c r="K1393">
        <v>584805.33842399996</v>
      </c>
      <c r="L1393">
        <f t="shared" si="43"/>
        <v>0</v>
      </c>
    </row>
    <row r="1394" spans="1:12" x14ac:dyDescent="0.25">
      <c r="A1394">
        <v>2377</v>
      </c>
      <c r="B1394">
        <v>604.89431279999997</v>
      </c>
      <c r="C1394">
        <v>604.89431279999997</v>
      </c>
      <c r="D1394">
        <v>0</v>
      </c>
      <c r="E1394">
        <v>3229.7414319999998</v>
      </c>
      <c r="F1394" s="1">
        <v>0.42499999999999999</v>
      </c>
      <c r="H1394">
        <v>2377</v>
      </c>
      <c r="I1394" t="str">
        <f t="shared" si="42"/>
        <v>YES</v>
      </c>
      <c r="J1394" t="s">
        <v>1400</v>
      </c>
      <c r="K1394">
        <v>2817525.68432</v>
      </c>
      <c r="L1394">
        <f t="shared" si="43"/>
        <v>0</v>
      </c>
    </row>
    <row r="1395" spans="1:12" x14ac:dyDescent="0.25">
      <c r="A1395">
        <v>2380</v>
      </c>
      <c r="B1395">
        <v>22392.29967</v>
      </c>
      <c r="C1395">
        <v>22392.29967</v>
      </c>
      <c r="D1395">
        <v>0</v>
      </c>
      <c r="E1395">
        <v>2547.7011809999999</v>
      </c>
      <c r="F1395" s="1">
        <v>12.4</v>
      </c>
      <c r="H1395">
        <v>2380</v>
      </c>
      <c r="I1395" t="str">
        <f t="shared" si="42"/>
        <v>YES</v>
      </c>
      <c r="J1395" t="s">
        <v>1401</v>
      </c>
      <c r="K1395">
        <v>689692.91522199998</v>
      </c>
      <c r="L1395">
        <f t="shared" si="43"/>
        <v>0</v>
      </c>
    </row>
    <row r="1396" spans="1:12" x14ac:dyDescent="0.25">
      <c r="A1396">
        <v>2381</v>
      </c>
      <c r="B1396">
        <v>20785.131089999999</v>
      </c>
      <c r="C1396">
        <v>20785.131089999999</v>
      </c>
      <c r="D1396">
        <v>0</v>
      </c>
      <c r="E1396">
        <v>4634.2098660000001</v>
      </c>
      <c r="F1396" s="1">
        <v>21</v>
      </c>
      <c r="H1396">
        <v>2381</v>
      </c>
      <c r="I1396" t="str">
        <f t="shared" si="42"/>
        <v>YES</v>
      </c>
      <c r="J1396" t="s">
        <v>1402</v>
      </c>
      <c r="K1396">
        <v>1289739.56219</v>
      </c>
      <c r="L1396">
        <f t="shared" si="43"/>
        <v>0</v>
      </c>
    </row>
    <row r="1397" spans="1:12" x14ac:dyDescent="0.25">
      <c r="A1397">
        <v>2382</v>
      </c>
      <c r="B1397">
        <v>9717.0596619999997</v>
      </c>
      <c r="C1397">
        <v>9717.0596619999997</v>
      </c>
      <c r="D1397">
        <v>0</v>
      </c>
      <c r="E1397">
        <v>1705.1386070000001</v>
      </c>
      <c r="F1397" s="1">
        <v>3.61</v>
      </c>
      <c r="H1397">
        <v>2382</v>
      </c>
      <c r="I1397" t="str">
        <f t="shared" si="42"/>
        <v>YES</v>
      </c>
      <c r="J1397" t="s">
        <v>1403</v>
      </c>
      <c r="K1397">
        <v>431730.485208</v>
      </c>
      <c r="L1397">
        <f t="shared" si="43"/>
        <v>0</v>
      </c>
    </row>
    <row r="1398" spans="1:12" x14ac:dyDescent="0.25">
      <c r="A1398">
        <v>2383</v>
      </c>
      <c r="B1398">
        <v>17820.928059999998</v>
      </c>
      <c r="C1398">
        <v>17820.928059999998</v>
      </c>
      <c r="D1398">
        <v>0</v>
      </c>
      <c r="E1398">
        <v>1967.3136589999999</v>
      </c>
      <c r="F1398" s="1">
        <v>7.63</v>
      </c>
      <c r="H1398">
        <v>2383</v>
      </c>
      <c r="I1398" t="str">
        <f t="shared" si="42"/>
        <v>YES</v>
      </c>
      <c r="J1398" t="s">
        <v>1404</v>
      </c>
      <c r="K1398">
        <v>592185.68357800005</v>
      </c>
      <c r="L1398">
        <f t="shared" si="43"/>
        <v>0</v>
      </c>
    </row>
    <row r="1399" spans="1:12" x14ac:dyDescent="0.25">
      <c r="A1399">
        <v>2384</v>
      </c>
      <c r="B1399">
        <v>10252.66646</v>
      </c>
      <c r="C1399">
        <v>10252.66646</v>
      </c>
      <c r="D1399">
        <v>0</v>
      </c>
      <c r="E1399">
        <v>1051.702311</v>
      </c>
      <c r="F1399" s="1">
        <v>2.35</v>
      </c>
      <c r="H1399">
        <v>2384</v>
      </c>
      <c r="I1399" t="str">
        <f t="shared" si="42"/>
        <v>YES</v>
      </c>
      <c r="J1399" t="s">
        <v>1405</v>
      </c>
      <c r="K1399">
        <v>342254.23596100003</v>
      </c>
      <c r="L1399">
        <f t="shared" si="43"/>
        <v>0</v>
      </c>
    </row>
    <row r="1400" spans="1:12" x14ac:dyDescent="0.25">
      <c r="A1400">
        <v>2385</v>
      </c>
      <c r="B1400">
        <v>6327.0735480000003</v>
      </c>
      <c r="C1400">
        <v>6327.0735480000003</v>
      </c>
      <c r="D1400">
        <v>0</v>
      </c>
      <c r="E1400">
        <v>1209.4175540000001</v>
      </c>
      <c r="F1400" s="1">
        <v>1.67</v>
      </c>
      <c r="H1400">
        <v>2385</v>
      </c>
      <c r="I1400" t="str">
        <f t="shared" si="42"/>
        <v>YES</v>
      </c>
      <c r="J1400" t="s">
        <v>1406</v>
      </c>
      <c r="K1400">
        <v>329150.80127300002</v>
      </c>
      <c r="L1400">
        <f t="shared" si="43"/>
        <v>0</v>
      </c>
    </row>
    <row r="1401" spans="1:12" x14ac:dyDescent="0.25">
      <c r="A1401">
        <v>2386</v>
      </c>
      <c r="B1401">
        <v>4390.7856879999999</v>
      </c>
      <c r="C1401">
        <v>4390.7856879999999</v>
      </c>
      <c r="D1401">
        <v>0</v>
      </c>
      <c r="E1401">
        <v>1257.839948</v>
      </c>
      <c r="F1401" s="1">
        <v>1.2</v>
      </c>
      <c r="H1401">
        <v>2386</v>
      </c>
      <c r="I1401" t="str">
        <f t="shared" si="42"/>
        <v>YES</v>
      </c>
      <c r="J1401" t="s">
        <v>1407</v>
      </c>
      <c r="K1401">
        <v>340632.96732300002</v>
      </c>
      <c r="L1401">
        <f t="shared" si="43"/>
        <v>0</v>
      </c>
    </row>
    <row r="1402" spans="1:12" x14ac:dyDescent="0.25">
      <c r="A1402">
        <v>2387</v>
      </c>
      <c r="B1402">
        <v>3156.6983559999999</v>
      </c>
      <c r="C1402">
        <v>3156.6983559999999</v>
      </c>
      <c r="D1402">
        <v>0</v>
      </c>
      <c r="E1402">
        <v>2458.6768740000002</v>
      </c>
      <c r="F1402" s="1">
        <v>1.69</v>
      </c>
      <c r="H1402">
        <v>2387</v>
      </c>
      <c r="I1402" t="str">
        <f t="shared" si="42"/>
        <v>YES</v>
      </c>
      <c r="J1402" t="s">
        <v>1408</v>
      </c>
      <c r="K1402">
        <v>1068554.40237</v>
      </c>
      <c r="L1402">
        <f t="shared" si="43"/>
        <v>0</v>
      </c>
    </row>
    <row r="1403" spans="1:12" x14ac:dyDescent="0.25">
      <c r="A1403">
        <v>2390</v>
      </c>
      <c r="B1403">
        <v>16895.13941</v>
      </c>
      <c r="C1403">
        <v>16895.13941</v>
      </c>
      <c r="D1403">
        <v>0</v>
      </c>
      <c r="E1403">
        <v>3235.1552299999998</v>
      </c>
      <c r="F1403" s="1">
        <v>11.9</v>
      </c>
      <c r="H1403">
        <v>2390</v>
      </c>
      <c r="I1403" t="str">
        <f t="shared" si="42"/>
        <v>YES</v>
      </c>
      <c r="J1403" t="s">
        <v>1409</v>
      </c>
      <c r="K1403">
        <v>1193787.1776999999</v>
      </c>
      <c r="L1403">
        <f t="shared" si="43"/>
        <v>0</v>
      </c>
    </row>
    <row r="1404" spans="1:12" x14ac:dyDescent="0.25">
      <c r="A1404">
        <v>2391</v>
      </c>
      <c r="B1404">
        <v>13581.542890000001</v>
      </c>
      <c r="C1404">
        <v>13581.542890000001</v>
      </c>
      <c r="D1404">
        <v>0</v>
      </c>
      <c r="E1404">
        <v>1288.9378939999999</v>
      </c>
      <c r="F1404" s="1">
        <v>3.81</v>
      </c>
      <c r="H1404">
        <v>2391</v>
      </c>
      <c r="I1404" t="str">
        <f t="shared" si="42"/>
        <v>YES</v>
      </c>
      <c r="J1404" t="s">
        <v>1410</v>
      </c>
      <c r="K1404">
        <v>386306.06743200001</v>
      </c>
      <c r="L1404">
        <f t="shared" si="43"/>
        <v>0</v>
      </c>
    </row>
    <row r="1405" spans="1:12" x14ac:dyDescent="0.25">
      <c r="A1405">
        <v>2392</v>
      </c>
      <c r="B1405">
        <v>11071.88795</v>
      </c>
      <c r="C1405">
        <v>11071.88795</v>
      </c>
      <c r="D1405">
        <v>0</v>
      </c>
      <c r="E1405">
        <v>1944.8812089999999</v>
      </c>
      <c r="F1405" s="1">
        <v>4.6900000000000004</v>
      </c>
      <c r="H1405">
        <v>2392</v>
      </c>
      <c r="I1405" t="str">
        <f t="shared" si="42"/>
        <v>YES</v>
      </c>
      <c r="J1405" t="s">
        <v>1411</v>
      </c>
      <c r="K1405">
        <v>458867.41733500001</v>
      </c>
      <c r="L1405">
        <f t="shared" si="43"/>
        <v>0</v>
      </c>
    </row>
    <row r="1406" spans="1:12" x14ac:dyDescent="0.25">
      <c r="A1406">
        <v>2393</v>
      </c>
      <c r="B1406">
        <v>14572.43764</v>
      </c>
      <c r="C1406">
        <v>14572.43764</v>
      </c>
      <c r="D1406">
        <v>0</v>
      </c>
      <c r="E1406">
        <v>3482.9800180000002</v>
      </c>
      <c r="F1406" s="1">
        <v>11.1</v>
      </c>
      <c r="H1406">
        <v>2393</v>
      </c>
      <c r="I1406" t="str">
        <f t="shared" si="42"/>
        <v>YES</v>
      </c>
      <c r="J1406" t="s">
        <v>1412</v>
      </c>
      <c r="K1406">
        <v>770061.03931999998</v>
      </c>
      <c r="L1406">
        <f t="shared" si="43"/>
        <v>0</v>
      </c>
    </row>
    <row r="1407" spans="1:12" x14ac:dyDescent="0.25">
      <c r="A1407">
        <v>2394</v>
      </c>
      <c r="B1407">
        <v>17133.586050000002</v>
      </c>
      <c r="C1407">
        <v>17133.586050000002</v>
      </c>
      <c r="D1407">
        <v>0</v>
      </c>
      <c r="E1407">
        <v>2728.7509279999999</v>
      </c>
      <c r="F1407" s="1">
        <v>10.199999999999999</v>
      </c>
      <c r="H1407">
        <v>2394</v>
      </c>
      <c r="I1407" t="str">
        <f t="shared" si="42"/>
        <v>YES</v>
      </c>
      <c r="J1407" t="s">
        <v>1413</v>
      </c>
      <c r="K1407">
        <v>703153.08798399998</v>
      </c>
      <c r="L1407">
        <f t="shared" si="43"/>
        <v>0</v>
      </c>
    </row>
    <row r="1408" spans="1:12" x14ac:dyDescent="0.25">
      <c r="A1408">
        <v>2395</v>
      </c>
      <c r="B1408">
        <v>19540.90425</v>
      </c>
      <c r="C1408">
        <v>19540.90425</v>
      </c>
      <c r="D1408">
        <v>0</v>
      </c>
      <c r="E1408">
        <v>2507.2011339999999</v>
      </c>
      <c r="F1408" s="1">
        <v>10.7</v>
      </c>
      <c r="H1408">
        <v>2395</v>
      </c>
      <c r="I1408" t="str">
        <f t="shared" ref="I1408:I1471" si="44">IF(A1408=H1408,"YES","NO")</f>
        <v>YES</v>
      </c>
      <c r="J1408" t="s">
        <v>1414</v>
      </c>
      <c r="K1408">
        <v>498950.08933500003</v>
      </c>
      <c r="L1408">
        <f t="shared" si="43"/>
        <v>0</v>
      </c>
    </row>
    <row r="1409" spans="1:12" x14ac:dyDescent="0.25">
      <c r="A1409">
        <v>2396</v>
      </c>
      <c r="B1409">
        <v>12160.458060000001</v>
      </c>
      <c r="C1409">
        <v>12160.458060000001</v>
      </c>
      <c r="D1409">
        <v>0</v>
      </c>
      <c r="E1409">
        <v>1485.145696</v>
      </c>
      <c r="F1409" s="1">
        <v>3.93</v>
      </c>
      <c r="H1409">
        <v>2396</v>
      </c>
      <c r="I1409" t="str">
        <f t="shared" si="44"/>
        <v>YES</v>
      </c>
      <c r="J1409" t="s">
        <v>1415</v>
      </c>
      <c r="K1409">
        <v>332746.21559099999</v>
      </c>
      <c r="L1409">
        <f t="shared" si="43"/>
        <v>0</v>
      </c>
    </row>
    <row r="1410" spans="1:12" x14ac:dyDescent="0.25">
      <c r="A1410">
        <v>2397</v>
      </c>
      <c r="B1410">
        <v>20905.069630000002</v>
      </c>
      <c r="C1410">
        <v>20905.069630000002</v>
      </c>
      <c r="D1410">
        <v>0</v>
      </c>
      <c r="E1410">
        <v>1842.7284729999999</v>
      </c>
      <c r="F1410" s="1">
        <v>8.39</v>
      </c>
      <c r="H1410">
        <v>2397</v>
      </c>
      <c r="I1410" t="str">
        <f t="shared" si="44"/>
        <v>YES</v>
      </c>
      <c r="J1410" t="s">
        <v>1416</v>
      </c>
      <c r="K1410">
        <v>373558.77402100002</v>
      </c>
      <c r="L1410">
        <f t="shared" si="43"/>
        <v>0</v>
      </c>
    </row>
    <row r="1411" spans="1:12" x14ac:dyDescent="0.25">
      <c r="A1411">
        <v>2398</v>
      </c>
      <c r="B1411">
        <v>14482.525739999999</v>
      </c>
      <c r="C1411">
        <v>14482.525739999999</v>
      </c>
      <c r="D1411">
        <v>0</v>
      </c>
      <c r="E1411">
        <v>3095.2194169999998</v>
      </c>
      <c r="F1411" s="1">
        <v>9.76</v>
      </c>
      <c r="H1411">
        <v>2398</v>
      </c>
      <c r="I1411" t="str">
        <f t="shared" si="44"/>
        <v>YES</v>
      </c>
      <c r="J1411" t="s">
        <v>1417</v>
      </c>
      <c r="K1411">
        <v>831785.59781299997</v>
      </c>
      <c r="L1411">
        <f t="shared" ref="L1411:L1474" si="45">EXP(0.2052)*K1411*(D1411/C1411)</f>
        <v>0</v>
      </c>
    </row>
    <row r="1412" spans="1:12" x14ac:dyDescent="0.25">
      <c r="A1412">
        <v>2500</v>
      </c>
      <c r="B1412">
        <v>11074.015429999999</v>
      </c>
      <c r="C1412">
        <v>11074.015429999999</v>
      </c>
      <c r="D1412">
        <v>0</v>
      </c>
      <c r="E1412">
        <v>1492.7201729999999</v>
      </c>
      <c r="F1412" s="1">
        <v>3.6</v>
      </c>
      <c r="H1412">
        <v>2500</v>
      </c>
      <c r="I1412" t="str">
        <f t="shared" si="44"/>
        <v>YES</v>
      </c>
      <c r="J1412" t="s">
        <v>1418</v>
      </c>
      <c r="K1412">
        <v>543606.81160100002</v>
      </c>
      <c r="L1412">
        <f t="shared" si="45"/>
        <v>0</v>
      </c>
    </row>
    <row r="1413" spans="1:12" x14ac:dyDescent="0.25">
      <c r="A1413">
        <v>2501</v>
      </c>
      <c r="B1413">
        <v>11118.917719999999</v>
      </c>
      <c r="C1413">
        <v>11118.917719999999</v>
      </c>
      <c r="D1413">
        <v>0</v>
      </c>
      <c r="E1413">
        <v>5120.7552990000004</v>
      </c>
      <c r="F1413" s="1">
        <v>12.4</v>
      </c>
      <c r="H1413">
        <v>2501</v>
      </c>
      <c r="I1413" t="str">
        <f t="shared" si="44"/>
        <v>YES</v>
      </c>
      <c r="J1413" t="s">
        <v>1419</v>
      </c>
      <c r="K1413">
        <v>1235967.7848199999</v>
      </c>
      <c r="L1413">
        <f t="shared" si="45"/>
        <v>0</v>
      </c>
    </row>
    <row r="1414" spans="1:12" x14ac:dyDescent="0.25">
      <c r="A1414">
        <v>2502</v>
      </c>
      <c r="B1414">
        <v>9532.2052949999998</v>
      </c>
      <c r="C1414">
        <v>9532.2052949999998</v>
      </c>
      <c r="D1414">
        <v>0</v>
      </c>
      <c r="E1414">
        <v>3291.587935</v>
      </c>
      <c r="F1414" s="1">
        <v>6.83</v>
      </c>
      <c r="H1414">
        <v>2502</v>
      </c>
      <c r="I1414" t="str">
        <f t="shared" si="44"/>
        <v>YES</v>
      </c>
      <c r="J1414" t="s">
        <v>1420</v>
      </c>
      <c r="K1414">
        <v>589939.05039800005</v>
      </c>
      <c r="L1414">
        <f t="shared" si="45"/>
        <v>0</v>
      </c>
    </row>
    <row r="1415" spans="1:12" x14ac:dyDescent="0.25">
      <c r="A1415">
        <v>2503</v>
      </c>
      <c r="B1415">
        <v>16529.338250000001</v>
      </c>
      <c r="C1415">
        <v>16529.338250000001</v>
      </c>
      <c r="D1415">
        <v>0</v>
      </c>
      <c r="E1415">
        <v>844.40743110000005</v>
      </c>
      <c r="F1415" s="1">
        <v>3.04</v>
      </c>
      <c r="H1415">
        <v>2503</v>
      </c>
      <c r="I1415" t="str">
        <f t="shared" si="44"/>
        <v>YES</v>
      </c>
      <c r="J1415" t="s">
        <v>1421</v>
      </c>
      <c r="K1415">
        <v>171134.860021</v>
      </c>
      <c r="L1415">
        <f t="shared" si="45"/>
        <v>0</v>
      </c>
    </row>
    <row r="1416" spans="1:12" x14ac:dyDescent="0.25">
      <c r="A1416">
        <v>2504</v>
      </c>
      <c r="B1416">
        <v>18553.46716</v>
      </c>
      <c r="C1416">
        <v>18553.46716</v>
      </c>
      <c r="D1416">
        <v>0</v>
      </c>
      <c r="E1416">
        <v>1077.7717869999999</v>
      </c>
      <c r="F1416" s="1">
        <v>4.3499999999999996</v>
      </c>
      <c r="H1416">
        <v>2504</v>
      </c>
      <c r="I1416" t="str">
        <f t="shared" si="44"/>
        <v>YES</v>
      </c>
      <c r="J1416" t="s">
        <v>1422</v>
      </c>
      <c r="K1416">
        <v>300477.48160200001</v>
      </c>
      <c r="L1416">
        <f t="shared" si="45"/>
        <v>0</v>
      </c>
    </row>
    <row r="1417" spans="1:12" x14ac:dyDescent="0.25">
      <c r="A1417">
        <v>2505</v>
      </c>
      <c r="B1417">
        <v>13364.962869999999</v>
      </c>
      <c r="C1417">
        <v>13364.962869999999</v>
      </c>
      <c r="D1417">
        <v>0</v>
      </c>
      <c r="E1417">
        <v>3047.2182699999998</v>
      </c>
      <c r="F1417" s="1">
        <v>8.8699999999999992</v>
      </c>
      <c r="H1417">
        <v>2505</v>
      </c>
      <c r="I1417" t="str">
        <f t="shared" si="44"/>
        <v>YES</v>
      </c>
      <c r="J1417" t="s">
        <v>1423</v>
      </c>
      <c r="K1417">
        <v>631868.26698199997</v>
      </c>
      <c r="L1417">
        <f t="shared" si="45"/>
        <v>0</v>
      </c>
    </row>
    <row r="1418" spans="1:12" x14ac:dyDescent="0.25">
      <c r="A1418">
        <v>2506</v>
      </c>
      <c r="B1418">
        <v>15267.037410000001</v>
      </c>
      <c r="C1418">
        <v>15267.037410000001</v>
      </c>
      <c r="D1418">
        <v>0</v>
      </c>
      <c r="E1418">
        <v>3373.9587019999999</v>
      </c>
      <c r="F1418" s="1">
        <v>11.2</v>
      </c>
      <c r="H1418">
        <v>2506</v>
      </c>
      <c r="I1418" t="str">
        <f t="shared" si="44"/>
        <v>YES</v>
      </c>
      <c r="J1418" t="s">
        <v>1424</v>
      </c>
      <c r="K1418">
        <v>706840.25034100004</v>
      </c>
      <c r="L1418">
        <f t="shared" si="45"/>
        <v>0</v>
      </c>
    </row>
    <row r="1419" spans="1:12" x14ac:dyDescent="0.25">
      <c r="A1419">
        <v>2507</v>
      </c>
      <c r="B1419">
        <v>13541.996090000001</v>
      </c>
      <c r="C1419">
        <v>13541.996090000001</v>
      </c>
      <c r="D1419">
        <v>0</v>
      </c>
      <c r="E1419">
        <v>1658.580402</v>
      </c>
      <c r="F1419" s="1">
        <v>4.8899999999999997</v>
      </c>
      <c r="H1419">
        <v>2507</v>
      </c>
      <c r="I1419" t="str">
        <f t="shared" si="44"/>
        <v>YES</v>
      </c>
      <c r="J1419" t="s">
        <v>1425</v>
      </c>
      <c r="K1419">
        <v>325642.31844900001</v>
      </c>
      <c r="L1419">
        <f t="shared" si="45"/>
        <v>0</v>
      </c>
    </row>
    <row r="1420" spans="1:12" x14ac:dyDescent="0.25">
      <c r="A1420">
        <v>2508</v>
      </c>
      <c r="B1420">
        <v>14692.40328</v>
      </c>
      <c r="C1420">
        <v>14692.40328</v>
      </c>
      <c r="D1420">
        <v>0</v>
      </c>
      <c r="E1420">
        <v>2001.9654760000001</v>
      </c>
      <c r="F1420" s="1">
        <v>6.4</v>
      </c>
      <c r="H1420">
        <v>2508</v>
      </c>
      <c r="I1420" t="str">
        <f t="shared" si="44"/>
        <v>YES</v>
      </c>
      <c r="J1420" t="s">
        <v>1426</v>
      </c>
      <c r="K1420">
        <v>321373.68684699998</v>
      </c>
      <c r="L1420">
        <f t="shared" si="45"/>
        <v>0</v>
      </c>
    </row>
    <row r="1421" spans="1:12" x14ac:dyDescent="0.25">
      <c r="A1421">
        <v>2509</v>
      </c>
      <c r="B1421">
        <v>16167.14156</v>
      </c>
      <c r="C1421">
        <v>16167.14156</v>
      </c>
      <c r="D1421">
        <v>0</v>
      </c>
      <c r="E1421">
        <v>3955.9954710000002</v>
      </c>
      <c r="F1421" s="1">
        <v>13.9</v>
      </c>
      <c r="H1421">
        <v>2509</v>
      </c>
      <c r="I1421" t="str">
        <f t="shared" si="44"/>
        <v>YES</v>
      </c>
      <c r="J1421" t="s">
        <v>1427</v>
      </c>
      <c r="K1421">
        <v>418074.45026399998</v>
      </c>
      <c r="L1421">
        <f t="shared" si="45"/>
        <v>0</v>
      </c>
    </row>
    <row r="1422" spans="1:12" x14ac:dyDescent="0.25">
      <c r="A1422">
        <v>2510</v>
      </c>
      <c r="B1422">
        <v>9906.1836390000008</v>
      </c>
      <c r="C1422">
        <v>9906.1836390000008</v>
      </c>
      <c r="D1422">
        <v>0</v>
      </c>
      <c r="E1422">
        <v>3574.005615</v>
      </c>
      <c r="F1422" s="1">
        <v>7.71</v>
      </c>
      <c r="H1422">
        <v>2510</v>
      </c>
      <c r="I1422" t="str">
        <f t="shared" si="44"/>
        <v>YES</v>
      </c>
      <c r="J1422" t="s">
        <v>1428</v>
      </c>
      <c r="K1422">
        <v>574747.25297100004</v>
      </c>
      <c r="L1422">
        <f t="shared" si="45"/>
        <v>0</v>
      </c>
    </row>
    <row r="1423" spans="1:12" x14ac:dyDescent="0.25">
      <c r="A1423">
        <v>2511</v>
      </c>
      <c r="B1423">
        <v>50772.231910000002</v>
      </c>
      <c r="C1423">
        <v>50772.231910000002</v>
      </c>
      <c r="D1423">
        <v>0</v>
      </c>
      <c r="E1423">
        <v>2415.9856009999999</v>
      </c>
      <c r="F1423" s="1">
        <v>26.7</v>
      </c>
      <c r="H1423">
        <v>2511</v>
      </c>
      <c r="I1423" t="str">
        <f t="shared" si="44"/>
        <v>YES</v>
      </c>
      <c r="J1423" t="s">
        <v>1429</v>
      </c>
      <c r="K1423">
        <v>213334.93174599999</v>
      </c>
      <c r="L1423">
        <f t="shared" si="45"/>
        <v>0</v>
      </c>
    </row>
    <row r="1424" spans="1:12" x14ac:dyDescent="0.25">
      <c r="A1424">
        <v>2512</v>
      </c>
      <c r="B1424">
        <v>9873.8320629999998</v>
      </c>
      <c r="C1424">
        <v>9873.8320629999998</v>
      </c>
      <c r="D1424">
        <v>0</v>
      </c>
      <c r="E1424">
        <v>2876.0788120000002</v>
      </c>
      <c r="F1424" s="1">
        <v>6.18</v>
      </c>
      <c r="H1424">
        <v>2512</v>
      </c>
      <c r="I1424" t="str">
        <f t="shared" si="44"/>
        <v>YES</v>
      </c>
      <c r="J1424" t="s">
        <v>1430</v>
      </c>
      <c r="K1424">
        <v>358676.31361100002</v>
      </c>
      <c r="L1424">
        <f t="shared" si="45"/>
        <v>0</v>
      </c>
    </row>
    <row r="1425" spans="1:12" x14ac:dyDescent="0.25">
      <c r="A1425">
        <v>2513</v>
      </c>
      <c r="B1425">
        <v>10561.35641</v>
      </c>
      <c r="C1425">
        <v>10561.35641</v>
      </c>
      <c r="D1425">
        <v>0</v>
      </c>
      <c r="E1425">
        <v>2806.9515550000001</v>
      </c>
      <c r="F1425" s="1">
        <v>6.45</v>
      </c>
      <c r="H1425">
        <v>2513</v>
      </c>
      <c r="I1425" t="str">
        <f t="shared" si="44"/>
        <v>YES</v>
      </c>
      <c r="J1425" t="s">
        <v>1431</v>
      </c>
      <c r="K1425">
        <v>426547.40379800001</v>
      </c>
      <c r="L1425">
        <f t="shared" si="45"/>
        <v>0</v>
      </c>
    </row>
    <row r="1426" spans="1:12" x14ac:dyDescent="0.25">
      <c r="A1426">
        <v>2514</v>
      </c>
      <c r="B1426">
        <v>15752.58568</v>
      </c>
      <c r="C1426">
        <v>15752.58568</v>
      </c>
      <c r="D1426">
        <v>0</v>
      </c>
      <c r="E1426">
        <v>2246.0228259999999</v>
      </c>
      <c r="F1426" s="1">
        <v>7.7</v>
      </c>
      <c r="H1426">
        <v>2514</v>
      </c>
      <c r="I1426" t="str">
        <f t="shared" si="44"/>
        <v>YES</v>
      </c>
      <c r="J1426" t="s">
        <v>1432</v>
      </c>
      <c r="K1426">
        <v>311357.492371</v>
      </c>
      <c r="L1426">
        <f t="shared" si="45"/>
        <v>0</v>
      </c>
    </row>
    <row r="1427" spans="1:12" x14ac:dyDescent="0.25">
      <c r="A1427">
        <v>2515</v>
      </c>
      <c r="B1427">
        <v>24805.87732</v>
      </c>
      <c r="C1427">
        <v>24805.87732</v>
      </c>
      <c r="D1427">
        <v>0</v>
      </c>
      <c r="E1427">
        <v>1303.9888759999999</v>
      </c>
      <c r="F1427" s="1">
        <v>7.04</v>
      </c>
      <c r="H1427">
        <v>2515</v>
      </c>
      <c r="I1427" t="str">
        <f t="shared" si="44"/>
        <v>YES</v>
      </c>
      <c r="J1427" t="s">
        <v>1433</v>
      </c>
      <c r="K1427">
        <v>155671.94469500001</v>
      </c>
      <c r="L1427">
        <f t="shared" si="45"/>
        <v>0</v>
      </c>
    </row>
    <row r="1428" spans="1:12" x14ac:dyDescent="0.25">
      <c r="A1428">
        <v>2516</v>
      </c>
      <c r="B1428">
        <v>9856.5276240000003</v>
      </c>
      <c r="C1428">
        <v>9856.5276240000003</v>
      </c>
      <c r="D1428">
        <v>0</v>
      </c>
      <c r="E1428">
        <v>2416.970507</v>
      </c>
      <c r="F1428" s="1">
        <v>5.19</v>
      </c>
      <c r="H1428">
        <v>2516</v>
      </c>
      <c r="I1428" t="str">
        <f t="shared" si="44"/>
        <v>YES</v>
      </c>
      <c r="J1428" t="s">
        <v>1434</v>
      </c>
      <c r="K1428">
        <v>560726.98034000001</v>
      </c>
      <c r="L1428">
        <f t="shared" si="45"/>
        <v>0</v>
      </c>
    </row>
    <row r="1429" spans="1:12" x14ac:dyDescent="0.25">
      <c r="A1429">
        <v>2517</v>
      </c>
      <c r="B1429">
        <v>14202.024649999999</v>
      </c>
      <c r="C1429">
        <v>14202.024649999999</v>
      </c>
      <c r="D1429">
        <v>0</v>
      </c>
      <c r="E1429">
        <v>2562.962313</v>
      </c>
      <c r="F1429" s="1">
        <v>7.93</v>
      </c>
      <c r="H1429">
        <v>2517</v>
      </c>
      <c r="I1429" t="str">
        <f t="shared" si="44"/>
        <v>YES</v>
      </c>
      <c r="J1429" t="s">
        <v>1435</v>
      </c>
      <c r="K1429">
        <v>408437.64408100001</v>
      </c>
      <c r="L1429">
        <f t="shared" si="45"/>
        <v>0</v>
      </c>
    </row>
    <row r="1430" spans="1:12" x14ac:dyDescent="0.25">
      <c r="A1430">
        <v>2518</v>
      </c>
      <c r="B1430">
        <v>10786.761140000001</v>
      </c>
      <c r="C1430">
        <v>10786.761140000001</v>
      </c>
      <c r="D1430">
        <v>0</v>
      </c>
      <c r="E1430">
        <v>1924.115546</v>
      </c>
      <c r="F1430" s="1">
        <v>4.5199999999999996</v>
      </c>
      <c r="H1430">
        <v>2518</v>
      </c>
      <c r="I1430" t="str">
        <f t="shared" si="44"/>
        <v>YES</v>
      </c>
      <c r="J1430" t="s">
        <v>1436</v>
      </c>
      <c r="K1430">
        <v>500065.11555300001</v>
      </c>
      <c r="L1430">
        <f t="shared" si="45"/>
        <v>0</v>
      </c>
    </row>
    <row r="1431" spans="1:12" x14ac:dyDescent="0.25">
      <c r="A1431">
        <v>2519</v>
      </c>
      <c r="B1431">
        <v>4747.8221869999998</v>
      </c>
      <c r="C1431">
        <v>4747.8221869999998</v>
      </c>
      <c r="D1431">
        <v>0</v>
      </c>
      <c r="E1431">
        <v>2640.4304609999999</v>
      </c>
      <c r="F1431" s="1">
        <v>2.73</v>
      </c>
      <c r="H1431">
        <v>2519</v>
      </c>
      <c r="I1431" t="str">
        <f t="shared" si="44"/>
        <v>YES</v>
      </c>
      <c r="J1431" t="s">
        <v>1437</v>
      </c>
      <c r="K1431">
        <v>507979.50012300001</v>
      </c>
      <c r="L1431">
        <f t="shared" si="45"/>
        <v>0</v>
      </c>
    </row>
    <row r="1432" spans="1:12" x14ac:dyDescent="0.25">
      <c r="A1432">
        <v>2520</v>
      </c>
      <c r="B1432">
        <v>16739.973959999999</v>
      </c>
      <c r="C1432">
        <v>16739.973959999999</v>
      </c>
      <c r="D1432">
        <v>0</v>
      </c>
      <c r="E1432">
        <v>3822.8576459999999</v>
      </c>
      <c r="F1432" s="1">
        <v>13.9</v>
      </c>
      <c r="H1432">
        <v>2520</v>
      </c>
      <c r="I1432" t="str">
        <f t="shared" si="44"/>
        <v>YES</v>
      </c>
      <c r="J1432" t="s">
        <v>1438</v>
      </c>
      <c r="K1432">
        <v>1008412.68258</v>
      </c>
      <c r="L1432">
        <f t="shared" si="45"/>
        <v>0</v>
      </c>
    </row>
    <row r="1433" spans="1:12" x14ac:dyDescent="0.25">
      <c r="A1433">
        <v>2521</v>
      </c>
      <c r="B1433">
        <v>3194.5337279999999</v>
      </c>
      <c r="C1433">
        <v>3194.5337279999999</v>
      </c>
      <c r="D1433">
        <v>0</v>
      </c>
      <c r="E1433">
        <v>2964.6230289999999</v>
      </c>
      <c r="F1433" s="1">
        <v>2.06</v>
      </c>
      <c r="H1433">
        <v>2521</v>
      </c>
      <c r="I1433" t="str">
        <f t="shared" si="44"/>
        <v>YES</v>
      </c>
      <c r="J1433" t="s">
        <v>1439</v>
      </c>
      <c r="K1433">
        <v>982372.37833500002</v>
      </c>
      <c r="L1433">
        <f t="shared" si="45"/>
        <v>0</v>
      </c>
    </row>
    <row r="1434" spans="1:12" x14ac:dyDescent="0.25">
      <c r="A1434">
        <v>2522</v>
      </c>
      <c r="B1434">
        <v>8756.6526049999993</v>
      </c>
      <c r="C1434">
        <v>8756.6526049999993</v>
      </c>
      <c r="D1434">
        <v>0</v>
      </c>
      <c r="E1434">
        <v>2398.3736589999999</v>
      </c>
      <c r="F1434" s="1">
        <v>4.57</v>
      </c>
      <c r="H1434">
        <v>2522</v>
      </c>
      <c r="I1434" t="str">
        <f t="shared" si="44"/>
        <v>YES</v>
      </c>
      <c r="J1434" t="s">
        <v>1440</v>
      </c>
      <c r="K1434">
        <v>677305.80835499999</v>
      </c>
      <c r="L1434">
        <f t="shared" si="45"/>
        <v>0</v>
      </c>
    </row>
    <row r="1435" spans="1:12" x14ac:dyDescent="0.25">
      <c r="A1435">
        <v>2523</v>
      </c>
      <c r="B1435">
        <v>3312.7667799999999</v>
      </c>
      <c r="C1435">
        <v>3312.7667799999999</v>
      </c>
      <c r="D1435">
        <v>0</v>
      </c>
      <c r="E1435">
        <v>1101.9750550000001</v>
      </c>
      <c r="F1435" s="1">
        <v>0.79500000000000004</v>
      </c>
      <c r="H1435">
        <v>2523</v>
      </c>
      <c r="I1435" t="str">
        <f t="shared" si="44"/>
        <v>YES</v>
      </c>
      <c r="J1435" t="s">
        <v>1441</v>
      </c>
      <c r="K1435">
        <v>634605.47588100005</v>
      </c>
      <c r="L1435">
        <f t="shared" si="45"/>
        <v>0</v>
      </c>
    </row>
    <row r="1436" spans="1:12" x14ac:dyDescent="0.25">
      <c r="A1436">
        <v>2524</v>
      </c>
      <c r="B1436">
        <v>5384.4245110000002</v>
      </c>
      <c r="C1436">
        <v>5384.4245110000002</v>
      </c>
      <c r="D1436">
        <v>0</v>
      </c>
      <c r="E1436">
        <v>3181.830242</v>
      </c>
      <c r="F1436" s="1">
        <v>3.73</v>
      </c>
      <c r="H1436">
        <v>2524</v>
      </c>
      <c r="I1436" t="str">
        <f t="shared" si="44"/>
        <v>YES</v>
      </c>
      <c r="J1436" t="s">
        <v>1442</v>
      </c>
      <c r="K1436">
        <v>1131434.48459</v>
      </c>
      <c r="L1436">
        <f t="shared" si="45"/>
        <v>0</v>
      </c>
    </row>
    <row r="1437" spans="1:12" x14ac:dyDescent="0.25">
      <c r="A1437">
        <v>2525</v>
      </c>
      <c r="B1437">
        <v>7148.1812389999996</v>
      </c>
      <c r="C1437">
        <v>7148.1812389999996</v>
      </c>
      <c r="D1437">
        <v>0</v>
      </c>
      <c r="E1437">
        <v>2574.2776720000002</v>
      </c>
      <c r="F1437" s="1">
        <v>4.01</v>
      </c>
      <c r="H1437">
        <v>2525</v>
      </c>
      <c r="I1437" t="str">
        <f t="shared" si="44"/>
        <v>YES</v>
      </c>
      <c r="J1437" t="s">
        <v>1443</v>
      </c>
      <c r="K1437">
        <v>638096.43254199997</v>
      </c>
      <c r="L1437">
        <f t="shared" si="45"/>
        <v>0</v>
      </c>
    </row>
    <row r="1438" spans="1:12" x14ac:dyDescent="0.25">
      <c r="A1438">
        <v>2526</v>
      </c>
      <c r="B1438">
        <v>11670.531660000001</v>
      </c>
      <c r="C1438">
        <v>11670.531660000001</v>
      </c>
      <c r="D1438">
        <v>0</v>
      </c>
      <c r="E1438">
        <v>3458.0595979999998</v>
      </c>
      <c r="F1438" s="1">
        <v>8.7899999999999991</v>
      </c>
      <c r="H1438">
        <v>2526</v>
      </c>
      <c r="I1438" t="str">
        <f t="shared" si="44"/>
        <v>YES</v>
      </c>
      <c r="J1438" t="s">
        <v>1444</v>
      </c>
      <c r="K1438">
        <v>992073.14560499997</v>
      </c>
      <c r="L1438">
        <f t="shared" si="45"/>
        <v>0</v>
      </c>
    </row>
    <row r="1439" spans="1:12" x14ac:dyDescent="0.25">
      <c r="A1439">
        <v>2527</v>
      </c>
      <c r="B1439">
        <v>7305.4470940000001</v>
      </c>
      <c r="C1439">
        <v>7305.4470940000001</v>
      </c>
      <c r="D1439">
        <v>0</v>
      </c>
      <c r="E1439">
        <v>2907.5725539999999</v>
      </c>
      <c r="F1439" s="1">
        <v>4.62</v>
      </c>
      <c r="H1439">
        <v>2527</v>
      </c>
      <c r="I1439" t="str">
        <f t="shared" si="44"/>
        <v>YES</v>
      </c>
      <c r="J1439" t="s">
        <v>1445</v>
      </c>
      <c r="K1439">
        <v>1221367.04501</v>
      </c>
      <c r="L1439">
        <f t="shared" si="45"/>
        <v>0</v>
      </c>
    </row>
    <row r="1440" spans="1:12" x14ac:dyDescent="0.25">
      <c r="A1440">
        <v>2528</v>
      </c>
      <c r="B1440">
        <v>7699.652188</v>
      </c>
      <c r="C1440">
        <v>7699.652188</v>
      </c>
      <c r="D1440">
        <v>0</v>
      </c>
      <c r="E1440" s="1">
        <v>8.5199999999999997E-5</v>
      </c>
      <c r="F1440" s="1">
        <v>1.43E-7</v>
      </c>
      <c r="H1440">
        <v>2528</v>
      </c>
      <c r="I1440" t="str">
        <f t="shared" si="44"/>
        <v>YES</v>
      </c>
      <c r="J1440" t="s">
        <v>1446</v>
      </c>
      <c r="K1440">
        <v>394006.55793700001</v>
      </c>
      <c r="L1440">
        <f t="shared" si="45"/>
        <v>0</v>
      </c>
    </row>
    <row r="1441" spans="1:12" x14ac:dyDescent="0.25">
      <c r="A1441">
        <v>2529</v>
      </c>
      <c r="B1441">
        <v>12855.15619</v>
      </c>
      <c r="C1441">
        <v>12855.15619</v>
      </c>
      <c r="D1441">
        <v>0</v>
      </c>
      <c r="E1441">
        <v>2334.9959880000001</v>
      </c>
      <c r="F1441" s="1">
        <v>6.54</v>
      </c>
      <c r="H1441">
        <v>2529</v>
      </c>
      <c r="I1441" t="str">
        <f t="shared" si="44"/>
        <v>YES</v>
      </c>
      <c r="J1441" t="s">
        <v>1447</v>
      </c>
      <c r="K1441">
        <v>191723.98700299999</v>
      </c>
      <c r="L1441">
        <f t="shared" si="45"/>
        <v>0</v>
      </c>
    </row>
    <row r="1442" spans="1:12" x14ac:dyDescent="0.25">
      <c r="A1442">
        <v>2530</v>
      </c>
      <c r="B1442">
        <v>10881.01316</v>
      </c>
      <c r="C1442">
        <v>10881.01316</v>
      </c>
      <c r="D1442">
        <v>0</v>
      </c>
      <c r="E1442">
        <v>1530.9614140000001</v>
      </c>
      <c r="F1442" s="1">
        <v>3.63</v>
      </c>
      <c r="H1442">
        <v>2530</v>
      </c>
      <c r="I1442" t="str">
        <f t="shared" si="44"/>
        <v>YES</v>
      </c>
      <c r="J1442" t="s">
        <v>1448</v>
      </c>
      <c r="K1442">
        <v>328814.56988000002</v>
      </c>
      <c r="L1442">
        <f t="shared" si="45"/>
        <v>0</v>
      </c>
    </row>
    <row r="1443" spans="1:12" x14ac:dyDescent="0.25">
      <c r="A1443">
        <v>2531</v>
      </c>
      <c r="B1443">
        <v>7358.5445259999997</v>
      </c>
      <c r="C1443">
        <v>7358.5445259999997</v>
      </c>
      <c r="D1443">
        <v>0</v>
      </c>
      <c r="E1443">
        <v>3411.89255</v>
      </c>
      <c r="F1443" s="1">
        <v>5.47</v>
      </c>
      <c r="H1443">
        <v>2531</v>
      </c>
      <c r="I1443" t="str">
        <f t="shared" si="44"/>
        <v>YES</v>
      </c>
      <c r="J1443" t="s">
        <v>1449</v>
      </c>
      <c r="K1443">
        <v>514307.18857699999</v>
      </c>
      <c r="L1443">
        <f t="shared" si="45"/>
        <v>0</v>
      </c>
    </row>
    <row r="1444" spans="1:12" x14ac:dyDescent="0.25">
      <c r="A1444">
        <v>2532</v>
      </c>
      <c r="B1444">
        <v>6763.2129850000001</v>
      </c>
      <c r="C1444">
        <v>6763.2129850000001</v>
      </c>
      <c r="D1444">
        <v>0</v>
      </c>
      <c r="E1444">
        <v>4237.4534439999998</v>
      </c>
      <c r="F1444" s="1">
        <v>6.24</v>
      </c>
      <c r="H1444">
        <v>2532</v>
      </c>
      <c r="I1444" t="str">
        <f t="shared" si="44"/>
        <v>YES</v>
      </c>
      <c r="J1444" t="s">
        <v>1450</v>
      </c>
      <c r="K1444">
        <v>413695.71298800001</v>
      </c>
      <c r="L1444">
        <f t="shared" si="45"/>
        <v>0</v>
      </c>
    </row>
    <row r="1445" spans="1:12" x14ac:dyDescent="0.25">
      <c r="A1445">
        <v>2533</v>
      </c>
      <c r="B1445">
        <v>23562.116129999999</v>
      </c>
      <c r="C1445">
        <v>23562.116129999999</v>
      </c>
      <c r="D1445">
        <v>0</v>
      </c>
      <c r="E1445">
        <v>3050.8484109999999</v>
      </c>
      <c r="F1445" s="1">
        <v>15.7</v>
      </c>
      <c r="H1445">
        <v>2533</v>
      </c>
      <c r="I1445" t="str">
        <f t="shared" si="44"/>
        <v>YES</v>
      </c>
      <c r="J1445" t="s">
        <v>1451</v>
      </c>
      <c r="K1445">
        <v>294002.07244600001</v>
      </c>
      <c r="L1445">
        <f t="shared" si="45"/>
        <v>0</v>
      </c>
    </row>
    <row r="1446" spans="1:12" x14ac:dyDescent="0.25">
      <c r="A1446">
        <v>2534</v>
      </c>
      <c r="B1446">
        <v>13082.04694</v>
      </c>
      <c r="C1446">
        <v>13082.04694</v>
      </c>
      <c r="D1446">
        <v>0</v>
      </c>
      <c r="E1446">
        <v>2703</v>
      </c>
      <c r="F1446" s="1">
        <v>7.7</v>
      </c>
      <c r="H1446">
        <v>2534</v>
      </c>
      <c r="I1446" t="str">
        <f t="shared" si="44"/>
        <v>YES</v>
      </c>
      <c r="J1446" t="s">
        <v>1452</v>
      </c>
      <c r="K1446">
        <v>365426.91673</v>
      </c>
      <c r="L1446">
        <f t="shared" si="45"/>
        <v>0</v>
      </c>
    </row>
    <row r="1447" spans="1:12" x14ac:dyDescent="0.25">
      <c r="A1447">
        <v>2535</v>
      </c>
      <c r="B1447">
        <v>22150.09114</v>
      </c>
      <c r="C1447">
        <v>22150.09114</v>
      </c>
      <c r="D1447">
        <v>0</v>
      </c>
      <c r="E1447">
        <v>1544.864112</v>
      </c>
      <c r="F1447" s="1">
        <v>7.45</v>
      </c>
      <c r="H1447">
        <v>2535</v>
      </c>
      <c r="I1447" t="str">
        <f t="shared" si="44"/>
        <v>YES</v>
      </c>
      <c r="J1447" t="s">
        <v>1453</v>
      </c>
      <c r="K1447">
        <v>255668.91675199999</v>
      </c>
      <c r="L1447">
        <f t="shared" si="45"/>
        <v>0</v>
      </c>
    </row>
    <row r="1448" spans="1:12" x14ac:dyDescent="0.25">
      <c r="A1448">
        <v>2536</v>
      </c>
      <c r="B1448">
        <v>10482.329970000001</v>
      </c>
      <c r="C1448">
        <v>10482.329970000001</v>
      </c>
      <c r="D1448">
        <v>0</v>
      </c>
      <c r="E1448">
        <v>2684.629574</v>
      </c>
      <c r="F1448" s="1">
        <v>6.13</v>
      </c>
      <c r="H1448">
        <v>2536</v>
      </c>
      <c r="I1448" t="str">
        <f t="shared" si="44"/>
        <v>YES</v>
      </c>
      <c r="J1448" t="s">
        <v>1454</v>
      </c>
      <c r="K1448">
        <v>446413.829853</v>
      </c>
      <c r="L1448">
        <f t="shared" si="45"/>
        <v>0</v>
      </c>
    </row>
    <row r="1449" spans="1:12" x14ac:dyDescent="0.25">
      <c r="A1449">
        <v>2537</v>
      </c>
      <c r="B1449">
        <v>10541.38975</v>
      </c>
      <c r="C1449">
        <v>10541.38975</v>
      </c>
      <c r="D1449">
        <v>0</v>
      </c>
      <c r="E1449">
        <v>2953.311909</v>
      </c>
      <c r="F1449" s="1">
        <v>6.78</v>
      </c>
      <c r="H1449">
        <v>2537</v>
      </c>
      <c r="I1449" t="str">
        <f t="shared" si="44"/>
        <v>YES</v>
      </c>
      <c r="J1449" t="s">
        <v>1455</v>
      </c>
      <c r="K1449">
        <v>259014.384586</v>
      </c>
      <c r="L1449">
        <f t="shared" si="45"/>
        <v>0</v>
      </c>
    </row>
    <row r="1450" spans="1:12" x14ac:dyDescent="0.25">
      <c r="A1450">
        <v>2538</v>
      </c>
      <c r="B1450">
        <v>17717.064149999998</v>
      </c>
      <c r="C1450">
        <v>17717.064149999998</v>
      </c>
      <c r="D1450">
        <v>0</v>
      </c>
      <c r="E1450">
        <v>2795.6809899999998</v>
      </c>
      <c r="F1450" s="1">
        <v>10.8</v>
      </c>
      <c r="H1450">
        <v>2538</v>
      </c>
      <c r="I1450" t="str">
        <f t="shared" si="44"/>
        <v>YES</v>
      </c>
      <c r="J1450" t="s">
        <v>1456</v>
      </c>
      <c r="K1450">
        <v>296557.55417199997</v>
      </c>
      <c r="L1450">
        <f t="shared" si="45"/>
        <v>0</v>
      </c>
    </row>
    <row r="1451" spans="1:12" x14ac:dyDescent="0.25">
      <c r="A1451">
        <v>2539</v>
      </c>
      <c r="B1451">
        <v>18074.597600000001</v>
      </c>
      <c r="C1451">
        <v>18074.597600000001</v>
      </c>
      <c r="D1451">
        <v>0</v>
      </c>
      <c r="E1451">
        <v>2057</v>
      </c>
      <c r="F1451" s="1">
        <v>8.1</v>
      </c>
      <c r="H1451">
        <v>2539</v>
      </c>
      <c r="I1451" t="str">
        <f t="shared" si="44"/>
        <v>YES</v>
      </c>
      <c r="J1451" t="s">
        <v>1457</v>
      </c>
      <c r="K1451">
        <v>179031.67309500001</v>
      </c>
      <c r="L1451">
        <f t="shared" si="45"/>
        <v>0</v>
      </c>
    </row>
    <row r="1452" spans="1:12" x14ac:dyDescent="0.25">
      <c r="A1452">
        <v>2540</v>
      </c>
      <c r="B1452">
        <v>8536.5006649999996</v>
      </c>
      <c r="C1452">
        <v>8536.5006649999996</v>
      </c>
      <c r="D1452">
        <v>0</v>
      </c>
      <c r="E1452">
        <v>1255</v>
      </c>
      <c r="F1452" s="1">
        <v>2.33</v>
      </c>
      <c r="H1452">
        <v>2540</v>
      </c>
      <c r="I1452" t="str">
        <f t="shared" si="44"/>
        <v>YES</v>
      </c>
      <c r="J1452" t="s">
        <v>1458</v>
      </c>
      <c r="K1452">
        <v>219817.12934700001</v>
      </c>
      <c r="L1452">
        <f t="shared" si="45"/>
        <v>0</v>
      </c>
    </row>
    <row r="1453" spans="1:12" x14ac:dyDescent="0.25">
      <c r="A1453">
        <v>2541</v>
      </c>
      <c r="B1453">
        <v>9243.7114320000001</v>
      </c>
      <c r="C1453">
        <v>9243.7114320000001</v>
      </c>
      <c r="D1453">
        <v>0</v>
      </c>
      <c r="E1453">
        <v>1588.0503409999999</v>
      </c>
      <c r="F1453" s="1">
        <v>3.2</v>
      </c>
      <c r="H1453">
        <v>2541</v>
      </c>
      <c r="I1453" t="str">
        <f t="shared" si="44"/>
        <v>YES</v>
      </c>
      <c r="J1453" t="s">
        <v>1459</v>
      </c>
      <c r="K1453">
        <v>364546.80066800001</v>
      </c>
      <c r="L1453">
        <f t="shared" si="45"/>
        <v>0</v>
      </c>
    </row>
    <row r="1454" spans="1:12" x14ac:dyDescent="0.25">
      <c r="A1454">
        <v>2542</v>
      </c>
      <c r="B1454">
        <v>13932.53816</v>
      </c>
      <c r="C1454">
        <v>13932.53816</v>
      </c>
      <c r="D1454">
        <v>0</v>
      </c>
      <c r="E1454">
        <v>2282.4215760000002</v>
      </c>
      <c r="F1454" s="1">
        <v>6.92</v>
      </c>
      <c r="H1454">
        <v>2542</v>
      </c>
      <c r="I1454" t="str">
        <f t="shared" si="44"/>
        <v>YES</v>
      </c>
      <c r="J1454" t="s">
        <v>1460</v>
      </c>
      <c r="K1454">
        <v>487783.77750299999</v>
      </c>
      <c r="L1454">
        <f t="shared" si="45"/>
        <v>0</v>
      </c>
    </row>
    <row r="1455" spans="1:12" x14ac:dyDescent="0.25">
      <c r="A1455">
        <v>2543</v>
      </c>
      <c r="B1455">
        <v>24823.393629999999</v>
      </c>
      <c r="C1455">
        <v>24823.393629999999</v>
      </c>
      <c r="D1455">
        <v>0</v>
      </c>
      <c r="E1455">
        <v>2699.0854859999999</v>
      </c>
      <c r="F1455" s="1">
        <v>14.6</v>
      </c>
      <c r="H1455">
        <v>2543</v>
      </c>
      <c r="I1455" t="str">
        <f t="shared" si="44"/>
        <v>YES</v>
      </c>
      <c r="J1455" t="s">
        <v>1461</v>
      </c>
      <c r="K1455">
        <v>326257.89140700002</v>
      </c>
      <c r="L1455">
        <f t="shared" si="45"/>
        <v>0</v>
      </c>
    </row>
    <row r="1456" spans="1:12" x14ac:dyDescent="0.25">
      <c r="A1456">
        <v>2544</v>
      </c>
      <c r="B1456">
        <v>26906.371459999998</v>
      </c>
      <c r="C1456">
        <v>26906.371459999998</v>
      </c>
      <c r="D1456">
        <v>0</v>
      </c>
      <c r="E1456">
        <v>2052.0650190000001</v>
      </c>
      <c r="F1456" s="1">
        <v>12</v>
      </c>
      <c r="H1456">
        <v>2544</v>
      </c>
      <c r="I1456" t="str">
        <f t="shared" si="44"/>
        <v>YES</v>
      </c>
      <c r="J1456" t="s">
        <v>1462</v>
      </c>
      <c r="K1456">
        <v>436663.86901600001</v>
      </c>
      <c r="L1456">
        <f t="shared" si="45"/>
        <v>0</v>
      </c>
    </row>
    <row r="1457" spans="1:12" x14ac:dyDescent="0.25">
      <c r="A1457">
        <v>2545</v>
      </c>
      <c r="B1457">
        <v>18377.9591</v>
      </c>
      <c r="C1457">
        <v>18377.9591</v>
      </c>
      <c r="D1457">
        <v>0</v>
      </c>
      <c r="E1457">
        <v>2205.7745690000002</v>
      </c>
      <c r="F1457" s="1">
        <v>8.83</v>
      </c>
      <c r="H1457">
        <v>2545</v>
      </c>
      <c r="I1457" t="str">
        <f t="shared" si="44"/>
        <v>YES</v>
      </c>
      <c r="J1457" t="s">
        <v>1463</v>
      </c>
      <c r="K1457">
        <v>540666.77530800004</v>
      </c>
      <c r="L1457">
        <f t="shared" si="45"/>
        <v>0</v>
      </c>
    </row>
    <row r="1458" spans="1:12" x14ac:dyDescent="0.25">
      <c r="A1458">
        <v>2546</v>
      </c>
      <c r="B1458">
        <v>6579.0122460000002</v>
      </c>
      <c r="C1458">
        <v>6579.0122460000002</v>
      </c>
      <c r="D1458">
        <v>0</v>
      </c>
      <c r="E1458">
        <v>3222.4008520000002</v>
      </c>
      <c r="F1458" s="1">
        <v>4.62</v>
      </c>
      <c r="H1458">
        <v>2546</v>
      </c>
      <c r="I1458" t="str">
        <f t="shared" si="44"/>
        <v>YES</v>
      </c>
      <c r="J1458" t="s">
        <v>1464</v>
      </c>
      <c r="K1458">
        <v>491675.97383500001</v>
      </c>
      <c r="L1458">
        <f t="shared" si="45"/>
        <v>0</v>
      </c>
    </row>
    <row r="1459" spans="1:12" x14ac:dyDescent="0.25">
      <c r="A1459">
        <v>2547</v>
      </c>
      <c r="B1459">
        <v>10741.594639999999</v>
      </c>
      <c r="C1459">
        <v>10741.594639999999</v>
      </c>
      <c r="D1459">
        <v>0</v>
      </c>
      <c r="E1459">
        <v>1.08559E-4</v>
      </c>
      <c r="F1459" s="1">
        <v>2.5400000000000002E-7</v>
      </c>
      <c r="H1459">
        <v>2547</v>
      </c>
      <c r="I1459" t="str">
        <f t="shared" si="44"/>
        <v>YES</v>
      </c>
      <c r="J1459" t="s">
        <v>1465</v>
      </c>
      <c r="K1459">
        <v>290622.44751199998</v>
      </c>
      <c r="L1459">
        <f t="shared" si="45"/>
        <v>0</v>
      </c>
    </row>
    <row r="1460" spans="1:12" x14ac:dyDescent="0.25">
      <c r="A1460">
        <v>2548</v>
      </c>
      <c r="B1460">
        <v>7992.0134799999996</v>
      </c>
      <c r="C1460">
        <v>7992.0134799999996</v>
      </c>
      <c r="D1460">
        <v>0</v>
      </c>
      <c r="E1460">
        <v>2275.0720740000002</v>
      </c>
      <c r="F1460" s="1">
        <v>3.96</v>
      </c>
      <c r="H1460">
        <v>2548</v>
      </c>
      <c r="I1460" t="str">
        <f t="shared" si="44"/>
        <v>YES</v>
      </c>
      <c r="J1460" t="s">
        <v>1466</v>
      </c>
      <c r="K1460">
        <v>709482.29496099998</v>
      </c>
      <c r="L1460">
        <f t="shared" si="45"/>
        <v>0</v>
      </c>
    </row>
    <row r="1461" spans="1:12" x14ac:dyDescent="0.25">
      <c r="A1461">
        <v>2549</v>
      </c>
      <c r="B1461">
        <v>5753.4970389999999</v>
      </c>
      <c r="C1461">
        <v>5753.4970389999999</v>
      </c>
      <c r="D1461">
        <v>0</v>
      </c>
      <c r="E1461">
        <v>1152.7377590000001</v>
      </c>
      <c r="F1461" s="1">
        <v>1.44</v>
      </c>
      <c r="H1461">
        <v>2549</v>
      </c>
      <c r="I1461" t="str">
        <f t="shared" si="44"/>
        <v>YES</v>
      </c>
      <c r="J1461" t="s">
        <v>1467</v>
      </c>
      <c r="K1461">
        <v>856376.12984199997</v>
      </c>
      <c r="L1461">
        <f t="shared" si="45"/>
        <v>0</v>
      </c>
    </row>
    <row r="1462" spans="1:12" x14ac:dyDescent="0.25">
      <c r="A1462">
        <v>2550</v>
      </c>
      <c r="B1462">
        <v>7974.5623240000004</v>
      </c>
      <c r="C1462">
        <v>7974.5623240000004</v>
      </c>
      <c r="D1462">
        <v>0</v>
      </c>
      <c r="E1462">
        <v>1870.319011</v>
      </c>
      <c r="F1462" s="1">
        <v>3.25</v>
      </c>
      <c r="H1462">
        <v>2550</v>
      </c>
      <c r="I1462" t="str">
        <f t="shared" si="44"/>
        <v>YES</v>
      </c>
      <c r="J1462" t="s">
        <v>1468</v>
      </c>
      <c r="K1462">
        <v>329778.21923500003</v>
      </c>
      <c r="L1462">
        <f t="shared" si="45"/>
        <v>0</v>
      </c>
    </row>
    <row r="1463" spans="1:12" x14ac:dyDescent="0.25">
      <c r="A1463">
        <v>2551</v>
      </c>
      <c r="B1463">
        <v>16938.841789999999</v>
      </c>
      <c r="C1463">
        <v>16938.841789999999</v>
      </c>
      <c r="D1463">
        <v>0</v>
      </c>
      <c r="E1463">
        <v>2539.3349149999999</v>
      </c>
      <c r="F1463" s="1">
        <v>9.3699999999999992</v>
      </c>
      <c r="H1463">
        <v>2551</v>
      </c>
      <c r="I1463" t="str">
        <f t="shared" si="44"/>
        <v>YES</v>
      </c>
      <c r="J1463" t="s">
        <v>1469</v>
      </c>
      <c r="K1463">
        <v>470026.74049400003</v>
      </c>
      <c r="L1463">
        <f t="shared" si="45"/>
        <v>0</v>
      </c>
    </row>
    <row r="1464" spans="1:12" x14ac:dyDescent="0.25">
      <c r="A1464">
        <v>2552</v>
      </c>
      <c r="B1464">
        <v>6406.8752169999998</v>
      </c>
      <c r="C1464">
        <v>6406.8752169999998</v>
      </c>
      <c r="D1464">
        <v>0</v>
      </c>
      <c r="E1464">
        <v>3549.6311000000001</v>
      </c>
      <c r="F1464" s="1">
        <v>4.95</v>
      </c>
      <c r="H1464">
        <v>2552</v>
      </c>
      <c r="I1464" t="str">
        <f t="shared" si="44"/>
        <v>YES</v>
      </c>
      <c r="J1464" t="s">
        <v>1470</v>
      </c>
      <c r="K1464">
        <v>591058.21850099997</v>
      </c>
      <c r="L1464">
        <f t="shared" si="45"/>
        <v>0</v>
      </c>
    </row>
    <row r="1465" spans="1:12" x14ac:dyDescent="0.25">
      <c r="A1465">
        <v>2553</v>
      </c>
      <c r="B1465">
        <v>9801.7979149999992</v>
      </c>
      <c r="C1465">
        <v>9801.7979149999992</v>
      </c>
      <c r="D1465">
        <v>0</v>
      </c>
      <c r="E1465">
        <v>4276.7763590000004</v>
      </c>
      <c r="F1465" s="1">
        <v>9.1300000000000008</v>
      </c>
      <c r="H1465">
        <v>2553</v>
      </c>
      <c r="I1465" t="str">
        <f t="shared" si="44"/>
        <v>YES</v>
      </c>
      <c r="J1465" t="s">
        <v>1471</v>
      </c>
      <c r="K1465">
        <v>947428.44759300002</v>
      </c>
      <c r="L1465">
        <f t="shared" si="45"/>
        <v>0</v>
      </c>
    </row>
    <row r="1466" spans="1:12" x14ac:dyDescent="0.25">
      <c r="A1466">
        <v>2554</v>
      </c>
      <c r="B1466">
        <v>12149.295550000001</v>
      </c>
      <c r="C1466">
        <v>12149.295550000001</v>
      </c>
      <c r="D1466">
        <v>0</v>
      </c>
      <c r="E1466">
        <v>2502.2563770000002</v>
      </c>
      <c r="F1466" s="1">
        <v>6.62</v>
      </c>
      <c r="H1466">
        <v>2554</v>
      </c>
      <c r="I1466" t="str">
        <f t="shared" si="44"/>
        <v>YES</v>
      </c>
      <c r="J1466" t="s">
        <v>1472</v>
      </c>
      <c r="K1466">
        <v>764902.49459500005</v>
      </c>
      <c r="L1466">
        <f t="shared" si="45"/>
        <v>0</v>
      </c>
    </row>
    <row r="1467" spans="1:12" x14ac:dyDescent="0.25">
      <c r="A1467">
        <v>2555</v>
      </c>
      <c r="B1467">
        <v>8822.4464769999995</v>
      </c>
      <c r="C1467">
        <v>8822.4464769999995</v>
      </c>
      <c r="D1467">
        <v>0</v>
      </c>
      <c r="E1467">
        <v>914.43618059999994</v>
      </c>
      <c r="F1467" s="1">
        <v>1.76</v>
      </c>
      <c r="H1467">
        <v>2555</v>
      </c>
      <c r="I1467" t="str">
        <f t="shared" si="44"/>
        <v>YES</v>
      </c>
      <c r="J1467" t="s">
        <v>1473</v>
      </c>
      <c r="K1467">
        <v>493584.513171</v>
      </c>
      <c r="L1467">
        <f t="shared" si="45"/>
        <v>0</v>
      </c>
    </row>
    <row r="1468" spans="1:12" x14ac:dyDescent="0.25">
      <c r="A1468">
        <v>2556</v>
      </c>
      <c r="B1468">
        <v>6895.3240589999996</v>
      </c>
      <c r="C1468">
        <v>6895.3240589999996</v>
      </c>
      <c r="D1468">
        <v>0</v>
      </c>
      <c r="E1468">
        <v>3242.8999829999998</v>
      </c>
      <c r="F1468" s="1">
        <v>4.87</v>
      </c>
      <c r="H1468">
        <v>2556</v>
      </c>
      <c r="I1468" t="str">
        <f t="shared" si="44"/>
        <v>YES</v>
      </c>
      <c r="J1468" t="s">
        <v>1474</v>
      </c>
      <c r="K1468">
        <v>842055.67939499998</v>
      </c>
      <c r="L1468">
        <f t="shared" si="45"/>
        <v>0</v>
      </c>
    </row>
    <row r="1469" spans="1:12" x14ac:dyDescent="0.25">
      <c r="A1469">
        <v>2557</v>
      </c>
      <c r="B1469">
        <v>10319.98539</v>
      </c>
      <c r="C1469">
        <v>10319.98539</v>
      </c>
      <c r="D1469">
        <v>0</v>
      </c>
      <c r="E1469">
        <v>1808.0573010000001</v>
      </c>
      <c r="F1469" s="1">
        <v>4.0599999999999996</v>
      </c>
      <c r="H1469">
        <v>2557</v>
      </c>
      <c r="I1469" t="str">
        <f t="shared" si="44"/>
        <v>YES</v>
      </c>
      <c r="J1469" t="s">
        <v>1475</v>
      </c>
      <c r="K1469">
        <v>261327.91383100001</v>
      </c>
      <c r="L1469">
        <f t="shared" si="45"/>
        <v>0</v>
      </c>
    </row>
    <row r="1470" spans="1:12" x14ac:dyDescent="0.25">
      <c r="A1470">
        <v>2600</v>
      </c>
      <c r="B1470">
        <v>14192.98927</v>
      </c>
      <c r="C1470">
        <v>14192.98927</v>
      </c>
      <c r="D1470">
        <v>0</v>
      </c>
      <c r="E1470">
        <v>2919.5023940000001</v>
      </c>
      <c r="F1470" s="1">
        <v>9.02</v>
      </c>
      <c r="H1470">
        <v>2600</v>
      </c>
      <c r="I1470" t="str">
        <f t="shared" si="44"/>
        <v>YES</v>
      </c>
      <c r="J1470" t="s">
        <v>1476</v>
      </c>
      <c r="K1470">
        <v>617264.41364200006</v>
      </c>
      <c r="L1470">
        <f t="shared" si="45"/>
        <v>0</v>
      </c>
    </row>
    <row r="1471" spans="1:12" x14ac:dyDescent="0.25">
      <c r="A1471">
        <v>2601</v>
      </c>
      <c r="B1471">
        <v>14699.03386</v>
      </c>
      <c r="C1471">
        <v>14699.03386</v>
      </c>
      <c r="D1471">
        <v>0</v>
      </c>
      <c r="E1471">
        <v>1911.1585219999999</v>
      </c>
      <c r="F1471" s="1">
        <v>6.12</v>
      </c>
      <c r="H1471">
        <v>2601</v>
      </c>
      <c r="I1471" t="str">
        <f t="shared" si="44"/>
        <v>YES</v>
      </c>
      <c r="J1471" t="s">
        <v>1477</v>
      </c>
      <c r="K1471">
        <v>442952.55962100002</v>
      </c>
      <c r="L1471">
        <f t="shared" si="45"/>
        <v>0</v>
      </c>
    </row>
    <row r="1472" spans="1:12" x14ac:dyDescent="0.25">
      <c r="A1472">
        <v>2602</v>
      </c>
      <c r="B1472">
        <v>15553.9167</v>
      </c>
      <c r="C1472">
        <v>15553.9167</v>
      </c>
      <c r="D1472">
        <v>0</v>
      </c>
      <c r="E1472">
        <v>3419.2067430000002</v>
      </c>
      <c r="F1472" s="1">
        <v>11.6</v>
      </c>
      <c r="H1472">
        <v>2602</v>
      </c>
      <c r="I1472" t="str">
        <f t="shared" ref="I1472:I1535" si="46">IF(A1472=H1472,"YES","NO")</f>
        <v>YES</v>
      </c>
      <c r="J1472" t="s">
        <v>1478</v>
      </c>
      <c r="K1472">
        <v>673893.93351500004</v>
      </c>
      <c r="L1472">
        <f t="shared" si="45"/>
        <v>0</v>
      </c>
    </row>
    <row r="1473" spans="1:12" x14ac:dyDescent="0.25">
      <c r="A1473">
        <v>2603</v>
      </c>
      <c r="B1473">
        <v>16968.775269999998</v>
      </c>
      <c r="C1473">
        <v>16968.775269999998</v>
      </c>
      <c r="D1473">
        <v>0</v>
      </c>
      <c r="E1473">
        <v>3199.3387600000001</v>
      </c>
      <c r="F1473" s="1">
        <v>11.8</v>
      </c>
      <c r="H1473">
        <v>2603</v>
      </c>
      <c r="I1473" t="str">
        <f t="shared" si="46"/>
        <v>YES</v>
      </c>
      <c r="J1473" t="s">
        <v>1479</v>
      </c>
      <c r="K1473">
        <v>613794.80070200004</v>
      </c>
      <c r="L1473">
        <f t="shared" si="45"/>
        <v>0</v>
      </c>
    </row>
    <row r="1474" spans="1:12" x14ac:dyDescent="0.25">
      <c r="A1474">
        <v>2604</v>
      </c>
      <c r="B1474">
        <v>28860.762299999999</v>
      </c>
      <c r="C1474">
        <v>28860.762299999999</v>
      </c>
      <c r="D1474">
        <v>0</v>
      </c>
      <c r="E1474">
        <v>5288.0661730000002</v>
      </c>
      <c r="F1474" s="1">
        <v>33.200000000000003</v>
      </c>
      <c r="H1474">
        <v>2604</v>
      </c>
      <c r="I1474" t="str">
        <f t="shared" si="46"/>
        <v>YES</v>
      </c>
      <c r="J1474" t="s">
        <v>1480</v>
      </c>
      <c r="K1474">
        <v>239541.76467800001</v>
      </c>
      <c r="L1474">
        <f t="shared" si="45"/>
        <v>0</v>
      </c>
    </row>
    <row r="1475" spans="1:12" x14ac:dyDescent="0.25">
      <c r="A1475">
        <v>2605</v>
      </c>
      <c r="B1475">
        <v>33247.215369999998</v>
      </c>
      <c r="C1475">
        <v>33247.215369999998</v>
      </c>
      <c r="D1475">
        <v>0</v>
      </c>
      <c r="E1475">
        <v>2710.0116029999999</v>
      </c>
      <c r="F1475" s="1">
        <v>19.600000000000001</v>
      </c>
      <c r="H1475">
        <v>2605</v>
      </c>
      <c r="I1475" t="str">
        <f t="shared" si="46"/>
        <v>YES</v>
      </c>
      <c r="J1475" t="s">
        <v>1481</v>
      </c>
      <c r="K1475">
        <v>360256.05684199999</v>
      </c>
      <c r="L1475">
        <f t="shared" ref="L1475:L1538" si="47">EXP(0.2052)*K1475*(D1475/C1475)</f>
        <v>0</v>
      </c>
    </row>
    <row r="1476" spans="1:12" x14ac:dyDescent="0.25">
      <c r="A1476">
        <v>2606</v>
      </c>
      <c r="B1476">
        <v>32276.70534</v>
      </c>
      <c r="C1476">
        <v>32276.70534</v>
      </c>
      <c r="D1476">
        <v>0</v>
      </c>
      <c r="E1476">
        <v>1190.2177549999999</v>
      </c>
      <c r="F1476" s="1">
        <v>8.36</v>
      </c>
      <c r="H1476">
        <v>2606</v>
      </c>
      <c r="I1476" t="str">
        <f t="shared" si="46"/>
        <v>YES</v>
      </c>
      <c r="J1476" t="s">
        <v>1482</v>
      </c>
      <c r="K1476">
        <v>186277.825564</v>
      </c>
      <c r="L1476">
        <f t="shared" si="47"/>
        <v>0</v>
      </c>
    </row>
    <row r="1477" spans="1:12" x14ac:dyDescent="0.25">
      <c r="A1477">
        <v>2607</v>
      </c>
      <c r="B1477">
        <v>15424.37766</v>
      </c>
      <c r="C1477">
        <v>15424.37766</v>
      </c>
      <c r="D1477">
        <v>0</v>
      </c>
      <c r="E1477">
        <v>1640.3278539999999</v>
      </c>
      <c r="F1477" s="1">
        <v>5.51</v>
      </c>
      <c r="H1477">
        <v>2607</v>
      </c>
      <c r="I1477" t="str">
        <f t="shared" si="46"/>
        <v>YES</v>
      </c>
      <c r="J1477" t="s">
        <v>1483</v>
      </c>
      <c r="K1477">
        <v>344820.283345</v>
      </c>
      <c r="L1477">
        <f t="shared" si="47"/>
        <v>0</v>
      </c>
    </row>
    <row r="1478" spans="1:12" x14ac:dyDescent="0.25">
      <c r="A1478">
        <v>2608</v>
      </c>
      <c r="B1478">
        <v>30223.917170000001</v>
      </c>
      <c r="C1478">
        <v>30223.917170000001</v>
      </c>
      <c r="D1478">
        <v>0</v>
      </c>
      <c r="E1478">
        <v>2495.1701950000001</v>
      </c>
      <c r="F1478" s="1">
        <v>16.399999999999999</v>
      </c>
      <c r="H1478">
        <v>2608</v>
      </c>
      <c r="I1478" t="str">
        <f t="shared" si="46"/>
        <v>YES</v>
      </c>
      <c r="J1478" t="s">
        <v>1484</v>
      </c>
      <c r="K1478">
        <v>155231.05553700001</v>
      </c>
      <c r="L1478">
        <f t="shared" si="47"/>
        <v>0</v>
      </c>
    </row>
    <row r="1479" spans="1:12" x14ac:dyDescent="0.25">
      <c r="A1479">
        <v>2609</v>
      </c>
      <c r="B1479">
        <v>8840.2381129999994</v>
      </c>
      <c r="C1479">
        <v>8840.2381129999994</v>
      </c>
      <c r="D1479">
        <v>0</v>
      </c>
      <c r="E1479">
        <v>2799.1541999999999</v>
      </c>
      <c r="F1479" s="1">
        <v>5.39</v>
      </c>
      <c r="H1479">
        <v>2609</v>
      </c>
      <c r="I1479" t="str">
        <f t="shared" si="46"/>
        <v>YES</v>
      </c>
      <c r="J1479" t="s">
        <v>1485</v>
      </c>
      <c r="K1479">
        <v>746274.72787299997</v>
      </c>
      <c r="L1479">
        <f t="shared" si="47"/>
        <v>0</v>
      </c>
    </row>
    <row r="1480" spans="1:12" x14ac:dyDescent="0.25">
      <c r="A1480">
        <v>2610</v>
      </c>
      <c r="B1480">
        <v>17268.460230000001</v>
      </c>
      <c r="C1480">
        <v>17268.460230000001</v>
      </c>
      <c r="D1480">
        <v>0</v>
      </c>
      <c r="E1480">
        <v>2665.8252520000001</v>
      </c>
      <c r="F1480" s="1">
        <v>10</v>
      </c>
      <c r="H1480">
        <v>2610</v>
      </c>
      <c r="I1480" t="str">
        <f t="shared" si="46"/>
        <v>YES</v>
      </c>
      <c r="J1480" t="s">
        <v>1486</v>
      </c>
      <c r="K1480">
        <v>527269.94797400001</v>
      </c>
      <c r="L1480">
        <f t="shared" si="47"/>
        <v>0</v>
      </c>
    </row>
    <row r="1481" spans="1:12" x14ac:dyDescent="0.25">
      <c r="A1481">
        <v>2611</v>
      </c>
      <c r="B1481">
        <v>10002.34866</v>
      </c>
      <c r="C1481">
        <v>10002.34866</v>
      </c>
      <c r="D1481">
        <v>0</v>
      </c>
      <c r="E1481">
        <v>1025.2227499999999</v>
      </c>
      <c r="F1481" s="1">
        <v>2.23</v>
      </c>
      <c r="H1481">
        <v>2611</v>
      </c>
      <c r="I1481" t="str">
        <f t="shared" si="46"/>
        <v>YES</v>
      </c>
      <c r="J1481" t="s">
        <v>1487</v>
      </c>
      <c r="K1481">
        <v>260778.40171800001</v>
      </c>
      <c r="L1481">
        <f t="shared" si="47"/>
        <v>0</v>
      </c>
    </row>
    <row r="1482" spans="1:12" x14ac:dyDescent="0.25">
      <c r="A1482">
        <v>2612</v>
      </c>
      <c r="B1482">
        <v>23367.166929999999</v>
      </c>
      <c r="C1482">
        <v>23367.166929999999</v>
      </c>
      <c r="D1482">
        <v>0</v>
      </c>
      <c r="E1482">
        <v>4565.8629609999998</v>
      </c>
      <c r="F1482" s="1">
        <v>23.2</v>
      </c>
      <c r="H1482">
        <v>2612</v>
      </c>
      <c r="I1482" t="str">
        <f t="shared" si="46"/>
        <v>YES</v>
      </c>
      <c r="J1482" t="s">
        <v>1488</v>
      </c>
      <c r="K1482">
        <v>395381.594408</v>
      </c>
      <c r="L1482">
        <f t="shared" si="47"/>
        <v>0</v>
      </c>
    </row>
    <row r="1483" spans="1:12" x14ac:dyDescent="0.25">
      <c r="A1483">
        <v>2613</v>
      </c>
      <c r="B1483">
        <v>20821.610349999999</v>
      </c>
      <c r="C1483">
        <v>20821.610349999999</v>
      </c>
      <c r="D1483">
        <v>0</v>
      </c>
      <c r="E1483">
        <v>3600.1104209999999</v>
      </c>
      <c r="F1483" s="1">
        <v>16.3</v>
      </c>
      <c r="H1483">
        <v>2613</v>
      </c>
      <c r="I1483" t="str">
        <f t="shared" si="46"/>
        <v>YES</v>
      </c>
      <c r="J1483" t="s">
        <v>1489</v>
      </c>
      <c r="K1483">
        <v>597487.16842</v>
      </c>
      <c r="L1483">
        <f t="shared" si="47"/>
        <v>0</v>
      </c>
    </row>
    <row r="1484" spans="1:12" x14ac:dyDescent="0.25">
      <c r="A1484">
        <v>2614</v>
      </c>
      <c r="B1484">
        <v>22715.506420000002</v>
      </c>
      <c r="C1484">
        <v>22715.506420000002</v>
      </c>
      <c r="D1484">
        <v>0</v>
      </c>
      <c r="E1484">
        <v>3157.673769</v>
      </c>
      <c r="F1484" s="1">
        <v>15.6</v>
      </c>
      <c r="H1484">
        <v>2614</v>
      </c>
      <c r="I1484" t="str">
        <f t="shared" si="46"/>
        <v>YES</v>
      </c>
      <c r="J1484" t="s">
        <v>1490</v>
      </c>
      <c r="K1484">
        <v>357808.555345</v>
      </c>
      <c r="L1484">
        <f t="shared" si="47"/>
        <v>0</v>
      </c>
    </row>
    <row r="1485" spans="1:12" x14ac:dyDescent="0.25">
      <c r="A1485">
        <v>2615</v>
      </c>
      <c r="B1485">
        <v>2344.7554449999998</v>
      </c>
      <c r="C1485">
        <v>2344.7554449999998</v>
      </c>
      <c r="D1485">
        <v>0</v>
      </c>
      <c r="E1485">
        <v>2064.6391659999999</v>
      </c>
      <c r="F1485" s="1">
        <v>1.05</v>
      </c>
      <c r="H1485">
        <v>2615</v>
      </c>
      <c r="I1485" t="str">
        <f t="shared" si="46"/>
        <v>YES</v>
      </c>
      <c r="J1485" t="s">
        <v>1491</v>
      </c>
      <c r="K1485">
        <v>1013287.37457</v>
      </c>
      <c r="L1485">
        <f t="shared" si="47"/>
        <v>0</v>
      </c>
    </row>
    <row r="1486" spans="1:12" x14ac:dyDescent="0.25">
      <c r="A1486">
        <v>2616</v>
      </c>
      <c r="B1486">
        <v>6189.656825</v>
      </c>
      <c r="C1486">
        <v>6189.656825</v>
      </c>
      <c r="D1486">
        <v>0</v>
      </c>
      <c r="E1486">
        <v>2220.6874680000001</v>
      </c>
      <c r="F1486" s="1">
        <v>2.99</v>
      </c>
      <c r="H1486">
        <v>2616</v>
      </c>
      <c r="I1486" t="str">
        <f t="shared" si="46"/>
        <v>YES</v>
      </c>
      <c r="J1486" t="s">
        <v>1492</v>
      </c>
      <c r="K1486">
        <v>794061.37519000005</v>
      </c>
      <c r="L1486">
        <f t="shared" si="47"/>
        <v>0</v>
      </c>
    </row>
    <row r="1487" spans="1:12" x14ac:dyDescent="0.25">
      <c r="A1487">
        <v>2617</v>
      </c>
      <c r="B1487">
        <v>1925.5052969999999</v>
      </c>
      <c r="C1487">
        <v>1925.5052969999999</v>
      </c>
      <c r="D1487">
        <v>0</v>
      </c>
      <c r="E1487">
        <v>2661.8240129999999</v>
      </c>
      <c r="F1487" s="1">
        <v>1.1200000000000001</v>
      </c>
      <c r="H1487">
        <v>2617</v>
      </c>
      <c r="I1487" t="str">
        <f t="shared" si="46"/>
        <v>YES</v>
      </c>
      <c r="J1487" t="s">
        <v>1493</v>
      </c>
      <c r="K1487">
        <v>1412590.9265399999</v>
      </c>
      <c r="L1487">
        <f t="shared" si="47"/>
        <v>0</v>
      </c>
    </row>
    <row r="1488" spans="1:12" x14ac:dyDescent="0.25">
      <c r="A1488">
        <v>2620</v>
      </c>
      <c r="B1488">
        <v>7187.1150950000001</v>
      </c>
      <c r="C1488">
        <v>7187.1150950000001</v>
      </c>
      <c r="D1488">
        <v>0</v>
      </c>
      <c r="E1488">
        <v>2191.387514</v>
      </c>
      <c r="F1488" s="1">
        <v>3.43</v>
      </c>
      <c r="H1488">
        <v>2620</v>
      </c>
      <c r="I1488" t="str">
        <f t="shared" si="46"/>
        <v>YES</v>
      </c>
      <c r="J1488" t="s">
        <v>1494</v>
      </c>
      <c r="K1488">
        <v>788135.34574400005</v>
      </c>
      <c r="L1488">
        <f t="shared" si="47"/>
        <v>0</v>
      </c>
    </row>
    <row r="1489" spans="1:12" x14ac:dyDescent="0.25">
      <c r="A1489">
        <v>2621</v>
      </c>
      <c r="B1489">
        <v>16627.086630000002</v>
      </c>
      <c r="C1489">
        <v>16627.086630000002</v>
      </c>
      <c r="D1489">
        <v>0</v>
      </c>
      <c r="E1489">
        <v>3255.6043810000001</v>
      </c>
      <c r="F1489" s="1">
        <v>11.8</v>
      </c>
      <c r="H1489">
        <v>2621</v>
      </c>
      <c r="I1489" t="str">
        <f t="shared" si="46"/>
        <v>YES</v>
      </c>
      <c r="J1489" t="s">
        <v>1495</v>
      </c>
      <c r="K1489">
        <v>735944.79963300005</v>
      </c>
      <c r="L1489">
        <f t="shared" si="47"/>
        <v>0</v>
      </c>
    </row>
    <row r="1490" spans="1:12" x14ac:dyDescent="0.25">
      <c r="A1490">
        <v>2622</v>
      </c>
      <c r="B1490">
        <v>14405.836209999999</v>
      </c>
      <c r="C1490">
        <v>14405.836209999999</v>
      </c>
      <c r="D1490">
        <v>0</v>
      </c>
      <c r="E1490">
        <v>1508.88975</v>
      </c>
      <c r="F1490" s="1">
        <v>4.7300000000000004</v>
      </c>
      <c r="H1490">
        <v>2622</v>
      </c>
      <c r="I1490" t="str">
        <f t="shared" si="46"/>
        <v>YES</v>
      </c>
      <c r="J1490" t="s">
        <v>1496</v>
      </c>
      <c r="K1490">
        <v>420615.00108199997</v>
      </c>
      <c r="L1490">
        <f t="shared" si="47"/>
        <v>0</v>
      </c>
    </row>
    <row r="1491" spans="1:12" x14ac:dyDescent="0.25">
      <c r="A1491">
        <v>2623</v>
      </c>
      <c r="B1491">
        <v>8345.2114569999994</v>
      </c>
      <c r="C1491">
        <v>8345.2114569999994</v>
      </c>
      <c r="D1491">
        <v>0</v>
      </c>
      <c r="E1491">
        <v>3628.3301000000001</v>
      </c>
      <c r="F1491" s="1">
        <v>6.59</v>
      </c>
      <c r="H1491">
        <v>2623</v>
      </c>
      <c r="I1491" t="str">
        <f t="shared" si="46"/>
        <v>YES</v>
      </c>
      <c r="J1491" t="s">
        <v>1497</v>
      </c>
      <c r="K1491">
        <v>639485.004495</v>
      </c>
      <c r="L1491">
        <f t="shared" si="47"/>
        <v>0</v>
      </c>
    </row>
    <row r="1492" spans="1:12" x14ac:dyDescent="0.25">
      <c r="A1492">
        <v>2624</v>
      </c>
      <c r="B1492">
        <v>4634.5335610000002</v>
      </c>
      <c r="C1492">
        <v>4634.5335610000002</v>
      </c>
      <c r="D1492">
        <v>0</v>
      </c>
      <c r="E1492">
        <v>3712.7882549999999</v>
      </c>
      <c r="F1492" s="1">
        <v>3.75</v>
      </c>
      <c r="H1492">
        <v>2624</v>
      </c>
      <c r="I1492" t="str">
        <f t="shared" si="46"/>
        <v>YES</v>
      </c>
      <c r="J1492" t="s">
        <v>1498</v>
      </c>
      <c r="K1492">
        <v>801523.01531299995</v>
      </c>
      <c r="L1492">
        <f t="shared" si="47"/>
        <v>0</v>
      </c>
    </row>
    <row r="1493" spans="1:12" x14ac:dyDescent="0.25">
      <c r="A1493">
        <v>2627</v>
      </c>
      <c r="B1493">
        <v>17324.868880000002</v>
      </c>
      <c r="C1493">
        <v>17324.868880000002</v>
      </c>
      <c r="D1493">
        <v>0</v>
      </c>
      <c r="E1493">
        <v>1713.4631240000001</v>
      </c>
      <c r="F1493" s="1">
        <v>6.46</v>
      </c>
      <c r="H1493">
        <v>2627</v>
      </c>
      <c r="I1493" t="str">
        <f t="shared" si="46"/>
        <v>YES</v>
      </c>
      <c r="J1493" t="s">
        <v>1499</v>
      </c>
      <c r="K1493">
        <v>468857.48515600001</v>
      </c>
      <c r="L1493">
        <f t="shared" si="47"/>
        <v>0</v>
      </c>
    </row>
    <row r="1494" spans="1:12" x14ac:dyDescent="0.25">
      <c r="A1494">
        <v>2628</v>
      </c>
      <c r="B1494">
        <v>14772.7618</v>
      </c>
      <c r="C1494">
        <v>14772.7618</v>
      </c>
      <c r="D1494">
        <v>0</v>
      </c>
      <c r="E1494">
        <v>2270.6136820000002</v>
      </c>
      <c r="F1494" s="1">
        <v>7.3</v>
      </c>
      <c r="H1494">
        <v>2628</v>
      </c>
      <c r="I1494" t="str">
        <f t="shared" si="46"/>
        <v>YES</v>
      </c>
      <c r="J1494" t="s">
        <v>1500</v>
      </c>
      <c r="K1494">
        <v>588646.53080399998</v>
      </c>
      <c r="L1494">
        <f t="shared" si="47"/>
        <v>0</v>
      </c>
    </row>
    <row r="1495" spans="1:12" x14ac:dyDescent="0.25">
      <c r="A1495">
        <v>2629</v>
      </c>
      <c r="B1495">
        <v>20334.49109</v>
      </c>
      <c r="C1495">
        <v>20334.49109</v>
      </c>
      <c r="D1495">
        <v>0</v>
      </c>
      <c r="E1495">
        <v>1465.396088</v>
      </c>
      <c r="F1495" s="1">
        <v>6.49</v>
      </c>
      <c r="H1495">
        <v>2629</v>
      </c>
      <c r="I1495" t="str">
        <f t="shared" si="46"/>
        <v>YES</v>
      </c>
      <c r="J1495" t="s">
        <v>1501</v>
      </c>
      <c r="K1495">
        <v>633929.84921999997</v>
      </c>
      <c r="L1495">
        <f t="shared" si="47"/>
        <v>0</v>
      </c>
    </row>
    <row r="1496" spans="1:12" x14ac:dyDescent="0.25">
      <c r="A1496">
        <v>2630</v>
      </c>
      <c r="B1496">
        <v>10046.067940000001</v>
      </c>
      <c r="C1496">
        <v>10046.067940000001</v>
      </c>
      <c r="D1496">
        <v>0</v>
      </c>
      <c r="E1496">
        <v>2078.561784</v>
      </c>
      <c r="F1496" s="1">
        <v>4.55</v>
      </c>
      <c r="H1496">
        <v>2630</v>
      </c>
      <c r="I1496" t="str">
        <f t="shared" si="46"/>
        <v>YES</v>
      </c>
      <c r="J1496" t="s">
        <v>1502</v>
      </c>
      <c r="K1496">
        <v>784617.04239099997</v>
      </c>
      <c r="L1496">
        <f t="shared" si="47"/>
        <v>0</v>
      </c>
    </row>
    <row r="1497" spans="1:12" x14ac:dyDescent="0.25">
      <c r="A1497">
        <v>2631</v>
      </c>
      <c r="B1497">
        <v>15889.754300000001</v>
      </c>
      <c r="C1497">
        <v>15889.754300000001</v>
      </c>
      <c r="D1497">
        <v>0</v>
      </c>
      <c r="E1497">
        <v>2489.8176709999998</v>
      </c>
      <c r="F1497" s="1">
        <v>8.61</v>
      </c>
      <c r="H1497">
        <v>2631</v>
      </c>
      <c r="I1497" t="str">
        <f t="shared" si="46"/>
        <v>YES</v>
      </c>
      <c r="J1497" t="s">
        <v>1503</v>
      </c>
      <c r="K1497">
        <v>610655.01972600003</v>
      </c>
      <c r="L1497">
        <f t="shared" si="47"/>
        <v>0</v>
      </c>
    </row>
    <row r="1498" spans="1:12" x14ac:dyDescent="0.25">
      <c r="A1498">
        <v>2632</v>
      </c>
      <c r="B1498">
        <v>955.03515000000004</v>
      </c>
      <c r="C1498">
        <v>955.03515000000004</v>
      </c>
      <c r="D1498">
        <v>0</v>
      </c>
      <c r="E1498">
        <v>1962.8650889999999</v>
      </c>
      <c r="F1498" s="1">
        <v>0.40799999999999997</v>
      </c>
      <c r="H1498">
        <v>2632</v>
      </c>
      <c r="I1498" t="str">
        <f t="shared" si="46"/>
        <v>YES</v>
      </c>
      <c r="J1498" t="s">
        <v>1504</v>
      </c>
      <c r="K1498">
        <v>861874.32962500001</v>
      </c>
      <c r="L1498">
        <f t="shared" si="47"/>
        <v>0</v>
      </c>
    </row>
    <row r="1499" spans="1:12" x14ac:dyDescent="0.25">
      <c r="A1499">
        <v>2633</v>
      </c>
      <c r="B1499">
        <v>1479.231346</v>
      </c>
      <c r="C1499">
        <v>1479.231346</v>
      </c>
      <c r="D1499">
        <v>0</v>
      </c>
      <c r="E1499">
        <v>1045.282561</v>
      </c>
      <c r="F1499" s="1">
        <v>0.33700000000000002</v>
      </c>
      <c r="H1499">
        <v>2633</v>
      </c>
      <c r="I1499" t="str">
        <f t="shared" si="46"/>
        <v>YES</v>
      </c>
      <c r="J1499" t="s">
        <v>1505</v>
      </c>
      <c r="K1499">
        <v>398878.49439499999</v>
      </c>
      <c r="L1499">
        <f t="shared" si="47"/>
        <v>0</v>
      </c>
    </row>
    <row r="1500" spans="1:12" x14ac:dyDescent="0.25">
      <c r="A1500">
        <v>2636</v>
      </c>
      <c r="B1500">
        <v>15999.22402</v>
      </c>
      <c r="C1500">
        <v>15999.22402</v>
      </c>
      <c r="D1500">
        <v>0</v>
      </c>
      <c r="E1500">
        <v>2134.0488449999998</v>
      </c>
      <c r="F1500" s="1">
        <v>7.43</v>
      </c>
      <c r="H1500">
        <v>2636</v>
      </c>
      <c r="I1500" t="str">
        <f t="shared" si="46"/>
        <v>YES</v>
      </c>
      <c r="J1500" t="s">
        <v>1506</v>
      </c>
      <c r="K1500">
        <v>540167.45458000002</v>
      </c>
      <c r="L1500">
        <f t="shared" si="47"/>
        <v>0</v>
      </c>
    </row>
    <row r="1501" spans="1:12" x14ac:dyDescent="0.25">
      <c r="A1501">
        <v>2637</v>
      </c>
      <c r="B1501">
        <v>4858.5672619999996</v>
      </c>
      <c r="C1501">
        <v>4858.5672619999996</v>
      </c>
      <c r="D1501">
        <v>0</v>
      </c>
      <c r="E1501">
        <v>2947.8019100000001</v>
      </c>
      <c r="F1501" s="1">
        <v>3.12</v>
      </c>
      <c r="H1501">
        <v>2637</v>
      </c>
      <c r="I1501" t="str">
        <f t="shared" si="46"/>
        <v>YES</v>
      </c>
      <c r="J1501" t="s">
        <v>1507</v>
      </c>
      <c r="K1501">
        <v>951276.14714400005</v>
      </c>
      <c r="L1501">
        <f t="shared" si="47"/>
        <v>0</v>
      </c>
    </row>
    <row r="1502" spans="1:12" x14ac:dyDescent="0.25">
      <c r="A1502">
        <v>2638</v>
      </c>
      <c r="B1502">
        <v>11230.07372</v>
      </c>
      <c r="C1502">
        <v>11230.07372</v>
      </c>
      <c r="D1502">
        <v>0</v>
      </c>
      <c r="E1502">
        <v>1345.7173640000001</v>
      </c>
      <c r="F1502" s="1">
        <v>3.29</v>
      </c>
      <c r="H1502">
        <v>2638</v>
      </c>
      <c r="I1502" t="str">
        <f t="shared" si="46"/>
        <v>YES</v>
      </c>
      <c r="J1502" t="s">
        <v>1508</v>
      </c>
      <c r="K1502">
        <v>294367.74240300001</v>
      </c>
      <c r="L1502">
        <f t="shared" si="47"/>
        <v>0</v>
      </c>
    </row>
    <row r="1503" spans="1:12" x14ac:dyDescent="0.25">
      <c r="A1503">
        <v>2639</v>
      </c>
      <c r="B1503">
        <v>8711.7409790000002</v>
      </c>
      <c r="C1503">
        <v>8711.7409790000002</v>
      </c>
      <c r="D1503">
        <v>0</v>
      </c>
      <c r="E1503">
        <v>385.7888198</v>
      </c>
      <c r="F1503" s="1">
        <v>0.73199999999999998</v>
      </c>
      <c r="H1503">
        <v>2639</v>
      </c>
      <c r="I1503" t="str">
        <f t="shared" si="46"/>
        <v>YES</v>
      </c>
      <c r="J1503" t="s">
        <v>1509</v>
      </c>
      <c r="K1503">
        <v>771639.45909899997</v>
      </c>
      <c r="L1503">
        <f t="shared" si="47"/>
        <v>0</v>
      </c>
    </row>
    <row r="1504" spans="1:12" x14ac:dyDescent="0.25">
      <c r="A1504">
        <v>2640</v>
      </c>
      <c r="B1504">
        <v>5783.4597000000003</v>
      </c>
      <c r="C1504">
        <v>5783.4597000000003</v>
      </c>
      <c r="D1504">
        <v>0</v>
      </c>
      <c r="E1504">
        <v>3540.5972459999998</v>
      </c>
      <c r="F1504" s="1">
        <v>4.46</v>
      </c>
      <c r="H1504">
        <v>2640</v>
      </c>
      <c r="I1504" t="str">
        <f t="shared" si="46"/>
        <v>YES</v>
      </c>
      <c r="J1504" t="s">
        <v>1510</v>
      </c>
      <c r="K1504">
        <v>1314465.3565499999</v>
      </c>
      <c r="L1504">
        <f t="shared" si="47"/>
        <v>0</v>
      </c>
    </row>
    <row r="1505" spans="1:12" x14ac:dyDescent="0.25">
      <c r="A1505">
        <v>2641</v>
      </c>
      <c r="B1505">
        <v>4465.2044329999999</v>
      </c>
      <c r="C1505">
        <v>4465.2044329999999</v>
      </c>
      <c r="D1505">
        <v>0</v>
      </c>
      <c r="E1505">
        <v>2421.189957</v>
      </c>
      <c r="F1505" s="1">
        <v>2.35</v>
      </c>
      <c r="H1505">
        <v>2641</v>
      </c>
      <c r="I1505" t="str">
        <f t="shared" si="46"/>
        <v>YES</v>
      </c>
      <c r="J1505" t="s">
        <v>1511</v>
      </c>
      <c r="K1505">
        <v>871271.96712299995</v>
      </c>
      <c r="L1505">
        <f t="shared" si="47"/>
        <v>0</v>
      </c>
    </row>
    <row r="1506" spans="1:12" x14ac:dyDescent="0.25">
      <c r="A1506">
        <v>2642</v>
      </c>
      <c r="B1506">
        <v>2072.1624470000002</v>
      </c>
      <c r="C1506">
        <v>2072.1624470000002</v>
      </c>
      <c r="D1506">
        <v>0</v>
      </c>
      <c r="E1506">
        <v>2120.0419619999998</v>
      </c>
      <c r="F1506" s="1">
        <v>0.95699999999999996</v>
      </c>
      <c r="H1506">
        <v>2642</v>
      </c>
      <c r="I1506" t="str">
        <f t="shared" si="46"/>
        <v>YES</v>
      </c>
      <c r="J1506" t="s">
        <v>1512</v>
      </c>
      <c r="K1506">
        <v>943156.84832899994</v>
      </c>
      <c r="L1506">
        <f t="shared" si="47"/>
        <v>0</v>
      </c>
    </row>
    <row r="1507" spans="1:12" x14ac:dyDescent="0.25">
      <c r="A1507">
        <v>2643</v>
      </c>
      <c r="B1507">
        <v>1444.037822</v>
      </c>
      <c r="C1507">
        <v>1444.037822</v>
      </c>
      <c r="D1507">
        <v>0</v>
      </c>
      <c r="E1507">
        <v>3690.813897</v>
      </c>
      <c r="F1507" s="1">
        <v>1.1599999999999999</v>
      </c>
      <c r="H1507">
        <v>2643</v>
      </c>
      <c r="I1507" t="str">
        <f t="shared" si="46"/>
        <v>YES</v>
      </c>
      <c r="J1507" t="s">
        <v>1513</v>
      </c>
      <c r="K1507">
        <v>1730984.2658200001</v>
      </c>
      <c r="L1507">
        <f t="shared" si="47"/>
        <v>0</v>
      </c>
    </row>
    <row r="1508" spans="1:12" x14ac:dyDescent="0.25">
      <c r="A1508">
        <v>2646</v>
      </c>
      <c r="B1508">
        <v>4956.4249380000001</v>
      </c>
      <c r="C1508">
        <v>4956.4249380000001</v>
      </c>
      <c r="D1508">
        <v>0</v>
      </c>
      <c r="E1508">
        <v>3194.209848</v>
      </c>
      <c r="F1508" s="1">
        <v>3.45</v>
      </c>
      <c r="H1508">
        <v>2646</v>
      </c>
      <c r="I1508" t="str">
        <f t="shared" si="46"/>
        <v>YES</v>
      </c>
      <c r="J1508" t="s">
        <v>1514</v>
      </c>
      <c r="K1508">
        <v>764965.40702799999</v>
      </c>
      <c r="L1508">
        <f t="shared" si="47"/>
        <v>0</v>
      </c>
    </row>
    <row r="1509" spans="1:12" x14ac:dyDescent="0.25">
      <c r="A1509">
        <v>2647</v>
      </c>
      <c r="B1509">
        <v>8930.063881</v>
      </c>
      <c r="C1509">
        <v>8930.063881</v>
      </c>
      <c r="D1509">
        <v>0</v>
      </c>
      <c r="E1509">
        <v>2285.7441319999998</v>
      </c>
      <c r="F1509" s="1">
        <v>4.4400000000000004</v>
      </c>
      <c r="H1509">
        <v>2647</v>
      </c>
      <c r="I1509" t="str">
        <f t="shared" si="46"/>
        <v>YES</v>
      </c>
      <c r="J1509" t="s">
        <v>1515</v>
      </c>
      <c r="K1509">
        <v>662155.75529400003</v>
      </c>
      <c r="L1509">
        <f t="shared" si="47"/>
        <v>0</v>
      </c>
    </row>
    <row r="1510" spans="1:12" x14ac:dyDescent="0.25">
      <c r="A1510">
        <v>2648</v>
      </c>
      <c r="B1510">
        <v>10606.85801</v>
      </c>
      <c r="C1510">
        <v>10606.85801</v>
      </c>
      <c r="D1510">
        <v>0</v>
      </c>
      <c r="E1510">
        <v>2424.6774740000001</v>
      </c>
      <c r="F1510" s="1">
        <v>5.6</v>
      </c>
      <c r="H1510">
        <v>2648</v>
      </c>
      <c r="I1510" t="str">
        <f t="shared" si="46"/>
        <v>YES</v>
      </c>
      <c r="J1510" t="s">
        <v>1516</v>
      </c>
      <c r="K1510">
        <v>652473.67222900002</v>
      </c>
      <c r="L1510">
        <f t="shared" si="47"/>
        <v>0</v>
      </c>
    </row>
    <row r="1511" spans="1:12" x14ac:dyDescent="0.25">
      <c r="A1511">
        <v>2649</v>
      </c>
      <c r="B1511">
        <v>17965.790529999998</v>
      </c>
      <c r="C1511">
        <v>17965.790529999998</v>
      </c>
      <c r="D1511">
        <v>0</v>
      </c>
      <c r="E1511">
        <v>3763.3685449999998</v>
      </c>
      <c r="F1511" s="1">
        <v>14.7</v>
      </c>
      <c r="H1511">
        <v>2649</v>
      </c>
      <c r="I1511" t="str">
        <f t="shared" si="46"/>
        <v>YES</v>
      </c>
      <c r="J1511" t="s">
        <v>1517</v>
      </c>
      <c r="K1511">
        <v>688289.97178499994</v>
      </c>
      <c r="L1511">
        <f t="shared" si="47"/>
        <v>0</v>
      </c>
    </row>
    <row r="1512" spans="1:12" x14ac:dyDescent="0.25">
      <c r="A1512">
        <v>2652</v>
      </c>
      <c r="B1512">
        <v>32126.06567</v>
      </c>
      <c r="C1512">
        <v>32126.06567</v>
      </c>
      <c r="D1512">
        <v>0</v>
      </c>
      <c r="E1512">
        <v>2118.33563</v>
      </c>
      <c r="F1512" s="1">
        <v>14.8</v>
      </c>
      <c r="H1512">
        <v>2652</v>
      </c>
      <c r="I1512" t="str">
        <f t="shared" si="46"/>
        <v>YES</v>
      </c>
      <c r="J1512" t="s">
        <v>1518</v>
      </c>
      <c r="K1512">
        <v>408562.84294</v>
      </c>
      <c r="L1512">
        <f t="shared" si="47"/>
        <v>0</v>
      </c>
    </row>
    <row r="1513" spans="1:12" x14ac:dyDescent="0.25">
      <c r="A1513">
        <v>2653</v>
      </c>
      <c r="B1513">
        <v>29148.543519999999</v>
      </c>
      <c r="C1513">
        <v>29148.543519999999</v>
      </c>
      <c r="D1513">
        <v>0</v>
      </c>
      <c r="E1513">
        <v>5472.2835720000003</v>
      </c>
      <c r="F1513" s="1">
        <v>34.700000000000003</v>
      </c>
      <c r="H1513">
        <v>2653</v>
      </c>
      <c r="I1513" t="str">
        <f t="shared" si="46"/>
        <v>YES</v>
      </c>
      <c r="J1513" t="s">
        <v>1519</v>
      </c>
      <c r="K1513">
        <v>300586.31619500002</v>
      </c>
      <c r="L1513">
        <f t="shared" si="47"/>
        <v>0</v>
      </c>
    </row>
    <row r="1514" spans="1:12" x14ac:dyDescent="0.25">
      <c r="A1514">
        <v>2654</v>
      </c>
      <c r="B1514">
        <v>15872.29919</v>
      </c>
      <c r="C1514">
        <v>15872.29919</v>
      </c>
      <c r="D1514">
        <v>0</v>
      </c>
      <c r="E1514">
        <v>3536.5027620000001</v>
      </c>
      <c r="F1514" s="1">
        <v>12.2</v>
      </c>
      <c r="H1514">
        <v>2654</v>
      </c>
      <c r="I1514" t="str">
        <f t="shared" si="46"/>
        <v>YES</v>
      </c>
      <c r="J1514" t="s">
        <v>1520</v>
      </c>
      <c r="K1514">
        <v>569185.382247</v>
      </c>
      <c r="L1514">
        <f t="shared" si="47"/>
        <v>0</v>
      </c>
    </row>
    <row r="1515" spans="1:12" x14ac:dyDescent="0.25">
      <c r="A1515">
        <v>2655</v>
      </c>
      <c r="B1515">
        <v>4148.2722059999996</v>
      </c>
      <c r="C1515">
        <v>4148.2722059999996</v>
      </c>
      <c r="D1515">
        <v>0</v>
      </c>
      <c r="E1515">
        <v>3341.5239590000001</v>
      </c>
      <c r="F1515" s="1">
        <v>3.02</v>
      </c>
      <c r="H1515">
        <v>2655</v>
      </c>
      <c r="I1515" t="str">
        <f t="shared" si="46"/>
        <v>YES</v>
      </c>
      <c r="J1515" t="s">
        <v>1521</v>
      </c>
      <c r="K1515">
        <v>992405.92094900005</v>
      </c>
      <c r="L1515">
        <f t="shared" si="47"/>
        <v>0</v>
      </c>
    </row>
    <row r="1516" spans="1:12" x14ac:dyDescent="0.25">
      <c r="A1516">
        <v>2656</v>
      </c>
      <c r="B1516">
        <v>6972.6067750000002</v>
      </c>
      <c r="C1516">
        <v>6972.6067750000002</v>
      </c>
      <c r="D1516">
        <v>0</v>
      </c>
      <c r="E1516">
        <v>1396.899017</v>
      </c>
      <c r="F1516" s="1">
        <v>2.12</v>
      </c>
      <c r="H1516">
        <v>2656</v>
      </c>
      <c r="I1516" t="str">
        <f t="shared" si="46"/>
        <v>YES</v>
      </c>
      <c r="J1516" t="s">
        <v>1522</v>
      </c>
      <c r="K1516">
        <v>414715.19304599997</v>
      </c>
      <c r="L1516">
        <f t="shared" si="47"/>
        <v>0</v>
      </c>
    </row>
    <row r="1517" spans="1:12" x14ac:dyDescent="0.25">
      <c r="A1517">
        <v>2657</v>
      </c>
      <c r="B1517">
        <v>6076.5165429999997</v>
      </c>
      <c r="C1517">
        <v>6076.5165429999997</v>
      </c>
      <c r="D1517">
        <v>0</v>
      </c>
      <c r="E1517">
        <v>2227.3034429999998</v>
      </c>
      <c r="F1517" s="1">
        <v>2.95</v>
      </c>
      <c r="H1517">
        <v>2657</v>
      </c>
      <c r="I1517" t="str">
        <f t="shared" si="46"/>
        <v>YES</v>
      </c>
      <c r="J1517" t="s">
        <v>1523</v>
      </c>
      <c r="K1517">
        <v>610009.00458800001</v>
      </c>
      <c r="L1517">
        <f t="shared" si="47"/>
        <v>0</v>
      </c>
    </row>
    <row r="1518" spans="1:12" x14ac:dyDescent="0.25">
      <c r="A1518">
        <v>2658</v>
      </c>
      <c r="B1518">
        <v>2548.6185070000001</v>
      </c>
      <c r="C1518">
        <v>2548.6185070000001</v>
      </c>
      <c r="D1518">
        <v>0</v>
      </c>
      <c r="E1518">
        <v>1594.860416</v>
      </c>
      <c r="F1518" s="1">
        <v>0.88500000000000001</v>
      </c>
      <c r="H1518">
        <v>2658</v>
      </c>
      <c r="I1518" t="str">
        <f t="shared" si="46"/>
        <v>YES</v>
      </c>
      <c r="J1518" t="s">
        <v>1524</v>
      </c>
      <c r="K1518">
        <v>796086.87241499999</v>
      </c>
      <c r="L1518">
        <f t="shared" si="47"/>
        <v>0</v>
      </c>
    </row>
    <row r="1519" spans="1:12" x14ac:dyDescent="0.25">
      <c r="A1519">
        <v>2659</v>
      </c>
      <c r="B1519">
        <v>1912.127984</v>
      </c>
      <c r="C1519">
        <v>1912.127984</v>
      </c>
      <c r="D1519">
        <v>0</v>
      </c>
      <c r="E1519">
        <v>301.36916259999998</v>
      </c>
      <c r="F1519" s="1">
        <v>0.125</v>
      </c>
      <c r="H1519">
        <v>2659</v>
      </c>
      <c r="I1519" t="str">
        <f t="shared" si="46"/>
        <v>YES</v>
      </c>
      <c r="J1519" t="s">
        <v>1525</v>
      </c>
      <c r="K1519">
        <v>1037947.68003</v>
      </c>
      <c r="L1519">
        <f t="shared" si="47"/>
        <v>0</v>
      </c>
    </row>
    <row r="1520" spans="1:12" x14ac:dyDescent="0.25">
      <c r="A1520">
        <v>2660</v>
      </c>
      <c r="B1520">
        <v>3014.1024189999998</v>
      </c>
      <c r="C1520">
        <v>3014.1024189999998</v>
      </c>
      <c r="D1520">
        <v>0</v>
      </c>
      <c r="E1520">
        <v>2516.2108250000001</v>
      </c>
      <c r="F1520" s="1">
        <v>1.65</v>
      </c>
      <c r="H1520">
        <v>2660</v>
      </c>
      <c r="I1520" t="str">
        <f t="shared" si="46"/>
        <v>YES</v>
      </c>
      <c r="J1520" t="s">
        <v>1526</v>
      </c>
      <c r="K1520">
        <v>1109646.85359</v>
      </c>
      <c r="L1520">
        <f t="shared" si="47"/>
        <v>0</v>
      </c>
    </row>
    <row r="1521" spans="1:12" x14ac:dyDescent="0.25">
      <c r="A1521">
        <v>2699</v>
      </c>
      <c r="B1521">
        <v>64730.126279999997</v>
      </c>
      <c r="C1521">
        <v>64730.126279999997</v>
      </c>
      <c r="D1521">
        <v>0</v>
      </c>
      <c r="E1521">
        <v>725.14535290000003</v>
      </c>
      <c r="F1521" s="1">
        <v>10.199999999999999</v>
      </c>
      <c r="H1521">
        <v>2699</v>
      </c>
      <c r="I1521" t="str">
        <f t="shared" si="46"/>
        <v>YES</v>
      </c>
      <c r="J1521" t="s">
        <v>1527</v>
      </c>
      <c r="K1521">
        <v>155994.82266800001</v>
      </c>
      <c r="L1521">
        <f t="shared" si="47"/>
        <v>0</v>
      </c>
    </row>
    <row r="1522" spans="1:12" x14ac:dyDescent="0.25">
      <c r="A1522">
        <v>2700</v>
      </c>
      <c r="B1522">
        <v>29707.486400000002</v>
      </c>
      <c r="C1522">
        <v>29707.486400000002</v>
      </c>
      <c r="D1522">
        <v>0</v>
      </c>
      <c r="E1522">
        <v>1878.9419109999999</v>
      </c>
      <c r="F1522" s="1">
        <v>12.2</v>
      </c>
      <c r="H1522">
        <v>2700</v>
      </c>
      <c r="I1522" t="str">
        <f t="shared" si="46"/>
        <v>YES</v>
      </c>
      <c r="J1522" t="s">
        <v>1528</v>
      </c>
      <c r="K1522">
        <v>160402.186342</v>
      </c>
      <c r="L1522">
        <f t="shared" si="47"/>
        <v>0</v>
      </c>
    </row>
    <row r="1523" spans="1:12" x14ac:dyDescent="0.25">
      <c r="A1523">
        <v>2701</v>
      </c>
      <c r="B1523">
        <v>22674.325700000001</v>
      </c>
      <c r="C1523">
        <v>22674.325700000001</v>
      </c>
      <c r="D1523">
        <v>0</v>
      </c>
      <c r="E1523">
        <v>1875.9404059999999</v>
      </c>
      <c r="F1523" s="1">
        <v>9.26</v>
      </c>
      <c r="H1523">
        <v>2701</v>
      </c>
      <c r="I1523" t="str">
        <f t="shared" si="46"/>
        <v>YES</v>
      </c>
      <c r="J1523" t="s">
        <v>1529</v>
      </c>
      <c r="K1523">
        <v>514747.92593999999</v>
      </c>
      <c r="L1523">
        <f t="shared" si="47"/>
        <v>0</v>
      </c>
    </row>
    <row r="1524" spans="1:12" x14ac:dyDescent="0.25">
      <c r="A1524">
        <v>2702</v>
      </c>
      <c r="B1524">
        <v>425740.00020000001</v>
      </c>
      <c r="C1524">
        <v>425740.00020000001</v>
      </c>
      <c r="D1524">
        <v>0</v>
      </c>
      <c r="E1524">
        <v>2775.804459</v>
      </c>
      <c r="F1524" s="1">
        <v>257</v>
      </c>
      <c r="H1524">
        <v>2702</v>
      </c>
      <c r="I1524" t="str">
        <f t="shared" si="46"/>
        <v>YES</v>
      </c>
      <c r="J1524" t="s">
        <v>1530</v>
      </c>
      <c r="K1524">
        <v>105987.235156</v>
      </c>
      <c r="L1524">
        <f t="shared" si="47"/>
        <v>0</v>
      </c>
    </row>
    <row r="1525" spans="1:12" x14ac:dyDescent="0.25">
      <c r="A1525">
        <v>2703</v>
      </c>
      <c r="B1525">
        <v>8388.5535469999995</v>
      </c>
      <c r="C1525">
        <v>8388.5535469999995</v>
      </c>
      <c r="D1525">
        <v>0</v>
      </c>
      <c r="E1525">
        <v>2198.101889</v>
      </c>
      <c r="F1525" s="1">
        <v>4.01</v>
      </c>
      <c r="H1525">
        <v>2703</v>
      </c>
      <c r="I1525" t="str">
        <f t="shared" si="46"/>
        <v>YES</v>
      </c>
      <c r="J1525" t="s">
        <v>1531</v>
      </c>
      <c r="K1525">
        <v>405370.56475700001</v>
      </c>
      <c r="L1525">
        <f t="shared" si="47"/>
        <v>0</v>
      </c>
    </row>
    <row r="1526" spans="1:12" x14ac:dyDescent="0.25">
      <c r="A1526">
        <v>2704</v>
      </c>
      <c r="B1526">
        <v>25825.07764</v>
      </c>
      <c r="C1526">
        <v>25825.07764</v>
      </c>
      <c r="D1526">
        <v>0</v>
      </c>
      <c r="E1526">
        <v>1205.656565</v>
      </c>
      <c r="F1526" s="1">
        <v>6.78</v>
      </c>
      <c r="H1526">
        <v>2704</v>
      </c>
      <c r="I1526" t="str">
        <f t="shared" si="46"/>
        <v>YES</v>
      </c>
      <c r="J1526" t="s">
        <v>1532</v>
      </c>
      <c r="K1526">
        <v>202431.39269099999</v>
      </c>
      <c r="L1526">
        <f t="shared" si="47"/>
        <v>0</v>
      </c>
    </row>
    <row r="1527" spans="1:12" x14ac:dyDescent="0.25">
      <c r="A1527">
        <v>2705</v>
      </c>
      <c r="B1527">
        <v>29013.265749999999</v>
      </c>
      <c r="C1527">
        <v>29013.265749999999</v>
      </c>
      <c r="D1527">
        <v>0</v>
      </c>
      <c r="E1527">
        <v>3480.6140180000002</v>
      </c>
      <c r="F1527" s="1">
        <v>22</v>
      </c>
      <c r="H1527">
        <v>2705</v>
      </c>
      <c r="I1527" t="str">
        <f t="shared" si="46"/>
        <v>YES</v>
      </c>
      <c r="J1527" t="s">
        <v>1533</v>
      </c>
      <c r="K1527">
        <v>301450.76007800002</v>
      </c>
      <c r="L1527">
        <f t="shared" si="47"/>
        <v>0</v>
      </c>
    </row>
    <row r="1528" spans="1:12" x14ac:dyDescent="0.25">
      <c r="A1528">
        <v>2706</v>
      </c>
      <c r="B1528">
        <v>5434.3672429999997</v>
      </c>
      <c r="C1528">
        <v>5434.3672429999997</v>
      </c>
      <c r="D1528">
        <v>0</v>
      </c>
      <c r="E1528">
        <v>564.95632880000005</v>
      </c>
      <c r="F1528" s="1">
        <v>0.66800000000000004</v>
      </c>
      <c r="H1528">
        <v>2706</v>
      </c>
      <c r="I1528" t="str">
        <f t="shared" si="46"/>
        <v>YES</v>
      </c>
      <c r="J1528" t="s">
        <v>1534</v>
      </c>
      <c r="K1528">
        <v>164465.22595299999</v>
      </c>
      <c r="L1528">
        <f t="shared" si="47"/>
        <v>0</v>
      </c>
    </row>
    <row r="1529" spans="1:12" x14ac:dyDescent="0.25">
      <c r="A1529">
        <v>2707</v>
      </c>
      <c r="B1529">
        <v>21956.945090000001</v>
      </c>
      <c r="C1529">
        <v>21956.945090000001</v>
      </c>
      <c r="D1529">
        <v>0</v>
      </c>
      <c r="E1529">
        <v>1529.45902</v>
      </c>
      <c r="F1529" s="1">
        <v>7.31</v>
      </c>
      <c r="H1529">
        <v>2707</v>
      </c>
      <c r="I1529" t="str">
        <f t="shared" si="46"/>
        <v>YES</v>
      </c>
      <c r="J1529" t="s">
        <v>1535</v>
      </c>
      <c r="K1529">
        <v>305454.06292400003</v>
      </c>
      <c r="L1529">
        <f t="shared" si="47"/>
        <v>0</v>
      </c>
    </row>
    <row r="1530" spans="1:12" x14ac:dyDescent="0.25">
      <c r="A1530">
        <v>2708</v>
      </c>
      <c r="B1530">
        <v>1204.829164</v>
      </c>
      <c r="C1530">
        <v>1204.829164</v>
      </c>
      <c r="D1530">
        <v>0</v>
      </c>
      <c r="E1530" s="1">
        <v>9.7399999999999996E-5</v>
      </c>
      <c r="F1530" s="1">
        <v>2.5600000000000001E-8</v>
      </c>
      <c r="H1530">
        <v>2708</v>
      </c>
      <c r="I1530" t="str">
        <f t="shared" si="46"/>
        <v>YES</v>
      </c>
      <c r="J1530" t="s">
        <v>1536</v>
      </c>
      <c r="K1530">
        <v>457569.32583699998</v>
      </c>
      <c r="L1530">
        <f t="shared" si="47"/>
        <v>0</v>
      </c>
    </row>
    <row r="1531" spans="1:12" x14ac:dyDescent="0.25">
      <c r="A1531">
        <v>2709</v>
      </c>
      <c r="B1531">
        <v>3819.1996720000002</v>
      </c>
      <c r="C1531">
        <v>3819.1996720000002</v>
      </c>
      <c r="D1531">
        <v>0</v>
      </c>
      <c r="E1531">
        <v>764.38324120000004</v>
      </c>
      <c r="F1531" s="1">
        <v>0.63600000000000001</v>
      </c>
      <c r="H1531">
        <v>2709</v>
      </c>
      <c r="I1531" t="str">
        <f t="shared" si="46"/>
        <v>YES</v>
      </c>
      <c r="J1531" t="s">
        <v>1537</v>
      </c>
      <c r="K1531">
        <v>471797.24013300001</v>
      </c>
      <c r="L1531">
        <f t="shared" si="47"/>
        <v>0</v>
      </c>
    </row>
    <row r="1532" spans="1:12" x14ac:dyDescent="0.25">
      <c r="A1532">
        <v>2710</v>
      </c>
      <c r="B1532">
        <v>3940.2162619999999</v>
      </c>
      <c r="C1532">
        <v>3940.2162619999999</v>
      </c>
      <c r="D1532">
        <v>0</v>
      </c>
      <c r="E1532">
        <v>1561.4729480000001</v>
      </c>
      <c r="F1532" s="1">
        <v>1.34</v>
      </c>
      <c r="H1532">
        <v>2710</v>
      </c>
      <c r="I1532" t="str">
        <f t="shared" si="46"/>
        <v>YES</v>
      </c>
      <c r="J1532" t="s">
        <v>1538</v>
      </c>
      <c r="K1532">
        <v>314649.01484800002</v>
      </c>
      <c r="L1532">
        <f t="shared" si="47"/>
        <v>0</v>
      </c>
    </row>
    <row r="1533" spans="1:12" x14ac:dyDescent="0.25">
      <c r="A1533">
        <v>2711</v>
      </c>
      <c r="B1533">
        <v>12224.387290000001</v>
      </c>
      <c r="C1533">
        <v>12224.387290000001</v>
      </c>
      <c r="D1533">
        <v>0</v>
      </c>
      <c r="E1533">
        <v>1389.275128</v>
      </c>
      <c r="F1533" s="1">
        <v>3.7</v>
      </c>
      <c r="H1533">
        <v>2711</v>
      </c>
      <c r="I1533" t="str">
        <f t="shared" si="46"/>
        <v>YES</v>
      </c>
      <c r="J1533" t="s">
        <v>1539</v>
      </c>
      <c r="K1533">
        <v>248891.384425</v>
      </c>
      <c r="L1533">
        <f t="shared" si="47"/>
        <v>0</v>
      </c>
    </row>
    <row r="1534" spans="1:12" x14ac:dyDescent="0.25">
      <c r="A1534">
        <v>2712</v>
      </c>
      <c r="B1534">
        <v>17029.880929999999</v>
      </c>
      <c r="C1534">
        <v>17029.880929999999</v>
      </c>
      <c r="D1534">
        <v>0</v>
      </c>
      <c r="E1534">
        <v>1115.0011</v>
      </c>
      <c r="F1534" s="1">
        <v>4.13</v>
      </c>
      <c r="H1534">
        <v>2712</v>
      </c>
      <c r="I1534" t="str">
        <f t="shared" si="46"/>
        <v>YES</v>
      </c>
      <c r="J1534" t="s">
        <v>1540</v>
      </c>
      <c r="K1534">
        <v>245824.89329499999</v>
      </c>
      <c r="L1534">
        <f t="shared" si="47"/>
        <v>0</v>
      </c>
    </row>
    <row r="1535" spans="1:12" x14ac:dyDescent="0.25">
      <c r="A1535">
        <v>2713</v>
      </c>
      <c r="B1535">
        <v>12380.487789999999</v>
      </c>
      <c r="C1535">
        <v>12380.487789999999</v>
      </c>
      <c r="D1535">
        <v>0</v>
      </c>
      <c r="E1535">
        <v>1778.247539</v>
      </c>
      <c r="F1535" s="1">
        <v>4.79</v>
      </c>
      <c r="H1535">
        <v>2713</v>
      </c>
      <c r="I1535" t="str">
        <f t="shared" si="46"/>
        <v>YES</v>
      </c>
      <c r="J1535" t="s">
        <v>1541</v>
      </c>
      <c r="K1535">
        <v>929241.48372300004</v>
      </c>
      <c r="L1535">
        <f t="shared" si="47"/>
        <v>0</v>
      </c>
    </row>
    <row r="1536" spans="1:12" x14ac:dyDescent="0.25">
      <c r="A1536">
        <v>2716</v>
      </c>
      <c r="B1536">
        <v>6936.658171</v>
      </c>
      <c r="C1536">
        <v>6936.658171</v>
      </c>
      <c r="D1536">
        <v>0</v>
      </c>
      <c r="E1536">
        <v>1592.983365</v>
      </c>
      <c r="F1536" s="1">
        <v>2.41</v>
      </c>
      <c r="H1536">
        <v>2716</v>
      </c>
      <c r="I1536" t="str">
        <f t="shared" ref="I1536:I1599" si="48">IF(A1536=H1536,"YES","NO")</f>
        <v>YES</v>
      </c>
      <c r="J1536" t="s">
        <v>1542</v>
      </c>
      <c r="K1536">
        <v>376793.00787799997</v>
      </c>
      <c r="L1536">
        <f t="shared" si="47"/>
        <v>0</v>
      </c>
    </row>
    <row r="1537" spans="1:12" x14ac:dyDescent="0.25">
      <c r="A1537">
        <v>2717</v>
      </c>
      <c r="B1537">
        <v>4989.0788549999997</v>
      </c>
      <c r="C1537">
        <v>4989.0788549999997</v>
      </c>
      <c r="D1537">
        <v>0</v>
      </c>
      <c r="E1537">
        <v>2324.254844</v>
      </c>
      <c r="F1537" s="1">
        <v>2.52</v>
      </c>
      <c r="H1537">
        <v>2717</v>
      </c>
      <c r="I1537" t="str">
        <f t="shared" si="48"/>
        <v>YES</v>
      </c>
      <c r="J1537" t="s">
        <v>1543</v>
      </c>
      <c r="K1537">
        <v>568019.94479700003</v>
      </c>
      <c r="L1537">
        <f t="shared" si="47"/>
        <v>0</v>
      </c>
    </row>
    <row r="1538" spans="1:12" x14ac:dyDescent="0.25">
      <c r="A1538">
        <v>2718</v>
      </c>
      <c r="B1538">
        <v>20193.95796</v>
      </c>
      <c r="C1538">
        <v>20193.95796</v>
      </c>
      <c r="D1538">
        <v>0</v>
      </c>
      <c r="E1538">
        <v>2870.8897820000002</v>
      </c>
      <c r="F1538" s="1">
        <v>12.6</v>
      </c>
      <c r="H1538">
        <v>2718</v>
      </c>
      <c r="I1538" t="str">
        <f t="shared" si="48"/>
        <v>YES</v>
      </c>
      <c r="J1538" t="s">
        <v>1544</v>
      </c>
      <c r="K1538">
        <v>661505.18278300005</v>
      </c>
      <c r="L1538">
        <f t="shared" si="47"/>
        <v>0</v>
      </c>
    </row>
    <row r="1539" spans="1:12" x14ac:dyDescent="0.25">
      <c r="A1539">
        <v>2719</v>
      </c>
      <c r="B1539">
        <v>13285.99884</v>
      </c>
      <c r="C1539">
        <v>13285.99884</v>
      </c>
      <c r="D1539">
        <v>0</v>
      </c>
      <c r="E1539">
        <v>3181.294946</v>
      </c>
      <c r="F1539" s="1">
        <v>9.1999999999999993</v>
      </c>
      <c r="H1539">
        <v>2719</v>
      </c>
      <c r="I1539" t="str">
        <f t="shared" si="48"/>
        <v>YES</v>
      </c>
      <c r="J1539" t="s">
        <v>1545</v>
      </c>
      <c r="K1539">
        <v>407460.665141</v>
      </c>
      <c r="L1539">
        <f t="shared" ref="L1539:L1602" si="49">EXP(0.2052)*K1539*(D1539/C1539)</f>
        <v>0</v>
      </c>
    </row>
    <row r="1540" spans="1:12" x14ac:dyDescent="0.25">
      <c r="A1540">
        <v>2720</v>
      </c>
      <c r="B1540">
        <v>15504.891949999999</v>
      </c>
      <c r="C1540">
        <v>15504.891949999999</v>
      </c>
      <c r="D1540">
        <v>0</v>
      </c>
      <c r="E1540">
        <v>3562.7448119999999</v>
      </c>
      <c r="F1540" s="1">
        <v>12</v>
      </c>
      <c r="H1540">
        <v>2720</v>
      </c>
      <c r="I1540" t="str">
        <f t="shared" si="48"/>
        <v>YES</v>
      </c>
      <c r="J1540" t="s">
        <v>1546</v>
      </c>
      <c r="K1540">
        <v>970138.49592599995</v>
      </c>
      <c r="L1540">
        <f t="shared" si="49"/>
        <v>0</v>
      </c>
    </row>
    <row r="1541" spans="1:12" x14ac:dyDescent="0.25">
      <c r="A1541">
        <v>2721</v>
      </c>
      <c r="B1541">
        <v>11026.39481</v>
      </c>
      <c r="C1541">
        <v>11026.39481</v>
      </c>
      <c r="D1541">
        <v>0</v>
      </c>
      <c r="E1541">
        <v>1780.216471</v>
      </c>
      <c r="F1541" s="1">
        <v>4.2699999999999996</v>
      </c>
      <c r="H1541">
        <v>2721</v>
      </c>
      <c r="I1541" t="str">
        <f t="shared" si="48"/>
        <v>YES</v>
      </c>
      <c r="J1541" t="s">
        <v>1547</v>
      </c>
      <c r="K1541">
        <v>392666.52958999999</v>
      </c>
      <c r="L1541">
        <f t="shared" si="49"/>
        <v>0</v>
      </c>
    </row>
    <row r="1542" spans="1:12" x14ac:dyDescent="0.25">
      <c r="A1542">
        <v>2722</v>
      </c>
      <c r="B1542">
        <v>18800.202929999999</v>
      </c>
      <c r="C1542">
        <v>18800.202929999999</v>
      </c>
      <c r="D1542">
        <v>0</v>
      </c>
      <c r="E1542">
        <v>2802.1602250000001</v>
      </c>
      <c r="F1542" s="1">
        <v>11.5</v>
      </c>
      <c r="H1542">
        <v>2722</v>
      </c>
      <c r="I1542" t="str">
        <f t="shared" si="48"/>
        <v>YES</v>
      </c>
      <c r="J1542" t="s">
        <v>1548</v>
      </c>
      <c r="K1542">
        <v>465671.392536</v>
      </c>
      <c r="L1542">
        <f t="shared" si="49"/>
        <v>0</v>
      </c>
    </row>
    <row r="1543" spans="1:12" x14ac:dyDescent="0.25">
      <c r="A1543">
        <v>2723</v>
      </c>
      <c r="B1543">
        <v>36084.583630000001</v>
      </c>
      <c r="C1543">
        <v>36084.583630000001</v>
      </c>
      <c r="D1543">
        <v>0</v>
      </c>
      <c r="E1543">
        <v>4019.0037659999998</v>
      </c>
      <c r="F1543" s="1">
        <v>31.6</v>
      </c>
      <c r="H1543">
        <v>2723</v>
      </c>
      <c r="I1543" t="str">
        <f t="shared" si="48"/>
        <v>YES</v>
      </c>
      <c r="J1543" t="s">
        <v>1549</v>
      </c>
      <c r="K1543">
        <v>388225.78597999999</v>
      </c>
      <c r="L1543">
        <f t="shared" si="49"/>
        <v>0</v>
      </c>
    </row>
    <row r="1544" spans="1:12" x14ac:dyDescent="0.25">
      <c r="A1544">
        <v>2724</v>
      </c>
      <c r="B1544">
        <v>23823.465800000002</v>
      </c>
      <c r="C1544">
        <v>23823.465800000002</v>
      </c>
      <c r="D1544">
        <v>0</v>
      </c>
      <c r="E1544">
        <v>2552.1750510000002</v>
      </c>
      <c r="F1544" s="1">
        <v>13.2</v>
      </c>
      <c r="H1544">
        <v>2724</v>
      </c>
      <c r="I1544" t="str">
        <f t="shared" si="48"/>
        <v>YES</v>
      </c>
      <c r="J1544" t="s">
        <v>1550</v>
      </c>
      <c r="K1544">
        <v>567994.38203700003</v>
      </c>
      <c r="L1544">
        <f t="shared" si="49"/>
        <v>0</v>
      </c>
    </row>
    <row r="1545" spans="1:12" x14ac:dyDescent="0.25">
      <c r="A1545">
        <v>2725</v>
      </c>
      <c r="B1545">
        <v>32112.014429999999</v>
      </c>
      <c r="C1545">
        <v>32112.014429999999</v>
      </c>
      <c r="D1545">
        <v>0</v>
      </c>
      <c r="E1545">
        <v>3230.276738</v>
      </c>
      <c r="F1545" s="1">
        <v>22.6</v>
      </c>
      <c r="H1545">
        <v>2725</v>
      </c>
      <c r="I1545" t="str">
        <f t="shared" si="48"/>
        <v>YES</v>
      </c>
      <c r="J1545" t="s">
        <v>1551</v>
      </c>
      <c r="K1545">
        <v>470213.93192499998</v>
      </c>
      <c r="L1545">
        <f t="shared" si="49"/>
        <v>0</v>
      </c>
    </row>
    <row r="1546" spans="1:12" x14ac:dyDescent="0.25">
      <c r="A1546">
        <v>2728</v>
      </c>
      <c r="B1546">
        <v>7561.3926179999999</v>
      </c>
      <c r="C1546">
        <v>7561.3926179999999</v>
      </c>
      <c r="D1546">
        <v>0</v>
      </c>
      <c r="E1546">
        <v>2368.3996969999998</v>
      </c>
      <c r="F1546" s="1">
        <v>3.9</v>
      </c>
      <c r="H1546">
        <v>2728</v>
      </c>
      <c r="I1546" t="str">
        <f t="shared" si="48"/>
        <v>YES</v>
      </c>
      <c r="J1546" t="s">
        <v>1552</v>
      </c>
      <c r="K1546">
        <v>746913.794612</v>
      </c>
      <c r="L1546">
        <f t="shared" si="49"/>
        <v>0</v>
      </c>
    </row>
    <row r="1547" spans="1:12" x14ac:dyDescent="0.25">
      <c r="A1547">
        <v>2729</v>
      </c>
      <c r="B1547">
        <v>18597.072759999999</v>
      </c>
      <c r="C1547">
        <v>18597.072759999999</v>
      </c>
      <c r="D1547">
        <v>0</v>
      </c>
      <c r="E1547">
        <v>1838.5933399999999</v>
      </c>
      <c r="F1547" s="1">
        <v>7.44</v>
      </c>
      <c r="H1547">
        <v>2729</v>
      </c>
      <c r="I1547" t="str">
        <f t="shared" si="48"/>
        <v>YES</v>
      </c>
      <c r="J1547" t="s">
        <v>1553</v>
      </c>
      <c r="K1547">
        <v>571960.68718100002</v>
      </c>
      <c r="L1547">
        <f t="shared" si="49"/>
        <v>0</v>
      </c>
    </row>
    <row r="1548" spans="1:12" x14ac:dyDescent="0.25">
      <c r="A1548">
        <v>2730</v>
      </c>
      <c r="B1548">
        <v>8524.568894</v>
      </c>
      <c r="C1548">
        <v>8524.568894</v>
      </c>
      <c r="D1548">
        <v>0</v>
      </c>
      <c r="E1548">
        <v>2939.2947250000002</v>
      </c>
      <c r="F1548" s="1">
        <v>5.46</v>
      </c>
      <c r="H1548">
        <v>2730</v>
      </c>
      <c r="I1548" t="str">
        <f t="shared" si="48"/>
        <v>YES</v>
      </c>
      <c r="J1548" t="s">
        <v>1554</v>
      </c>
      <c r="K1548">
        <v>848304.84769099997</v>
      </c>
      <c r="L1548">
        <f t="shared" si="49"/>
        <v>0</v>
      </c>
    </row>
    <row r="1549" spans="1:12" x14ac:dyDescent="0.25">
      <c r="A1549">
        <v>2731</v>
      </c>
      <c r="B1549">
        <v>9251.2660410000008</v>
      </c>
      <c r="C1549">
        <v>9251.2660410000008</v>
      </c>
      <c r="D1549">
        <v>0</v>
      </c>
      <c r="E1549">
        <v>2084.1939320000001</v>
      </c>
      <c r="F1549" s="1">
        <v>4.2</v>
      </c>
      <c r="H1549">
        <v>2731</v>
      </c>
      <c r="I1549" t="str">
        <f t="shared" si="48"/>
        <v>YES</v>
      </c>
      <c r="J1549" t="s">
        <v>1555</v>
      </c>
      <c r="K1549">
        <v>503617.58560599998</v>
      </c>
      <c r="L1549">
        <f t="shared" si="49"/>
        <v>0</v>
      </c>
    </row>
    <row r="1550" spans="1:12" x14ac:dyDescent="0.25">
      <c r="A1550">
        <v>2732</v>
      </c>
      <c r="B1550">
        <v>14081.61716</v>
      </c>
      <c r="C1550">
        <v>14081.61716</v>
      </c>
      <c r="D1550">
        <v>0</v>
      </c>
      <c r="E1550">
        <v>2538.1491500000002</v>
      </c>
      <c r="F1550" s="1">
        <v>7.78</v>
      </c>
      <c r="H1550">
        <v>2732</v>
      </c>
      <c r="I1550" t="str">
        <f t="shared" si="48"/>
        <v>YES</v>
      </c>
      <c r="J1550" t="s">
        <v>1556</v>
      </c>
      <c r="K1550">
        <v>712685.967817</v>
      </c>
      <c r="L1550">
        <f t="shared" si="49"/>
        <v>0</v>
      </c>
    </row>
    <row r="1551" spans="1:12" x14ac:dyDescent="0.25">
      <c r="A1551">
        <v>2733</v>
      </c>
      <c r="B1551">
        <v>4618.554016</v>
      </c>
      <c r="C1551">
        <v>4618.554016</v>
      </c>
      <c r="D1551">
        <v>0</v>
      </c>
      <c r="E1551">
        <v>1530.369156</v>
      </c>
      <c r="F1551" s="1">
        <v>1.54</v>
      </c>
      <c r="H1551">
        <v>2733</v>
      </c>
      <c r="I1551" t="str">
        <f t="shared" si="48"/>
        <v>YES</v>
      </c>
      <c r="J1551" t="s">
        <v>1557</v>
      </c>
      <c r="K1551">
        <v>396951.81870100001</v>
      </c>
      <c r="L1551">
        <f t="shared" si="49"/>
        <v>0</v>
      </c>
    </row>
    <row r="1552" spans="1:12" x14ac:dyDescent="0.25">
      <c r="A1552">
        <v>2736</v>
      </c>
      <c r="B1552">
        <v>39128.527220000004</v>
      </c>
      <c r="C1552">
        <v>39128.527220000004</v>
      </c>
      <c r="D1552">
        <v>0</v>
      </c>
      <c r="E1552">
        <v>3801.6660019999999</v>
      </c>
      <c r="F1552" s="1">
        <v>32.4</v>
      </c>
      <c r="H1552">
        <v>2736</v>
      </c>
      <c r="I1552" t="str">
        <f t="shared" si="48"/>
        <v>YES</v>
      </c>
      <c r="J1552" t="s">
        <v>1558</v>
      </c>
      <c r="K1552">
        <v>425300.91337099997</v>
      </c>
      <c r="L1552">
        <f t="shared" si="49"/>
        <v>0</v>
      </c>
    </row>
    <row r="1553" spans="1:12" x14ac:dyDescent="0.25">
      <c r="A1553">
        <v>2737</v>
      </c>
      <c r="B1553">
        <v>22221.072069999998</v>
      </c>
      <c r="C1553">
        <v>22221.072069999998</v>
      </c>
      <c r="D1553">
        <v>0</v>
      </c>
      <c r="E1553">
        <v>2930.5634570000002</v>
      </c>
      <c r="F1553" s="1">
        <v>14.2</v>
      </c>
      <c r="H1553">
        <v>2737</v>
      </c>
      <c r="I1553" t="str">
        <f t="shared" si="48"/>
        <v>YES</v>
      </c>
      <c r="J1553" t="s">
        <v>1559</v>
      </c>
      <c r="K1553">
        <v>257860.71463599999</v>
      </c>
      <c r="L1553">
        <f t="shared" si="49"/>
        <v>0</v>
      </c>
    </row>
    <row r="1554" spans="1:12" x14ac:dyDescent="0.25">
      <c r="A1554">
        <v>2738</v>
      </c>
      <c r="B1554">
        <v>22449.219239999999</v>
      </c>
      <c r="C1554">
        <v>22449.219239999999</v>
      </c>
      <c r="D1554">
        <v>0</v>
      </c>
      <c r="E1554">
        <v>2416.1742570000001</v>
      </c>
      <c r="F1554" s="1">
        <v>11.8</v>
      </c>
      <c r="H1554">
        <v>2738</v>
      </c>
      <c r="I1554" t="str">
        <f t="shared" si="48"/>
        <v>YES</v>
      </c>
      <c r="J1554" t="s">
        <v>1560</v>
      </c>
      <c r="K1554">
        <v>379841.29645899998</v>
      </c>
      <c r="L1554">
        <f t="shared" si="49"/>
        <v>0</v>
      </c>
    </row>
    <row r="1555" spans="1:12" x14ac:dyDescent="0.25">
      <c r="A1555">
        <v>2739</v>
      </c>
      <c r="B1555">
        <v>16946.8109</v>
      </c>
      <c r="C1555">
        <v>16946.8109</v>
      </c>
      <c r="D1555">
        <v>0</v>
      </c>
      <c r="E1555">
        <v>1430.786918</v>
      </c>
      <c r="F1555" s="1">
        <v>5.28</v>
      </c>
      <c r="H1555">
        <v>2739</v>
      </c>
      <c r="I1555" t="str">
        <f t="shared" si="48"/>
        <v>YES</v>
      </c>
      <c r="J1555" t="s">
        <v>1561</v>
      </c>
      <c r="K1555">
        <v>597477.79687399999</v>
      </c>
      <c r="L1555">
        <f t="shared" si="49"/>
        <v>0</v>
      </c>
    </row>
    <row r="1556" spans="1:12" x14ac:dyDescent="0.25">
      <c r="A1556">
        <v>2740</v>
      </c>
      <c r="B1556">
        <v>22907.432280000001</v>
      </c>
      <c r="C1556">
        <v>22907.432280000001</v>
      </c>
      <c r="D1556">
        <v>0</v>
      </c>
      <c r="E1556">
        <v>414.93827649999997</v>
      </c>
      <c r="F1556" s="1">
        <v>2.0699999999999998</v>
      </c>
      <c r="H1556">
        <v>2740</v>
      </c>
      <c r="I1556" t="str">
        <f t="shared" si="48"/>
        <v>YES</v>
      </c>
      <c r="J1556" t="s">
        <v>1562</v>
      </c>
      <c r="K1556">
        <v>107430.452768</v>
      </c>
      <c r="L1556">
        <f t="shared" si="49"/>
        <v>0</v>
      </c>
    </row>
    <row r="1557" spans="1:12" x14ac:dyDescent="0.25">
      <c r="A1557">
        <v>2741</v>
      </c>
      <c r="B1557">
        <v>16569.181329999999</v>
      </c>
      <c r="C1557">
        <v>16569.181329999999</v>
      </c>
      <c r="D1557">
        <v>0</v>
      </c>
      <c r="E1557">
        <v>865.87108890000002</v>
      </c>
      <c r="F1557" s="1">
        <v>3.12</v>
      </c>
      <c r="H1557">
        <v>2741</v>
      </c>
      <c r="I1557" t="str">
        <f t="shared" si="48"/>
        <v>YES</v>
      </c>
      <c r="J1557" t="s">
        <v>1563</v>
      </c>
      <c r="K1557">
        <v>448018.17539300001</v>
      </c>
      <c r="L1557">
        <f t="shared" si="49"/>
        <v>0</v>
      </c>
    </row>
    <row r="1558" spans="1:12" x14ac:dyDescent="0.25">
      <c r="A1558">
        <v>2744</v>
      </c>
      <c r="B1558">
        <v>30327.48201</v>
      </c>
      <c r="C1558">
        <v>30327.48201</v>
      </c>
      <c r="D1558">
        <v>0</v>
      </c>
      <c r="E1558">
        <v>4630.0063970000001</v>
      </c>
      <c r="F1558" s="1">
        <v>30.6</v>
      </c>
      <c r="H1558">
        <v>2744</v>
      </c>
      <c r="I1558" t="str">
        <f t="shared" si="48"/>
        <v>YES</v>
      </c>
      <c r="J1558" t="s">
        <v>1564</v>
      </c>
      <c r="K1558">
        <v>397818.45407699997</v>
      </c>
      <c r="L1558">
        <f t="shared" si="49"/>
        <v>0</v>
      </c>
    </row>
    <row r="1559" spans="1:12" x14ac:dyDescent="0.25">
      <c r="A1559">
        <v>2745</v>
      </c>
      <c r="B1559">
        <v>28609.149140000001</v>
      </c>
      <c r="C1559">
        <v>28609.149140000001</v>
      </c>
      <c r="D1559">
        <v>0</v>
      </c>
      <c r="E1559">
        <v>3929.8652729999999</v>
      </c>
      <c r="F1559" s="1">
        <v>24.5</v>
      </c>
      <c r="H1559">
        <v>2745</v>
      </c>
      <c r="I1559" t="str">
        <f t="shared" si="48"/>
        <v>YES</v>
      </c>
      <c r="J1559" t="s">
        <v>1565</v>
      </c>
      <c r="K1559">
        <v>598105.662213</v>
      </c>
      <c r="L1559">
        <f t="shared" si="49"/>
        <v>0</v>
      </c>
    </row>
    <row r="1560" spans="1:12" x14ac:dyDescent="0.25">
      <c r="A1560">
        <v>2746</v>
      </c>
      <c r="B1560">
        <v>18652.122340000002</v>
      </c>
      <c r="C1560">
        <v>18652.122340000002</v>
      </c>
      <c r="D1560">
        <v>0</v>
      </c>
      <c r="E1560">
        <v>1776.5958900000001</v>
      </c>
      <c r="F1560" s="1">
        <v>7.22</v>
      </c>
      <c r="H1560">
        <v>2746</v>
      </c>
      <c r="I1560" t="str">
        <f t="shared" si="48"/>
        <v>YES</v>
      </c>
      <c r="J1560" t="s">
        <v>1566</v>
      </c>
      <c r="K1560">
        <v>277219.23435300001</v>
      </c>
      <c r="L1560">
        <f t="shared" si="49"/>
        <v>0</v>
      </c>
    </row>
    <row r="1561" spans="1:12" x14ac:dyDescent="0.25">
      <c r="A1561">
        <v>2747</v>
      </c>
      <c r="B1561">
        <v>4914.7591350000002</v>
      </c>
      <c r="C1561">
        <v>4914.7591350000002</v>
      </c>
      <c r="D1561">
        <v>0</v>
      </c>
      <c r="E1561">
        <v>1823.4474849999999</v>
      </c>
      <c r="F1561" s="1">
        <v>1.95</v>
      </c>
      <c r="H1561">
        <v>2747</v>
      </c>
      <c r="I1561" t="str">
        <f t="shared" si="48"/>
        <v>YES</v>
      </c>
      <c r="J1561" t="s">
        <v>1567</v>
      </c>
      <c r="K1561">
        <v>556939.45452000003</v>
      </c>
      <c r="L1561">
        <f t="shared" si="49"/>
        <v>0</v>
      </c>
    </row>
    <row r="1562" spans="1:12" x14ac:dyDescent="0.25">
      <c r="A1562">
        <v>2748</v>
      </c>
      <c r="B1562">
        <v>17602.857459999999</v>
      </c>
      <c r="C1562">
        <v>17602.857459999999</v>
      </c>
      <c r="D1562">
        <v>0</v>
      </c>
      <c r="E1562">
        <v>1422.801471</v>
      </c>
      <c r="F1562" s="1">
        <v>5.45</v>
      </c>
      <c r="H1562">
        <v>2748</v>
      </c>
      <c r="I1562" t="str">
        <f t="shared" si="48"/>
        <v>YES</v>
      </c>
      <c r="J1562" t="s">
        <v>1568</v>
      </c>
      <c r="K1562">
        <v>359280.00602099998</v>
      </c>
      <c r="L1562">
        <f t="shared" si="49"/>
        <v>0</v>
      </c>
    </row>
    <row r="1563" spans="1:12" x14ac:dyDescent="0.25">
      <c r="A1563">
        <v>2749</v>
      </c>
      <c r="B1563">
        <v>9643.1724219999996</v>
      </c>
      <c r="C1563">
        <v>9643.1724219999996</v>
      </c>
      <c r="D1563">
        <v>0</v>
      </c>
      <c r="E1563">
        <v>1621.633679</v>
      </c>
      <c r="F1563" s="1">
        <v>3.4</v>
      </c>
      <c r="H1563">
        <v>2749</v>
      </c>
      <c r="I1563" t="str">
        <f t="shared" si="48"/>
        <v>YES</v>
      </c>
      <c r="J1563" t="s">
        <v>1569</v>
      </c>
      <c r="K1563">
        <v>779719.65479099995</v>
      </c>
      <c r="L1563">
        <f t="shared" si="49"/>
        <v>0</v>
      </c>
    </row>
    <row r="1564" spans="1:12" x14ac:dyDescent="0.25">
      <c r="A1564">
        <v>2750</v>
      </c>
      <c r="B1564">
        <v>4851.031301</v>
      </c>
      <c r="C1564">
        <v>4851.031301</v>
      </c>
      <c r="D1564">
        <v>0</v>
      </c>
      <c r="E1564">
        <v>1602.649805</v>
      </c>
      <c r="F1564" s="1">
        <v>1.69</v>
      </c>
      <c r="H1564">
        <v>2750</v>
      </c>
      <c r="I1564" t="str">
        <f t="shared" si="48"/>
        <v>YES</v>
      </c>
      <c r="J1564" t="s">
        <v>1570</v>
      </c>
      <c r="K1564">
        <v>528242.07030100003</v>
      </c>
      <c r="L1564">
        <f t="shared" si="49"/>
        <v>0</v>
      </c>
    </row>
    <row r="1565" spans="1:12" x14ac:dyDescent="0.25">
      <c r="A1565">
        <v>2753</v>
      </c>
      <c r="B1565">
        <v>2629.7879750000002</v>
      </c>
      <c r="C1565">
        <v>2629.7879750000002</v>
      </c>
      <c r="D1565">
        <v>0</v>
      </c>
      <c r="E1565">
        <v>951.29993869999998</v>
      </c>
      <c r="F1565" s="1">
        <v>0.54500000000000004</v>
      </c>
      <c r="H1565">
        <v>2753</v>
      </c>
      <c r="I1565" t="str">
        <f t="shared" si="48"/>
        <v>YES</v>
      </c>
      <c r="J1565" t="s">
        <v>1571</v>
      </c>
      <c r="K1565">
        <v>593560.85193799995</v>
      </c>
      <c r="L1565">
        <f t="shared" si="49"/>
        <v>0</v>
      </c>
    </row>
    <row r="1566" spans="1:12" x14ac:dyDescent="0.25">
      <c r="A1566">
        <v>2754</v>
      </c>
      <c r="B1566">
        <v>2629.7879750000002</v>
      </c>
      <c r="C1566">
        <v>2629.7879750000002</v>
      </c>
      <c r="D1566">
        <v>0</v>
      </c>
      <c r="E1566">
        <v>2390.3721989999999</v>
      </c>
      <c r="F1566" s="1">
        <v>1.37</v>
      </c>
      <c r="H1566">
        <v>2754</v>
      </c>
      <c r="I1566" t="str">
        <f t="shared" si="48"/>
        <v>YES</v>
      </c>
      <c r="J1566" t="s">
        <v>1572</v>
      </c>
      <c r="K1566">
        <v>616640.21520600002</v>
      </c>
      <c r="L1566">
        <f t="shared" si="49"/>
        <v>0</v>
      </c>
    </row>
    <row r="1567" spans="1:12" x14ac:dyDescent="0.25">
      <c r="A1567">
        <v>2755</v>
      </c>
      <c r="B1567">
        <v>14582.757100000001</v>
      </c>
      <c r="C1567">
        <v>14582.757100000001</v>
      </c>
      <c r="D1567">
        <v>0</v>
      </c>
      <c r="E1567">
        <v>2578.3015569999998</v>
      </c>
      <c r="F1567" s="1">
        <v>8.19</v>
      </c>
      <c r="H1567">
        <v>2755</v>
      </c>
      <c r="I1567" t="str">
        <f t="shared" si="48"/>
        <v>YES</v>
      </c>
      <c r="J1567" t="s">
        <v>1573</v>
      </c>
      <c r="K1567">
        <v>364213.09053699998</v>
      </c>
      <c r="L1567">
        <f t="shared" si="49"/>
        <v>0</v>
      </c>
    </row>
    <row r="1568" spans="1:12" x14ac:dyDescent="0.25">
      <c r="A1568">
        <v>2756</v>
      </c>
      <c r="B1568">
        <v>8441.9192359999997</v>
      </c>
      <c r="C1568">
        <v>8441.9192359999997</v>
      </c>
      <c r="D1568">
        <v>0</v>
      </c>
      <c r="E1568">
        <v>4135.9726549999996</v>
      </c>
      <c r="F1568" s="1">
        <v>7.6</v>
      </c>
      <c r="H1568">
        <v>2756</v>
      </c>
      <c r="I1568" t="str">
        <f t="shared" si="48"/>
        <v>YES</v>
      </c>
      <c r="J1568" t="s">
        <v>1574</v>
      </c>
      <c r="K1568">
        <v>650093.32807799999</v>
      </c>
      <c r="L1568">
        <f t="shared" si="49"/>
        <v>0</v>
      </c>
    </row>
    <row r="1569" spans="1:12" x14ac:dyDescent="0.25">
      <c r="A1569">
        <v>2757</v>
      </c>
      <c r="B1569">
        <v>7664.8786419999997</v>
      </c>
      <c r="C1569">
        <v>7664.8786419999997</v>
      </c>
      <c r="D1569">
        <v>0</v>
      </c>
      <c r="E1569">
        <v>3125.517245</v>
      </c>
      <c r="F1569" s="1">
        <v>5.22</v>
      </c>
      <c r="H1569">
        <v>2757</v>
      </c>
      <c r="I1569" t="str">
        <f t="shared" si="48"/>
        <v>YES</v>
      </c>
      <c r="J1569" t="s">
        <v>1575</v>
      </c>
      <c r="K1569">
        <v>673806.56824099994</v>
      </c>
      <c r="L1569">
        <f t="shared" si="49"/>
        <v>0</v>
      </c>
    </row>
    <row r="1570" spans="1:12" x14ac:dyDescent="0.25">
      <c r="A1570">
        <v>2758</v>
      </c>
      <c r="B1570">
        <v>4709.1140750000004</v>
      </c>
      <c r="C1570">
        <v>4709.1140750000004</v>
      </c>
      <c r="D1570">
        <v>0</v>
      </c>
      <c r="E1570">
        <v>1701.5364070000001</v>
      </c>
      <c r="F1570" s="1">
        <v>1.74</v>
      </c>
      <c r="H1570">
        <v>2758</v>
      </c>
      <c r="I1570" t="str">
        <f t="shared" si="48"/>
        <v>YES</v>
      </c>
      <c r="J1570" t="s">
        <v>1576</v>
      </c>
      <c r="K1570">
        <v>476492.58607299998</v>
      </c>
      <c r="L1570">
        <f t="shared" si="49"/>
        <v>0</v>
      </c>
    </row>
    <row r="1571" spans="1:12" x14ac:dyDescent="0.25">
      <c r="A1571">
        <v>2761</v>
      </c>
      <c r="B1571">
        <v>25112.154750000002</v>
      </c>
      <c r="C1571">
        <v>25112.154750000002</v>
      </c>
      <c r="D1571">
        <v>0</v>
      </c>
      <c r="E1571">
        <v>1323.645837</v>
      </c>
      <c r="F1571" s="1">
        <v>7.24</v>
      </c>
      <c r="H1571">
        <v>2761</v>
      </c>
      <c r="I1571" t="str">
        <f t="shared" si="48"/>
        <v>YES</v>
      </c>
      <c r="J1571" t="s">
        <v>1577</v>
      </c>
      <c r="K1571">
        <v>255482.65601899999</v>
      </c>
      <c r="L1571">
        <f t="shared" si="49"/>
        <v>0</v>
      </c>
    </row>
    <row r="1572" spans="1:12" x14ac:dyDescent="0.25">
      <c r="A1572">
        <v>2762</v>
      </c>
      <c r="B1572">
        <v>12458.548070000001</v>
      </c>
      <c r="C1572">
        <v>12458.548070000001</v>
      </c>
      <c r="D1572">
        <v>0</v>
      </c>
      <c r="E1572">
        <v>1327.974997</v>
      </c>
      <c r="F1572" s="1">
        <v>3.6</v>
      </c>
      <c r="H1572">
        <v>2762</v>
      </c>
      <c r="I1572" t="str">
        <f t="shared" si="48"/>
        <v>YES</v>
      </c>
      <c r="J1572" t="s">
        <v>1578</v>
      </c>
      <c r="K1572">
        <v>253030.39966900001</v>
      </c>
      <c r="L1572">
        <f t="shared" si="49"/>
        <v>0</v>
      </c>
    </row>
    <row r="1573" spans="1:12" x14ac:dyDescent="0.25">
      <c r="A1573">
        <v>2763</v>
      </c>
      <c r="B1573">
        <v>15043.398639999999</v>
      </c>
      <c r="C1573">
        <v>15043.398639999999</v>
      </c>
      <c r="D1573">
        <v>0</v>
      </c>
      <c r="E1573">
        <v>2474.8340979999998</v>
      </c>
      <c r="F1573" s="1">
        <v>8.11</v>
      </c>
      <c r="H1573">
        <v>2763</v>
      </c>
      <c r="I1573" t="str">
        <f t="shared" si="48"/>
        <v>YES</v>
      </c>
      <c r="J1573" t="s">
        <v>1579</v>
      </c>
      <c r="K1573">
        <v>768273.00988899998</v>
      </c>
      <c r="L1573">
        <f t="shared" si="49"/>
        <v>0</v>
      </c>
    </row>
    <row r="1574" spans="1:12" x14ac:dyDescent="0.25">
      <c r="A1574">
        <v>2764</v>
      </c>
      <c r="B1574">
        <v>37830.34446</v>
      </c>
      <c r="C1574">
        <v>37830.34446</v>
      </c>
      <c r="D1574">
        <v>0</v>
      </c>
      <c r="E1574">
        <v>2678.4488430000001</v>
      </c>
      <c r="F1574" s="1">
        <v>22.1</v>
      </c>
      <c r="H1574">
        <v>2764</v>
      </c>
      <c r="I1574" t="str">
        <f t="shared" si="48"/>
        <v>YES</v>
      </c>
      <c r="J1574" t="s">
        <v>1580</v>
      </c>
      <c r="K1574">
        <v>290856.59475400002</v>
      </c>
      <c r="L1574">
        <f t="shared" si="49"/>
        <v>0</v>
      </c>
    </row>
    <row r="1575" spans="1:12" x14ac:dyDescent="0.25">
      <c r="A1575">
        <v>2765</v>
      </c>
      <c r="B1575">
        <v>15844.888580000001</v>
      </c>
      <c r="C1575">
        <v>15844.888580000001</v>
      </c>
      <c r="D1575">
        <v>0</v>
      </c>
      <c r="E1575">
        <v>1942.530996</v>
      </c>
      <c r="F1575" s="1">
        <v>6.7</v>
      </c>
      <c r="H1575">
        <v>2765</v>
      </c>
      <c r="I1575" t="str">
        <f t="shared" si="48"/>
        <v>YES</v>
      </c>
      <c r="J1575" t="s">
        <v>1581</v>
      </c>
      <c r="K1575">
        <v>279114.69858299999</v>
      </c>
      <c r="L1575">
        <f t="shared" si="49"/>
        <v>0</v>
      </c>
    </row>
    <row r="1576" spans="1:12" x14ac:dyDescent="0.25">
      <c r="A1576">
        <v>2766</v>
      </c>
      <c r="B1576">
        <v>25930.045470000001</v>
      </c>
      <c r="C1576">
        <v>25930.045470000001</v>
      </c>
      <c r="D1576">
        <v>0</v>
      </c>
      <c r="E1576">
        <v>2688.772794</v>
      </c>
      <c r="F1576" s="1">
        <v>15.2</v>
      </c>
      <c r="H1576">
        <v>2766</v>
      </c>
      <c r="I1576" t="str">
        <f t="shared" si="48"/>
        <v>YES</v>
      </c>
      <c r="J1576" t="s">
        <v>1582</v>
      </c>
      <c r="K1576">
        <v>412551.03665099997</v>
      </c>
      <c r="L1576">
        <f t="shared" si="49"/>
        <v>0</v>
      </c>
    </row>
    <row r="1577" spans="1:12" x14ac:dyDescent="0.25">
      <c r="A1577">
        <v>2767</v>
      </c>
      <c r="B1577">
        <v>14512.20638</v>
      </c>
      <c r="C1577">
        <v>14512.20638</v>
      </c>
      <c r="D1577">
        <v>0</v>
      </c>
      <c r="E1577">
        <v>1351.4555290000001</v>
      </c>
      <c r="F1577" s="1">
        <v>4.2699999999999996</v>
      </c>
      <c r="H1577">
        <v>2767</v>
      </c>
      <c r="I1577" t="str">
        <f t="shared" si="48"/>
        <v>YES</v>
      </c>
      <c r="J1577" t="s">
        <v>1583</v>
      </c>
      <c r="K1577">
        <v>439114.17022199999</v>
      </c>
      <c r="L1577">
        <f t="shared" si="49"/>
        <v>0</v>
      </c>
    </row>
    <row r="1578" spans="1:12" x14ac:dyDescent="0.25">
      <c r="A1578">
        <v>2768</v>
      </c>
      <c r="B1578">
        <v>26571.21084</v>
      </c>
      <c r="C1578">
        <v>26571.21084</v>
      </c>
      <c r="D1578">
        <v>0</v>
      </c>
      <c r="E1578">
        <v>4664.4374079999998</v>
      </c>
      <c r="F1578" s="1">
        <v>27</v>
      </c>
      <c r="H1578">
        <v>2768</v>
      </c>
      <c r="I1578" t="str">
        <f t="shared" si="48"/>
        <v>YES</v>
      </c>
      <c r="J1578" t="s">
        <v>1584</v>
      </c>
      <c r="K1578">
        <v>265171.90906799998</v>
      </c>
      <c r="L1578">
        <f t="shared" si="49"/>
        <v>0</v>
      </c>
    </row>
    <row r="1579" spans="1:12" x14ac:dyDescent="0.25">
      <c r="A1579">
        <v>2769</v>
      </c>
      <c r="B1579">
        <v>20872.414209999999</v>
      </c>
      <c r="C1579">
        <v>20872.414209999999</v>
      </c>
      <c r="D1579">
        <v>0</v>
      </c>
      <c r="E1579">
        <v>2668.8994969999999</v>
      </c>
      <c r="F1579" s="1">
        <v>12.1</v>
      </c>
      <c r="H1579">
        <v>2769</v>
      </c>
      <c r="I1579" t="str">
        <f t="shared" si="48"/>
        <v>YES</v>
      </c>
      <c r="J1579" t="s">
        <v>1585</v>
      </c>
      <c r="K1579">
        <v>606185.62515700003</v>
      </c>
      <c r="L1579">
        <f t="shared" si="49"/>
        <v>0</v>
      </c>
    </row>
    <row r="1580" spans="1:12" x14ac:dyDescent="0.25">
      <c r="A1580">
        <v>2772</v>
      </c>
      <c r="B1580">
        <v>2786.5389519999999</v>
      </c>
      <c r="C1580">
        <v>2786.5389519999999</v>
      </c>
      <c r="D1580">
        <v>0</v>
      </c>
      <c r="E1580">
        <v>2832.0616799999998</v>
      </c>
      <c r="F1580" s="1">
        <v>1.72</v>
      </c>
      <c r="H1580">
        <v>2772</v>
      </c>
      <c r="I1580" t="str">
        <f t="shared" si="48"/>
        <v>YES</v>
      </c>
      <c r="J1580" t="s">
        <v>1586</v>
      </c>
      <c r="K1580">
        <v>753306.16468399996</v>
      </c>
      <c r="L1580">
        <f t="shared" si="49"/>
        <v>0</v>
      </c>
    </row>
    <row r="1581" spans="1:12" x14ac:dyDescent="0.25">
      <c r="A1581">
        <v>2773</v>
      </c>
      <c r="B1581">
        <v>4427.4121329999998</v>
      </c>
      <c r="C1581">
        <v>4427.4121329999998</v>
      </c>
      <c r="D1581">
        <v>0</v>
      </c>
      <c r="E1581">
        <v>3766.1086340000002</v>
      </c>
      <c r="F1581" s="1">
        <v>3.63</v>
      </c>
      <c r="H1581">
        <v>2773</v>
      </c>
      <c r="I1581" t="str">
        <f t="shared" si="48"/>
        <v>YES</v>
      </c>
      <c r="J1581" t="s">
        <v>1587</v>
      </c>
      <c r="K1581">
        <v>934482.76582600002</v>
      </c>
      <c r="L1581">
        <f t="shared" si="49"/>
        <v>0</v>
      </c>
    </row>
    <row r="1582" spans="1:12" x14ac:dyDescent="0.25">
      <c r="A1582">
        <v>2774</v>
      </c>
      <c r="B1582">
        <v>9713.3339969999997</v>
      </c>
      <c r="C1582">
        <v>9713.3339969999997</v>
      </c>
      <c r="D1582">
        <v>0</v>
      </c>
      <c r="E1582">
        <v>2717.8777060000002</v>
      </c>
      <c r="F1582" s="1">
        <v>5.75</v>
      </c>
      <c r="H1582">
        <v>2774</v>
      </c>
      <c r="I1582" t="str">
        <f t="shared" si="48"/>
        <v>YES</v>
      </c>
      <c r="J1582" t="s">
        <v>1588</v>
      </c>
      <c r="K1582">
        <v>962215.76193799998</v>
      </c>
      <c r="L1582">
        <f t="shared" si="49"/>
        <v>0</v>
      </c>
    </row>
    <row r="1583" spans="1:12" x14ac:dyDescent="0.25">
      <c r="A1583">
        <v>2775</v>
      </c>
      <c r="B1583">
        <v>3789.738589</v>
      </c>
      <c r="C1583">
        <v>3789.738589</v>
      </c>
      <c r="D1583">
        <v>0</v>
      </c>
      <c r="E1583">
        <v>3195.692505</v>
      </c>
      <c r="F1583" s="1">
        <v>2.64</v>
      </c>
      <c r="H1583">
        <v>2775</v>
      </c>
      <c r="I1583" t="str">
        <f t="shared" si="48"/>
        <v>YES</v>
      </c>
      <c r="J1583" t="s">
        <v>1589</v>
      </c>
      <c r="K1583">
        <v>770443.64693000005</v>
      </c>
      <c r="L1583">
        <f t="shared" si="49"/>
        <v>0</v>
      </c>
    </row>
    <row r="1584" spans="1:12" x14ac:dyDescent="0.25">
      <c r="A1584">
        <v>2776</v>
      </c>
      <c r="B1584">
        <v>5537.8813639999998</v>
      </c>
      <c r="C1584">
        <v>5537.8813639999998</v>
      </c>
      <c r="D1584">
        <v>0</v>
      </c>
      <c r="E1584">
        <v>4266.2594740000004</v>
      </c>
      <c r="F1584" s="1">
        <v>5.14</v>
      </c>
      <c r="H1584">
        <v>2776</v>
      </c>
      <c r="I1584" t="str">
        <f t="shared" si="48"/>
        <v>YES</v>
      </c>
      <c r="J1584" t="s">
        <v>1590</v>
      </c>
      <c r="K1584">
        <v>1183173.0838299999</v>
      </c>
      <c r="L1584">
        <f t="shared" si="49"/>
        <v>0</v>
      </c>
    </row>
    <row r="1585" spans="1:12" x14ac:dyDescent="0.25">
      <c r="A1585">
        <v>2800</v>
      </c>
      <c r="B1585">
        <v>685.17778410000005</v>
      </c>
      <c r="C1585">
        <v>685.17778410000005</v>
      </c>
      <c r="D1585">
        <v>0</v>
      </c>
      <c r="E1585">
        <v>3764</v>
      </c>
      <c r="F1585" s="1">
        <v>0.56200000000000006</v>
      </c>
      <c r="H1585">
        <v>2800</v>
      </c>
      <c r="I1585" t="str">
        <f t="shared" si="48"/>
        <v>YES</v>
      </c>
      <c r="J1585" t="s">
        <v>1591</v>
      </c>
      <c r="K1585">
        <v>3132008.5849799998</v>
      </c>
      <c r="L1585">
        <f t="shared" si="49"/>
        <v>0</v>
      </c>
    </row>
    <row r="1586" spans="1:12" x14ac:dyDescent="0.25">
      <c r="A1586">
        <v>2801</v>
      </c>
      <c r="B1586">
        <v>3754.3216769999999</v>
      </c>
      <c r="C1586">
        <v>3754.3216769999999</v>
      </c>
      <c r="D1586">
        <v>0</v>
      </c>
      <c r="E1586">
        <v>2246.9936459999999</v>
      </c>
      <c r="F1586" s="1">
        <v>1.84</v>
      </c>
      <c r="H1586">
        <v>2801</v>
      </c>
      <c r="I1586" t="str">
        <f t="shared" si="48"/>
        <v>YES</v>
      </c>
      <c r="J1586" t="s">
        <v>1592</v>
      </c>
      <c r="K1586">
        <v>1654213.9872099999</v>
      </c>
      <c r="L1586">
        <f t="shared" si="49"/>
        <v>0</v>
      </c>
    </row>
    <row r="1587" spans="1:12" x14ac:dyDescent="0.25">
      <c r="A1587">
        <v>2802</v>
      </c>
      <c r="B1587">
        <v>845.71922380000001</v>
      </c>
      <c r="C1587">
        <v>845.71922380000001</v>
      </c>
      <c r="D1587">
        <v>0</v>
      </c>
      <c r="E1587">
        <v>4250.1327389999997</v>
      </c>
      <c r="F1587" s="1">
        <v>0.78300000000000003</v>
      </c>
      <c r="H1587">
        <v>2802</v>
      </c>
      <c r="I1587" t="str">
        <f t="shared" si="48"/>
        <v>YES</v>
      </c>
      <c r="J1587" t="s">
        <v>1593</v>
      </c>
      <c r="K1587">
        <v>2317353.9750399999</v>
      </c>
      <c r="L1587">
        <f t="shared" si="49"/>
        <v>0</v>
      </c>
    </row>
    <row r="1588" spans="1:12" x14ac:dyDescent="0.25">
      <c r="A1588">
        <v>2803</v>
      </c>
      <c r="B1588">
        <v>3775.415868</v>
      </c>
      <c r="C1588">
        <v>3775.415868</v>
      </c>
      <c r="D1588">
        <v>0</v>
      </c>
      <c r="E1588">
        <v>2882.2745479999999</v>
      </c>
      <c r="F1588" s="1">
        <v>2.37</v>
      </c>
      <c r="H1588">
        <v>2803</v>
      </c>
      <c r="I1588" t="str">
        <f t="shared" si="48"/>
        <v>YES</v>
      </c>
      <c r="J1588" t="s">
        <v>1594</v>
      </c>
      <c r="K1588">
        <v>1338714.80568</v>
      </c>
      <c r="L1588">
        <f t="shared" si="49"/>
        <v>0</v>
      </c>
    </row>
    <row r="1589" spans="1:12" x14ac:dyDescent="0.25">
      <c r="A1589">
        <v>2804</v>
      </c>
      <c r="B1589">
        <v>3247.0449060000001</v>
      </c>
      <c r="C1589">
        <v>3247.0449060000001</v>
      </c>
      <c r="D1589">
        <v>0</v>
      </c>
      <c r="E1589">
        <v>2055.7968390000001</v>
      </c>
      <c r="F1589" s="1">
        <v>1.45</v>
      </c>
      <c r="H1589">
        <v>2804</v>
      </c>
      <c r="I1589" t="str">
        <f t="shared" si="48"/>
        <v>YES</v>
      </c>
      <c r="J1589" t="s">
        <v>1595</v>
      </c>
      <c r="K1589">
        <v>1993489.1838400001</v>
      </c>
      <c r="L1589">
        <f t="shared" si="49"/>
        <v>0</v>
      </c>
    </row>
    <row r="1590" spans="1:12" x14ac:dyDescent="0.25">
      <c r="A1590">
        <v>2805</v>
      </c>
      <c r="B1590">
        <v>3350.090048</v>
      </c>
      <c r="C1590">
        <v>3350.090048</v>
      </c>
      <c r="D1590">
        <v>0</v>
      </c>
      <c r="E1590">
        <v>3950.7469940000001</v>
      </c>
      <c r="F1590" s="1">
        <v>2.88</v>
      </c>
      <c r="H1590">
        <v>2805</v>
      </c>
      <c r="I1590" t="str">
        <f t="shared" si="48"/>
        <v>YES</v>
      </c>
      <c r="J1590" t="s">
        <v>1596</v>
      </c>
      <c r="K1590">
        <v>1892597.6591099999</v>
      </c>
      <c r="L1590">
        <f t="shared" si="49"/>
        <v>0</v>
      </c>
    </row>
    <row r="1591" spans="1:12" x14ac:dyDescent="0.25">
      <c r="A1591">
        <v>2806</v>
      </c>
      <c r="B1591">
        <v>408.4159593</v>
      </c>
      <c r="C1591">
        <v>408.4159593</v>
      </c>
      <c r="D1591">
        <v>0</v>
      </c>
      <c r="E1591">
        <v>3200.8672609999999</v>
      </c>
      <c r="F1591" s="1">
        <v>0.28499999999999998</v>
      </c>
      <c r="H1591">
        <v>2806</v>
      </c>
      <c r="I1591" t="str">
        <f t="shared" si="48"/>
        <v>YES</v>
      </c>
      <c r="J1591" t="s">
        <v>1597</v>
      </c>
      <c r="K1591">
        <v>1519881.4197800001</v>
      </c>
      <c r="L1591">
        <f t="shared" si="49"/>
        <v>0</v>
      </c>
    </row>
    <row r="1592" spans="1:12" x14ac:dyDescent="0.25">
      <c r="A1592">
        <v>2807</v>
      </c>
      <c r="B1592">
        <v>3470.2605060000001</v>
      </c>
      <c r="C1592">
        <v>3470.2605060000001</v>
      </c>
      <c r="D1592">
        <v>0</v>
      </c>
      <c r="E1592">
        <v>3966.1620339999999</v>
      </c>
      <c r="F1592" s="1">
        <v>3</v>
      </c>
      <c r="H1592">
        <v>2807</v>
      </c>
      <c r="I1592" t="str">
        <f t="shared" si="48"/>
        <v>YES</v>
      </c>
      <c r="J1592" t="s">
        <v>1598</v>
      </c>
      <c r="K1592">
        <v>1177684.9136699999</v>
      </c>
      <c r="L1592">
        <f t="shared" si="49"/>
        <v>0</v>
      </c>
    </row>
    <row r="1593" spans="1:12" x14ac:dyDescent="0.25">
      <c r="A1593">
        <v>2808</v>
      </c>
      <c r="B1593">
        <v>2990.6467520000001</v>
      </c>
      <c r="C1593">
        <v>2990.6467520000001</v>
      </c>
      <c r="D1593">
        <v>0</v>
      </c>
      <c r="E1593">
        <v>2320.0259390000001</v>
      </c>
      <c r="F1593" s="1">
        <v>1.51</v>
      </c>
      <c r="H1593">
        <v>2808</v>
      </c>
      <c r="I1593" t="str">
        <f t="shared" si="48"/>
        <v>YES</v>
      </c>
      <c r="J1593" t="s">
        <v>1599</v>
      </c>
      <c r="K1593">
        <v>881798.68224999995</v>
      </c>
      <c r="L1593">
        <f t="shared" si="49"/>
        <v>0</v>
      </c>
    </row>
    <row r="1594" spans="1:12" x14ac:dyDescent="0.25">
      <c r="A1594">
        <v>2811</v>
      </c>
      <c r="B1594">
        <v>1076.1398200000001</v>
      </c>
      <c r="C1594">
        <v>1076.1398200000001</v>
      </c>
      <c r="D1594">
        <v>0</v>
      </c>
      <c r="E1594">
        <v>3731.853556</v>
      </c>
      <c r="F1594" s="1">
        <v>0.874</v>
      </c>
      <c r="H1594">
        <v>2811</v>
      </c>
      <c r="I1594" t="str">
        <f t="shared" si="48"/>
        <v>YES</v>
      </c>
      <c r="J1594" t="s">
        <v>1600</v>
      </c>
      <c r="K1594">
        <v>9375964.2675000001</v>
      </c>
      <c r="L1594">
        <f t="shared" si="49"/>
        <v>0</v>
      </c>
    </row>
    <row r="1595" spans="1:12" x14ac:dyDescent="0.25">
      <c r="A1595">
        <v>2812</v>
      </c>
      <c r="B1595">
        <v>513.12021519999996</v>
      </c>
      <c r="C1595">
        <v>513.12021519999996</v>
      </c>
      <c r="D1595">
        <v>0</v>
      </c>
      <c r="E1595">
        <v>2446.858772</v>
      </c>
      <c r="F1595" s="1">
        <v>0.27300000000000002</v>
      </c>
      <c r="H1595">
        <v>2812</v>
      </c>
      <c r="I1595" t="str">
        <f t="shared" si="48"/>
        <v>YES</v>
      </c>
      <c r="J1595" t="s">
        <v>1601</v>
      </c>
      <c r="K1595">
        <v>798975.07883300004</v>
      </c>
      <c r="L1595">
        <f t="shared" si="49"/>
        <v>0</v>
      </c>
    </row>
    <row r="1596" spans="1:12" x14ac:dyDescent="0.25">
      <c r="A1596">
        <v>2813</v>
      </c>
      <c r="B1596">
        <v>146.67245679999999</v>
      </c>
      <c r="C1596">
        <v>146.67245679999999</v>
      </c>
      <c r="D1596">
        <v>0</v>
      </c>
      <c r="E1596">
        <v>502.37089329999998</v>
      </c>
      <c r="F1596" s="1">
        <v>1.6E-2</v>
      </c>
      <c r="H1596">
        <v>2813</v>
      </c>
      <c r="I1596" t="str">
        <f t="shared" si="48"/>
        <v>YES</v>
      </c>
      <c r="J1596" t="s">
        <v>1602</v>
      </c>
      <c r="K1596">
        <v>17394767.423500001</v>
      </c>
      <c r="L1596">
        <f t="shared" si="49"/>
        <v>0</v>
      </c>
    </row>
    <row r="1597" spans="1:12" x14ac:dyDescent="0.25">
      <c r="A1597">
        <v>2816</v>
      </c>
      <c r="B1597">
        <v>295.3432846</v>
      </c>
      <c r="C1597">
        <v>295.3432846</v>
      </c>
      <c r="D1597">
        <v>0</v>
      </c>
      <c r="E1597">
        <v>1560.125442</v>
      </c>
      <c r="F1597" s="1">
        <v>0.1</v>
      </c>
      <c r="H1597">
        <v>2816</v>
      </c>
      <c r="I1597" t="str">
        <f t="shared" si="48"/>
        <v>YES</v>
      </c>
      <c r="J1597" t="s">
        <v>1603</v>
      </c>
      <c r="K1597">
        <v>1490897.84403</v>
      </c>
      <c r="L1597">
        <f t="shared" si="49"/>
        <v>0</v>
      </c>
    </row>
    <row r="1598" spans="1:12" x14ac:dyDescent="0.25">
      <c r="A1598">
        <v>2817</v>
      </c>
      <c r="B1598">
        <v>505.30654679999998</v>
      </c>
      <c r="C1598">
        <v>505.30654679999998</v>
      </c>
      <c r="D1598">
        <v>0</v>
      </c>
      <c r="E1598">
        <v>1699.225778</v>
      </c>
      <c r="F1598" s="1">
        <v>0.187</v>
      </c>
      <c r="H1598">
        <v>2817</v>
      </c>
      <c r="I1598" t="str">
        <f t="shared" si="48"/>
        <v>YES</v>
      </c>
      <c r="J1598" t="s">
        <v>1604</v>
      </c>
      <c r="K1598">
        <v>996874.21321800002</v>
      </c>
      <c r="L1598">
        <f t="shared" si="49"/>
        <v>0</v>
      </c>
    </row>
    <row r="1599" spans="1:12" x14ac:dyDescent="0.25">
      <c r="A1599">
        <v>2818</v>
      </c>
      <c r="B1599">
        <v>1243.8161459999999</v>
      </c>
      <c r="C1599">
        <v>1243.8161459999999</v>
      </c>
      <c r="D1599">
        <v>0</v>
      </c>
      <c r="E1599">
        <v>3021.0490599999998</v>
      </c>
      <c r="F1599" s="1">
        <v>0.81799999999999995</v>
      </c>
      <c r="H1599">
        <v>2818</v>
      </c>
      <c r="I1599" t="str">
        <f t="shared" si="48"/>
        <v>YES</v>
      </c>
      <c r="J1599" t="s">
        <v>1605</v>
      </c>
      <c r="K1599">
        <v>2064370.23242</v>
      </c>
      <c r="L1599">
        <f t="shared" si="49"/>
        <v>0</v>
      </c>
    </row>
    <row r="1600" spans="1:12" x14ac:dyDescent="0.25">
      <c r="A1600">
        <v>2819</v>
      </c>
      <c r="B1600">
        <v>2614.318252</v>
      </c>
      <c r="C1600">
        <v>2614.318252</v>
      </c>
      <c r="D1600">
        <v>0</v>
      </c>
      <c r="E1600">
        <v>4578.5997200000002</v>
      </c>
      <c r="F1600" s="1">
        <v>2.61</v>
      </c>
      <c r="H1600">
        <v>2819</v>
      </c>
      <c r="I1600" t="str">
        <f t="shared" ref="I1600:I1646" si="50">IF(A1600=H1600,"YES","NO")</f>
        <v>YES</v>
      </c>
      <c r="J1600" t="s">
        <v>1606</v>
      </c>
      <c r="K1600">
        <v>2732749.25306</v>
      </c>
      <c r="L1600">
        <f t="shared" si="49"/>
        <v>0</v>
      </c>
    </row>
    <row r="1601" spans="1:12" x14ac:dyDescent="0.25">
      <c r="A1601">
        <v>2822</v>
      </c>
      <c r="B1601">
        <v>99.589041510000001</v>
      </c>
      <c r="C1601">
        <v>99.589041510000001</v>
      </c>
      <c r="D1601">
        <v>0</v>
      </c>
      <c r="E1601" s="1">
        <v>9.0799999999999998E-5</v>
      </c>
      <c r="F1601" s="1">
        <v>1.97E-9</v>
      </c>
      <c r="H1601">
        <v>2822</v>
      </c>
      <c r="I1601" t="str">
        <f t="shared" si="50"/>
        <v>YES</v>
      </c>
      <c r="J1601" t="s">
        <v>1607</v>
      </c>
      <c r="K1601">
        <v>6272296.05535</v>
      </c>
      <c r="L1601">
        <f t="shared" si="49"/>
        <v>0</v>
      </c>
    </row>
    <row r="1602" spans="1:12" x14ac:dyDescent="0.25">
      <c r="A1602">
        <v>2823</v>
      </c>
      <c r="B1602">
        <v>5771.519961</v>
      </c>
      <c r="C1602">
        <v>5771.519961</v>
      </c>
      <c r="D1602">
        <v>0</v>
      </c>
      <c r="E1602">
        <v>2369.5470949999999</v>
      </c>
      <c r="F1602" s="1">
        <v>2.98</v>
      </c>
      <c r="H1602">
        <v>2823</v>
      </c>
      <c r="I1602" t="str">
        <f t="shared" si="50"/>
        <v>YES</v>
      </c>
      <c r="J1602" t="s">
        <v>1608</v>
      </c>
      <c r="K1602">
        <v>1710529.40341</v>
      </c>
      <c r="L1602">
        <f t="shared" si="49"/>
        <v>0</v>
      </c>
    </row>
    <row r="1603" spans="1:12" x14ac:dyDescent="0.25">
      <c r="A1603">
        <v>2824</v>
      </c>
      <c r="B1603">
        <v>4042.7800069999998</v>
      </c>
      <c r="C1603">
        <v>4042.7800069999998</v>
      </c>
      <c r="D1603">
        <v>0</v>
      </c>
      <c r="E1603">
        <v>3784.4898039999998</v>
      </c>
      <c r="F1603" s="1">
        <v>3.33</v>
      </c>
      <c r="H1603">
        <v>2824</v>
      </c>
      <c r="I1603" t="str">
        <f t="shared" si="50"/>
        <v>YES</v>
      </c>
      <c r="J1603" t="s">
        <v>1609</v>
      </c>
      <c r="K1603">
        <v>1404422.82748</v>
      </c>
      <c r="L1603">
        <f t="shared" ref="L1603:L1666" si="51">EXP(0.2052)*K1603*(D1603/C1603)</f>
        <v>0</v>
      </c>
    </row>
    <row r="1604" spans="1:12" x14ac:dyDescent="0.25">
      <c r="A1604">
        <v>2825</v>
      </c>
      <c r="B1604">
        <v>161.85819720000001</v>
      </c>
      <c r="C1604">
        <v>161.85819720000001</v>
      </c>
      <c r="D1604">
        <v>0</v>
      </c>
      <c r="E1604">
        <v>1575.8276410000001</v>
      </c>
      <c r="F1604" s="1">
        <v>5.5500000000000001E-2</v>
      </c>
      <c r="H1604">
        <v>2825</v>
      </c>
      <c r="I1604" t="str">
        <f t="shared" si="50"/>
        <v>YES</v>
      </c>
      <c r="J1604" t="s">
        <v>1610</v>
      </c>
      <c r="K1604">
        <v>2601701.5780400001</v>
      </c>
      <c r="L1604">
        <f t="shared" si="51"/>
        <v>0</v>
      </c>
    </row>
    <row r="1605" spans="1:12" x14ac:dyDescent="0.25">
      <c r="A1605">
        <v>2826</v>
      </c>
      <c r="B1605">
        <v>2040.935457</v>
      </c>
      <c r="C1605">
        <v>2040.935457</v>
      </c>
      <c r="D1605">
        <v>0</v>
      </c>
      <c r="E1605">
        <v>4439.8314350000001</v>
      </c>
      <c r="F1605" s="1">
        <v>1.97</v>
      </c>
      <c r="H1605">
        <v>2826</v>
      </c>
      <c r="I1605" t="str">
        <f t="shared" si="50"/>
        <v>YES</v>
      </c>
      <c r="J1605" t="s">
        <v>1611</v>
      </c>
      <c r="K1605">
        <v>2969880.06213</v>
      </c>
      <c r="L1605">
        <f t="shared" si="51"/>
        <v>0</v>
      </c>
    </row>
    <row r="1606" spans="1:12" x14ac:dyDescent="0.25">
      <c r="A1606">
        <v>2827</v>
      </c>
      <c r="B1606">
        <v>4673.1157439999997</v>
      </c>
      <c r="C1606">
        <v>4673.1157439999997</v>
      </c>
      <c r="D1606">
        <v>0</v>
      </c>
      <c r="E1606">
        <v>3086.326282</v>
      </c>
      <c r="F1606" s="1">
        <v>3.14</v>
      </c>
      <c r="H1606">
        <v>2827</v>
      </c>
      <c r="I1606" t="str">
        <f t="shared" si="50"/>
        <v>YES</v>
      </c>
      <c r="J1606" t="s">
        <v>1612</v>
      </c>
      <c r="K1606">
        <v>1045601.60956</v>
      </c>
      <c r="L1606">
        <f t="shared" si="51"/>
        <v>0</v>
      </c>
    </row>
    <row r="1607" spans="1:12" x14ac:dyDescent="0.25">
      <c r="A1607">
        <v>2828</v>
      </c>
      <c r="B1607">
        <v>4042.7800069999998</v>
      </c>
      <c r="C1607">
        <v>4042.7800069999998</v>
      </c>
      <c r="D1607">
        <v>0</v>
      </c>
      <c r="E1607">
        <v>1912.314114</v>
      </c>
      <c r="F1607" s="1">
        <v>1.68</v>
      </c>
      <c r="H1607">
        <v>2828</v>
      </c>
      <c r="I1607" t="str">
        <f t="shared" si="50"/>
        <v>YES</v>
      </c>
      <c r="J1607" t="s">
        <v>1613</v>
      </c>
      <c r="K1607">
        <v>1681437.1047400001</v>
      </c>
      <c r="L1607">
        <f t="shared" si="51"/>
        <v>0</v>
      </c>
    </row>
    <row r="1608" spans="1:12" x14ac:dyDescent="0.25">
      <c r="A1608">
        <v>2829</v>
      </c>
      <c r="B1608">
        <v>163.40757769999999</v>
      </c>
      <c r="C1608">
        <v>163.40757769999999</v>
      </c>
      <c r="D1608">
        <v>0</v>
      </c>
      <c r="E1608">
        <v>323.2138013</v>
      </c>
      <c r="F1608" s="1">
        <v>1.15E-2</v>
      </c>
      <c r="H1608">
        <v>2829</v>
      </c>
      <c r="I1608" t="str">
        <f t="shared" si="50"/>
        <v>YES</v>
      </c>
      <c r="J1608" t="s">
        <v>1614</v>
      </c>
      <c r="K1608">
        <v>6455973.6530600004</v>
      </c>
      <c r="L1608">
        <f t="shared" si="51"/>
        <v>0</v>
      </c>
    </row>
    <row r="1609" spans="1:12" x14ac:dyDescent="0.25">
      <c r="A1609">
        <v>2830</v>
      </c>
      <c r="B1609">
        <v>1571.947975</v>
      </c>
      <c r="C1609">
        <v>1571.947975</v>
      </c>
      <c r="D1609">
        <v>0</v>
      </c>
      <c r="E1609">
        <v>4273.4496470000004</v>
      </c>
      <c r="F1609" s="1">
        <v>1.46</v>
      </c>
      <c r="H1609">
        <v>2830</v>
      </c>
      <c r="I1609" t="str">
        <f t="shared" si="50"/>
        <v>YES</v>
      </c>
      <c r="J1609" t="s">
        <v>1615</v>
      </c>
      <c r="K1609">
        <v>3329671.1835500002</v>
      </c>
      <c r="L1609">
        <f t="shared" si="51"/>
        <v>0</v>
      </c>
    </row>
    <row r="1610" spans="1:12" x14ac:dyDescent="0.25">
      <c r="A1610">
        <v>2831</v>
      </c>
      <c r="B1610">
        <v>1757.1926900000001</v>
      </c>
      <c r="C1610">
        <v>1757.1926900000001</v>
      </c>
      <c r="D1610">
        <v>0</v>
      </c>
      <c r="E1610" s="1">
        <v>9.0799999999999998E-5</v>
      </c>
      <c r="F1610" s="1">
        <v>3.47E-8</v>
      </c>
      <c r="H1610">
        <v>2831</v>
      </c>
      <c r="I1610" t="str">
        <f t="shared" si="50"/>
        <v>YES</v>
      </c>
      <c r="J1610" t="s">
        <v>1616</v>
      </c>
      <c r="K1610">
        <v>5876134.3664100002</v>
      </c>
      <c r="L1610">
        <f t="shared" si="51"/>
        <v>0</v>
      </c>
    </row>
    <row r="1611" spans="1:12" x14ac:dyDescent="0.25">
      <c r="A1611">
        <v>2834</v>
      </c>
      <c r="B1611">
        <v>2007.9687349999999</v>
      </c>
      <c r="C1611">
        <v>2007.9687349999999</v>
      </c>
      <c r="D1611">
        <v>0</v>
      </c>
      <c r="E1611">
        <v>2659.3090360000001</v>
      </c>
      <c r="F1611" s="1">
        <v>1.1599999999999999</v>
      </c>
      <c r="H1611">
        <v>2834</v>
      </c>
      <c r="I1611" t="str">
        <f t="shared" si="50"/>
        <v>YES</v>
      </c>
      <c r="J1611" t="s">
        <v>1617</v>
      </c>
      <c r="K1611">
        <v>1032417.51433</v>
      </c>
      <c r="L1611">
        <f t="shared" si="51"/>
        <v>0</v>
      </c>
    </row>
    <row r="1612" spans="1:12" x14ac:dyDescent="0.25">
      <c r="A1612">
        <v>2835</v>
      </c>
      <c r="B1612">
        <v>954.43470249999996</v>
      </c>
      <c r="C1612">
        <v>954.43470249999996</v>
      </c>
      <c r="D1612">
        <v>0</v>
      </c>
      <c r="E1612">
        <v>4085.9383029999999</v>
      </c>
      <c r="F1612" s="1">
        <v>0.84899999999999998</v>
      </c>
      <c r="H1612">
        <v>2835</v>
      </c>
      <c r="I1612" t="str">
        <f t="shared" si="50"/>
        <v>YES</v>
      </c>
      <c r="J1612" t="s">
        <v>1618</v>
      </c>
      <c r="K1612">
        <v>1518251.6077399999</v>
      </c>
      <c r="L1612">
        <f t="shared" si="51"/>
        <v>0</v>
      </c>
    </row>
    <row r="1613" spans="1:12" x14ac:dyDescent="0.25">
      <c r="A1613">
        <v>2836</v>
      </c>
      <c r="B1613">
        <v>1503.698731</v>
      </c>
      <c r="C1613">
        <v>1503.698731</v>
      </c>
      <c r="D1613">
        <v>0</v>
      </c>
      <c r="E1613">
        <v>2638.314492</v>
      </c>
      <c r="F1613" s="1">
        <v>0.86399999999999999</v>
      </c>
      <c r="H1613">
        <v>2836</v>
      </c>
      <c r="I1613" t="str">
        <f t="shared" si="50"/>
        <v>YES</v>
      </c>
      <c r="J1613" t="s">
        <v>1619</v>
      </c>
      <c r="K1613">
        <v>992349.10520999995</v>
      </c>
      <c r="L1613">
        <f t="shared" si="51"/>
        <v>0</v>
      </c>
    </row>
    <row r="1614" spans="1:12" x14ac:dyDescent="0.25">
      <c r="A1614">
        <v>2837</v>
      </c>
      <c r="B1614">
        <v>701.04009350000001</v>
      </c>
      <c r="C1614">
        <v>701.04009350000001</v>
      </c>
      <c r="D1614">
        <v>0</v>
      </c>
      <c r="E1614">
        <v>2203.7515790000002</v>
      </c>
      <c r="F1614" s="1">
        <v>0.33600000000000002</v>
      </c>
      <c r="H1614">
        <v>2837</v>
      </c>
      <c r="I1614" t="str">
        <f t="shared" si="50"/>
        <v>YES</v>
      </c>
      <c r="J1614" t="s">
        <v>1620</v>
      </c>
      <c r="K1614">
        <v>1448998.65124</v>
      </c>
      <c r="L1614">
        <f t="shared" si="51"/>
        <v>0</v>
      </c>
    </row>
    <row r="1615" spans="1:12" x14ac:dyDescent="0.25">
      <c r="A1615">
        <v>2838</v>
      </c>
      <c r="B1615">
        <v>7651.9838339999997</v>
      </c>
      <c r="C1615">
        <v>7651.9838339999997</v>
      </c>
      <c r="D1615">
        <v>0</v>
      </c>
      <c r="E1615">
        <v>2608.8242519999999</v>
      </c>
      <c r="F1615" s="1">
        <v>4.3499999999999996</v>
      </c>
      <c r="H1615">
        <v>2838</v>
      </c>
      <c r="I1615" t="str">
        <f t="shared" si="50"/>
        <v>YES</v>
      </c>
      <c r="J1615" t="s">
        <v>1621</v>
      </c>
      <c r="K1615">
        <v>888822.38136600005</v>
      </c>
      <c r="L1615">
        <f t="shared" si="51"/>
        <v>0</v>
      </c>
    </row>
    <row r="1616" spans="1:12" x14ac:dyDescent="0.25">
      <c r="A1616">
        <v>2839</v>
      </c>
      <c r="B1616">
        <v>9165.2089539999997</v>
      </c>
      <c r="C1616">
        <v>9165.2089539999997</v>
      </c>
      <c r="D1616">
        <v>0</v>
      </c>
      <c r="E1616">
        <v>4699.4532790000003</v>
      </c>
      <c r="F1616" s="1">
        <v>9.3800000000000008</v>
      </c>
      <c r="H1616">
        <v>2839</v>
      </c>
      <c r="I1616" t="str">
        <f t="shared" si="50"/>
        <v>YES</v>
      </c>
      <c r="J1616" t="s">
        <v>1622</v>
      </c>
      <c r="K1616">
        <v>1433386.0088599999</v>
      </c>
      <c r="L1616">
        <f t="shared" si="51"/>
        <v>0</v>
      </c>
    </row>
    <row r="1617" spans="1:12" x14ac:dyDescent="0.25">
      <c r="A1617">
        <v>2840</v>
      </c>
      <c r="B1617">
        <v>12206.37686</v>
      </c>
      <c r="C1617">
        <v>12206.37686</v>
      </c>
      <c r="D1617">
        <v>0</v>
      </c>
      <c r="E1617">
        <v>2007.1543529999999</v>
      </c>
      <c r="F1617" s="1">
        <v>5.33</v>
      </c>
      <c r="H1617">
        <v>2840</v>
      </c>
      <c r="I1617" t="str">
        <f t="shared" si="50"/>
        <v>YES</v>
      </c>
      <c r="J1617" t="s">
        <v>1623</v>
      </c>
      <c r="K1617">
        <v>868197.45622699999</v>
      </c>
      <c r="L1617">
        <f t="shared" si="51"/>
        <v>0</v>
      </c>
    </row>
    <row r="1618" spans="1:12" x14ac:dyDescent="0.25">
      <c r="A1618">
        <v>2841</v>
      </c>
      <c r="B1618">
        <v>15592.421759999999</v>
      </c>
      <c r="C1618">
        <v>15592.421759999999</v>
      </c>
      <c r="D1618">
        <v>0</v>
      </c>
      <c r="E1618">
        <v>936.2547065</v>
      </c>
      <c r="F1618" s="1">
        <v>3.18</v>
      </c>
      <c r="H1618">
        <v>2841</v>
      </c>
      <c r="I1618" t="str">
        <f t="shared" si="50"/>
        <v>YES</v>
      </c>
      <c r="J1618" t="s">
        <v>1624</v>
      </c>
      <c r="K1618">
        <v>708396.195802</v>
      </c>
      <c r="L1618">
        <f t="shared" si="51"/>
        <v>0</v>
      </c>
    </row>
    <row r="1619" spans="1:12" x14ac:dyDescent="0.25">
      <c r="A1619">
        <v>2844</v>
      </c>
      <c r="B1619">
        <v>24.708049020000001</v>
      </c>
      <c r="C1619">
        <v>24.708049020000001</v>
      </c>
      <c r="D1619">
        <v>0</v>
      </c>
      <c r="F1619" s="1">
        <v>0</v>
      </c>
      <c r="H1619">
        <v>2844</v>
      </c>
      <c r="I1619" t="str">
        <f t="shared" si="50"/>
        <v>YES</v>
      </c>
      <c r="J1619" t="s">
        <v>1625</v>
      </c>
      <c r="K1619">
        <v>46188356.3706</v>
      </c>
      <c r="L1619">
        <f t="shared" si="51"/>
        <v>0</v>
      </c>
    </row>
    <row r="1620" spans="1:12" x14ac:dyDescent="0.25">
      <c r="A1620">
        <v>2845</v>
      </c>
      <c r="B1620">
        <v>76.381648769999998</v>
      </c>
      <c r="C1620">
        <v>76.381648769999998</v>
      </c>
      <c r="D1620">
        <v>0</v>
      </c>
      <c r="F1620" s="1">
        <v>0</v>
      </c>
      <c r="H1620">
        <v>2845</v>
      </c>
      <c r="I1620" t="str">
        <f t="shared" si="50"/>
        <v>YES</v>
      </c>
      <c r="J1620" t="s">
        <v>1626</v>
      </c>
      <c r="K1620">
        <v>92912115.543500006</v>
      </c>
      <c r="L1620">
        <f t="shared" si="51"/>
        <v>0</v>
      </c>
    </row>
    <row r="1621" spans="1:12" x14ac:dyDescent="0.25">
      <c r="A1621">
        <v>2848</v>
      </c>
      <c r="B1621">
        <v>9500.2345010000008</v>
      </c>
      <c r="C1621">
        <v>9500.2345010000008</v>
      </c>
      <c r="D1621">
        <v>0</v>
      </c>
      <c r="E1621">
        <v>1891.820874</v>
      </c>
      <c r="F1621" s="1">
        <v>3.91</v>
      </c>
      <c r="H1621">
        <v>2848</v>
      </c>
      <c r="I1621" t="str">
        <f t="shared" si="50"/>
        <v>YES</v>
      </c>
      <c r="J1621" t="s">
        <v>1627</v>
      </c>
      <c r="K1621">
        <v>638514.01322700002</v>
      </c>
      <c r="L1621">
        <f t="shared" si="51"/>
        <v>0</v>
      </c>
    </row>
    <row r="1622" spans="1:12" x14ac:dyDescent="0.25">
      <c r="A1622">
        <v>2849</v>
      </c>
      <c r="B1622">
        <v>12022.320669999999</v>
      </c>
      <c r="C1622">
        <v>12022.320669999999</v>
      </c>
      <c r="D1622">
        <v>0</v>
      </c>
      <c r="E1622">
        <v>2595.6168259999999</v>
      </c>
      <c r="F1622" s="1">
        <v>6.79</v>
      </c>
      <c r="H1622">
        <v>2849</v>
      </c>
      <c r="I1622" t="str">
        <f t="shared" si="50"/>
        <v>YES</v>
      </c>
      <c r="J1622" t="s">
        <v>1628</v>
      </c>
      <c r="K1622">
        <v>612641.80145799997</v>
      </c>
      <c r="L1622">
        <f t="shared" si="51"/>
        <v>0</v>
      </c>
    </row>
    <row r="1623" spans="1:12" x14ac:dyDescent="0.25">
      <c r="A1623">
        <v>2850</v>
      </c>
      <c r="B1623">
        <v>4473.1200490000001</v>
      </c>
      <c r="C1623">
        <v>4473.1200490000001</v>
      </c>
      <c r="D1623">
        <v>0</v>
      </c>
      <c r="E1623">
        <v>4131.8535490000004</v>
      </c>
      <c r="F1623" s="1">
        <v>4.0199999999999996</v>
      </c>
      <c r="H1623">
        <v>2850</v>
      </c>
      <c r="I1623" t="str">
        <f t="shared" si="50"/>
        <v>YES</v>
      </c>
      <c r="J1623" t="s">
        <v>1629</v>
      </c>
      <c r="K1623">
        <v>2237598.5593300001</v>
      </c>
      <c r="L1623">
        <f t="shared" si="51"/>
        <v>0</v>
      </c>
    </row>
    <row r="1624" spans="1:12" x14ac:dyDescent="0.25">
      <c r="A1624">
        <v>2851</v>
      </c>
      <c r="B1624">
        <v>20301.007409999998</v>
      </c>
      <c r="C1624">
        <v>20301.007409999998</v>
      </c>
      <c r="D1624">
        <v>0</v>
      </c>
      <c r="E1624">
        <v>1380.1240849999999</v>
      </c>
      <c r="F1624" s="1">
        <v>6.1</v>
      </c>
      <c r="H1624">
        <v>2851</v>
      </c>
      <c r="I1624" t="str">
        <f t="shared" si="50"/>
        <v>YES</v>
      </c>
      <c r="J1624" t="s">
        <v>1630</v>
      </c>
      <c r="K1624">
        <v>904566.43442499998</v>
      </c>
      <c r="L1624">
        <f t="shared" si="51"/>
        <v>0</v>
      </c>
    </row>
    <row r="1625" spans="1:12" x14ac:dyDescent="0.25">
      <c r="A1625">
        <v>2852</v>
      </c>
      <c r="B1625">
        <v>19392.47208</v>
      </c>
      <c r="C1625">
        <v>19392.47208</v>
      </c>
      <c r="D1625">
        <v>0</v>
      </c>
      <c r="E1625">
        <v>2259.940454</v>
      </c>
      <c r="F1625" s="1">
        <v>9.5399999999999991</v>
      </c>
      <c r="H1625">
        <v>2852</v>
      </c>
      <c r="I1625" t="str">
        <f t="shared" si="50"/>
        <v>YES</v>
      </c>
      <c r="J1625" t="s">
        <v>1631</v>
      </c>
      <c r="K1625">
        <v>426821.90922999999</v>
      </c>
      <c r="L1625">
        <f t="shared" si="51"/>
        <v>0</v>
      </c>
    </row>
    <row r="1626" spans="1:12" x14ac:dyDescent="0.25">
      <c r="A1626">
        <v>2853</v>
      </c>
      <c r="B1626">
        <v>6507.5959309999998</v>
      </c>
      <c r="C1626">
        <v>6507.5959309999998</v>
      </c>
      <c r="D1626">
        <v>0</v>
      </c>
      <c r="E1626">
        <v>3059.710231</v>
      </c>
      <c r="F1626" s="1">
        <v>4.34</v>
      </c>
      <c r="H1626">
        <v>2853</v>
      </c>
      <c r="I1626" t="str">
        <f t="shared" si="50"/>
        <v>YES</v>
      </c>
      <c r="J1626" t="s">
        <v>1632</v>
      </c>
      <c r="K1626">
        <v>464208.30621200002</v>
      </c>
      <c r="L1626">
        <f t="shared" si="51"/>
        <v>0</v>
      </c>
    </row>
    <row r="1627" spans="1:12" x14ac:dyDescent="0.25">
      <c r="A1627">
        <v>2854</v>
      </c>
      <c r="B1627">
        <v>27295.989030000001</v>
      </c>
      <c r="C1627">
        <v>27295.989030000001</v>
      </c>
      <c r="D1627">
        <v>0</v>
      </c>
      <c r="E1627">
        <v>2098.3587040000002</v>
      </c>
      <c r="F1627" s="1">
        <v>12.5</v>
      </c>
      <c r="H1627">
        <v>2854</v>
      </c>
      <c r="I1627" t="str">
        <f t="shared" si="50"/>
        <v>YES</v>
      </c>
      <c r="J1627" t="s">
        <v>1633</v>
      </c>
      <c r="K1627">
        <v>604907.49356099998</v>
      </c>
      <c r="L1627">
        <f t="shared" si="51"/>
        <v>0</v>
      </c>
    </row>
    <row r="1628" spans="1:12" x14ac:dyDescent="0.25">
      <c r="A1628">
        <v>2855</v>
      </c>
      <c r="B1628">
        <v>4755.1441320000004</v>
      </c>
      <c r="C1628">
        <v>4755.1441320000004</v>
      </c>
      <c r="D1628">
        <v>0</v>
      </c>
      <c r="E1628">
        <v>1.01369E-4</v>
      </c>
      <c r="F1628" s="1">
        <v>1.05E-7</v>
      </c>
      <c r="H1628">
        <v>2855</v>
      </c>
      <c r="I1628" t="str">
        <f t="shared" si="50"/>
        <v>YES</v>
      </c>
      <c r="J1628" t="s">
        <v>1634</v>
      </c>
      <c r="K1628">
        <v>485790.24817400001</v>
      </c>
      <c r="L1628">
        <f t="shared" si="51"/>
        <v>0</v>
      </c>
    </row>
    <row r="1629" spans="1:12" x14ac:dyDescent="0.25">
      <c r="A1629">
        <v>2856</v>
      </c>
      <c r="B1629">
        <v>3194.1801099999998</v>
      </c>
      <c r="C1629">
        <v>3194.1801099999998</v>
      </c>
      <c r="D1629">
        <v>0</v>
      </c>
      <c r="E1629">
        <v>1692.412131</v>
      </c>
      <c r="F1629" s="1">
        <v>1.18</v>
      </c>
      <c r="H1629">
        <v>2856</v>
      </c>
      <c r="I1629" t="str">
        <f t="shared" si="50"/>
        <v>YES</v>
      </c>
      <c r="J1629" t="s">
        <v>1635</v>
      </c>
      <c r="K1629">
        <v>568642.54857500002</v>
      </c>
      <c r="L1629">
        <f t="shared" si="51"/>
        <v>0</v>
      </c>
    </row>
    <row r="1630" spans="1:12" x14ac:dyDescent="0.25">
      <c r="A1630">
        <v>2857</v>
      </c>
      <c r="B1630">
        <v>23563.373250000001</v>
      </c>
      <c r="C1630">
        <v>23563.373250000001</v>
      </c>
      <c r="D1630">
        <v>0</v>
      </c>
      <c r="E1630">
        <v>2438.163047</v>
      </c>
      <c r="F1630" s="1">
        <v>12.5</v>
      </c>
      <c r="H1630">
        <v>2857</v>
      </c>
      <c r="I1630" t="str">
        <f t="shared" si="50"/>
        <v>YES</v>
      </c>
      <c r="J1630" t="s">
        <v>1636</v>
      </c>
      <c r="K1630">
        <v>798169.74258399999</v>
      </c>
      <c r="L1630">
        <f t="shared" si="51"/>
        <v>0</v>
      </c>
    </row>
    <row r="1631" spans="1:12" x14ac:dyDescent="0.25">
      <c r="A1631">
        <v>2895</v>
      </c>
      <c r="B1631">
        <v>1836.1774559999999</v>
      </c>
      <c r="C1631">
        <v>1836.1774559999999</v>
      </c>
      <c r="D1631">
        <v>0</v>
      </c>
      <c r="F1631" s="1">
        <v>0</v>
      </c>
      <c r="H1631">
        <v>2895</v>
      </c>
      <c r="I1631" t="str">
        <f t="shared" si="50"/>
        <v>YES</v>
      </c>
      <c r="J1631" t="s">
        <v>1637</v>
      </c>
      <c r="K1631">
        <v>10127006.4586</v>
      </c>
      <c r="L1631">
        <f t="shared" si="51"/>
        <v>0</v>
      </c>
    </row>
    <row r="1632" spans="1:12" x14ac:dyDescent="0.25">
      <c r="A1632">
        <v>2896</v>
      </c>
      <c r="B1632">
        <v>4131.9943409999996</v>
      </c>
      <c r="C1632">
        <v>4131.9943409999996</v>
      </c>
      <c r="D1632">
        <v>0</v>
      </c>
      <c r="E1632">
        <v>694.86529289999999</v>
      </c>
      <c r="F1632" s="1">
        <v>0.625</v>
      </c>
      <c r="H1632">
        <v>2896</v>
      </c>
      <c r="I1632" t="str">
        <f t="shared" si="50"/>
        <v>YES</v>
      </c>
      <c r="J1632" t="s">
        <v>1638</v>
      </c>
      <c r="K1632">
        <v>240177.78823199999</v>
      </c>
      <c r="L1632">
        <f t="shared" si="51"/>
        <v>0</v>
      </c>
    </row>
    <row r="1633" spans="1:12" x14ac:dyDescent="0.25">
      <c r="A1633">
        <v>2897</v>
      </c>
      <c r="B1633">
        <v>4157.9421560000001</v>
      </c>
      <c r="C1633">
        <v>4157.9421560000001</v>
      </c>
      <c r="D1633">
        <v>0</v>
      </c>
      <c r="E1633">
        <v>1146.3706420000001</v>
      </c>
      <c r="F1633" s="1">
        <v>1.04</v>
      </c>
      <c r="H1633">
        <v>2897</v>
      </c>
      <c r="I1633" t="str">
        <f t="shared" si="50"/>
        <v>YES</v>
      </c>
      <c r="J1633" t="s">
        <v>1639</v>
      </c>
      <c r="K1633">
        <v>447620.70472099999</v>
      </c>
      <c r="L1633">
        <f t="shared" si="51"/>
        <v>0</v>
      </c>
    </row>
    <row r="1634" spans="1:12" x14ac:dyDescent="0.25">
      <c r="A1634">
        <v>2898</v>
      </c>
      <c r="B1634">
        <v>4518.4833639999997</v>
      </c>
      <c r="C1634">
        <v>4518.4833639999997</v>
      </c>
      <c r="D1634">
        <v>0</v>
      </c>
      <c r="E1634">
        <v>718.26778560000002</v>
      </c>
      <c r="F1634" s="1">
        <v>0.70699999999999996</v>
      </c>
      <c r="H1634">
        <v>2898</v>
      </c>
      <c r="I1634" t="str">
        <f t="shared" si="50"/>
        <v>YES</v>
      </c>
      <c r="J1634" t="s">
        <v>1640</v>
      </c>
      <c r="K1634">
        <v>227293.989191</v>
      </c>
      <c r="L1634">
        <f t="shared" si="51"/>
        <v>0</v>
      </c>
    </row>
    <row r="1635" spans="1:12" x14ac:dyDescent="0.25">
      <c r="A1635">
        <v>2899</v>
      </c>
      <c r="B1635">
        <v>13775.424489999999</v>
      </c>
      <c r="C1635">
        <v>13775.424489999999</v>
      </c>
      <c r="D1635">
        <v>0</v>
      </c>
      <c r="E1635">
        <v>2024.0290070000001</v>
      </c>
      <c r="F1635" s="1">
        <v>6.07</v>
      </c>
      <c r="H1635">
        <v>2899</v>
      </c>
      <c r="I1635" t="str">
        <f t="shared" si="50"/>
        <v>YES</v>
      </c>
      <c r="J1635" t="s">
        <v>1641</v>
      </c>
      <c r="K1635">
        <v>619537.73807800002</v>
      </c>
      <c r="L1635">
        <f t="shared" si="51"/>
        <v>0</v>
      </c>
    </row>
    <row r="1636" spans="1:12" x14ac:dyDescent="0.25">
      <c r="A1636">
        <v>2900</v>
      </c>
      <c r="B1636">
        <v>23505.467799999999</v>
      </c>
      <c r="C1636">
        <v>23505.467799999999</v>
      </c>
      <c r="D1636">
        <v>0</v>
      </c>
      <c r="E1636">
        <v>596.51172140000006</v>
      </c>
      <c r="F1636" s="1">
        <v>3.05</v>
      </c>
      <c r="H1636">
        <v>2900</v>
      </c>
      <c r="I1636" t="str">
        <f t="shared" si="50"/>
        <v>YES</v>
      </c>
      <c r="J1636" t="s">
        <v>1642</v>
      </c>
      <c r="K1636">
        <v>543424.01268699998</v>
      </c>
      <c r="L1636">
        <f t="shared" si="51"/>
        <v>0</v>
      </c>
    </row>
    <row r="1637" spans="1:12" x14ac:dyDescent="0.25">
      <c r="A1637">
        <v>2901</v>
      </c>
      <c r="B1637">
        <v>13613.986510000001</v>
      </c>
      <c r="C1637">
        <v>13613.986510000001</v>
      </c>
      <c r="D1637">
        <v>0</v>
      </c>
      <c r="E1637" s="1">
        <v>9.87E-5</v>
      </c>
      <c r="F1637" s="1">
        <v>2.9299999999999999E-7</v>
      </c>
      <c r="H1637">
        <v>2901</v>
      </c>
      <c r="I1637" t="str">
        <f t="shared" si="50"/>
        <v>YES</v>
      </c>
      <c r="J1637" t="s">
        <v>1643</v>
      </c>
      <c r="K1637">
        <v>668363.08198599995</v>
      </c>
      <c r="L1637">
        <f t="shared" si="51"/>
        <v>0</v>
      </c>
    </row>
    <row r="1638" spans="1:12" x14ac:dyDescent="0.25">
      <c r="A1638">
        <v>2902</v>
      </c>
      <c r="B1638">
        <v>26269.322270000001</v>
      </c>
      <c r="C1638">
        <v>26269.322270000001</v>
      </c>
      <c r="D1638">
        <v>0</v>
      </c>
      <c r="E1638">
        <v>3129.3551109999999</v>
      </c>
      <c r="F1638" s="1">
        <v>17.899999999999999</v>
      </c>
      <c r="H1638">
        <v>2902</v>
      </c>
      <c r="I1638" t="str">
        <f t="shared" si="50"/>
        <v>YES</v>
      </c>
      <c r="J1638" t="s">
        <v>1644</v>
      </c>
      <c r="K1638">
        <v>1032393.4988300001</v>
      </c>
      <c r="L1638">
        <f t="shared" si="51"/>
        <v>0</v>
      </c>
    </row>
    <row r="1639" spans="1:12" x14ac:dyDescent="0.25">
      <c r="A1639">
        <v>2903</v>
      </c>
      <c r="B1639">
        <v>14765.540220000001</v>
      </c>
      <c r="C1639">
        <v>14765.540220000001</v>
      </c>
      <c r="D1639">
        <v>0</v>
      </c>
      <c r="E1639">
        <v>3297.6488639999998</v>
      </c>
      <c r="F1639" s="1">
        <v>10.6</v>
      </c>
      <c r="H1639">
        <v>2903</v>
      </c>
      <c r="I1639" t="str">
        <f t="shared" si="50"/>
        <v>YES</v>
      </c>
      <c r="J1639" t="s">
        <v>1645</v>
      </c>
      <c r="K1639">
        <v>810472.26122800005</v>
      </c>
      <c r="L1639">
        <f t="shared" si="51"/>
        <v>0</v>
      </c>
    </row>
    <row r="1640" spans="1:12" x14ac:dyDescent="0.25">
      <c r="A1640">
        <v>2904</v>
      </c>
      <c r="B1640">
        <v>27389.770700000001</v>
      </c>
      <c r="C1640">
        <v>27389.770700000001</v>
      </c>
      <c r="D1640">
        <v>0</v>
      </c>
      <c r="E1640">
        <v>3473.6827060000001</v>
      </c>
      <c r="F1640" s="1">
        <v>20.7</v>
      </c>
      <c r="H1640">
        <v>2904</v>
      </c>
      <c r="I1640" t="str">
        <f t="shared" si="50"/>
        <v>YES</v>
      </c>
      <c r="J1640" t="s">
        <v>1646</v>
      </c>
      <c r="K1640">
        <v>654692.86179700005</v>
      </c>
      <c r="L1640">
        <f t="shared" si="51"/>
        <v>0</v>
      </c>
    </row>
    <row r="1641" spans="1:12" x14ac:dyDescent="0.25">
      <c r="A1641">
        <v>2905</v>
      </c>
      <c r="B1641">
        <v>18325.649580000001</v>
      </c>
      <c r="C1641">
        <v>18325.649580000001</v>
      </c>
      <c r="D1641">
        <v>0</v>
      </c>
      <c r="E1641">
        <v>1724.8015</v>
      </c>
      <c r="F1641" s="1">
        <v>6.88</v>
      </c>
      <c r="H1641">
        <v>2905</v>
      </c>
      <c r="I1641" t="str">
        <f t="shared" si="50"/>
        <v>YES</v>
      </c>
      <c r="J1641" t="s">
        <v>1647</v>
      </c>
      <c r="K1641">
        <v>278910.48735700001</v>
      </c>
      <c r="L1641">
        <f t="shared" si="51"/>
        <v>0</v>
      </c>
    </row>
    <row r="1642" spans="1:12" x14ac:dyDescent="0.25">
      <c r="A1642">
        <v>2906</v>
      </c>
      <c r="B1642">
        <v>7752.5940019999998</v>
      </c>
      <c r="C1642">
        <v>7752.5940019999998</v>
      </c>
      <c r="D1642">
        <v>0</v>
      </c>
      <c r="E1642">
        <v>1486.71163</v>
      </c>
      <c r="F1642" s="1">
        <v>2.5099999999999998</v>
      </c>
      <c r="H1642">
        <v>2906</v>
      </c>
      <c r="I1642" t="str">
        <f t="shared" si="50"/>
        <v>YES</v>
      </c>
      <c r="J1642" t="s">
        <v>1648</v>
      </c>
      <c r="K1642">
        <v>426236.06942800002</v>
      </c>
      <c r="L1642">
        <f t="shared" si="51"/>
        <v>0</v>
      </c>
    </row>
    <row r="1643" spans="1:12" x14ac:dyDescent="0.25">
      <c r="A1643">
        <v>2907</v>
      </c>
      <c r="B1643">
        <v>4095.4727590000002</v>
      </c>
      <c r="C1643">
        <v>4095.4727590000002</v>
      </c>
      <c r="D1643">
        <v>0</v>
      </c>
      <c r="E1643">
        <v>3048.4085730000002</v>
      </c>
      <c r="F1643" s="1">
        <v>2.72</v>
      </c>
      <c r="H1643">
        <v>2907</v>
      </c>
      <c r="I1643" t="str">
        <f t="shared" si="50"/>
        <v>YES</v>
      </c>
      <c r="J1643" t="s">
        <v>1649</v>
      </c>
      <c r="K1643">
        <v>900703.99937400001</v>
      </c>
      <c r="L1643">
        <f t="shared" si="51"/>
        <v>0</v>
      </c>
    </row>
    <row r="1644" spans="1:12" x14ac:dyDescent="0.25">
      <c r="A1644">
        <v>2908</v>
      </c>
      <c r="B1644">
        <v>4583.3358410000001</v>
      </c>
      <c r="C1644">
        <v>4583.3358410000001</v>
      </c>
      <c r="D1644">
        <v>0</v>
      </c>
      <c r="E1644">
        <v>3365.3470699999998</v>
      </c>
      <c r="F1644" s="1">
        <v>3.36</v>
      </c>
      <c r="H1644">
        <v>2908</v>
      </c>
      <c r="I1644" t="str">
        <f t="shared" si="50"/>
        <v>YES</v>
      </c>
      <c r="J1644" t="s">
        <v>1650</v>
      </c>
      <c r="K1644">
        <v>1200845.56476</v>
      </c>
      <c r="L1644">
        <f t="shared" si="51"/>
        <v>0</v>
      </c>
    </row>
    <row r="1645" spans="1:12" x14ac:dyDescent="0.25">
      <c r="A1645">
        <v>2909</v>
      </c>
      <c r="B1645">
        <v>3760.2185180000001</v>
      </c>
      <c r="C1645">
        <v>3760.2185180000001</v>
      </c>
      <c r="D1645">
        <v>0</v>
      </c>
      <c r="E1645">
        <v>1440</v>
      </c>
      <c r="F1645" s="1">
        <v>1.18</v>
      </c>
      <c r="H1645">
        <v>2909</v>
      </c>
      <c r="I1645" t="str">
        <f t="shared" si="50"/>
        <v>YES</v>
      </c>
      <c r="J1645" t="s">
        <v>1651</v>
      </c>
      <c r="K1645">
        <v>584396.00868800003</v>
      </c>
      <c r="L1645">
        <f t="shared" si="51"/>
        <v>0</v>
      </c>
    </row>
    <row r="1646" spans="1:12" x14ac:dyDescent="0.25">
      <c r="A1646">
        <v>2910</v>
      </c>
      <c r="B1646">
        <v>3433.5925470000002</v>
      </c>
      <c r="C1646">
        <v>3433.5925470000002</v>
      </c>
      <c r="D1646">
        <v>0</v>
      </c>
      <c r="E1646">
        <v>1823</v>
      </c>
      <c r="F1646" s="1">
        <v>1.36</v>
      </c>
      <c r="H1646">
        <v>2910</v>
      </c>
      <c r="I1646" t="str">
        <f t="shared" si="50"/>
        <v>YES</v>
      </c>
      <c r="J1646" t="s">
        <v>1652</v>
      </c>
      <c r="K1646">
        <v>683917.33665299998</v>
      </c>
      <c r="L1646">
        <f t="shared" si="51"/>
        <v>0</v>
      </c>
    </row>
    <row r="1647" spans="1:12" x14ac:dyDescent="0.25">
      <c r="A1647">
        <v>2913</v>
      </c>
      <c r="B1647">
        <v>273.3156578</v>
      </c>
      <c r="C1647">
        <v>273.3156578</v>
      </c>
      <c r="D1647">
        <v>0</v>
      </c>
      <c r="F1647" s="1">
        <v>0</v>
      </c>
      <c r="H1647">
        <v>2913</v>
      </c>
      <c r="I1647" t="str">
        <f>IF(A1647=H1647,"YES","NO")</f>
        <v>YES</v>
      </c>
      <c r="J1647" t="s">
        <v>1653</v>
      </c>
      <c r="K1647">
        <v>9514052.2667599991</v>
      </c>
      <c r="L1647">
        <f t="shared" si="51"/>
        <v>0</v>
      </c>
    </row>
    <row r="1648" spans="1:12" x14ac:dyDescent="0.25">
      <c r="A1648">
        <v>2914</v>
      </c>
      <c r="B1648">
        <v>8619.4140709999992</v>
      </c>
      <c r="C1648">
        <v>8619.4140709999992</v>
      </c>
      <c r="D1648">
        <v>0</v>
      </c>
      <c r="E1648">
        <v>1449.4076050000001</v>
      </c>
      <c r="F1648" s="1">
        <v>2.72</v>
      </c>
      <c r="H1648">
        <v>2914</v>
      </c>
      <c r="I1648" t="str">
        <f t="shared" ref="I1648:I1711" si="52">IF(A1648=H1648,"YES","NO")</f>
        <v>YES</v>
      </c>
      <c r="J1648" t="s">
        <v>1654</v>
      </c>
      <c r="K1648">
        <v>1100803.32369</v>
      </c>
      <c r="L1648">
        <f t="shared" si="51"/>
        <v>0</v>
      </c>
    </row>
    <row r="1649" spans="1:12" x14ac:dyDescent="0.25">
      <c r="A1649">
        <v>2915</v>
      </c>
      <c r="B1649">
        <v>8500.2639529999997</v>
      </c>
      <c r="C1649">
        <v>8500.2639529999997</v>
      </c>
      <c r="D1649">
        <v>0</v>
      </c>
      <c r="E1649">
        <v>2092.1262769999998</v>
      </c>
      <c r="F1649" s="1">
        <v>3.87</v>
      </c>
      <c r="H1649">
        <v>2915</v>
      </c>
      <c r="I1649" t="str">
        <f t="shared" si="52"/>
        <v>YES</v>
      </c>
      <c r="J1649" t="s">
        <v>1655</v>
      </c>
      <c r="K1649">
        <v>939735.34354300005</v>
      </c>
      <c r="L1649">
        <f t="shared" si="51"/>
        <v>0</v>
      </c>
    </row>
    <row r="1650" spans="1:12" x14ac:dyDescent="0.25">
      <c r="A1650">
        <v>2916</v>
      </c>
      <c r="B1650">
        <v>14896.967850000001</v>
      </c>
      <c r="C1650">
        <v>14896.967850000001</v>
      </c>
      <c r="D1650">
        <v>0</v>
      </c>
      <c r="E1650">
        <v>1839.3951609999999</v>
      </c>
      <c r="F1650" s="1">
        <v>5.97</v>
      </c>
      <c r="H1650">
        <v>2916</v>
      </c>
      <c r="I1650" t="str">
        <f t="shared" si="52"/>
        <v>YES</v>
      </c>
      <c r="J1650" t="s">
        <v>1656</v>
      </c>
      <c r="K1650">
        <v>440032.77916099998</v>
      </c>
      <c r="L1650">
        <f t="shared" si="51"/>
        <v>0</v>
      </c>
    </row>
    <row r="1651" spans="1:12" x14ac:dyDescent="0.25">
      <c r="A1651">
        <v>2917</v>
      </c>
      <c r="B1651">
        <v>8977.3447059999999</v>
      </c>
      <c r="C1651">
        <v>8977.3447059999999</v>
      </c>
      <c r="D1651">
        <v>0</v>
      </c>
      <c r="E1651">
        <v>3905.2659709999998</v>
      </c>
      <c r="F1651" s="1">
        <v>7.63</v>
      </c>
      <c r="H1651">
        <v>2917</v>
      </c>
      <c r="I1651" t="str">
        <f t="shared" si="52"/>
        <v>YES</v>
      </c>
      <c r="J1651" t="s">
        <v>1657</v>
      </c>
      <c r="K1651">
        <v>393740.89480200002</v>
      </c>
      <c r="L1651">
        <f t="shared" si="51"/>
        <v>0</v>
      </c>
    </row>
    <row r="1652" spans="1:12" x14ac:dyDescent="0.25">
      <c r="A1652">
        <v>2918</v>
      </c>
      <c r="B1652">
        <v>9251.5296450000005</v>
      </c>
      <c r="C1652">
        <v>9251.5296450000005</v>
      </c>
      <c r="D1652">
        <v>0</v>
      </c>
      <c r="E1652">
        <v>3068.1735549999999</v>
      </c>
      <c r="F1652" s="1">
        <v>6.18</v>
      </c>
      <c r="H1652">
        <v>2918</v>
      </c>
      <c r="I1652" t="str">
        <f t="shared" si="52"/>
        <v>YES</v>
      </c>
      <c r="J1652" t="s">
        <v>1658</v>
      </c>
      <c r="K1652">
        <v>856607.49791999999</v>
      </c>
      <c r="L1652">
        <f t="shared" si="51"/>
        <v>0</v>
      </c>
    </row>
    <row r="1653" spans="1:12" x14ac:dyDescent="0.25">
      <c r="A1653">
        <v>2919</v>
      </c>
      <c r="B1653">
        <v>23763.848389999999</v>
      </c>
      <c r="C1653">
        <v>23763.848389999999</v>
      </c>
      <c r="D1653">
        <v>0</v>
      </c>
      <c r="E1653">
        <v>5379.3832819999998</v>
      </c>
      <c r="F1653" s="1">
        <v>27.8</v>
      </c>
      <c r="H1653">
        <v>2919</v>
      </c>
      <c r="I1653" t="str">
        <f t="shared" si="52"/>
        <v>YES</v>
      </c>
      <c r="J1653" t="s">
        <v>1659</v>
      </c>
      <c r="K1653">
        <v>787573.67896499997</v>
      </c>
      <c r="L1653">
        <f t="shared" si="51"/>
        <v>0</v>
      </c>
    </row>
    <row r="1654" spans="1:12" x14ac:dyDescent="0.25">
      <c r="A1654">
        <v>2920</v>
      </c>
      <c r="B1654">
        <v>5053.5210660000002</v>
      </c>
      <c r="C1654">
        <v>5053.5210660000002</v>
      </c>
      <c r="D1654">
        <v>0</v>
      </c>
      <c r="E1654">
        <v>3606.7528459999999</v>
      </c>
      <c r="F1654" s="1">
        <v>3.97</v>
      </c>
      <c r="H1654">
        <v>2920</v>
      </c>
      <c r="I1654" t="str">
        <f t="shared" si="52"/>
        <v>YES</v>
      </c>
      <c r="J1654" t="s">
        <v>1660</v>
      </c>
      <c r="K1654">
        <v>560687.73491</v>
      </c>
      <c r="L1654">
        <f t="shared" si="51"/>
        <v>0</v>
      </c>
    </row>
    <row r="1655" spans="1:12" x14ac:dyDescent="0.25">
      <c r="A1655">
        <v>2921</v>
      </c>
      <c r="B1655">
        <v>1108.8474940000001</v>
      </c>
      <c r="C1655">
        <v>1108.8474940000001</v>
      </c>
      <c r="D1655">
        <v>0</v>
      </c>
      <c r="F1655" s="1">
        <v>0</v>
      </c>
      <c r="H1655">
        <v>2921</v>
      </c>
      <c r="I1655" t="str">
        <f t="shared" si="52"/>
        <v>YES</v>
      </c>
      <c r="J1655" t="s">
        <v>1661</v>
      </c>
      <c r="K1655">
        <v>1365403.98275</v>
      </c>
      <c r="L1655">
        <f t="shared" si="51"/>
        <v>0</v>
      </c>
    </row>
    <row r="1656" spans="1:12" x14ac:dyDescent="0.25">
      <c r="A1656">
        <v>2922</v>
      </c>
      <c r="B1656">
        <v>4061.1814039999999</v>
      </c>
      <c r="C1656">
        <v>4061.1814039999999</v>
      </c>
      <c r="D1656">
        <v>0</v>
      </c>
      <c r="E1656">
        <v>2149.4781200000002</v>
      </c>
      <c r="F1656" s="1">
        <v>1.9</v>
      </c>
      <c r="H1656">
        <v>2922</v>
      </c>
      <c r="I1656" t="str">
        <f t="shared" si="52"/>
        <v>YES</v>
      </c>
      <c r="J1656" t="s">
        <v>1662</v>
      </c>
      <c r="K1656">
        <v>810519.181874</v>
      </c>
      <c r="L1656">
        <f t="shared" si="51"/>
        <v>0</v>
      </c>
    </row>
    <row r="1657" spans="1:12" x14ac:dyDescent="0.25">
      <c r="A1657">
        <v>2923</v>
      </c>
      <c r="B1657">
        <v>98.012861340000001</v>
      </c>
      <c r="C1657">
        <v>98.012861340000001</v>
      </c>
      <c r="D1657">
        <v>0</v>
      </c>
      <c r="E1657">
        <v>527.87191410000003</v>
      </c>
      <c r="F1657" s="1">
        <v>1.1299999999999999E-2</v>
      </c>
      <c r="H1657">
        <v>2923</v>
      </c>
      <c r="I1657" t="str">
        <f t="shared" si="52"/>
        <v>YES</v>
      </c>
      <c r="J1657" t="s">
        <v>1663</v>
      </c>
      <c r="K1657">
        <v>292465.57684300002</v>
      </c>
      <c r="L1657">
        <f t="shared" si="51"/>
        <v>0</v>
      </c>
    </row>
    <row r="1658" spans="1:12" x14ac:dyDescent="0.25">
      <c r="A1658">
        <v>2924</v>
      </c>
      <c r="B1658">
        <v>349.96966780000002</v>
      </c>
      <c r="C1658">
        <v>349.96966780000002</v>
      </c>
      <c r="D1658">
        <v>0</v>
      </c>
      <c r="E1658">
        <v>2016.510411</v>
      </c>
      <c r="F1658" s="1">
        <v>0.154</v>
      </c>
      <c r="H1658">
        <v>2924</v>
      </c>
      <c r="I1658" t="str">
        <f t="shared" si="52"/>
        <v>YES</v>
      </c>
      <c r="J1658" t="s">
        <v>1664</v>
      </c>
      <c r="K1658">
        <v>1176484.94753</v>
      </c>
      <c r="L1658">
        <f t="shared" si="51"/>
        <v>0</v>
      </c>
    </row>
    <row r="1659" spans="1:12" x14ac:dyDescent="0.25">
      <c r="A1659">
        <v>2927</v>
      </c>
      <c r="B1659">
        <v>22369.45292</v>
      </c>
      <c r="C1659">
        <v>22369.45292</v>
      </c>
      <c r="D1659">
        <v>0</v>
      </c>
      <c r="E1659">
        <v>4234.3398820000002</v>
      </c>
      <c r="F1659" s="1">
        <v>20.6</v>
      </c>
      <c r="H1659">
        <v>2927</v>
      </c>
      <c r="I1659" t="str">
        <f t="shared" si="52"/>
        <v>YES</v>
      </c>
      <c r="J1659" t="s">
        <v>1665</v>
      </c>
      <c r="K1659">
        <v>1180193.9177600001</v>
      </c>
      <c r="L1659">
        <f t="shared" si="51"/>
        <v>0</v>
      </c>
    </row>
    <row r="1660" spans="1:12" x14ac:dyDescent="0.25">
      <c r="A1660">
        <v>2928</v>
      </c>
      <c r="B1660">
        <v>27090.79624</v>
      </c>
      <c r="C1660">
        <v>27090.79624</v>
      </c>
      <c r="D1660">
        <v>0</v>
      </c>
      <c r="E1660">
        <v>3111.2917689999999</v>
      </c>
      <c r="F1660" s="1">
        <v>18.399999999999999</v>
      </c>
      <c r="H1660">
        <v>2928</v>
      </c>
      <c r="I1660" t="str">
        <f t="shared" si="52"/>
        <v>YES</v>
      </c>
      <c r="J1660" t="s">
        <v>1666</v>
      </c>
      <c r="K1660">
        <v>822811.58306700003</v>
      </c>
      <c r="L1660">
        <f t="shared" si="51"/>
        <v>0</v>
      </c>
    </row>
    <row r="1661" spans="1:12" x14ac:dyDescent="0.25">
      <c r="A1661">
        <v>2929</v>
      </c>
      <c r="B1661">
        <v>2075.1454250000002</v>
      </c>
      <c r="C1661">
        <v>2075.1454250000002</v>
      </c>
      <c r="D1661">
        <v>0</v>
      </c>
      <c r="E1661">
        <v>3845.870367</v>
      </c>
      <c r="F1661" s="1">
        <v>1.74</v>
      </c>
      <c r="H1661">
        <v>2929</v>
      </c>
      <c r="I1661" t="str">
        <f t="shared" si="52"/>
        <v>YES</v>
      </c>
      <c r="J1661" t="s">
        <v>1667</v>
      </c>
      <c r="K1661">
        <v>1271306.5802</v>
      </c>
      <c r="L1661">
        <f t="shared" si="51"/>
        <v>0</v>
      </c>
    </row>
    <row r="1662" spans="1:12" x14ac:dyDescent="0.25">
      <c r="A1662">
        <v>2930</v>
      </c>
      <c r="B1662">
        <v>1555.5988319999999</v>
      </c>
      <c r="C1662">
        <v>1555.5988319999999</v>
      </c>
      <c r="D1662">
        <v>0</v>
      </c>
      <c r="E1662">
        <v>3868.0397010000002</v>
      </c>
      <c r="F1662" s="1">
        <v>1.31</v>
      </c>
      <c r="H1662">
        <v>2930</v>
      </c>
      <c r="I1662" t="str">
        <f t="shared" si="52"/>
        <v>YES</v>
      </c>
      <c r="J1662" t="s">
        <v>1668</v>
      </c>
      <c r="K1662">
        <v>1301691.5311400001</v>
      </c>
      <c r="L1662">
        <f t="shared" si="51"/>
        <v>0</v>
      </c>
    </row>
    <row r="1663" spans="1:12" x14ac:dyDescent="0.25">
      <c r="A1663">
        <v>2931</v>
      </c>
      <c r="B1663">
        <v>364.39097179999999</v>
      </c>
      <c r="C1663">
        <v>364.39097179999999</v>
      </c>
      <c r="D1663">
        <v>0</v>
      </c>
      <c r="F1663" s="1">
        <v>0</v>
      </c>
      <c r="H1663">
        <v>2931</v>
      </c>
      <c r="I1663" t="str">
        <f t="shared" si="52"/>
        <v>YES</v>
      </c>
      <c r="J1663" t="s">
        <v>1669</v>
      </c>
      <c r="K1663">
        <v>1211606.0551799999</v>
      </c>
      <c r="L1663">
        <f t="shared" si="51"/>
        <v>0</v>
      </c>
    </row>
    <row r="1664" spans="1:12" x14ac:dyDescent="0.25">
      <c r="A1664">
        <v>2932</v>
      </c>
      <c r="B1664">
        <v>13689.31551</v>
      </c>
      <c r="C1664">
        <v>13689.31551</v>
      </c>
      <c r="D1664">
        <v>0</v>
      </c>
      <c r="E1664">
        <v>1143.3018569999999</v>
      </c>
      <c r="F1664" s="1">
        <v>3.41</v>
      </c>
      <c r="H1664">
        <v>2932</v>
      </c>
      <c r="I1664" t="str">
        <f t="shared" si="52"/>
        <v>YES</v>
      </c>
      <c r="J1664" t="s">
        <v>1670</v>
      </c>
      <c r="K1664">
        <v>434108.69454699999</v>
      </c>
      <c r="L1664">
        <f t="shared" si="51"/>
        <v>0</v>
      </c>
    </row>
    <row r="1665" spans="1:12" x14ac:dyDescent="0.25">
      <c r="A1665">
        <v>2934</v>
      </c>
      <c r="B1665">
        <v>15501.926289999999</v>
      </c>
      <c r="C1665">
        <v>15501.926289999999</v>
      </c>
      <c r="D1665">
        <v>0</v>
      </c>
      <c r="E1665">
        <v>2901.466113</v>
      </c>
      <c r="F1665" s="1">
        <v>9.7899999999999991</v>
      </c>
      <c r="H1665">
        <v>2934</v>
      </c>
      <c r="I1665" t="str">
        <f t="shared" si="52"/>
        <v>YES</v>
      </c>
      <c r="J1665" t="s">
        <v>1671</v>
      </c>
      <c r="K1665">
        <v>990657.87682899996</v>
      </c>
      <c r="L1665">
        <f t="shared" si="51"/>
        <v>0</v>
      </c>
    </row>
    <row r="1666" spans="1:12" x14ac:dyDescent="0.25">
      <c r="A1666">
        <v>2935</v>
      </c>
      <c r="B1666">
        <v>19418.41518</v>
      </c>
      <c r="C1666">
        <v>19418.41518</v>
      </c>
      <c r="D1666">
        <v>0</v>
      </c>
      <c r="E1666">
        <v>1574.8562870000001</v>
      </c>
      <c r="F1666" s="1">
        <v>6.66</v>
      </c>
      <c r="H1666">
        <v>2935</v>
      </c>
      <c r="I1666" t="str">
        <f t="shared" si="52"/>
        <v>YES</v>
      </c>
      <c r="J1666" t="s">
        <v>1672</v>
      </c>
      <c r="K1666">
        <v>813032.07209300005</v>
      </c>
      <c r="L1666">
        <f t="shared" si="51"/>
        <v>0</v>
      </c>
    </row>
    <row r="1667" spans="1:12" x14ac:dyDescent="0.25">
      <c r="A1667">
        <v>2936</v>
      </c>
      <c r="B1667">
        <v>37418.744859999999</v>
      </c>
      <c r="C1667">
        <v>37418.744859999999</v>
      </c>
      <c r="D1667">
        <v>0</v>
      </c>
      <c r="E1667">
        <v>1833.9593990000001</v>
      </c>
      <c r="F1667" s="1">
        <v>14.9</v>
      </c>
      <c r="H1667">
        <v>2936</v>
      </c>
      <c r="I1667" t="str">
        <f t="shared" si="52"/>
        <v>YES</v>
      </c>
      <c r="J1667" t="s">
        <v>1673</v>
      </c>
      <c r="K1667">
        <v>415576.71307699999</v>
      </c>
      <c r="L1667">
        <f t="shared" ref="L1667:L1730" si="53">EXP(0.2052)*K1667*(D1667/C1667)</f>
        <v>0</v>
      </c>
    </row>
    <row r="1668" spans="1:12" x14ac:dyDescent="0.25">
      <c r="A1668">
        <v>2937</v>
      </c>
      <c r="B1668">
        <v>32089.907480000002</v>
      </c>
      <c r="C1668">
        <v>32089.907480000002</v>
      </c>
      <c r="D1668">
        <v>0</v>
      </c>
      <c r="E1668">
        <v>2988.1228759999999</v>
      </c>
      <c r="F1668" s="1">
        <v>20.9</v>
      </c>
      <c r="H1668">
        <v>2937</v>
      </c>
      <c r="I1668" t="str">
        <f t="shared" si="52"/>
        <v>YES</v>
      </c>
      <c r="J1668" t="s">
        <v>1674</v>
      </c>
      <c r="K1668">
        <v>637281.45899399999</v>
      </c>
      <c r="L1668">
        <f t="shared" si="53"/>
        <v>0</v>
      </c>
    </row>
    <row r="1669" spans="1:12" x14ac:dyDescent="0.25">
      <c r="A1669">
        <v>2938</v>
      </c>
      <c r="B1669">
        <v>11559.769850000001</v>
      </c>
      <c r="C1669">
        <v>11559.769850000001</v>
      </c>
      <c r="D1669">
        <v>0</v>
      </c>
      <c r="E1669">
        <v>2980.6263859999999</v>
      </c>
      <c r="F1669" s="1">
        <v>7.5</v>
      </c>
      <c r="H1669">
        <v>2938</v>
      </c>
      <c r="I1669" t="str">
        <f t="shared" si="52"/>
        <v>YES</v>
      </c>
      <c r="J1669" t="s">
        <v>1675</v>
      </c>
      <c r="K1669">
        <v>780734.87559399998</v>
      </c>
      <c r="L1669">
        <f t="shared" si="53"/>
        <v>0</v>
      </c>
    </row>
    <row r="1670" spans="1:12" x14ac:dyDescent="0.25">
      <c r="A1670">
        <v>2939</v>
      </c>
      <c r="B1670">
        <v>11344.726989999999</v>
      </c>
      <c r="C1670">
        <v>11344.726989999999</v>
      </c>
      <c r="D1670">
        <v>0</v>
      </c>
      <c r="E1670">
        <v>2688.1162450000002</v>
      </c>
      <c r="F1670" s="1">
        <v>6.64</v>
      </c>
      <c r="H1670">
        <v>2939</v>
      </c>
      <c r="I1670" t="str">
        <f t="shared" si="52"/>
        <v>YES</v>
      </c>
      <c r="J1670" t="s">
        <v>1676</v>
      </c>
      <c r="K1670">
        <v>808463.08815299999</v>
      </c>
      <c r="L1670">
        <f t="shared" si="53"/>
        <v>0</v>
      </c>
    </row>
    <row r="1671" spans="1:12" x14ac:dyDescent="0.25">
      <c r="A1671">
        <v>2940</v>
      </c>
      <c r="B1671">
        <v>585.50678249999999</v>
      </c>
      <c r="C1671">
        <v>585.50678249999999</v>
      </c>
      <c r="D1671">
        <v>0</v>
      </c>
      <c r="E1671">
        <v>2794.5508369999998</v>
      </c>
      <c r="F1671" s="1">
        <v>0.35599999999999998</v>
      </c>
      <c r="H1671">
        <v>2940</v>
      </c>
      <c r="I1671" t="str">
        <f t="shared" si="52"/>
        <v>YES</v>
      </c>
      <c r="J1671" t="s">
        <v>1677</v>
      </c>
      <c r="K1671">
        <v>1106263.56608</v>
      </c>
      <c r="L1671">
        <f t="shared" si="53"/>
        <v>0</v>
      </c>
    </row>
    <row r="1672" spans="1:12" x14ac:dyDescent="0.25">
      <c r="A1672">
        <v>2943</v>
      </c>
      <c r="B1672">
        <v>11313.91344</v>
      </c>
      <c r="C1672">
        <v>11313.91344</v>
      </c>
      <c r="D1672">
        <v>0</v>
      </c>
      <c r="E1672">
        <v>2571.4485989999998</v>
      </c>
      <c r="F1672" s="1">
        <v>6.33</v>
      </c>
      <c r="H1672">
        <v>2943</v>
      </c>
      <c r="I1672" t="str">
        <f t="shared" si="52"/>
        <v>YES</v>
      </c>
      <c r="J1672" t="s">
        <v>1678</v>
      </c>
      <c r="K1672">
        <v>639465.12015500001</v>
      </c>
      <c r="L1672">
        <f t="shared" si="53"/>
        <v>0</v>
      </c>
    </row>
    <row r="1673" spans="1:12" x14ac:dyDescent="0.25">
      <c r="A1673">
        <v>2944</v>
      </c>
      <c r="B1673">
        <v>9977.048487</v>
      </c>
      <c r="C1673">
        <v>9977.048487</v>
      </c>
      <c r="D1673">
        <v>0</v>
      </c>
      <c r="E1673">
        <v>1535.8652529999999</v>
      </c>
      <c r="F1673" s="1">
        <v>3.34</v>
      </c>
      <c r="H1673">
        <v>2944</v>
      </c>
      <c r="I1673" t="str">
        <f t="shared" si="52"/>
        <v>YES</v>
      </c>
      <c r="J1673" t="s">
        <v>1679</v>
      </c>
      <c r="K1673">
        <v>576903.67750600004</v>
      </c>
      <c r="L1673">
        <f t="shared" si="53"/>
        <v>0</v>
      </c>
    </row>
    <row r="1674" spans="1:12" x14ac:dyDescent="0.25">
      <c r="A1674">
        <v>2945</v>
      </c>
      <c r="B1674">
        <v>2983.3131509999998</v>
      </c>
      <c r="C1674">
        <v>2983.3131509999998</v>
      </c>
      <c r="D1674">
        <v>0</v>
      </c>
      <c r="E1674">
        <v>3724.85592</v>
      </c>
      <c r="F1674" s="1">
        <v>2.42</v>
      </c>
      <c r="H1674">
        <v>2945</v>
      </c>
      <c r="I1674" t="str">
        <f t="shared" si="52"/>
        <v>YES</v>
      </c>
      <c r="J1674" t="s">
        <v>1680</v>
      </c>
      <c r="K1674">
        <v>1242994.3466700001</v>
      </c>
      <c r="L1674">
        <f t="shared" si="53"/>
        <v>0</v>
      </c>
    </row>
    <row r="1675" spans="1:12" x14ac:dyDescent="0.25">
      <c r="A1675">
        <v>2946</v>
      </c>
      <c r="B1675">
        <v>5316.4438060000002</v>
      </c>
      <c r="C1675">
        <v>5316.4438060000002</v>
      </c>
      <c r="D1675">
        <v>0</v>
      </c>
      <c r="E1675">
        <v>3737.7295319999998</v>
      </c>
      <c r="F1675" s="1">
        <v>4.33</v>
      </c>
      <c r="H1675">
        <v>2946</v>
      </c>
      <c r="I1675" t="str">
        <f t="shared" si="52"/>
        <v>YES</v>
      </c>
      <c r="J1675" t="s">
        <v>1681</v>
      </c>
      <c r="K1675">
        <v>1169161.78097</v>
      </c>
      <c r="L1675">
        <f t="shared" si="53"/>
        <v>0</v>
      </c>
    </row>
    <row r="1676" spans="1:12" x14ac:dyDescent="0.25">
      <c r="A1676">
        <v>2947</v>
      </c>
      <c r="B1676">
        <v>6878.3415940000004</v>
      </c>
      <c r="C1676">
        <v>6878.3415940000004</v>
      </c>
      <c r="D1676">
        <v>0</v>
      </c>
      <c r="E1676">
        <v>2275.1677629999999</v>
      </c>
      <c r="F1676" s="1">
        <v>3.41</v>
      </c>
      <c r="H1676">
        <v>2947</v>
      </c>
      <c r="I1676" t="str">
        <f t="shared" si="52"/>
        <v>YES</v>
      </c>
      <c r="J1676" t="s">
        <v>1682</v>
      </c>
      <c r="K1676">
        <v>1156513.24174</v>
      </c>
      <c r="L1676">
        <f t="shared" si="53"/>
        <v>0</v>
      </c>
    </row>
    <row r="1677" spans="1:12" x14ac:dyDescent="0.25">
      <c r="A1677">
        <v>2948</v>
      </c>
      <c r="B1677">
        <v>8895.4673590000002</v>
      </c>
      <c r="C1677">
        <v>8895.4673590000002</v>
      </c>
      <c r="D1677">
        <v>0</v>
      </c>
      <c r="F1677" s="1">
        <v>0</v>
      </c>
      <c r="H1677">
        <v>2948</v>
      </c>
      <c r="I1677" t="str">
        <f t="shared" si="52"/>
        <v>YES</v>
      </c>
      <c r="J1677" t="s">
        <v>1683</v>
      </c>
      <c r="K1677">
        <v>648430.62368800002</v>
      </c>
      <c r="L1677">
        <f t="shared" si="53"/>
        <v>0</v>
      </c>
    </row>
    <row r="1678" spans="1:12" x14ac:dyDescent="0.25">
      <c r="A1678">
        <v>2949</v>
      </c>
      <c r="B1678">
        <v>16142.787270000001</v>
      </c>
      <c r="C1678">
        <v>16142.787270000001</v>
      </c>
      <c r="D1678">
        <v>0</v>
      </c>
      <c r="E1678">
        <v>489.56887590000002</v>
      </c>
      <c r="F1678" s="1">
        <v>1.72</v>
      </c>
      <c r="H1678">
        <v>2949</v>
      </c>
      <c r="I1678" t="str">
        <f t="shared" si="52"/>
        <v>YES</v>
      </c>
      <c r="J1678" t="s">
        <v>1684</v>
      </c>
      <c r="K1678">
        <v>628500.586198</v>
      </c>
      <c r="L1678">
        <f t="shared" si="53"/>
        <v>0</v>
      </c>
    </row>
    <row r="1679" spans="1:12" x14ac:dyDescent="0.25">
      <c r="A1679">
        <v>3000</v>
      </c>
      <c r="B1679">
        <v>812.11401360000002</v>
      </c>
      <c r="C1679">
        <v>812.11401360000002</v>
      </c>
      <c r="D1679">
        <v>0</v>
      </c>
      <c r="F1679" s="1">
        <v>0</v>
      </c>
      <c r="H1679">
        <v>3000</v>
      </c>
      <c r="I1679" t="str">
        <f t="shared" si="52"/>
        <v>YES</v>
      </c>
      <c r="J1679" t="s">
        <v>1685</v>
      </c>
      <c r="K1679">
        <v>51388201.710199997</v>
      </c>
      <c r="L1679">
        <f t="shared" si="53"/>
        <v>0</v>
      </c>
    </row>
    <row r="1680" spans="1:12" x14ac:dyDescent="0.25">
      <c r="A1680">
        <v>3001</v>
      </c>
      <c r="B1680">
        <v>693.2713632</v>
      </c>
      <c r="C1680">
        <v>693.2713632</v>
      </c>
      <c r="D1680">
        <v>0</v>
      </c>
      <c r="E1680">
        <v>4121.0341230000004</v>
      </c>
      <c r="F1680" s="1">
        <v>0.622</v>
      </c>
      <c r="H1680">
        <v>3001</v>
      </c>
      <c r="I1680" t="str">
        <f t="shared" si="52"/>
        <v>YES</v>
      </c>
      <c r="J1680" t="s">
        <v>1686</v>
      </c>
      <c r="K1680">
        <v>16274889.001599999</v>
      </c>
      <c r="L1680">
        <f t="shared" si="53"/>
        <v>0</v>
      </c>
    </row>
    <row r="1681" spans="1:12" x14ac:dyDescent="0.25">
      <c r="A1681">
        <v>3002</v>
      </c>
      <c r="B1681">
        <v>197.3527728</v>
      </c>
      <c r="C1681">
        <v>197.3527728</v>
      </c>
      <c r="D1681">
        <v>0</v>
      </c>
      <c r="E1681">
        <v>416.55237790000001</v>
      </c>
      <c r="F1681" s="1">
        <v>1.7899999999999999E-2</v>
      </c>
      <c r="H1681">
        <v>3002</v>
      </c>
      <c r="I1681" t="str">
        <f t="shared" si="52"/>
        <v>YES</v>
      </c>
      <c r="J1681" t="s">
        <v>1687</v>
      </c>
      <c r="K1681">
        <v>18366320.658599999</v>
      </c>
      <c r="L1681">
        <f t="shared" si="53"/>
        <v>0</v>
      </c>
    </row>
    <row r="1682" spans="1:12" x14ac:dyDescent="0.25">
      <c r="A1682">
        <v>3003</v>
      </c>
      <c r="B1682">
        <v>140.1087771</v>
      </c>
      <c r="C1682">
        <v>140.1087771</v>
      </c>
      <c r="D1682">
        <v>0</v>
      </c>
      <c r="E1682">
        <v>993.90086940000003</v>
      </c>
      <c r="F1682" s="1">
        <v>3.0300000000000001E-2</v>
      </c>
      <c r="H1682">
        <v>3003</v>
      </c>
      <c r="I1682" t="str">
        <f t="shared" si="52"/>
        <v>YES</v>
      </c>
      <c r="J1682" t="s">
        <v>1688</v>
      </c>
      <c r="K1682">
        <v>4886869.3707499998</v>
      </c>
      <c r="L1682">
        <f t="shared" si="53"/>
        <v>0</v>
      </c>
    </row>
    <row r="1683" spans="1:12" x14ac:dyDescent="0.25">
      <c r="A1683">
        <v>3004</v>
      </c>
      <c r="B1683">
        <v>78.217401120000005</v>
      </c>
      <c r="C1683">
        <v>78.217401120000005</v>
      </c>
      <c r="D1683">
        <v>0</v>
      </c>
      <c r="E1683">
        <v>303.46279520000002</v>
      </c>
      <c r="F1683" s="1">
        <v>5.1700000000000001E-3</v>
      </c>
      <c r="H1683">
        <v>3004</v>
      </c>
      <c r="I1683" t="str">
        <f t="shared" si="52"/>
        <v>YES</v>
      </c>
      <c r="J1683" t="s">
        <v>1689</v>
      </c>
      <c r="K1683">
        <v>20873616.4932</v>
      </c>
      <c r="L1683">
        <f t="shared" si="53"/>
        <v>0</v>
      </c>
    </row>
    <row r="1684" spans="1:12" x14ac:dyDescent="0.25">
      <c r="A1684">
        <v>3005</v>
      </c>
      <c r="B1684">
        <v>391.08641089999998</v>
      </c>
      <c r="C1684">
        <v>391.08641089999998</v>
      </c>
      <c r="D1684">
        <v>0</v>
      </c>
      <c r="E1684">
        <v>790.56302570000003</v>
      </c>
      <c r="F1684" s="1">
        <v>6.7299999999999999E-2</v>
      </c>
      <c r="H1684">
        <v>3005</v>
      </c>
      <c r="I1684" t="str">
        <f t="shared" si="52"/>
        <v>YES</v>
      </c>
      <c r="J1684" t="s">
        <v>1690</v>
      </c>
      <c r="K1684">
        <v>35365779.863300003</v>
      </c>
      <c r="L1684">
        <f t="shared" si="53"/>
        <v>0</v>
      </c>
    </row>
    <row r="1685" spans="1:12" x14ac:dyDescent="0.25">
      <c r="A1685">
        <v>3006</v>
      </c>
      <c r="B1685">
        <v>232.32739290000001</v>
      </c>
      <c r="C1685">
        <v>232.32739290000001</v>
      </c>
      <c r="D1685">
        <v>0</v>
      </c>
      <c r="E1685">
        <v>1077.4606309999999</v>
      </c>
      <c r="F1685" s="1">
        <v>5.45E-2</v>
      </c>
      <c r="H1685">
        <v>3006</v>
      </c>
      <c r="I1685" t="str">
        <f t="shared" si="52"/>
        <v>YES</v>
      </c>
      <c r="J1685" t="s">
        <v>1691</v>
      </c>
      <c r="K1685">
        <v>35672642.637900002</v>
      </c>
      <c r="L1685">
        <f t="shared" si="53"/>
        <v>0</v>
      </c>
    </row>
    <row r="1686" spans="1:12" x14ac:dyDescent="0.25">
      <c r="A1686">
        <v>3007</v>
      </c>
      <c r="B1686">
        <v>641.72251470000003</v>
      </c>
      <c r="C1686">
        <v>641.72251470000003</v>
      </c>
      <c r="D1686">
        <v>0</v>
      </c>
      <c r="E1686">
        <v>1417.213152</v>
      </c>
      <c r="F1686" s="1">
        <v>0.19800000000000001</v>
      </c>
      <c r="H1686">
        <v>3007</v>
      </c>
      <c r="I1686" t="str">
        <f t="shared" si="52"/>
        <v>YES</v>
      </c>
      <c r="J1686" t="s">
        <v>1692</v>
      </c>
      <c r="K1686">
        <v>26727067.886599999</v>
      </c>
      <c r="L1686">
        <f t="shared" si="53"/>
        <v>0</v>
      </c>
    </row>
    <row r="1687" spans="1:12" x14ac:dyDescent="0.25">
      <c r="A1687">
        <v>3008</v>
      </c>
      <c r="B1687">
        <v>226.9551137</v>
      </c>
      <c r="C1687">
        <v>226.9551137</v>
      </c>
      <c r="D1687">
        <v>0</v>
      </c>
      <c r="F1687" s="1">
        <v>0</v>
      </c>
      <c r="H1687">
        <v>3008</v>
      </c>
      <c r="I1687" t="str">
        <f t="shared" si="52"/>
        <v>YES</v>
      </c>
      <c r="J1687" t="s">
        <v>1693</v>
      </c>
      <c r="K1687">
        <v>23221444.187899999</v>
      </c>
      <c r="L1687">
        <f t="shared" si="53"/>
        <v>0</v>
      </c>
    </row>
    <row r="1688" spans="1:12" x14ac:dyDescent="0.25">
      <c r="A1688">
        <v>3009</v>
      </c>
      <c r="B1688">
        <v>1181.443741</v>
      </c>
      <c r="C1688">
        <v>1181.443741</v>
      </c>
      <c r="D1688">
        <v>0</v>
      </c>
      <c r="E1688">
        <v>2639.0386109999999</v>
      </c>
      <c r="F1688" s="1">
        <v>0.67900000000000005</v>
      </c>
      <c r="H1688">
        <v>3009</v>
      </c>
      <c r="I1688" t="str">
        <f t="shared" si="52"/>
        <v>YES</v>
      </c>
      <c r="J1688" t="s">
        <v>1694</v>
      </c>
      <c r="K1688">
        <v>34170641.064999998</v>
      </c>
      <c r="L1688">
        <f t="shared" si="53"/>
        <v>0</v>
      </c>
    </row>
    <row r="1689" spans="1:12" x14ac:dyDescent="0.25">
      <c r="A1689">
        <v>3010</v>
      </c>
      <c r="B1689">
        <v>172.37416440000001</v>
      </c>
      <c r="C1689">
        <v>172.37416440000001</v>
      </c>
      <c r="D1689">
        <v>0</v>
      </c>
      <c r="E1689">
        <v>1899.9213139999999</v>
      </c>
      <c r="F1689" s="1">
        <v>7.1300000000000002E-2</v>
      </c>
      <c r="H1689">
        <v>3010</v>
      </c>
      <c r="I1689" t="str">
        <f t="shared" si="52"/>
        <v>YES</v>
      </c>
      <c r="J1689" t="s">
        <v>1695</v>
      </c>
      <c r="K1689">
        <v>10989220.0473</v>
      </c>
      <c r="L1689">
        <f t="shared" si="53"/>
        <v>0</v>
      </c>
    </row>
    <row r="1690" spans="1:12" x14ac:dyDescent="0.25">
      <c r="A1690">
        <v>3011</v>
      </c>
      <c r="B1690">
        <v>470.90494200000001</v>
      </c>
      <c r="C1690">
        <v>470.90494200000001</v>
      </c>
      <c r="D1690">
        <v>0</v>
      </c>
      <c r="F1690" s="1">
        <v>0</v>
      </c>
      <c r="H1690">
        <v>3011</v>
      </c>
      <c r="I1690" t="str">
        <f t="shared" si="52"/>
        <v>YES</v>
      </c>
      <c r="J1690" t="s">
        <v>1696</v>
      </c>
      <c r="K1690">
        <v>67718857.235200003</v>
      </c>
      <c r="L1690">
        <f t="shared" si="53"/>
        <v>0</v>
      </c>
    </row>
    <row r="1691" spans="1:12" x14ac:dyDescent="0.25">
      <c r="A1691">
        <v>3012</v>
      </c>
      <c r="B1691">
        <v>142.74582820000001</v>
      </c>
      <c r="C1691">
        <v>142.74582820000001</v>
      </c>
      <c r="D1691">
        <v>0</v>
      </c>
      <c r="E1691">
        <v>103.99324369999999</v>
      </c>
      <c r="F1691" s="1">
        <v>3.2299999999999998E-3</v>
      </c>
      <c r="H1691">
        <v>3012</v>
      </c>
      <c r="I1691" t="str">
        <f t="shared" si="52"/>
        <v>YES</v>
      </c>
      <c r="J1691" t="s">
        <v>1697</v>
      </c>
      <c r="K1691">
        <v>11479334.7389</v>
      </c>
      <c r="L1691">
        <f t="shared" si="53"/>
        <v>0</v>
      </c>
    </row>
    <row r="1692" spans="1:12" x14ac:dyDescent="0.25">
      <c r="A1692">
        <v>3013</v>
      </c>
      <c r="B1692">
        <v>2703.0748119999998</v>
      </c>
      <c r="C1692">
        <v>2703.0748119999998</v>
      </c>
      <c r="D1692">
        <v>0</v>
      </c>
      <c r="F1692" s="1">
        <v>0</v>
      </c>
      <c r="H1692">
        <v>3013</v>
      </c>
      <c r="I1692" t="str">
        <f t="shared" si="52"/>
        <v>YES</v>
      </c>
      <c r="J1692" t="s">
        <v>1698</v>
      </c>
      <c r="K1692">
        <v>34957182.053300001</v>
      </c>
      <c r="L1692">
        <f t="shared" si="53"/>
        <v>0</v>
      </c>
    </row>
    <row r="1693" spans="1:12" x14ac:dyDescent="0.25">
      <c r="A1693">
        <v>3014</v>
      </c>
      <c r="B1693">
        <v>70.439251900000002</v>
      </c>
      <c r="C1693">
        <v>70.439251900000002</v>
      </c>
      <c r="D1693">
        <v>0</v>
      </c>
      <c r="F1693" s="1">
        <v>0</v>
      </c>
      <c r="H1693">
        <v>3014</v>
      </c>
      <c r="I1693" t="str">
        <f t="shared" si="52"/>
        <v>YES</v>
      </c>
      <c r="J1693" t="s">
        <v>1699</v>
      </c>
      <c r="K1693">
        <v>82061795.0141</v>
      </c>
      <c r="L1693">
        <f t="shared" si="53"/>
        <v>0</v>
      </c>
    </row>
    <row r="1694" spans="1:12" x14ac:dyDescent="0.25">
      <c r="A1694">
        <v>3015</v>
      </c>
      <c r="B1694">
        <v>552.96514720000005</v>
      </c>
      <c r="C1694">
        <v>552.96514720000005</v>
      </c>
      <c r="D1694">
        <v>0</v>
      </c>
      <c r="F1694" s="1">
        <v>0</v>
      </c>
      <c r="H1694">
        <v>3015</v>
      </c>
      <c r="I1694" t="str">
        <f t="shared" si="52"/>
        <v>YES</v>
      </c>
      <c r="J1694" t="s">
        <v>1700</v>
      </c>
      <c r="K1694">
        <v>17824766.314800002</v>
      </c>
      <c r="L1694">
        <f t="shared" si="53"/>
        <v>0</v>
      </c>
    </row>
    <row r="1695" spans="1:12" x14ac:dyDescent="0.25">
      <c r="A1695">
        <v>3016</v>
      </c>
      <c r="B1695">
        <v>1373.4813630000001</v>
      </c>
      <c r="C1695">
        <v>1373.4813630000001</v>
      </c>
      <c r="D1695">
        <v>0</v>
      </c>
      <c r="E1695">
        <v>3002.7174930000001</v>
      </c>
      <c r="F1695" s="1">
        <v>0.89800000000000002</v>
      </c>
      <c r="H1695">
        <v>3016</v>
      </c>
      <c r="I1695" t="str">
        <f t="shared" si="52"/>
        <v>YES</v>
      </c>
      <c r="J1695" t="s">
        <v>1701</v>
      </c>
      <c r="K1695">
        <v>16988355.926100001</v>
      </c>
      <c r="L1695">
        <f t="shared" si="53"/>
        <v>0</v>
      </c>
    </row>
    <row r="1696" spans="1:12" x14ac:dyDescent="0.25">
      <c r="A1696">
        <v>3017</v>
      </c>
      <c r="B1696">
        <v>136.88455569999999</v>
      </c>
      <c r="C1696">
        <v>136.88455569999999</v>
      </c>
      <c r="D1696">
        <v>0</v>
      </c>
      <c r="E1696">
        <v>2101.5242309999999</v>
      </c>
      <c r="F1696" s="1">
        <v>6.2600000000000003E-2</v>
      </c>
      <c r="H1696">
        <v>3017</v>
      </c>
      <c r="I1696" t="str">
        <f t="shared" si="52"/>
        <v>YES</v>
      </c>
      <c r="J1696" t="s">
        <v>1702</v>
      </c>
      <c r="K1696">
        <v>2143330.9318200001</v>
      </c>
      <c r="L1696">
        <f t="shared" si="53"/>
        <v>0</v>
      </c>
    </row>
    <row r="1697" spans="1:12" x14ac:dyDescent="0.25">
      <c r="A1697">
        <v>3018</v>
      </c>
      <c r="B1697">
        <v>212.08234139999999</v>
      </c>
      <c r="C1697">
        <v>212.08234139999999</v>
      </c>
      <c r="D1697">
        <v>0</v>
      </c>
      <c r="E1697">
        <v>995.92997460000004</v>
      </c>
      <c r="F1697" s="1">
        <v>4.5999999999999999E-2</v>
      </c>
      <c r="H1697">
        <v>3018</v>
      </c>
      <c r="I1697" t="str">
        <f t="shared" si="52"/>
        <v>YES</v>
      </c>
      <c r="J1697" t="s">
        <v>1703</v>
      </c>
      <c r="K1697">
        <v>22851499.812899999</v>
      </c>
      <c r="L1697">
        <f t="shared" si="53"/>
        <v>0</v>
      </c>
    </row>
    <row r="1698" spans="1:12" x14ac:dyDescent="0.25">
      <c r="A1698">
        <v>3019</v>
      </c>
      <c r="B1698">
        <v>153.58732380000001</v>
      </c>
      <c r="C1698">
        <v>153.58732380000001</v>
      </c>
      <c r="D1698">
        <v>0</v>
      </c>
      <c r="E1698">
        <v>2086.293185</v>
      </c>
      <c r="F1698" s="1">
        <v>6.9800000000000001E-2</v>
      </c>
      <c r="H1698">
        <v>3019</v>
      </c>
      <c r="I1698" t="str">
        <f t="shared" si="52"/>
        <v>YES</v>
      </c>
      <c r="J1698" t="s">
        <v>1704</v>
      </c>
      <c r="K1698">
        <v>12771981.5438</v>
      </c>
      <c r="L1698">
        <f t="shared" si="53"/>
        <v>0</v>
      </c>
    </row>
    <row r="1699" spans="1:12" x14ac:dyDescent="0.25">
      <c r="A1699">
        <v>3022</v>
      </c>
      <c r="B1699">
        <v>536.80169609999996</v>
      </c>
      <c r="C1699">
        <v>536.80169609999996</v>
      </c>
      <c r="D1699">
        <v>0</v>
      </c>
      <c r="F1699" s="1">
        <v>0</v>
      </c>
      <c r="H1699">
        <v>3022</v>
      </c>
      <c r="I1699" t="str">
        <f t="shared" si="52"/>
        <v>YES</v>
      </c>
      <c r="J1699" t="s">
        <v>1705</v>
      </c>
      <c r="K1699">
        <v>116857773.927</v>
      </c>
      <c r="L1699">
        <f t="shared" si="53"/>
        <v>0</v>
      </c>
    </row>
    <row r="1700" spans="1:12" x14ac:dyDescent="0.25">
      <c r="A1700">
        <v>3023</v>
      </c>
      <c r="B1700">
        <v>901.92884349999997</v>
      </c>
      <c r="C1700">
        <v>901.92884349999997</v>
      </c>
      <c r="D1700">
        <v>0</v>
      </c>
      <c r="F1700" s="1">
        <v>0</v>
      </c>
      <c r="H1700">
        <v>3023</v>
      </c>
      <c r="I1700" t="str">
        <f t="shared" si="52"/>
        <v>YES</v>
      </c>
      <c r="J1700" t="s">
        <v>1706</v>
      </c>
      <c r="K1700">
        <v>95793005.044499993</v>
      </c>
      <c r="L1700">
        <f t="shared" si="53"/>
        <v>0</v>
      </c>
    </row>
    <row r="1701" spans="1:12" x14ac:dyDescent="0.25">
      <c r="A1701">
        <v>3024</v>
      </c>
      <c r="B1701">
        <v>126.70162500000001</v>
      </c>
      <c r="C1701">
        <v>126.70162500000001</v>
      </c>
      <c r="D1701">
        <v>0</v>
      </c>
      <c r="F1701" s="1">
        <v>0</v>
      </c>
      <c r="H1701">
        <v>3024</v>
      </c>
      <c r="I1701" t="str">
        <f t="shared" si="52"/>
        <v>YES</v>
      </c>
      <c r="J1701" t="s">
        <v>1707</v>
      </c>
      <c r="K1701">
        <v>49175845.053099997</v>
      </c>
      <c r="L1701">
        <f t="shared" si="53"/>
        <v>0</v>
      </c>
    </row>
    <row r="1702" spans="1:12" x14ac:dyDescent="0.25">
      <c r="A1702">
        <v>3025</v>
      </c>
      <c r="B1702">
        <v>107.872614</v>
      </c>
      <c r="C1702">
        <v>107.872614</v>
      </c>
      <c r="D1702">
        <v>0</v>
      </c>
      <c r="E1702">
        <v>729.98162339999999</v>
      </c>
      <c r="F1702" s="1">
        <v>1.7100000000000001E-2</v>
      </c>
      <c r="H1702">
        <v>3025</v>
      </c>
      <c r="I1702" t="str">
        <f t="shared" si="52"/>
        <v>YES</v>
      </c>
      <c r="J1702" t="s">
        <v>1708</v>
      </c>
      <c r="K1702">
        <v>60359996.031599998</v>
      </c>
      <c r="L1702">
        <f t="shared" si="53"/>
        <v>0</v>
      </c>
    </row>
    <row r="1703" spans="1:12" x14ac:dyDescent="0.25">
      <c r="A1703">
        <v>3100</v>
      </c>
      <c r="B1703">
        <v>711.77610570000002</v>
      </c>
      <c r="C1703">
        <v>711.77610570000002</v>
      </c>
      <c r="D1703">
        <v>0</v>
      </c>
      <c r="E1703">
        <v>2095.9818169999999</v>
      </c>
      <c r="F1703" s="1">
        <v>0.32500000000000001</v>
      </c>
      <c r="H1703">
        <v>3100</v>
      </c>
      <c r="I1703" t="str">
        <f t="shared" si="52"/>
        <v>YES</v>
      </c>
      <c r="J1703" t="s">
        <v>1709</v>
      </c>
      <c r="K1703">
        <v>5291554.3300599996</v>
      </c>
      <c r="L1703">
        <f t="shared" si="53"/>
        <v>0</v>
      </c>
    </row>
    <row r="1704" spans="1:12" x14ac:dyDescent="0.25">
      <c r="A1704">
        <v>3101</v>
      </c>
      <c r="B1704">
        <v>8460.5485430000008</v>
      </c>
      <c r="C1704">
        <v>8460.5485430000008</v>
      </c>
      <c r="D1704">
        <v>0</v>
      </c>
      <c r="E1704">
        <v>480.67208599999998</v>
      </c>
      <c r="F1704" s="1">
        <v>0.88500000000000001</v>
      </c>
      <c r="H1704">
        <v>3101</v>
      </c>
      <c r="I1704" t="str">
        <f t="shared" si="52"/>
        <v>YES</v>
      </c>
      <c r="J1704" t="s">
        <v>1710</v>
      </c>
      <c r="K1704">
        <v>2924750.4264799999</v>
      </c>
      <c r="L1704">
        <f t="shared" si="53"/>
        <v>0</v>
      </c>
    </row>
    <row r="1705" spans="1:12" x14ac:dyDescent="0.25">
      <c r="A1705">
        <v>3102</v>
      </c>
      <c r="B1705">
        <v>7851.3275350000004</v>
      </c>
      <c r="C1705">
        <v>7851.3275350000004</v>
      </c>
      <c r="D1705">
        <v>0</v>
      </c>
      <c r="E1705">
        <v>1068.259581</v>
      </c>
      <c r="F1705" s="1">
        <v>1.83</v>
      </c>
      <c r="H1705">
        <v>3102</v>
      </c>
      <c r="I1705" t="str">
        <f t="shared" si="52"/>
        <v>YES</v>
      </c>
      <c r="J1705" t="s">
        <v>1711</v>
      </c>
      <c r="K1705">
        <v>747999.80786499998</v>
      </c>
      <c r="L1705">
        <f t="shared" si="53"/>
        <v>0</v>
      </c>
    </row>
    <row r="1706" spans="1:12" x14ac:dyDescent="0.25">
      <c r="A1706">
        <v>3103</v>
      </c>
      <c r="B1706">
        <v>4960.2122120000004</v>
      </c>
      <c r="C1706">
        <v>4960.2122120000004</v>
      </c>
      <c r="D1706">
        <v>0</v>
      </c>
      <c r="E1706">
        <v>1758.3954859999999</v>
      </c>
      <c r="F1706" s="1">
        <v>1.9</v>
      </c>
      <c r="H1706">
        <v>3103</v>
      </c>
      <c r="I1706" t="str">
        <f t="shared" si="52"/>
        <v>YES</v>
      </c>
      <c r="J1706" t="s">
        <v>1712</v>
      </c>
      <c r="K1706">
        <v>957135.16902499995</v>
      </c>
      <c r="L1706">
        <f t="shared" si="53"/>
        <v>0</v>
      </c>
    </row>
    <row r="1707" spans="1:12" x14ac:dyDescent="0.25">
      <c r="A1707">
        <v>3104</v>
      </c>
      <c r="B1707">
        <v>300.53950049999997</v>
      </c>
      <c r="C1707">
        <v>300.53950049999997</v>
      </c>
      <c r="D1707">
        <v>0</v>
      </c>
      <c r="E1707">
        <v>946.219112</v>
      </c>
      <c r="F1707" s="1">
        <v>6.1899999999999997E-2</v>
      </c>
      <c r="H1707">
        <v>3104</v>
      </c>
      <c r="I1707" t="str">
        <f t="shared" si="52"/>
        <v>YES</v>
      </c>
      <c r="J1707" t="s">
        <v>1713</v>
      </c>
      <c r="K1707">
        <v>11107015.6598</v>
      </c>
      <c r="L1707">
        <f t="shared" si="53"/>
        <v>0</v>
      </c>
    </row>
    <row r="1708" spans="1:12" x14ac:dyDescent="0.25">
      <c r="A1708">
        <v>3105</v>
      </c>
      <c r="B1708">
        <v>4415.8329750000003</v>
      </c>
      <c r="C1708">
        <v>4415.8329750000003</v>
      </c>
      <c r="D1708">
        <v>0</v>
      </c>
      <c r="E1708">
        <v>4642.998912</v>
      </c>
      <c r="F1708" s="1">
        <v>4.46</v>
      </c>
      <c r="H1708">
        <v>3105</v>
      </c>
      <c r="I1708" t="str">
        <f t="shared" si="52"/>
        <v>YES</v>
      </c>
      <c r="J1708" t="s">
        <v>1714</v>
      </c>
      <c r="K1708">
        <v>4228861.9008900002</v>
      </c>
      <c r="L1708">
        <f t="shared" si="53"/>
        <v>0</v>
      </c>
    </row>
    <row r="1709" spans="1:12" x14ac:dyDescent="0.25">
      <c r="A1709">
        <v>3106</v>
      </c>
      <c r="B1709">
        <v>172.99491320000001</v>
      </c>
      <c r="C1709">
        <v>172.99491320000001</v>
      </c>
      <c r="D1709">
        <v>0</v>
      </c>
      <c r="E1709">
        <v>2280.4730070000001</v>
      </c>
      <c r="F1709" s="1">
        <v>8.5900000000000004E-2</v>
      </c>
      <c r="H1709">
        <v>3106</v>
      </c>
      <c r="I1709" t="str">
        <f t="shared" si="52"/>
        <v>YES</v>
      </c>
      <c r="J1709" t="s">
        <v>1715</v>
      </c>
      <c r="K1709">
        <v>891525.91647299996</v>
      </c>
      <c r="L1709">
        <f t="shared" si="53"/>
        <v>0</v>
      </c>
    </row>
    <row r="1710" spans="1:12" x14ac:dyDescent="0.25">
      <c r="A1710">
        <v>3108</v>
      </c>
      <c r="B1710">
        <v>1060.8278379999999</v>
      </c>
      <c r="C1710">
        <v>1060.8278379999999</v>
      </c>
      <c r="D1710">
        <v>0</v>
      </c>
      <c r="E1710">
        <v>2272.8222470000001</v>
      </c>
      <c r="F1710" s="1">
        <v>0.52500000000000002</v>
      </c>
      <c r="H1710">
        <v>3108</v>
      </c>
      <c r="I1710" t="str">
        <f t="shared" si="52"/>
        <v>YES</v>
      </c>
      <c r="J1710" t="s">
        <v>1716</v>
      </c>
      <c r="K1710">
        <v>623582.97759200004</v>
      </c>
      <c r="L1710">
        <f t="shared" si="53"/>
        <v>0</v>
      </c>
    </row>
    <row r="1711" spans="1:12" x14ac:dyDescent="0.25">
      <c r="A1711">
        <v>3109</v>
      </c>
      <c r="B1711">
        <v>1942.3635380000001</v>
      </c>
      <c r="C1711">
        <v>1942.3635380000001</v>
      </c>
      <c r="D1711">
        <v>0</v>
      </c>
      <c r="E1711">
        <v>2513.8480719999998</v>
      </c>
      <c r="F1711" s="1">
        <v>1.06</v>
      </c>
      <c r="H1711">
        <v>3109</v>
      </c>
      <c r="I1711" t="str">
        <f t="shared" si="52"/>
        <v>YES</v>
      </c>
      <c r="J1711" t="s">
        <v>1717</v>
      </c>
      <c r="K1711">
        <v>2924613.2632399998</v>
      </c>
      <c r="L1711">
        <f t="shared" si="53"/>
        <v>0</v>
      </c>
    </row>
    <row r="1712" spans="1:12" x14ac:dyDescent="0.25">
      <c r="A1712">
        <v>3111</v>
      </c>
      <c r="B1712">
        <v>3951.9431610000001</v>
      </c>
      <c r="C1712">
        <v>3951.9431610000001</v>
      </c>
      <c r="D1712">
        <v>0</v>
      </c>
      <c r="E1712">
        <v>3108</v>
      </c>
      <c r="F1712" s="1">
        <v>2.67</v>
      </c>
      <c r="H1712">
        <v>3111</v>
      </c>
      <c r="I1712" t="str">
        <f t="shared" ref="I1712:I1775" si="54">IF(A1712=H1712,"YES","NO")</f>
        <v>YES</v>
      </c>
      <c r="J1712" t="s">
        <v>1718</v>
      </c>
      <c r="K1712">
        <v>916095.49685999996</v>
      </c>
      <c r="L1712">
        <f t="shared" si="53"/>
        <v>0</v>
      </c>
    </row>
    <row r="1713" spans="1:12" x14ac:dyDescent="0.25">
      <c r="A1713">
        <v>3112</v>
      </c>
      <c r="B1713">
        <v>3951.9431610000001</v>
      </c>
      <c r="C1713">
        <v>3951.9431610000001</v>
      </c>
      <c r="D1713">
        <v>0</v>
      </c>
      <c r="E1713">
        <v>2884</v>
      </c>
      <c r="F1713" s="1">
        <v>2.48</v>
      </c>
      <c r="H1713">
        <v>3112</v>
      </c>
      <c r="I1713" t="str">
        <f t="shared" si="54"/>
        <v>YES</v>
      </c>
      <c r="J1713" t="s">
        <v>1719</v>
      </c>
      <c r="K1713">
        <v>1615886.0460000001</v>
      </c>
      <c r="L1713">
        <f t="shared" si="53"/>
        <v>0</v>
      </c>
    </row>
    <row r="1714" spans="1:12" x14ac:dyDescent="0.25">
      <c r="A1714">
        <v>3113</v>
      </c>
      <c r="B1714">
        <v>1964.962278</v>
      </c>
      <c r="C1714">
        <v>1964.962278</v>
      </c>
      <c r="D1714">
        <v>0</v>
      </c>
      <c r="E1714">
        <v>1492.3296800000001</v>
      </c>
      <c r="F1714" s="1">
        <v>0.63800000000000001</v>
      </c>
      <c r="H1714">
        <v>3113</v>
      </c>
      <c r="I1714" t="str">
        <f t="shared" si="54"/>
        <v>YES</v>
      </c>
      <c r="J1714" t="s">
        <v>1720</v>
      </c>
      <c r="K1714">
        <v>8344319.9257899998</v>
      </c>
      <c r="L1714">
        <f t="shared" si="53"/>
        <v>0</v>
      </c>
    </row>
    <row r="1715" spans="1:12" x14ac:dyDescent="0.25">
      <c r="A1715">
        <v>3114</v>
      </c>
      <c r="B1715">
        <v>8878.3502449999996</v>
      </c>
      <c r="C1715">
        <v>8878.3502449999996</v>
      </c>
      <c r="D1715">
        <v>0</v>
      </c>
      <c r="E1715">
        <v>1177.357215</v>
      </c>
      <c r="F1715" s="1">
        <v>2.2799999999999998</v>
      </c>
      <c r="H1715">
        <v>3114</v>
      </c>
      <c r="I1715" t="str">
        <f t="shared" si="54"/>
        <v>YES</v>
      </c>
      <c r="J1715" t="s">
        <v>1721</v>
      </c>
      <c r="K1715">
        <v>951055.75771999999</v>
      </c>
      <c r="L1715">
        <f t="shared" si="53"/>
        <v>0</v>
      </c>
    </row>
    <row r="1716" spans="1:12" x14ac:dyDescent="0.25">
      <c r="A1716">
        <v>3115</v>
      </c>
      <c r="B1716">
        <v>7443.5224699999999</v>
      </c>
      <c r="C1716">
        <v>7443.5224699999999</v>
      </c>
      <c r="D1716">
        <v>0</v>
      </c>
      <c r="E1716">
        <v>1935.642785</v>
      </c>
      <c r="F1716" s="1">
        <v>3.14</v>
      </c>
      <c r="H1716">
        <v>3115</v>
      </c>
      <c r="I1716" t="str">
        <f t="shared" si="54"/>
        <v>YES</v>
      </c>
      <c r="J1716" t="s">
        <v>1722</v>
      </c>
      <c r="K1716">
        <v>1808613.6471500001</v>
      </c>
      <c r="L1716">
        <f t="shared" si="53"/>
        <v>0</v>
      </c>
    </row>
    <row r="1717" spans="1:12" x14ac:dyDescent="0.25">
      <c r="A1717">
        <v>3116</v>
      </c>
      <c r="B1717">
        <v>7062.8252460000003</v>
      </c>
      <c r="C1717">
        <v>7062.8252460000003</v>
      </c>
      <c r="D1717">
        <v>0</v>
      </c>
      <c r="E1717">
        <v>2082.083259</v>
      </c>
      <c r="F1717" s="1">
        <v>3.2</v>
      </c>
      <c r="H1717">
        <v>3116</v>
      </c>
      <c r="I1717" t="str">
        <f t="shared" si="54"/>
        <v>YES</v>
      </c>
      <c r="J1717" t="s">
        <v>1723</v>
      </c>
      <c r="K1717">
        <v>1459247.8988900001</v>
      </c>
      <c r="L1717">
        <f t="shared" si="53"/>
        <v>0</v>
      </c>
    </row>
    <row r="1718" spans="1:12" x14ac:dyDescent="0.25">
      <c r="A1718">
        <v>3117</v>
      </c>
      <c r="B1718">
        <v>8336.4206090000007</v>
      </c>
      <c r="C1718">
        <v>8336.4206090000007</v>
      </c>
      <c r="D1718">
        <v>0</v>
      </c>
      <c r="E1718">
        <v>4071.9167400000001</v>
      </c>
      <c r="F1718" s="1">
        <v>7.39</v>
      </c>
      <c r="H1718">
        <v>3117</v>
      </c>
      <c r="I1718" t="str">
        <f t="shared" si="54"/>
        <v>YES</v>
      </c>
      <c r="J1718" t="s">
        <v>1724</v>
      </c>
      <c r="K1718">
        <v>2860758.9522699998</v>
      </c>
      <c r="L1718">
        <f t="shared" si="53"/>
        <v>0</v>
      </c>
    </row>
    <row r="1719" spans="1:12" x14ac:dyDescent="0.25">
      <c r="A1719">
        <v>3120</v>
      </c>
      <c r="B1719">
        <v>7709.1287419999999</v>
      </c>
      <c r="C1719">
        <v>7709.1287419999999</v>
      </c>
      <c r="D1719">
        <v>0</v>
      </c>
      <c r="E1719">
        <v>65</v>
      </c>
      <c r="F1719" s="1">
        <v>0.109</v>
      </c>
      <c r="H1719">
        <v>3120</v>
      </c>
      <c r="I1719" t="str">
        <f t="shared" si="54"/>
        <v>YES</v>
      </c>
      <c r="J1719" t="s">
        <v>1725</v>
      </c>
      <c r="K1719">
        <v>3456672.3129500002</v>
      </c>
      <c r="L1719">
        <f t="shared" si="53"/>
        <v>0</v>
      </c>
    </row>
    <row r="1720" spans="1:12" x14ac:dyDescent="0.25">
      <c r="A1720">
        <v>3121</v>
      </c>
      <c r="B1720">
        <v>460.63524219999999</v>
      </c>
      <c r="C1720">
        <v>460.63524219999999</v>
      </c>
      <c r="D1720">
        <v>0</v>
      </c>
      <c r="E1720">
        <v>2781</v>
      </c>
      <c r="F1720" s="1">
        <v>0.27900000000000003</v>
      </c>
      <c r="H1720">
        <v>3121</v>
      </c>
      <c r="I1720" t="str">
        <f t="shared" si="54"/>
        <v>YES</v>
      </c>
      <c r="J1720" t="s">
        <v>1726</v>
      </c>
      <c r="K1720">
        <v>2645156.9797399999</v>
      </c>
      <c r="L1720">
        <f t="shared" si="53"/>
        <v>0</v>
      </c>
    </row>
    <row r="1721" spans="1:12" x14ac:dyDescent="0.25">
      <c r="A1721">
        <v>3122</v>
      </c>
      <c r="B1721">
        <v>7353.9595330000002</v>
      </c>
      <c r="C1721">
        <v>7353.9595330000002</v>
      </c>
      <c r="D1721">
        <v>0</v>
      </c>
      <c r="E1721">
        <v>2666</v>
      </c>
      <c r="F1721" s="1">
        <v>4.2699999999999996</v>
      </c>
      <c r="H1721">
        <v>3122</v>
      </c>
      <c r="I1721" t="str">
        <f t="shared" si="54"/>
        <v>YES</v>
      </c>
      <c r="J1721" t="s">
        <v>1727</v>
      </c>
      <c r="K1721">
        <v>956391.74670200003</v>
      </c>
      <c r="L1721">
        <f t="shared" si="53"/>
        <v>0</v>
      </c>
    </row>
    <row r="1722" spans="1:12" x14ac:dyDescent="0.25">
      <c r="A1722">
        <v>3123</v>
      </c>
      <c r="B1722">
        <v>2137.1332109999998</v>
      </c>
      <c r="C1722">
        <v>2137.1332109999998</v>
      </c>
      <c r="D1722">
        <v>0</v>
      </c>
      <c r="E1722">
        <v>4544</v>
      </c>
      <c r="F1722" s="1">
        <v>2.11</v>
      </c>
      <c r="H1722">
        <v>3123</v>
      </c>
      <c r="I1722" t="str">
        <f t="shared" si="54"/>
        <v>YES</v>
      </c>
      <c r="J1722" t="s">
        <v>1728</v>
      </c>
      <c r="K1722">
        <v>1477547.8744000001</v>
      </c>
      <c r="L1722">
        <f t="shared" si="53"/>
        <v>0</v>
      </c>
    </row>
    <row r="1723" spans="1:12" x14ac:dyDescent="0.25">
      <c r="A1723">
        <v>3124</v>
      </c>
      <c r="B1723">
        <v>2300.3299160000001</v>
      </c>
      <c r="C1723">
        <v>2300.3299160000001</v>
      </c>
      <c r="D1723">
        <v>0</v>
      </c>
      <c r="E1723">
        <v>3402</v>
      </c>
      <c r="F1723" s="1">
        <v>1.7</v>
      </c>
      <c r="H1723">
        <v>3124</v>
      </c>
      <c r="I1723" t="str">
        <f t="shared" si="54"/>
        <v>YES</v>
      </c>
      <c r="J1723" t="s">
        <v>1729</v>
      </c>
      <c r="K1723">
        <v>1366996.57064</v>
      </c>
      <c r="L1723">
        <f t="shared" si="53"/>
        <v>0</v>
      </c>
    </row>
    <row r="1724" spans="1:12" x14ac:dyDescent="0.25">
      <c r="A1724">
        <v>3125</v>
      </c>
      <c r="B1724">
        <v>2740.1554850000002</v>
      </c>
      <c r="C1724">
        <v>2740.1554850000002</v>
      </c>
      <c r="D1724">
        <v>0</v>
      </c>
      <c r="E1724">
        <v>3617.5765019999999</v>
      </c>
      <c r="F1724" s="1">
        <v>2.16</v>
      </c>
      <c r="H1724">
        <v>3125</v>
      </c>
      <c r="I1724" t="str">
        <f t="shared" si="54"/>
        <v>YES</v>
      </c>
      <c r="J1724" t="s">
        <v>1730</v>
      </c>
      <c r="K1724">
        <v>1198779.0105699999</v>
      </c>
      <c r="L1724">
        <f t="shared" si="53"/>
        <v>0</v>
      </c>
    </row>
    <row r="1725" spans="1:12" x14ac:dyDescent="0.25">
      <c r="A1725">
        <v>3126</v>
      </c>
      <c r="B1725">
        <v>1867.3068659999999</v>
      </c>
      <c r="C1725">
        <v>1867.3068659999999</v>
      </c>
      <c r="D1725">
        <v>0</v>
      </c>
      <c r="E1725">
        <v>3058</v>
      </c>
      <c r="F1725" s="1">
        <v>1.24</v>
      </c>
      <c r="H1725">
        <v>3126</v>
      </c>
      <c r="I1725" t="str">
        <f t="shared" si="54"/>
        <v>YES</v>
      </c>
      <c r="J1725" t="s">
        <v>1731</v>
      </c>
      <c r="K1725">
        <v>1410375.75183</v>
      </c>
      <c r="L1725">
        <f t="shared" si="53"/>
        <v>0</v>
      </c>
    </row>
    <row r="1726" spans="1:12" x14ac:dyDescent="0.25">
      <c r="A1726">
        <v>3127</v>
      </c>
      <c r="B1726">
        <v>842.54753879999998</v>
      </c>
      <c r="C1726">
        <v>842.54753879999998</v>
      </c>
      <c r="D1726">
        <v>0</v>
      </c>
      <c r="E1726">
        <v>1848.6736639999999</v>
      </c>
      <c r="F1726" s="1">
        <v>0.33900000000000002</v>
      </c>
      <c r="H1726">
        <v>3127</v>
      </c>
      <c r="I1726" t="str">
        <f t="shared" si="54"/>
        <v>YES</v>
      </c>
      <c r="J1726" t="s">
        <v>1732</v>
      </c>
      <c r="K1726">
        <v>1392321.3988000001</v>
      </c>
      <c r="L1726">
        <f t="shared" si="53"/>
        <v>0</v>
      </c>
    </row>
    <row r="1727" spans="1:12" x14ac:dyDescent="0.25">
      <c r="A1727">
        <v>3128</v>
      </c>
      <c r="B1727">
        <v>635.10474420000003</v>
      </c>
      <c r="C1727">
        <v>635.10474420000003</v>
      </c>
      <c r="D1727">
        <v>0</v>
      </c>
      <c r="E1727">
        <v>1641</v>
      </c>
      <c r="F1727" s="1">
        <v>0.22700000000000001</v>
      </c>
      <c r="H1727">
        <v>3128</v>
      </c>
      <c r="I1727" t="str">
        <f t="shared" si="54"/>
        <v>YES</v>
      </c>
      <c r="J1727" t="s">
        <v>1733</v>
      </c>
      <c r="K1727">
        <v>1827102.1106799999</v>
      </c>
      <c r="L1727">
        <f t="shared" si="53"/>
        <v>0</v>
      </c>
    </row>
    <row r="1728" spans="1:12" x14ac:dyDescent="0.25">
      <c r="A1728">
        <v>3129</v>
      </c>
      <c r="B1728">
        <v>842.54753879999998</v>
      </c>
      <c r="C1728">
        <v>842.54753879999998</v>
      </c>
      <c r="D1728">
        <v>0</v>
      </c>
      <c r="E1728">
        <v>924.74983499999996</v>
      </c>
      <c r="F1728" s="1">
        <v>0.17</v>
      </c>
      <c r="H1728">
        <v>3129</v>
      </c>
      <c r="I1728" t="str">
        <f t="shared" si="54"/>
        <v>YES</v>
      </c>
      <c r="J1728" t="s">
        <v>1734</v>
      </c>
      <c r="K1728">
        <v>3126430.9057900002</v>
      </c>
      <c r="L1728">
        <f t="shared" si="53"/>
        <v>0</v>
      </c>
    </row>
    <row r="1729" spans="1:12" x14ac:dyDescent="0.25">
      <c r="A1729">
        <v>3130</v>
      </c>
      <c r="B1729">
        <v>693.7477811</v>
      </c>
      <c r="C1729">
        <v>693.7477811</v>
      </c>
      <c r="D1729">
        <v>0</v>
      </c>
      <c r="E1729">
        <v>1690</v>
      </c>
      <c r="F1729" s="1">
        <v>0.255</v>
      </c>
      <c r="H1729">
        <v>3130</v>
      </c>
      <c r="I1729" t="str">
        <f t="shared" si="54"/>
        <v>YES</v>
      </c>
      <c r="J1729" t="s">
        <v>1735</v>
      </c>
      <c r="K1729">
        <v>1279068.4339999999</v>
      </c>
      <c r="L1729">
        <f t="shared" si="53"/>
        <v>0</v>
      </c>
    </row>
    <row r="1730" spans="1:12" x14ac:dyDescent="0.25">
      <c r="A1730">
        <v>3131</v>
      </c>
      <c r="B1730">
        <v>404.88543429999999</v>
      </c>
      <c r="C1730">
        <v>404.88543429999999</v>
      </c>
      <c r="D1730">
        <v>0</v>
      </c>
      <c r="E1730">
        <v>3091</v>
      </c>
      <c r="F1730" s="1">
        <v>0.27200000000000002</v>
      </c>
      <c r="H1730">
        <v>3131</v>
      </c>
      <c r="I1730" t="str">
        <f t="shared" si="54"/>
        <v>YES</v>
      </c>
      <c r="J1730" t="s">
        <v>1736</v>
      </c>
      <c r="K1730">
        <v>5952196.1166000003</v>
      </c>
      <c r="L1730">
        <f t="shared" si="53"/>
        <v>0</v>
      </c>
    </row>
    <row r="1731" spans="1:12" x14ac:dyDescent="0.25">
      <c r="A1731">
        <v>3200</v>
      </c>
      <c r="B1731">
        <v>10935.17598</v>
      </c>
      <c r="C1731">
        <v>10935.17598</v>
      </c>
      <c r="D1731">
        <v>0</v>
      </c>
      <c r="E1731">
        <v>3736.733757</v>
      </c>
      <c r="F1731" s="1">
        <v>8.9</v>
      </c>
      <c r="H1731">
        <v>3200</v>
      </c>
      <c r="I1731" t="str">
        <f t="shared" si="54"/>
        <v>YES</v>
      </c>
      <c r="J1731" t="s">
        <v>1737</v>
      </c>
      <c r="K1731">
        <v>1382919.0592100001</v>
      </c>
      <c r="L1731">
        <f t="shared" ref="L1731:L1794" si="55">EXP(0.2052)*K1731*(D1731/C1731)</f>
        <v>0</v>
      </c>
    </row>
    <row r="1732" spans="1:12" x14ac:dyDescent="0.25">
      <c r="A1732">
        <v>3201</v>
      </c>
      <c r="B1732">
        <v>1602.4422420000001</v>
      </c>
      <c r="C1732">
        <v>1602.4422420000001</v>
      </c>
      <c r="D1732">
        <v>0</v>
      </c>
      <c r="E1732">
        <v>1372.775363</v>
      </c>
      <c r="F1732" s="1">
        <v>0.47899999999999998</v>
      </c>
      <c r="H1732">
        <v>3201</v>
      </c>
      <c r="I1732" t="str">
        <f t="shared" si="54"/>
        <v>YES</v>
      </c>
      <c r="J1732" t="s">
        <v>1738</v>
      </c>
      <c r="K1732">
        <v>772502.61543799995</v>
      </c>
      <c r="L1732">
        <f t="shared" si="55"/>
        <v>0</v>
      </c>
    </row>
    <row r="1733" spans="1:12" x14ac:dyDescent="0.25">
      <c r="A1733">
        <v>3202</v>
      </c>
      <c r="B1733">
        <v>9582.0120719999995</v>
      </c>
      <c r="C1733">
        <v>9582.0120719999995</v>
      </c>
      <c r="D1733">
        <v>0</v>
      </c>
      <c r="E1733">
        <v>2381.6101939999999</v>
      </c>
      <c r="F1733" s="1">
        <v>4.97</v>
      </c>
      <c r="H1733">
        <v>3202</v>
      </c>
      <c r="I1733" t="str">
        <f t="shared" si="54"/>
        <v>YES</v>
      </c>
      <c r="J1733" t="s">
        <v>1739</v>
      </c>
      <c r="K1733">
        <v>1149023.69092</v>
      </c>
      <c r="L1733">
        <f t="shared" si="55"/>
        <v>0</v>
      </c>
    </row>
    <row r="1734" spans="1:12" x14ac:dyDescent="0.25">
      <c r="A1734">
        <v>3203</v>
      </c>
      <c r="B1734">
        <v>1073.728288</v>
      </c>
      <c r="C1734">
        <v>1073.728288</v>
      </c>
      <c r="D1734">
        <v>0</v>
      </c>
      <c r="E1734">
        <v>1651.5795909999999</v>
      </c>
      <c r="F1734" s="1">
        <v>0.38600000000000001</v>
      </c>
      <c r="H1734">
        <v>3203</v>
      </c>
      <c r="I1734" t="str">
        <f t="shared" si="54"/>
        <v>YES</v>
      </c>
      <c r="J1734" t="s">
        <v>1740</v>
      </c>
      <c r="K1734">
        <v>1604256.9507299999</v>
      </c>
      <c r="L1734">
        <f t="shared" si="55"/>
        <v>0</v>
      </c>
    </row>
    <row r="1735" spans="1:12" x14ac:dyDescent="0.25">
      <c r="A1735">
        <v>3204</v>
      </c>
      <c r="B1735">
        <v>1372.9235329999999</v>
      </c>
      <c r="C1735">
        <v>1372.9235329999999</v>
      </c>
      <c r="D1735">
        <v>0</v>
      </c>
      <c r="E1735">
        <v>2937.5191789999999</v>
      </c>
      <c r="F1735" s="1">
        <v>0.878</v>
      </c>
      <c r="H1735">
        <v>3204</v>
      </c>
      <c r="I1735" t="str">
        <f t="shared" si="54"/>
        <v>YES</v>
      </c>
      <c r="J1735" t="s">
        <v>1741</v>
      </c>
      <c r="K1735">
        <v>1195633.5589399999</v>
      </c>
      <c r="L1735">
        <f t="shared" si="55"/>
        <v>0</v>
      </c>
    </row>
    <row r="1736" spans="1:12" x14ac:dyDescent="0.25">
      <c r="A1736">
        <v>3205</v>
      </c>
      <c r="B1736">
        <v>166.63334370000001</v>
      </c>
      <c r="C1736">
        <v>166.63334370000001</v>
      </c>
      <c r="D1736">
        <v>0</v>
      </c>
      <c r="E1736">
        <v>1964.678455</v>
      </c>
      <c r="F1736" s="1">
        <v>7.1300000000000002E-2</v>
      </c>
      <c r="H1736">
        <v>3205</v>
      </c>
      <c r="I1736" t="str">
        <f t="shared" si="54"/>
        <v>YES</v>
      </c>
      <c r="J1736" t="s">
        <v>1742</v>
      </c>
      <c r="K1736">
        <v>1845511.3321499999</v>
      </c>
      <c r="L1736">
        <f t="shared" si="55"/>
        <v>0</v>
      </c>
    </row>
    <row r="1737" spans="1:12" x14ac:dyDescent="0.25">
      <c r="A1737">
        <v>3206</v>
      </c>
      <c r="B1737">
        <v>1223.348168</v>
      </c>
      <c r="C1737">
        <v>1223.348168</v>
      </c>
      <c r="D1737">
        <v>0</v>
      </c>
      <c r="E1737">
        <v>1954.6800920000001</v>
      </c>
      <c r="F1737" s="1">
        <v>0.52100000000000002</v>
      </c>
      <c r="H1737">
        <v>3206</v>
      </c>
      <c r="I1737" t="str">
        <f t="shared" si="54"/>
        <v>YES</v>
      </c>
      <c r="J1737" t="s">
        <v>1743</v>
      </c>
      <c r="K1737">
        <v>1110971.00761</v>
      </c>
      <c r="L1737">
        <f t="shared" si="55"/>
        <v>0</v>
      </c>
    </row>
    <row r="1738" spans="1:12" x14ac:dyDescent="0.25">
      <c r="A1738">
        <v>3207</v>
      </c>
      <c r="B1738">
        <v>218.09424290000001</v>
      </c>
      <c r="C1738">
        <v>218.09424290000001</v>
      </c>
      <c r="D1738">
        <v>0</v>
      </c>
      <c r="E1738">
        <v>2873.5296549999998</v>
      </c>
      <c r="F1738" s="1">
        <v>0.13600000000000001</v>
      </c>
      <c r="H1738">
        <v>3207</v>
      </c>
      <c r="I1738" t="str">
        <f t="shared" si="54"/>
        <v>YES</v>
      </c>
      <c r="J1738" t="s">
        <v>1744</v>
      </c>
      <c r="K1738">
        <v>2199960.0808199998</v>
      </c>
      <c r="L1738">
        <f t="shared" si="55"/>
        <v>0</v>
      </c>
    </row>
    <row r="1739" spans="1:12" x14ac:dyDescent="0.25">
      <c r="A1739">
        <v>3208</v>
      </c>
      <c r="B1739">
        <v>159.48646120000001</v>
      </c>
      <c r="C1739">
        <v>159.48646120000001</v>
      </c>
      <c r="D1739">
        <v>0</v>
      </c>
      <c r="E1739">
        <v>649.89371510000001</v>
      </c>
      <c r="F1739" s="1">
        <v>2.2599999999999999E-2</v>
      </c>
      <c r="H1739">
        <v>3208</v>
      </c>
      <c r="I1739" t="str">
        <f t="shared" si="54"/>
        <v>YES</v>
      </c>
      <c r="J1739" t="s">
        <v>1745</v>
      </c>
      <c r="K1739">
        <v>25333998.157200001</v>
      </c>
      <c r="L1739">
        <f t="shared" si="55"/>
        <v>0</v>
      </c>
    </row>
    <row r="1740" spans="1:12" x14ac:dyDescent="0.25">
      <c r="A1740">
        <v>3209</v>
      </c>
      <c r="B1740">
        <v>2454.1784299999999</v>
      </c>
      <c r="C1740">
        <v>2454.1784299999999</v>
      </c>
      <c r="D1740">
        <v>0</v>
      </c>
      <c r="E1740">
        <v>1174.248331</v>
      </c>
      <c r="F1740" s="1">
        <v>0.627</v>
      </c>
      <c r="H1740">
        <v>3209</v>
      </c>
      <c r="I1740" t="str">
        <f t="shared" si="54"/>
        <v>YES</v>
      </c>
      <c r="J1740" t="s">
        <v>1746</v>
      </c>
      <c r="K1740">
        <v>930521.69475999998</v>
      </c>
      <c r="L1740">
        <f t="shared" si="55"/>
        <v>0</v>
      </c>
    </row>
    <row r="1741" spans="1:12" x14ac:dyDescent="0.25">
      <c r="A1741">
        <v>3210</v>
      </c>
      <c r="B1741">
        <v>17539.454829999999</v>
      </c>
      <c r="C1741">
        <v>17539.454829999999</v>
      </c>
      <c r="D1741">
        <v>0</v>
      </c>
      <c r="E1741">
        <v>1337.041483</v>
      </c>
      <c r="F1741" s="1">
        <v>5.1100000000000003</v>
      </c>
      <c r="H1741">
        <v>3210</v>
      </c>
      <c r="I1741" t="str">
        <f t="shared" si="54"/>
        <v>YES</v>
      </c>
      <c r="J1741" t="s">
        <v>1747</v>
      </c>
      <c r="K1741">
        <v>526056.21614599996</v>
      </c>
      <c r="L1741">
        <f t="shared" si="55"/>
        <v>0</v>
      </c>
    </row>
    <row r="1742" spans="1:12" x14ac:dyDescent="0.25">
      <c r="A1742">
        <v>3211</v>
      </c>
      <c r="B1742">
        <v>4362.4895489999999</v>
      </c>
      <c r="C1742">
        <v>4362.4895489999999</v>
      </c>
      <c r="D1742">
        <v>0</v>
      </c>
      <c r="E1742">
        <v>2821.9291600000001</v>
      </c>
      <c r="F1742" s="1">
        <v>2.68</v>
      </c>
      <c r="H1742">
        <v>3211</v>
      </c>
      <c r="I1742" t="str">
        <f t="shared" si="54"/>
        <v>YES</v>
      </c>
      <c r="J1742" t="s">
        <v>1748</v>
      </c>
      <c r="K1742">
        <v>1652643.6807500001</v>
      </c>
      <c r="L1742">
        <f t="shared" si="55"/>
        <v>0</v>
      </c>
    </row>
    <row r="1743" spans="1:12" x14ac:dyDescent="0.25">
      <c r="A1743">
        <v>3212</v>
      </c>
      <c r="B1743">
        <v>9862.0537179999992</v>
      </c>
      <c r="C1743">
        <v>9862.0537179999992</v>
      </c>
      <c r="D1743">
        <v>0</v>
      </c>
      <c r="E1743">
        <v>72.58785675</v>
      </c>
      <c r="F1743" s="1">
        <v>0.156</v>
      </c>
      <c r="H1743">
        <v>3212</v>
      </c>
      <c r="I1743" t="str">
        <f t="shared" si="54"/>
        <v>YES</v>
      </c>
      <c r="J1743" t="s">
        <v>1749</v>
      </c>
      <c r="K1743">
        <v>768664.56053000002</v>
      </c>
      <c r="L1743">
        <f t="shared" si="55"/>
        <v>0</v>
      </c>
    </row>
    <row r="1744" spans="1:12" x14ac:dyDescent="0.25">
      <c r="A1744">
        <v>3213</v>
      </c>
      <c r="B1744">
        <v>5033.0379190000003</v>
      </c>
      <c r="C1744">
        <v>5033.0379190000003</v>
      </c>
      <c r="D1744">
        <v>0</v>
      </c>
      <c r="E1744">
        <v>6.8108806240000002</v>
      </c>
      <c r="F1744" s="1">
        <v>7.4599999999999996E-3</v>
      </c>
      <c r="H1744">
        <v>3213</v>
      </c>
      <c r="I1744" t="str">
        <f t="shared" si="54"/>
        <v>YES</v>
      </c>
      <c r="J1744" t="s">
        <v>1750</v>
      </c>
      <c r="K1744">
        <v>1650115.56724</v>
      </c>
      <c r="L1744">
        <f t="shared" si="55"/>
        <v>0</v>
      </c>
    </row>
    <row r="1745" spans="1:12" x14ac:dyDescent="0.25">
      <c r="A1745">
        <v>3214</v>
      </c>
      <c r="B1745">
        <v>10768.625899999999</v>
      </c>
      <c r="C1745">
        <v>10768.625899999999</v>
      </c>
      <c r="D1745">
        <v>0</v>
      </c>
      <c r="E1745">
        <v>1823.194929</v>
      </c>
      <c r="F1745" s="1">
        <v>4.2699999999999996</v>
      </c>
      <c r="H1745">
        <v>3214</v>
      </c>
      <c r="I1745" t="str">
        <f t="shared" si="54"/>
        <v>YES</v>
      </c>
      <c r="J1745" t="s">
        <v>1751</v>
      </c>
      <c r="K1745">
        <v>594202.27000699996</v>
      </c>
      <c r="L1745">
        <f t="shared" si="55"/>
        <v>0</v>
      </c>
    </row>
    <row r="1746" spans="1:12" x14ac:dyDescent="0.25">
      <c r="A1746">
        <v>3215</v>
      </c>
      <c r="B1746">
        <v>19314.033879999999</v>
      </c>
      <c r="C1746">
        <v>19314.033879999999</v>
      </c>
      <c r="D1746">
        <v>0</v>
      </c>
      <c r="E1746">
        <v>58.78305512</v>
      </c>
      <c r="F1746" s="1">
        <v>0.247</v>
      </c>
      <c r="H1746">
        <v>3215</v>
      </c>
      <c r="I1746" t="str">
        <f t="shared" si="54"/>
        <v>YES</v>
      </c>
      <c r="J1746" t="s">
        <v>1752</v>
      </c>
      <c r="K1746">
        <v>673768.74319199997</v>
      </c>
      <c r="L1746">
        <f t="shared" si="55"/>
        <v>0</v>
      </c>
    </row>
    <row r="1747" spans="1:12" x14ac:dyDescent="0.25">
      <c r="A1747">
        <v>3216</v>
      </c>
      <c r="B1747">
        <v>8882.9600549999996</v>
      </c>
      <c r="C1747">
        <v>8882.9600549999996</v>
      </c>
      <c r="D1747">
        <v>0</v>
      </c>
      <c r="E1747">
        <v>1808.566153</v>
      </c>
      <c r="F1747" s="1">
        <v>3.5</v>
      </c>
      <c r="H1747">
        <v>3216</v>
      </c>
      <c r="I1747" t="str">
        <f t="shared" si="54"/>
        <v>YES</v>
      </c>
      <c r="J1747" t="s">
        <v>1753</v>
      </c>
      <c r="K1747">
        <v>649353.79569000006</v>
      </c>
      <c r="L1747">
        <f t="shared" si="55"/>
        <v>0</v>
      </c>
    </row>
    <row r="1748" spans="1:12" x14ac:dyDescent="0.25">
      <c r="A1748">
        <v>3217</v>
      </c>
      <c r="B1748">
        <v>3145.6921849999999</v>
      </c>
      <c r="C1748">
        <v>3145.6921849999999</v>
      </c>
      <c r="D1748">
        <v>0</v>
      </c>
      <c r="E1748">
        <v>459.85734730000001</v>
      </c>
      <c r="F1748" s="1">
        <v>0.315</v>
      </c>
      <c r="H1748">
        <v>3217</v>
      </c>
      <c r="I1748" t="str">
        <f t="shared" si="54"/>
        <v>YES</v>
      </c>
      <c r="J1748" t="s">
        <v>1754</v>
      </c>
      <c r="K1748">
        <v>2774626.6247700001</v>
      </c>
      <c r="L1748">
        <f t="shared" si="55"/>
        <v>0</v>
      </c>
    </row>
    <row r="1749" spans="1:12" x14ac:dyDescent="0.25">
      <c r="A1749">
        <v>3218</v>
      </c>
      <c r="B1749">
        <v>3655.7311300000001</v>
      </c>
      <c r="C1749">
        <v>3655.7311300000001</v>
      </c>
      <c r="D1749">
        <v>0</v>
      </c>
      <c r="E1749">
        <v>2820.3014840000001</v>
      </c>
      <c r="F1749" s="1">
        <v>2.2400000000000002</v>
      </c>
      <c r="H1749">
        <v>3218</v>
      </c>
      <c r="I1749" t="str">
        <f t="shared" si="54"/>
        <v>YES</v>
      </c>
      <c r="J1749" t="s">
        <v>1755</v>
      </c>
      <c r="K1749">
        <v>872375.79535000003</v>
      </c>
      <c r="L1749">
        <f t="shared" si="55"/>
        <v>0</v>
      </c>
    </row>
    <row r="1750" spans="1:12" x14ac:dyDescent="0.25">
      <c r="A1750">
        <v>3219</v>
      </c>
      <c r="B1750">
        <v>9407.1229899999998</v>
      </c>
      <c r="C1750">
        <v>9407.1229899999998</v>
      </c>
      <c r="D1750">
        <v>0</v>
      </c>
      <c r="E1750">
        <v>3731.3945739999999</v>
      </c>
      <c r="F1750" s="1">
        <v>7.64</v>
      </c>
      <c r="H1750">
        <v>3219</v>
      </c>
      <c r="I1750" t="str">
        <f t="shared" si="54"/>
        <v>YES</v>
      </c>
      <c r="J1750" t="s">
        <v>1756</v>
      </c>
      <c r="K1750">
        <v>1202966.92234</v>
      </c>
      <c r="L1750">
        <f t="shared" si="55"/>
        <v>0</v>
      </c>
    </row>
    <row r="1751" spans="1:12" x14ac:dyDescent="0.25">
      <c r="A1751">
        <v>3220</v>
      </c>
      <c r="B1751">
        <v>18806.266879999999</v>
      </c>
      <c r="C1751">
        <v>18806.266879999999</v>
      </c>
      <c r="D1751">
        <v>0</v>
      </c>
      <c r="E1751" s="1">
        <v>9.6100000000000005E-5</v>
      </c>
      <c r="F1751" s="1">
        <v>3.9400000000000001E-7</v>
      </c>
      <c r="H1751">
        <v>3220</v>
      </c>
      <c r="I1751" t="str">
        <f t="shared" si="54"/>
        <v>YES</v>
      </c>
      <c r="J1751" t="s">
        <v>1757</v>
      </c>
      <c r="K1751">
        <v>308584.61729600001</v>
      </c>
      <c r="L1751">
        <f t="shared" si="55"/>
        <v>0</v>
      </c>
    </row>
    <row r="1752" spans="1:12" x14ac:dyDescent="0.25">
      <c r="A1752">
        <v>3221</v>
      </c>
      <c r="B1752">
        <v>16104.98782</v>
      </c>
      <c r="C1752">
        <v>16104.98782</v>
      </c>
      <c r="D1752">
        <v>0</v>
      </c>
      <c r="E1752">
        <v>1615.176504</v>
      </c>
      <c r="F1752" s="1">
        <v>5.66</v>
      </c>
      <c r="H1752">
        <v>3221</v>
      </c>
      <c r="I1752" t="str">
        <f t="shared" si="54"/>
        <v>YES</v>
      </c>
      <c r="J1752" t="s">
        <v>1758</v>
      </c>
      <c r="K1752">
        <v>740173.84578099998</v>
      </c>
      <c r="L1752">
        <f t="shared" si="55"/>
        <v>0</v>
      </c>
    </row>
    <row r="1753" spans="1:12" x14ac:dyDescent="0.25">
      <c r="A1753">
        <v>3222</v>
      </c>
      <c r="B1753">
        <v>13339.6121</v>
      </c>
      <c r="C1753">
        <v>13339.6121</v>
      </c>
      <c r="D1753">
        <v>0</v>
      </c>
      <c r="E1753">
        <v>1011.108146</v>
      </c>
      <c r="F1753" s="1">
        <v>2.94</v>
      </c>
      <c r="H1753">
        <v>3222</v>
      </c>
      <c r="I1753" t="str">
        <f t="shared" si="54"/>
        <v>YES</v>
      </c>
      <c r="J1753" t="s">
        <v>1759</v>
      </c>
      <c r="K1753">
        <v>380248.258875</v>
      </c>
      <c r="L1753">
        <f t="shared" si="55"/>
        <v>0</v>
      </c>
    </row>
    <row r="1754" spans="1:12" x14ac:dyDescent="0.25">
      <c r="A1754">
        <v>3224</v>
      </c>
      <c r="B1754">
        <v>399.66045930000001</v>
      </c>
      <c r="C1754">
        <v>399.66045930000001</v>
      </c>
      <c r="D1754">
        <v>0</v>
      </c>
      <c r="E1754">
        <v>116.94482530000001</v>
      </c>
      <c r="F1754" s="1">
        <v>1.0200000000000001E-2</v>
      </c>
      <c r="H1754">
        <v>3224</v>
      </c>
      <c r="I1754" t="str">
        <f t="shared" si="54"/>
        <v>YES</v>
      </c>
      <c r="J1754" t="s">
        <v>1760</v>
      </c>
      <c r="K1754">
        <v>6500766.3899299996</v>
      </c>
      <c r="L1754">
        <f t="shared" si="55"/>
        <v>0</v>
      </c>
    </row>
    <row r="1755" spans="1:12" x14ac:dyDescent="0.25">
      <c r="A1755">
        <v>3225</v>
      </c>
      <c r="B1755">
        <v>1284.570275</v>
      </c>
      <c r="C1755">
        <v>1284.570275</v>
      </c>
      <c r="D1755">
        <v>0</v>
      </c>
      <c r="E1755">
        <v>2561.5894960000001</v>
      </c>
      <c r="F1755" s="1">
        <v>0.71599999999999997</v>
      </c>
      <c r="H1755">
        <v>3225</v>
      </c>
      <c r="I1755" t="str">
        <f t="shared" si="54"/>
        <v>YES</v>
      </c>
      <c r="J1755" t="s">
        <v>1761</v>
      </c>
      <c r="K1755">
        <v>1493487.0159100001</v>
      </c>
      <c r="L1755">
        <f t="shared" si="55"/>
        <v>0</v>
      </c>
    </row>
    <row r="1756" spans="1:12" x14ac:dyDescent="0.25">
      <c r="A1756">
        <v>3226</v>
      </c>
      <c r="B1756">
        <v>208.8008821</v>
      </c>
      <c r="C1756">
        <v>208.8008821</v>
      </c>
      <c r="D1756">
        <v>0</v>
      </c>
      <c r="E1756">
        <v>2516.8706999999999</v>
      </c>
      <c r="F1756" s="1">
        <v>0.114</v>
      </c>
      <c r="H1756">
        <v>3226</v>
      </c>
      <c r="I1756" t="str">
        <f t="shared" si="54"/>
        <v>YES</v>
      </c>
      <c r="J1756" t="s">
        <v>1762</v>
      </c>
      <c r="K1756">
        <v>3027301.6033299998</v>
      </c>
      <c r="L1756">
        <f t="shared" si="55"/>
        <v>0</v>
      </c>
    </row>
    <row r="1757" spans="1:12" x14ac:dyDescent="0.25">
      <c r="A1757">
        <v>3227</v>
      </c>
      <c r="B1757">
        <v>2971.363535</v>
      </c>
      <c r="C1757">
        <v>2971.363535</v>
      </c>
      <c r="D1757">
        <v>0</v>
      </c>
      <c r="E1757">
        <v>3521.2642980000001</v>
      </c>
      <c r="F1757" s="1">
        <v>2.2799999999999998</v>
      </c>
      <c r="H1757">
        <v>3227</v>
      </c>
      <c r="I1757" t="str">
        <f t="shared" si="54"/>
        <v>YES</v>
      </c>
      <c r="J1757" t="s">
        <v>1763</v>
      </c>
      <c r="K1757">
        <v>1161043.7256799999</v>
      </c>
      <c r="L1757">
        <f t="shared" si="55"/>
        <v>0</v>
      </c>
    </row>
    <row r="1758" spans="1:12" x14ac:dyDescent="0.25">
      <c r="A1758">
        <v>3228</v>
      </c>
      <c r="B1758">
        <v>3432.3291880000002</v>
      </c>
      <c r="C1758">
        <v>3432.3291880000002</v>
      </c>
      <c r="D1758">
        <v>0</v>
      </c>
      <c r="E1758">
        <v>2426.7782990000001</v>
      </c>
      <c r="F1758" s="1">
        <v>1.81</v>
      </c>
      <c r="H1758">
        <v>3228</v>
      </c>
      <c r="I1758" t="str">
        <f t="shared" si="54"/>
        <v>YES</v>
      </c>
      <c r="J1758" t="s">
        <v>1764</v>
      </c>
      <c r="K1758">
        <v>1162195.5489399999</v>
      </c>
      <c r="L1758">
        <f t="shared" si="55"/>
        <v>0</v>
      </c>
    </row>
    <row r="1759" spans="1:12" x14ac:dyDescent="0.25">
      <c r="A1759">
        <v>3229</v>
      </c>
      <c r="B1759">
        <v>751.05322739999997</v>
      </c>
      <c r="C1759">
        <v>751.05322739999997</v>
      </c>
      <c r="D1759">
        <v>0</v>
      </c>
      <c r="E1759">
        <v>2404.4921490000002</v>
      </c>
      <c r="F1759" s="1">
        <v>0.39300000000000002</v>
      </c>
      <c r="H1759">
        <v>3229</v>
      </c>
      <c r="I1759" t="str">
        <f t="shared" si="54"/>
        <v>YES</v>
      </c>
      <c r="J1759" t="s">
        <v>1765</v>
      </c>
      <c r="K1759">
        <v>2623005.3934599999</v>
      </c>
      <c r="L1759">
        <f t="shared" si="55"/>
        <v>0</v>
      </c>
    </row>
    <row r="1760" spans="1:12" x14ac:dyDescent="0.25">
      <c r="A1760">
        <v>3230</v>
      </c>
      <c r="B1760">
        <v>1014.207363</v>
      </c>
      <c r="C1760">
        <v>1014.207363</v>
      </c>
      <c r="D1760">
        <v>0</v>
      </c>
      <c r="E1760">
        <v>3940.7349039999999</v>
      </c>
      <c r="F1760" s="1">
        <v>0.87</v>
      </c>
      <c r="H1760">
        <v>3230</v>
      </c>
      <c r="I1760" t="str">
        <f t="shared" si="54"/>
        <v>YES</v>
      </c>
      <c r="J1760" t="s">
        <v>1766</v>
      </c>
      <c r="K1760">
        <v>1600027.1950999999</v>
      </c>
      <c r="L1760">
        <f t="shared" si="55"/>
        <v>0</v>
      </c>
    </row>
    <row r="1761" spans="1:12" x14ac:dyDescent="0.25">
      <c r="A1761">
        <v>3231</v>
      </c>
      <c r="B1761">
        <v>632.50098209999999</v>
      </c>
      <c r="C1761">
        <v>632.50098209999999</v>
      </c>
      <c r="D1761">
        <v>0</v>
      </c>
      <c r="E1761">
        <v>2830.276879</v>
      </c>
      <c r="F1761" s="1">
        <v>0.39</v>
      </c>
      <c r="H1761">
        <v>3231</v>
      </c>
      <c r="I1761" t="str">
        <f t="shared" si="54"/>
        <v>YES</v>
      </c>
      <c r="J1761" t="s">
        <v>1767</v>
      </c>
      <c r="K1761">
        <v>1343566.78846</v>
      </c>
      <c r="L1761">
        <f t="shared" si="55"/>
        <v>0</v>
      </c>
    </row>
    <row r="1762" spans="1:12" x14ac:dyDescent="0.25">
      <c r="A1762">
        <v>3232</v>
      </c>
      <c r="B1762">
        <v>376.80598470000001</v>
      </c>
      <c r="C1762">
        <v>376.80598470000001</v>
      </c>
      <c r="D1762">
        <v>0</v>
      </c>
      <c r="E1762">
        <v>605.04844730000002</v>
      </c>
      <c r="F1762" s="1">
        <v>4.9599999999999998E-2</v>
      </c>
      <c r="H1762">
        <v>3232</v>
      </c>
      <c r="I1762" t="str">
        <f t="shared" si="54"/>
        <v>YES</v>
      </c>
      <c r="J1762" t="s">
        <v>1768</v>
      </c>
      <c r="K1762">
        <v>3966743.9451100002</v>
      </c>
      <c r="L1762">
        <f t="shared" si="55"/>
        <v>0</v>
      </c>
    </row>
    <row r="1763" spans="1:12" x14ac:dyDescent="0.25">
      <c r="A1763">
        <v>3238</v>
      </c>
      <c r="B1763">
        <v>70.432966199999996</v>
      </c>
      <c r="C1763">
        <v>70.432966199999996</v>
      </c>
      <c r="D1763">
        <v>0</v>
      </c>
      <c r="E1763">
        <v>715.61623090000001</v>
      </c>
      <c r="F1763" s="1">
        <v>1.0999999999999999E-2</v>
      </c>
      <c r="H1763">
        <v>3238</v>
      </c>
      <c r="I1763" t="str">
        <f t="shared" si="54"/>
        <v>YES</v>
      </c>
      <c r="J1763" t="s">
        <v>1769</v>
      </c>
      <c r="K1763">
        <v>3153445.7548600002</v>
      </c>
      <c r="L1763">
        <f t="shared" si="55"/>
        <v>0</v>
      </c>
    </row>
    <row r="1764" spans="1:12" x14ac:dyDescent="0.25">
      <c r="A1764">
        <v>3239</v>
      </c>
      <c r="B1764">
        <v>5689.9427539999997</v>
      </c>
      <c r="C1764">
        <v>5689.9427539999997</v>
      </c>
      <c r="D1764">
        <v>0</v>
      </c>
      <c r="E1764">
        <v>1.0883E-4</v>
      </c>
      <c r="F1764" s="1">
        <v>1.35E-7</v>
      </c>
      <c r="H1764">
        <v>3239</v>
      </c>
      <c r="I1764" t="str">
        <f t="shared" si="54"/>
        <v>YES</v>
      </c>
      <c r="J1764" t="s">
        <v>1770</v>
      </c>
      <c r="K1764">
        <v>1153108.76465</v>
      </c>
      <c r="L1764">
        <f t="shared" si="55"/>
        <v>0</v>
      </c>
    </row>
    <row r="1765" spans="1:12" x14ac:dyDescent="0.25">
      <c r="A1765">
        <v>3240</v>
      </c>
      <c r="B1765">
        <v>90.230443230000006</v>
      </c>
      <c r="C1765">
        <v>90.230443230000006</v>
      </c>
      <c r="D1765">
        <v>0</v>
      </c>
      <c r="E1765">
        <v>924.66161220000004</v>
      </c>
      <c r="F1765" s="1">
        <v>1.8200000000000001E-2</v>
      </c>
      <c r="H1765">
        <v>3240</v>
      </c>
      <c r="I1765" t="str">
        <f t="shared" si="54"/>
        <v>YES</v>
      </c>
      <c r="J1765" t="s">
        <v>1771</v>
      </c>
      <c r="K1765">
        <v>512267.646343</v>
      </c>
      <c r="L1765">
        <f t="shared" si="55"/>
        <v>0</v>
      </c>
    </row>
    <row r="1766" spans="1:12" x14ac:dyDescent="0.25">
      <c r="A1766">
        <v>3241</v>
      </c>
      <c r="B1766">
        <v>129.54364770000001</v>
      </c>
      <c r="C1766">
        <v>129.54364770000001</v>
      </c>
      <c r="D1766">
        <v>0</v>
      </c>
      <c r="E1766">
        <v>1.0883E-4</v>
      </c>
      <c r="F1766" s="1">
        <v>3.0699999999999999E-9</v>
      </c>
      <c r="H1766">
        <v>3241</v>
      </c>
      <c r="I1766" t="str">
        <f t="shared" si="54"/>
        <v>YES</v>
      </c>
      <c r="J1766" t="s">
        <v>1772</v>
      </c>
      <c r="K1766">
        <v>1018864.49264</v>
      </c>
      <c r="L1766">
        <f t="shared" si="55"/>
        <v>0</v>
      </c>
    </row>
    <row r="1767" spans="1:12" x14ac:dyDescent="0.25">
      <c r="A1767">
        <v>3242</v>
      </c>
      <c r="B1767">
        <v>104.9280256</v>
      </c>
      <c r="C1767">
        <v>104.9280256</v>
      </c>
      <c r="D1767">
        <v>0</v>
      </c>
      <c r="E1767">
        <v>735.78637609999998</v>
      </c>
      <c r="F1767" s="1">
        <v>1.6799999999999999E-2</v>
      </c>
      <c r="H1767">
        <v>3242</v>
      </c>
      <c r="I1767" t="str">
        <f t="shared" si="54"/>
        <v>YES</v>
      </c>
      <c r="J1767" t="s">
        <v>1773</v>
      </c>
      <c r="K1767">
        <v>777967.88911400002</v>
      </c>
      <c r="L1767">
        <f t="shared" si="55"/>
        <v>0</v>
      </c>
    </row>
    <row r="1768" spans="1:12" x14ac:dyDescent="0.25">
      <c r="A1768">
        <v>3243</v>
      </c>
      <c r="B1768">
        <v>42.582987459999998</v>
      </c>
      <c r="C1768">
        <v>42.582987459999998</v>
      </c>
      <c r="D1768">
        <v>0</v>
      </c>
      <c r="E1768">
        <v>291.88389480000001</v>
      </c>
      <c r="F1768" s="1">
        <v>2.7100000000000002E-3</v>
      </c>
      <c r="H1768">
        <v>3243</v>
      </c>
      <c r="I1768" t="str">
        <f t="shared" si="54"/>
        <v>YES</v>
      </c>
      <c r="J1768" t="s">
        <v>1774</v>
      </c>
      <c r="K1768">
        <v>4004016.0234500002</v>
      </c>
      <c r="L1768">
        <f t="shared" si="55"/>
        <v>0</v>
      </c>
    </row>
    <row r="1769" spans="1:12" x14ac:dyDescent="0.25">
      <c r="A1769">
        <v>3244</v>
      </c>
      <c r="B1769">
        <v>10563.242459999999</v>
      </c>
      <c r="C1769">
        <v>10563.242459999999</v>
      </c>
      <c r="D1769">
        <v>0</v>
      </c>
      <c r="E1769">
        <v>1407.7290889999999</v>
      </c>
      <c r="F1769" s="1">
        <v>3.24</v>
      </c>
      <c r="H1769">
        <v>3244</v>
      </c>
      <c r="I1769" t="str">
        <f t="shared" si="54"/>
        <v>YES</v>
      </c>
      <c r="J1769" t="s">
        <v>1775</v>
      </c>
      <c r="K1769">
        <v>1566209.1135</v>
      </c>
      <c r="L1769">
        <f t="shared" si="55"/>
        <v>0</v>
      </c>
    </row>
    <row r="1770" spans="1:12" x14ac:dyDescent="0.25">
      <c r="A1770">
        <v>3245</v>
      </c>
      <c r="B1770">
        <v>98.612018980000002</v>
      </c>
      <c r="C1770">
        <v>98.612018980000002</v>
      </c>
      <c r="D1770">
        <v>0</v>
      </c>
      <c r="E1770">
        <v>1057.396917</v>
      </c>
      <c r="F1770" s="1">
        <v>2.2700000000000001E-2</v>
      </c>
      <c r="H1770">
        <v>3245</v>
      </c>
      <c r="I1770" t="str">
        <f t="shared" si="54"/>
        <v>YES</v>
      </c>
      <c r="J1770" t="s">
        <v>1776</v>
      </c>
      <c r="K1770">
        <v>6405819.7847899999</v>
      </c>
      <c r="L1770">
        <f t="shared" si="55"/>
        <v>0</v>
      </c>
    </row>
    <row r="1771" spans="1:12" x14ac:dyDescent="0.25">
      <c r="A1771">
        <v>3246</v>
      </c>
      <c r="B1771">
        <v>10563.242459999999</v>
      </c>
      <c r="C1771">
        <v>10563.242459999999</v>
      </c>
      <c r="D1771">
        <v>0</v>
      </c>
      <c r="E1771">
        <v>28.493112060000001</v>
      </c>
      <c r="F1771" s="1">
        <v>6.5500000000000003E-2</v>
      </c>
      <c r="H1771">
        <v>3246</v>
      </c>
      <c r="I1771" t="str">
        <f t="shared" si="54"/>
        <v>YES</v>
      </c>
      <c r="J1771" t="s">
        <v>1777</v>
      </c>
      <c r="K1771">
        <v>1332685.62411</v>
      </c>
      <c r="L1771">
        <f t="shared" si="55"/>
        <v>0</v>
      </c>
    </row>
    <row r="1772" spans="1:12" x14ac:dyDescent="0.25">
      <c r="A1772">
        <v>3247</v>
      </c>
      <c r="B1772">
        <v>14888.392610000001</v>
      </c>
      <c r="C1772">
        <v>14888.392610000001</v>
      </c>
      <c r="D1772">
        <v>0</v>
      </c>
      <c r="E1772">
        <v>190.19662959999999</v>
      </c>
      <c r="F1772" s="1">
        <v>0.61699999999999999</v>
      </c>
      <c r="H1772">
        <v>3247</v>
      </c>
      <c r="I1772" t="str">
        <f t="shared" si="54"/>
        <v>YES</v>
      </c>
      <c r="J1772" t="s">
        <v>1778</v>
      </c>
      <c r="K1772">
        <v>1824445.7022800001</v>
      </c>
      <c r="L1772">
        <f t="shared" si="55"/>
        <v>0</v>
      </c>
    </row>
    <row r="1773" spans="1:12" x14ac:dyDescent="0.25">
      <c r="A1773">
        <v>3248</v>
      </c>
      <c r="B1773">
        <v>7387.8457719999997</v>
      </c>
      <c r="C1773">
        <v>7387.8457719999997</v>
      </c>
      <c r="D1773">
        <v>0</v>
      </c>
      <c r="E1773">
        <v>3859.4253669999998</v>
      </c>
      <c r="F1773" s="1">
        <v>6.21</v>
      </c>
      <c r="H1773">
        <v>3248</v>
      </c>
      <c r="I1773" t="str">
        <f t="shared" si="54"/>
        <v>YES</v>
      </c>
      <c r="J1773" t="s">
        <v>1779</v>
      </c>
      <c r="K1773">
        <v>1123038.8380400001</v>
      </c>
      <c r="L1773">
        <f t="shared" si="55"/>
        <v>0</v>
      </c>
    </row>
    <row r="1774" spans="1:12" x14ac:dyDescent="0.25">
      <c r="A1774">
        <v>3249</v>
      </c>
      <c r="B1774">
        <v>6827.8445069999998</v>
      </c>
      <c r="C1774">
        <v>6827.8445069999998</v>
      </c>
      <c r="D1774">
        <v>0</v>
      </c>
      <c r="E1774">
        <v>2349.9027540000002</v>
      </c>
      <c r="F1774" s="1">
        <v>3.49</v>
      </c>
      <c r="H1774">
        <v>3249</v>
      </c>
      <c r="I1774" t="str">
        <f t="shared" si="54"/>
        <v>YES</v>
      </c>
      <c r="J1774" t="s">
        <v>1780</v>
      </c>
      <c r="K1774">
        <v>1259543.5196700001</v>
      </c>
      <c r="L1774">
        <f t="shared" si="55"/>
        <v>0</v>
      </c>
    </row>
    <row r="1775" spans="1:12" x14ac:dyDescent="0.25">
      <c r="A1775">
        <v>3250</v>
      </c>
      <c r="B1775">
        <v>1125.229955</v>
      </c>
      <c r="C1775">
        <v>1125.229955</v>
      </c>
      <c r="D1775">
        <v>0</v>
      </c>
      <c r="E1775">
        <v>4.4029182139999996</v>
      </c>
      <c r="F1775" s="1">
        <v>1.08E-3</v>
      </c>
      <c r="H1775">
        <v>3250</v>
      </c>
      <c r="I1775" t="str">
        <f t="shared" si="54"/>
        <v>YES</v>
      </c>
      <c r="J1775" t="s">
        <v>1781</v>
      </c>
      <c r="K1775">
        <v>2065965.6402199999</v>
      </c>
      <c r="L1775">
        <f t="shared" si="55"/>
        <v>0</v>
      </c>
    </row>
    <row r="1776" spans="1:12" x14ac:dyDescent="0.25">
      <c r="A1776">
        <v>3251</v>
      </c>
      <c r="B1776">
        <v>9440.1339220000009</v>
      </c>
      <c r="C1776">
        <v>9440.1339220000009</v>
      </c>
      <c r="D1776">
        <v>0</v>
      </c>
      <c r="E1776">
        <v>3751.9508230000001</v>
      </c>
      <c r="F1776" s="1">
        <v>7.71</v>
      </c>
      <c r="H1776">
        <v>3251</v>
      </c>
      <c r="I1776" t="str">
        <f t="shared" ref="I1776:I1839" si="56">IF(A1776=H1776,"YES","NO")</f>
        <v>YES</v>
      </c>
      <c r="J1776" t="s">
        <v>1782</v>
      </c>
      <c r="K1776">
        <v>1309274.7137</v>
      </c>
      <c r="L1776">
        <f t="shared" si="55"/>
        <v>0</v>
      </c>
    </row>
    <row r="1777" spans="1:12" x14ac:dyDescent="0.25">
      <c r="A1777">
        <v>3252</v>
      </c>
      <c r="B1777">
        <v>7502.545889</v>
      </c>
      <c r="C1777">
        <v>7502.545889</v>
      </c>
      <c r="D1777">
        <v>0</v>
      </c>
      <c r="E1777">
        <v>2386.15616</v>
      </c>
      <c r="F1777" s="1">
        <v>3.9</v>
      </c>
      <c r="H1777">
        <v>3252</v>
      </c>
      <c r="I1777" t="str">
        <f t="shared" si="56"/>
        <v>YES</v>
      </c>
      <c r="J1777" t="s">
        <v>1783</v>
      </c>
      <c r="K1777">
        <v>866125.486638</v>
      </c>
      <c r="L1777">
        <f t="shared" si="55"/>
        <v>0</v>
      </c>
    </row>
    <row r="1778" spans="1:12" x14ac:dyDescent="0.25">
      <c r="A1778">
        <v>3253</v>
      </c>
      <c r="B1778">
        <v>871.32689909999999</v>
      </c>
      <c r="C1778">
        <v>871.32689909999999</v>
      </c>
      <c r="D1778">
        <v>0</v>
      </c>
      <c r="E1778">
        <v>3011.3979020000002</v>
      </c>
      <c r="F1778" s="1">
        <v>0.57099999999999995</v>
      </c>
      <c r="H1778">
        <v>3253</v>
      </c>
      <c r="I1778" t="str">
        <f t="shared" si="56"/>
        <v>YES</v>
      </c>
      <c r="J1778" t="s">
        <v>1784</v>
      </c>
      <c r="K1778">
        <v>2492473.90527</v>
      </c>
      <c r="L1778">
        <f t="shared" si="55"/>
        <v>0</v>
      </c>
    </row>
    <row r="1779" spans="1:12" x14ac:dyDescent="0.25">
      <c r="A1779">
        <v>3269</v>
      </c>
      <c r="B1779">
        <v>6946.8977640000003</v>
      </c>
      <c r="C1779">
        <v>6946.8977640000003</v>
      </c>
      <c r="D1779">
        <v>0</v>
      </c>
      <c r="E1779">
        <v>5078.8905990000003</v>
      </c>
      <c r="F1779" s="1">
        <v>7.68</v>
      </c>
      <c r="H1779">
        <v>3269</v>
      </c>
      <c r="I1779" t="str">
        <f t="shared" si="56"/>
        <v>YES</v>
      </c>
      <c r="J1779" t="s">
        <v>1785</v>
      </c>
      <c r="K1779">
        <v>2028806.5727500001</v>
      </c>
      <c r="L1779">
        <f t="shared" si="55"/>
        <v>0</v>
      </c>
    </row>
    <row r="1780" spans="1:12" x14ac:dyDescent="0.25">
      <c r="A1780">
        <v>3270</v>
      </c>
      <c r="B1780">
        <v>262.35515220000002</v>
      </c>
      <c r="C1780">
        <v>262.35515220000002</v>
      </c>
      <c r="D1780">
        <v>0</v>
      </c>
      <c r="F1780" s="1">
        <v>0</v>
      </c>
      <c r="H1780">
        <v>3270</v>
      </c>
      <c r="I1780" t="str">
        <f t="shared" si="56"/>
        <v>YES</v>
      </c>
      <c r="J1780" t="s">
        <v>1786</v>
      </c>
      <c r="K1780">
        <v>17193394.647300001</v>
      </c>
      <c r="L1780">
        <f t="shared" si="55"/>
        <v>0</v>
      </c>
    </row>
    <row r="1781" spans="1:12" x14ac:dyDescent="0.25">
      <c r="A1781">
        <v>3271</v>
      </c>
      <c r="B1781">
        <v>10647.062550000001</v>
      </c>
      <c r="C1781">
        <v>10647.062550000001</v>
      </c>
      <c r="D1781">
        <v>0</v>
      </c>
      <c r="E1781">
        <v>3167.029372</v>
      </c>
      <c r="F1781" s="1">
        <v>7.34</v>
      </c>
      <c r="H1781">
        <v>3271</v>
      </c>
      <c r="I1781" t="str">
        <f t="shared" si="56"/>
        <v>YES</v>
      </c>
      <c r="J1781" t="s">
        <v>1787</v>
      </c>
      <c r="K1781">
        <v>911162.61614299996</v>
      </c>
      <c r="L1781">
        <f t="shared" si="55"/>
        <v>0</v>
      </c>
    </row>
    <row r="1782" spans="1:12" x14ac:dyDescent="0.25">
      <c r="A1782">
        <v>3272</v>
      </c>
      <c r="B1782">
        <v>2935.9743480000002</v>
      </c>
      <c r="C1782">
        <v>2935.9743480000002</v>
      </c>
      <c r="D1782">
        <v>0</v>
      </c>
      <c r="E1782">
        <v>1847.960259</v>
      </c>
      <c r="F1782" s="1">
        <v>1.18</v>
      </c>
      <c r="H1782">
        <v>3272</v>
      </c>
      <c r="I1782" t="str">
        <f t="shared" si="56"/>
        <v>YES</v>
      </c>
      <c r="J1782" t="s">
        <v>1788</v>
      </c>
      <c r="K1782">
        <v>531065.88980799995</v>
      </c>
      <c r="L1782">
        <f t="shared" si="55"/>
        <v>0</v>
      </c>
    </row>
    <row r="1783" spans="1:12" x14ac:dyDescent="0.25">
      <c r="A1783">
        <v>3273</v>
      </c>
      <c r="B1783">
        <v>450.40450370000002</v>
      </c>
      <c r="C1783">
        <v>450.40450370000002</v>
      </c>
      <c r="D1783">
        <v>0</v>
      </c>
      <c r="E1783">
        <v>2316.950147</v>
      </c>
      <c r="F1783" s="1">
        <v>0.22700000000000001</v>
      </c>
      <c r="H1783">
        <v>3273</v>
      </c>
      <c r="I1783" t="str">
        <f t="shared" si="56"/>
        <v>YES</v>
      </c>
      <c r="J1783" t="s">
        <v>1789</v>
      </c>
      <c r="K1783">
        <v>1477183.92044</v>
      </c>
      <c r="L1783">
        <f t="shared" si="55"/>
        <v>0</v>
      </c>
    </row>
    <row r="1784" spans="1:12" x14ac:dyDescent="0.25">
      <c r="A1784">
        <v>3274</v>
      </c>
      <c r="B1784">
        <v>1235.3205009999999</v>
      </c>
      <c r="C1784">
        <v>1235.3205009999999</v>
      </c>
      <c r="D1784">
        <v>0</v>
      </c>
      <c r="E1784">
        <v>3398.9268189999998</v>
      </c>
      <c r="F1784" s="1">
        <v>0.91400000000000003</v>
      </c>
      <c r="H1784">
        <v>3274</v>
      </c>
      <c r="I1784" t="str">
        <f t="shared" si="56"/>
        <v>YES</v>
      </c>
      <c r="J1784" t="s">
        <v>1790</v>
      </c>
      <c r="K1784">
        <v>1464372.1081300001</v>
      </c>
      <c r="L1784">
        <f t="shared" si="55"/>
        <v>0</v>
      </c>
    </row>
    <row r="1785" spans="1:12" x14ac:dyDescent="0.25">
      <c r="A1785">
        <v>3277</v>
      </c>
      <c r="B1785">
        <v>480.83458239999999</v>
      </c>
      <c r="C1785">
        <v>480.83458239999999</v>
      </c>
      <c r="D1785">
        <v>0</v>
      </c>
      <c r="E1785">
        <v>2928.4764759999998</v>
      </c>
      <c r="F1785" s="1">
        <v>0.307</v>
      </c>
      <c r="H1785">
        <v>3277</v>
      </c>
      <c r="I1785" t="str">
        <f t="shared" si="56"/>
        <v>YES</v>
      </c>
      <c r="J1785" t="s">
        <v>1791</v>
      </c>
      <c r="K1785">
        <v>3571732.4755799999</v>
      </c>
      <c r="L1785">
        <f t="shared" si="55"/>
        <v>0</v>
      </c>
    </row>
    <row r="1786" spans="1:12" x14ac:dyDescent="0.25">
      <c r="A1786">
        <v>3278</v>
      </c>
      <c r="B1786">
        <v>800.69543650000003</v>
      </c>
      <c r="C1786">
        <v>800.69543650000003</v>
      </c>
      <c r="D1786">
        <v>0</v>
      </c>
      <c r="E1786">
        <v>1678.4785589999999</v>
      </c>
      <c r="F1786" s="1">
        <v>0.29299999999999998</v>
      </c>
      <c r="H1786">
        <v>3278</v>
      </c>
      <c r="I1786" t="str">
        <f t="shared" si="56"/>
        <v>YES</v>
      </c>
      <c r="J1786" t="s">
        <v>1792</v>
      </c>
      <c r="K1786">
        <v>1220160.0560399999</v>
      </c>
      <c r="L1786">
        <f t="shared" si="55"/>
        <v>0</v>
      </c>
    </row>
    <row r="1787" spans="1:12" x14ac:dyDescent="0.25">
      <c r="A1787">
        <v>3279</v>
      </c>
      <c r="B1787">
        <v>11306.558440000001</v>
      </c>
      <c r="C1787">
        <v>11306.558440000001</v>
      </c>
      <c r="D1787">
        <v>0</v>
      </c>
      <c r="E1787">
        <v>3653.04142</v>
      </c>
      <c r="F1787" s="1">
        <v>8.99</v>
      </c>
      <c r="H1787">
        <v>3279</v>
      </c>
      <c r="I1787" t="str">
        <f t="shared" si="56"/>
        <v>YES</v>
      </c>
      <c r="J1787" t="s">
        <v>1793</v>
      </c>
      <c r="K1787">
        <v>1145761.89173</v>
      </c>
      <c r="L1787">
        <f t="shared" si="55"/>
        <v>0</v>
      </c>
    </row>
    <row r="1788" spans="1:12" x14ac:dyDescent="0.25">
      <c r="A1788">
        <v>3280</v>
      </c>
      <c r="B1788">
        <v>1046.844288</v>
      </c>
      <c r="C1788">
        <v>1046.844288</v>
      </c>
      <c r="D1788">
        <v>0</v>
      </c>
      <c r="E1788">
        <v>1672.9151340000001</v>
      </c>
      <c r="F1788" s="1">
        <v>0.38100000000000001</v>
      </c>
      <c r="H1788">
        <v>3280</v>
      </c>
      <c r="I1788" t="str">
        <f t="shared" si="56"/>
        <v>YES</v>
      </c>
      <c r="J1788" t="s">
        <v>1794</v>
      </c>
      <c r="K1788">
        <v>1044806.86723</v>
      </c>
      <c r="L1788">
        <f t="shared" si="55"/>
        <v>0</v>
      </c>
    </row>
    <row r="1789" spans="1:12" x14ac:dyDescent="0.25">
      <c r="A1789">
        <v>3281</v>
      </c>
      <c r="B1789">
        <v>2245.0644090000001</v>
      </c>
      <c r="C1789">
        <v>2245.0644090000001</v>
      </c>
      <c r="D1789">
        <v>0</v>
      </c>
      <c r="E1789">
        <v>3091.8814590000002</v>
      </c>
      <c r="F1789" s="1">
        <v>1.51</v>
      </c>
      <c r="H1789">
        <v>3281</v>
      </c>
      <c r="I1789" t="str">
        <f t="shared" si="56"/>
        <v>YES</v>
      </c>
      <c r="J1789" t="s">
        <v>1795</v>
      </c>
      <c r="K1789">
        <v>1307559.79586</v>
      </c>
      <c r="L1789">
        <f t="shared" si="55"/>
        <v>0</v>
      </c>
    </row>
    <row r="1790" spans="1:12" x14ac:dyDescent="0.25">
      <c r="A1790">
        <v>3282</v>
      </c>
      <c r="B1790">
        <v>2245.0644090000001</v>
      </c>
      <c r="C1790">
        <v>2245.0644090000001</v>
      </c>
      <c r="D1790">
        <v>0</v>
      </c>
      <c r="E1790">
        <v>3977.1338059999998</v>
      </c>
      <c r="F1790" s="1">
        <v>1.94</v>
      </c>
      <c r="H1790">
        <v>3282</v>
      </c>
      <c r="I1790" t="str">
        <f t="shared" si="56"/>
        <v>YES</v>
      </c>
      <c r="J1790" t="s">
        <v>1796</v>
      </c>
      <c r="K1790">
        <v>2251448.1880100002</v>
      </c>
      <c r="L1790">
        <f t="shared" si="55"/>
        <v>0</v>
      </c>
    </row>
    <row r="1791" spans="1:12" x14ac:dyDescent="0.25">
      <c r="A1791">
        <v>3283</v>
      </c>
      <c r="B1791">
        <v>8803.1411459999999</v>
      </c>
      <c r="C1791">
        <v>8803.1411459999999</v>
      </c>
      <c r="D1791">
        <v>0</v>
      </c>
      <c r="E1791">
        <v>4459.9283809999997</v>
      </c>
      <c r="F1791" s="1">
        <v>8.5500000000000007</v>
      </c>
      <c r="H1791">
        <v>3283</v>
      </c>
      <c r="I1791" t="str">
        <f t="shared" si="56"/>
        <v>YES</v>
      </c>
      <c r="J1791" t="s">
        <v>1797</v>
      </c>
      <c r="K1791">
        <v>2084449.92359</v>
      </c>
      <c r="L1791">
        <f t="shared" si="55"/>
        <v>0</v>
      </c>
    </row>
    <row r="1792" spans="1:12" x14ac:dyDescent="0.25">
      <c r="A1792">
        <v>3284</v>
      </c>
      <c r="B1792">
        <v>156.1104119</v>
      </c>
      <c r="C1792">
        <v>156.1104119</v>
      </c>
      <c r="D1792">
        <v>0</v>
      </c>
      <c r="E1792">
        <v>2812.144765</v>
      </c>
      <c r="F1792" s="1">
        <v>9.5600000000000004E-2</v>
      </c>
      <c r="H1792">
        <v>3284</v>
      </c>
      <c r="I1792" t="str">
        <f t="shared" si="56"/>
        <v>YES</v>
      </c>
      <c r="J1792" t="s">
        <v>1798</v>
      </c>
      <c r="K1792">
        <v>3363875.8220000002</v>
      </c>
      <c r="L1792">
        <f t="shared" si="55"/>
        <v>0</v>
      </c>
    </row>
    <row r="1793" spans="1:12" x14ac:dyDescent="0.25">
      <c r="A1793">
        <v>3287</v>
      </c>
      <c r="B1793">
        <v>151.31649250000001</v>
      </c>
      <c r="C1793">
        <v>151.31649250000001</v>
      </c>
      <c r="D1793">
        <v>0</v>
      </c>
      <c r="E1793">
        <v>3320.5335749999999</v>
      </c>
      <c r="F1793" s="1">
        <v>0.109</v>
      </c>
      <c r="H1793">
        <v>3287</v>
      </c>
      <c r="I1793" t="str">
        <f t="shared" si="56"/>
        <v>YES</v>
      </c>
      <c r="J1793" t="s">
        <v>1799</v>
      </c>
      <c r="K1793">
        <v>1278883.8226000001</v>
      </c>
      <c r="L1793">
        <f t="shared" si="55"/>
        <v>0</v>
      </c>
    </row>
    <row r="1794" spans="1:12" x14ac:dyDescent="0.25">
      <c r="A1794">
        <v>3288</v>
      </c>
      <c r="B1794">
        <v>2659.2756159999999</v>
      </c>
      <c r="C1794">
        <v>2659.2756159999999</v>
      </c>
      <c r="D1794">
        <v>0</v>
      </c>
      <c r="E1794">
        <v>3392.7916340000002</v>
      </c>
      <c r="F1794" s="1">
        <v>1.96</v>
      </c>
      <c r="H1794">
        <v>3288</v>
      </c>
      <c r="I1794" t="str">
        <f t="shared" si="56"/>
        <v>YES</v>
      </c>
      <c r="J1794" t="s">
        <v>1800</v>
      </c>
      <c r="K1794">
        <v>1707093.9898999999</v>
      </c>
      <c r="L1794">
        <f t="shared" si="55"/>
        <v>0</v>
      </c>
    </row>
    <row r="1795" spans="1:12" x14ac:dyDescent="0.25">
      <c r="A1795">
        <v>3289</v>
      </c>
      <c r="B1795">
        <v>11528.356529999999</v>
      </c>
      <c r="C1795">
        <v>11528.356529999999</v>
      </c>
      <c r="D1795">
        <v>0</v>
      </c>
      <c r="E1795">
        <v>21.009426399999999</v>
      </c>
      <c r="F1795" s="1">
        <v>5.2699999999999997E-2</v>
      </c>
      <c r="H1795">
        <v>3289</v>
      </c>
      <c r="I1795" t="str">
        <f t="shared" si="56"/>
        <v>YES</v>
      </c>
      <c r="J1795" t="s">
        <v>1801</v>
      </c>
      <c r="K1795">
        <v>706882.45110199996</v>
      </c>
      <c r="L1795">
        <f t="shared" ref="L1795:L1858" si="57">EXP(0.2052)*K1795*(D1795/C1795)</f>
        <v>0</v>
      </c>
    </row>
    <row r="1796" spans="1:12" x14ac:dyDescent="0.25">
      <c r="A1796">
        <v>3290</v>
      </c>
      <c r="B1796">
        <v>9148.0372759999991</v>
      </c>
      <c r="C1796">
        <v>9148.0372759999991</v>
      </c>
      <c r="D1796">
        <v>0</v>
      </c>
      <c r="E1796">
        <v>2233.7313949999998</v>
      </c>
      <c r="F1796" s="1">
        <v>4.45</v>
      </c>
      <c r="H1796">
        <v>3290</v>
      </c>
      <c r="I1796" t="str">
        <f t="shared" si="56"/>
        <v>YES</v>
      </c>
      <c r="J1796" t="s">
        <v>1802</v>
      </c>
      <c r="K1796">
        <v>963487.136727</v>
      </c>
      <c r="L1796">
        <f t="shared" si="57"/>
        <v>0</v>
      </c>
    </row>
    <row r="1797" spans="1:12" x14ac:dyDescent="0.25">
      <c r="A1797">
        <v>3291</v>
      </c>
      <c r="B1797">
        <v>2518.646021</v>
      </c>
      <c r="C1797">
        <v>2518.646021</v>
      </c>
      <c r="D1797">
        <v>0</v>
      </c>
      <c r="E1797">
        <v>4256.9668940000001</v>
      </c>
      <c r="F1797" s="1">
        <v>2.33</v>
      </c>
      <c r="H1797">
        <v>3291</v>
      </c>
      <c r="I1797" t="str">
        <f t="shared" si="56"/>
        <v>YES</v>
      </c>
      <c r="J1797" t="s">
        <v>1803</v>
      </c>
      <c r="K1797">
        <v>1562203.9208</v>
      </c>
      <c r="L1797">
        <f t="shared" si="57"/>
        <v>0</v>
      </c>
    </row>
    <row r="1798" spans="1:12" x14ac:dyDescent="0.25">
      <c r="A1798">
        <v>3292</v>
      </c>
      <c r="B1798">
        <v>2203.2371459999999</v>
      </c>
      <c r="C1798">
        <v>2203.2371459999999</v>
      </c>
      <c r="D1798">
        <v>0</v>
      </c>
      <c r="E1798">
        <v>3757.2698970000001</v>
      </c>
      <c r="F1798" s="1">
        <v>1.8</v>
      </c>
      <c r="H1798">
        <v>3292</v>
      </c>
      <c r="I1798" t="str">
        <f t="shared" si="56"/>
        <v>YES</v>
      </c>
      <c r="J1798" t="s">
        <v>1804</v>
      </c>
      <c r="K1798">
        <v>1717746.7889400001</v>
      </c>
      <c r="L1798">
        <f t="shared" si="57"/>
        <v>0</v>
      </c>
    </row>
    <row r="1799" spans="1:12" x14ac:dyDescent="0.25">
      <c r="A1799">
        <v>3293</v>
      </c>
      <c r="B1799">
        <v>5221.4538279999997</v>
      </c>
      <c r="C1799">
        <v>5221.4538279999997</v>
      </c>
      <c r="D1799">
        <v>0</v>
      </c>
      <c r="E1799">
        <v>8.4058430059999996</v>
      </c>
      <c r="F1799" s="1">
        <v>9.5600000000000008E-3</v>
      </c>
      <c r="H1799">
        <v>3293</v>
      </c>
      <c r="I1799" t="str">
        <f t="shared" si="56"/>
        <v>YES</v>
      </c>
      <c r="J1799" t="s">
        <v>1805</v>
      </c>
      <c r="K1799">
        <v>1924754.0906100001</v>
      </c>
      <c r="L1799">
        <f t="shared" si="57"/>
        <v>0</v>
      </c>
    </row>
    <row r="1800" spans="1:12" x14ac:dyDescent="0.25">
      <c r="A1800">
        <v>3294</v>
      </c>
      <c r="B1800">
        <v>6657.1496639999996</v>
      </c>
      <c r="C1800">
        <v>6657.1496639999996</v>
      </c>
      <c r="D1800">
        <v>0</v>
      </c>
      <c r="E1800">
        <v>3511.2912449999999</v>
      </c>
      <c r="F1800" s="1">
        <v>5.09</v>
      </c>
      <c r="H1800">
        <v>3294</v>
      </c>
      <c r="I1800" t="str">
        <f t="shared" si="56"/>
        <v>YES</v>
      </c>
      <c r="J1800" t="s">
        <v>1806</v>
      </c>
      <c r="K1800">
        <v>1512081.0873799999</v>
      </c>
      <c r="L1800">
        <f t="shared" si="57"/>
        <v>0</v>
      </c>
    </row>
    <row r="1801" spans="1:12" x14ac:dyDescent="0.25">
      <c r="A1801">
        <v>3295</v>
      </c>
      <c r="B1801">
        <v>2758.0471120000002</v>
      </c>
      <c r="C1801">
        <v>2758.0471120000002</v>
      </c>
      <c r="D1801">
        <v>0</v>
      </c>
      <c r="E1801" s="1">
        <v>9.1000000000000003E-5</v>
      </c>
      <c r="F1801" s="1">
        <v>5.4599999999999999E-8</v>
      </c>
      <c r="H1801">
        <v>3295</v>
      </c>
      <c r="I1801" t="str">
        <f t="shared" si="56"/>
        <v>YES</v>
      </c>
      <c r="J1801" t="s">
        <v>1807</v>
      </c>
      <c r="K1801">
        <v>1019632.81428</v>
      </c>
      <c r="L1801">
        <f t="shared" si="57"/>
        <v>0</v>
      </c>
    </row>
    <row r="1802" spans="1:12" x14ac:dyDescent="0.25">
      <c r="A1802">
        <v>3298</v>
      </c>
      <c r="B1802">
        <v>409.080172</v>
      </c>
      <c r="C1802">
        <v>409.080172</v>
      </c>
      <c r="D1802">
        <v>0</v>
      </c>
      <c r="E1802">
        <v>2608.819986</v>
      </c>
      <c r="F1802" s="1">
        <v>0.23200000000000001</v>
      </c>
      <c r="H1802">
        <v>3298</v>
      </c>
      <c r="I1802" t="str">
        <f t="shared" si="56"/>
        <v>YES</v>
      </c>
      <c r="J1802" t="s">
        <v>1808</v>
      </c>
      <c r="K1802">
        <v>1425102.89179</v>
      </c>
      <c r="L1802">
        <f t="shared" si="57"/>
        <v>0</v>
      </c>
    </row>
    <row r="1803" spans="1:12" x14ac:dyDescent="0.25">
      <c r="A1803">
        <v>3299</v>
      </c>
      <c r="B1803">
        <v>8578.9237250000006</v>
      </c>
      <c r="C1803">
        <v>8578.9237250000006</v>
      </c>
      <c r="D1803">
        <v>0</v>
      </c>
      <c r="E1803">
        <v>2398.0363339999999</v>
      </c>
      <c r="F1803" s="1">
        <v>4.4800000000000004</v>
      </c>
      <c r="H1803">
        <v>3299</v>
      </c>
      <c r="I1803" t="str">
        <f t="shared" si="56"/>
        <v>YES</v>
      </c>
      <c r="J1803" t="s">
        <v>1809</v>
      </c>
      <c r="K1803">
        <v>1197689.1706399999</v>
      </c>
      <c r="L1803">
        <f t="shared" si="57"/>
        <v>0</v>
      </c>
    </row>
    <row r="1804" spans="1:12" x14ac:dyDescent="0.25">
      <c r="A1804">
        <v>3300</v>
      </c>
      <c r="B1804">
        <v>212.3415914</v>
      </c>
      <c r="C1804">
        <v>212.3415914</v>
      </c>
      <c r="D1804">
        <v>0</v>
      </c>
      <c r="E1804">
        <v>48.950802709999998</v>
      </c>
      <c r="F1804" s="1">
        <v>2.2599999999999999E-3</v>
      </c>
      <c r="H1804">
        <v>3300</v>
      </c>
      <c r="I1804" t="str">
        <f t="shared" si="56"/>
        <v>YES</v>
      </c>
      <c r="J1804" t="s">
        <v>1810</v>
      </c>
      <c r="K1804">
        <v>5326486.6997199999</v>
      </c>
      <c r="L1804">
        <f t="shared" si="57"/>
        <v>0</v>
      </c>
    </row>
    <row r="1805" spans="1:12" x14ac:dyDescent="0.25">
      <c r="A1805">
        <v>3301</v>
      </c>
      <c r="B1805">
        <v>858.50662390000002</v>
      </c>
      <c r="C1805">
        <v>858.50662390000002</v>
      </c>
      <c r="D1805">
        <v>0</v>
      </c>
      <c r="E1805">
        <v>3382.3596010000001</v>
      </c>
      <c r="F1805" s="1">
        <v>0.63200000000000001</v>
      </c>
      <c r="H1805">
        <v>3301</v>
      </c>
      <c r="I1805" t="str">
        <f t="shared" si="56"/>
        <v>YES</v>
      </c>
      <c r="J1805" t="s">
        <v>1811</v>
      </c>
      <c r="K1805">
        <v>1460579.9792500001</v>
      </c>
      <c r="L1805">
        <f t="shared" si="57"/>
        <v>0</v>
      </c>
    </row>
    <row r="1806" spans="1:12" x14ac:dyDescent="0.25">
      <c r="A1806">
        <v>3302</v>
      </c>
      <c r="B1806">
        <v>3887.6302810000002</v>
      </c>
      <c r="C1806">
        <v>3887.6302810000002</v>
      </c>
      <c r="D1806">
        <v>0</v>
      </c>
      <c r="E1806">
        <v>4203.5690839999997</v>
      </c>
      <c r="F1806" s="1">
        <v>3.56</v>
      </c>
      <c r="H1806">
        <v>3302</v>
      </c>
      <c r="I1806" t="str">
        <f t="shared" si="56"/>
        <v>YES</v>
      </c>
      <c r="J1806" t="s">
        <v>1812</v>
      </c>
      <c r="K1806">
        <v>1418639.64784</v>
      </c>
      <c r="L1806">
        <f t="shared" si="57"/>
        <v>0</v>
      </c>
    </row>
    <row r="1807" spans="1:12" x14ac:dyDescent="0.25">
      <c r="A1807">
        <v>3303</v>
      </c>
      <c r="B1807">
        <v>8209.8329560000002</v>
      </c>
      <c r="C1807">
        <v>8209.8329560000002</v>
      </c>
      <c r="D1807">
        <v>0</v>
      </c>
      <c r="E1807">
        <v>2519.8857149999999</v>
      </c>
      <c r="F1807" s="1">
        <v>4.5</v>
      </c>
      <c r="H1807">
        <v>3303</v>
      </c>
      <c r="I1807" t="str">
        <f t="shared" si="56"/>
        <v>YES</v>
      </c>
      <c r="J1807" t="s">
        <v>1813</v>
      </c>
      <c r="K1807">
        <v>1091409.90965</v>
      </c>
      <c r="L1807">
        <f t="shared" si="57"/>
        <v>0</v>
      </c>
    </row>
    <row r="1808" spans="1:12" x14ac:dyDescent="0.25">
      <c r="A1808">
        <v>3304</v>
      </c>
      <c r="B1808">
        <v>1109.9111399999999</v>
      </c>
      <c r="C1808">
        <v>1109.9111399999999</v>
      </c>
      <c r="D1808">
        <v>0</v>
      </c>
      <c r="E1808">
        <v>1791.7912020000001</v>
      </c>
      <c r="F1808" s="1">
        <v>0.433</v>
      </c>
      <c r="H1808">
        <v>3304</v>
      </c>
      <c r="I1808" t="str">
        <f t="shared" si="56"/>
        <v>YES</v>
      </c>
      <c r="J1808" t="s">
        <v>1814</v>
      </c>
      <c r="K1808">
        <v>701545.42446000001</v>
      </c>
      <c r="L1808">
        <f t="shared" si="57"/>
        <v>0</v>
      </c>
    </row>
    <row r="1809" spans="1:12" x14ac:dyDescent="0.25">
      <c r="A1809">
        <v>3305</v>
      </c>
      <c r="B1809">
        <v>74.511621390000002</v>
      </c>
      <c r="C1809">
        <v>74.511621390000002</v>
      </c>
      <c r="D1809">
        <v>0</v>
      </c>
      <c r="E1809">
        <v>258.46529859999998</v>
      </c>
      <c r="F1809" s="1">
        <v>4.1900000000000001E-3</v>
      </c>
      <c r="H1809">
        <v>3305</v>
      </c>
      <c r="I1809" t="str">
        <f t="shared" si="56"/>
        <v>YES</v>
      </c>
      <c r="J1809" t="s">
        <v>1815</v>
      </c>
      <c r="K1809">
        <v>7315709.1071800003</v>
      </c>
      <c r="L1809">
        <f t="shared" si="57"/>
        <v>0</v>
      </c>
    </row>
    <row r="1810" spans="1:12" x14ac:dyDescent="0.25">
      <c r="A1810">
        <v>3306</v>
      </c>
      <c r="B1810">
        <v>1597.999589</v>
      </c>
      <c r="C1810">
        <v>1597.999589</v>
      </c>
      <c r="D1810">
        <v>0</v>
      </c>
      <c r="E1810">
        <v>3885.7883470000002</v>
      </c>
      <c r="F1810" s="1">
        <v>1.35</v>
      </c>
      <c r="H1810">
        <v>3306</v>
      </c>
      <c r="I1810" t="str">
        <f t="shared" si="56"/>
        <v>YES</v>
      </c>
      <c r="J1810" t="s">
        <v>1816</v>
      </c>
      <c r="K1810">
        <v>1704376.8172599999</v>
      </c>
      <c r="L1810">
        <f t="shared" si="57"/>
        <v>0</v>
      </c>
    </row>
    <row r="1811" spans="1:12" x14ac:dyDescent="0.25">
      <c r="A1811">
        <v>3307</v>
      </c>
      <c r="B1811">
        <v>114.0837497</v>
      </c>
      <c r="C1811">
        <v>114.0837497</v>
      </c>
      <c r="D1811">
        <v>0</v>
      </c>
      <c r="E1811">
        <v>264.33363120000001</v>
      </c>
      <c r="F1811" s="1">
        <v>6.5700000000000003E-3</v>
      </c>
      <c r="H1811">
        <v>3307</v>
      </c>
      <c r="I1811" t="str">
        <f t="shared" si="56"/>
        <v>YES</v>
      </c>
      <c r="J1811" t="s">
        <v>1817</v>
      </c>
      <c r="K1811">
        <v>26360812.156599998</v>
      </c>
      <c r="L1811">
        <f t="shared" si="57"/>
        <v>0</v>
      </c>
    </row>
    <row r="1812" spans="1:12" x14ac:dyDescent="0.25">
      <c r="A1812">
        <v>3400</v>
      </c>
      <c r="B1812">
        <v>8992.7468019999997</v>
      </c>
      <c r="C1812">
        <v>8992.7468019999997</v>
      </c>
      <c r="D1812">
        <v>0</v>
      </c>
      <c r="E1812">
        <v>1167.92284</v>
      </c>
      <c r="F1812" s="1">
        <v>2.29</v>
      </c>
      <c r="H1812">
        <v>3400</v>
      </c>
      <c r="I1812" t="str">
        <f t="shared" si="56"/>
        <v>YES</v>
      </c>
      <c r="J1812" t="s">
        <v>1818</v>
      </c>
      <c r="K1812">
        <v>674623.11736300006</v>
      </c>
      <c r="L1812">
        <f t="shared" si="57"/>
        <v>0</v>
      </c>
    </row>
    <row r="1813" spans="1:12" x14ac:dyDescent="0.25">
      <c r="A1813">
        <v>3401</v>
      </c>
      <c r="B1813">
        <v>3168.3311659999999</v>
      </c>
      <c r="C1813">
        <v>3168.3311659999999</v>
      </c>
      <c r="D1813">
        <v>0</v>
      </c>
      <c r="E1813">
        <v>3473.4345619999999</v>
      </c>
      <c r="F1813" s="1">
        <v>2.4</v>
      </c>
      <c r="H1813">
        <v>3401</v>
      </c>
      <c r="I1813" t="str">
        <f t="shared" si="56"/>
        <v>YES</v>
      </c>
      <c r="J1813" t="s">
        <v>1819</v>
      </c>
      <c r="K1813">
        <v>955030.10550099995</v>
      </c>
      <c r="L1813">
        <f t="shared" si="57"/>
        <v>0</v>
      </c>
    </row>
    <row r="1814" spans="1:12" x14ac:dyDescent="0.25">
      <c r="A1814">
        <v>3402</v>
      </c>
      <c r="B1814">
        <v>5353.463726</v>
      </c>
      <c r="C1814">
        <v>5353.463726</v>
      </c>
      <c r="D1814">
        <v>0</v>
      </c>
      <c r="E1814">
        <v>4111.3248659999999</v>
      </c>
      <c r="F1814" s="1">
        <v>4.79</v>
      </c>
      <c r="H1814">
        <v>3402</v>
      </c>
      <c r="I1814" t="str">
        <f t="shared" si="56"/>
        <v>YES</v>
      </c>
      <c r="J1814" t="s">
        <v>1820</v>
      </c>
      <c r="K1814">
        <v>1194569.33987</v>
      </c>
      <c r="L1814">
        <f t="shared" si="57"/>
        <v>0</v>
      </c>
    </row>
    <row r="1815" spans="1:12" x14ac:dyDescent="0.25">
      <c r="A1815">
        <v>3403</v>
      </c>
      <c r="B1815">
        <v>4213.5072369999998</v>
      </c>
      <c r="C1815">
        <v>4213.5072369999998</v>
      </c>
      <c r="D1815">
        <v>0</v>
      </c>
      <c r="E1815">
        <v>2715.2012399999999</v>
      </c>
      <c r="F1815" s="1">
        <v>2.4900000000000002</v>
      </c>
      <c r="H1815">
        <v>3403</v>
      </c>
      <c r="I1815" t="str">
        <f t="shared" si="56"/>
        <v>YES</v>
      </c>
      <c r="J1815" t="s">
        <v>1821</v>
      </c>
      <c r="K1815">
        <v>852236.15219599998</v>
      </c>
      <c r="L1815">
        <f t="shared" si="57"/>
        <v>0</v>
      </c>
    </row>
    <row r="1816" spans="1:12" x14ac:dyDescent="0.25">
      <c r="A1816">
        <v>3404</v>
      </c>
      <c r="B1816">
        <v>11779.82286</v>
      </c>
      <c r="C1816">
        <v>11779.82286</v>
      </c>
      <c r="D1816">
        <v>0</v>
      </c>
      <c r="E1816">
        <v>2167.7531239999998</v>
      </c>
      <c r="F1816" s="1">
        <v>5.56</v>
      </c>
      <c r="H1816">
        <v>3404</v>
      </c>
      <c r="I1816" t="str">
        <f t="shared" si="56"/>
        <v>YES</v>
      </c>
      <c r="J1816" t="s">
        <v>1822</v>
      </c>
      <c r="K1816">
        <v>660620.27304</v>
      </c>
      <c r="L1816">
        <f t="shared" si="57"/>
        <v>0</v>
      </c>
    </row>
    <row r="1817" spans="1:12" x14ac:dyDescent="0.25">
      <c r="A1817">
        <v>3405</v>
      </c>
      <c r="B1817">
        <v>3325.034971</v>
      </c>
      <c r="C1817">
        <v>3325.034971</v>
      </c>
      <c r="D1817">
        <v>0</v>
      </c>
      <c r="E1817">
        <v>2922.3633679999998</v>
      </c>
      <c r="F1817" s="1">
        <v>2.12</v>
      </c>
      <c r="H1817">
        <v>3405</v>
      </c>
      <c r="I1817" t="str">
        <f t="shared" si="56"/>
        <v>YES</v>
      </c>
      <c r="J1817" t="s">
        <v>1823</v>
      </c>
      <c r="K1817">
        <v>841964.36162700003</v>
      </c>
      <c r="L1817">
        <f t="shared" si="57"/>
        <v>0</v>
      </c>
    </row>
    <row r="1818" spans="1:12" x14ac:dyDescent="0.25">
      <c r="A1818">
        <v>3408</v>
      </c>
      <c r="B1818">
        <v>163.77842770000001</v>
      </c>
      <c r="C1818">
        <v>163.77842770000001</v>
      </c>
      <c r="D1818">
        <v>0</v>
      </c>
      <c r="E1818">
        <v>1894.033467</v>
      </c>
      <c r="F1818" s="1">
        <v>6.7500000000000004E-2</v>
      </c>
      <c r="H1818">
        <v>3408</v>
      </c>
      <c r="I1818" t="str">
        <f t="shared" si="56"/>
        <v>YES</v>
      </c>
      <c r="J1818" t="s">
        <v>1824</v>
      </c>
      <c r="K1818">
        <v>1604251.9373900001</v>
      </c>
      <c r="L1818">
        <f t="shared" si="57"/>
        <v>0</v>
      </c>
    </row>
    <row r="1819" spans="1:12" x14ac:dyDescent="0.25">
      <c r="A1819">
        <v>3409</v>
      </c>
      <c r="B1819">
        <v>5633.454436</v>
      </c>
      <c r="C1819">
        <v>5633.454436</v>
      </c>
      <c r="D1819">
        <v>0</v>
      </c>
      <c r="E1819">
        <v>4137.7816339999999</v>
      </c>
      <c r="F1819" s="1">
        <v>5.08</v>
      </c>
      <c r="H1819">
        <v>3409</v>
      </c>
      <c r="I1819" t="str">
        <f t="shared" si="56"/>
        <v>YES</v>
      </c>
      <c r="J1819" t="s">
        <v>1825</v>
      </c>
      <c r="K1819">
        <v>1205220.7458599999</v>
      </c>
      <c r="L1819">
        <f t="shared" si="57"/>
        <v>0</v>
      </c>
    </row>
    <row r="1820" spans="1:12" x14ac:dyDescent="0.25">
      <c r="A1820">
        <v>3410</v>
      </c>
      <c r="B1820">
        <v>5392.3036529999999</v>
      </c>
      <c r="C1820">
        <v>5392.3036529999999</v>
      </c>
      <c r="D1820">
        <v>0</v>
      </c>
      <c r="E1820">
        <v>3476.7326050000001</v>
      </c>
      <c r="F1820" s="1">
        <v>4.08</v>
      </c>
      <c r="H1820">
        <v>3410</v>
      </c>
      <c r="I1820" t="str">
        <f t="shared" si="56"/>
        <v>YES</v>
      </c>
      <c r="J1820" t="s">
        <v>1826</v>
      </c>
      <c r="K1820">
        <v>1083562.6928099999</v>
      </c>
      <c r="L1820">
        <f t="shared" si="57"/>
        <v>0</v>
      </c>
    </row>
    <row r="1821" spans="1:12" x14ac:dyDescent="0.25">
      <c r="A1821">
        <v>3411</v>
      </c>
      <c r="B1821">
        <v>5797.0388999999996</v>
      </c>
      <c r="C1821">
        <v>5797.0388999999996</v>
      </c>
      <c r="D1821">
        <v>0</v>
      </c>
      <c r="E1821">
        <v>2599.6119979999999</v>
      </c>
      <c r="F1821" s="1">
        <v>3.28</v>
      </c>
      <c r="H1821">
        <v>3411</v>
      </c>
      <c r="I1821" t="str">
        <f t="shared" si="56"/>
        <v>YES</v>
      </c>
      <c r="J1821" t="s">
        <v>1827</v>
      </c>
      <c r="K1821">
        <v>829138.45343999995</v>
      </c>
      <c r="L1821">
        <f t="shared" si="57"/>
        <v>0</v>
      </c>
    </row>
    <row r="1822" spans="1:12" x14ac:dyDescent="0.25">
      <c r="A1822">
        <v>3412</v>
      </c>
      <c r="B1822">
        <v>1186.8669500000001</v>
      </c>
      <c r="C1822">
        <v>1186.8669500000001</v>
      </c>
      <c r="D1822">
        <v>0</v>
      </c>
      <c r="E1822">
        <v>2979.6855820000001</v>
      </c>
      <c r="F1822" s="1">
        <v>0.77</v>
      </c>
      <c r="H1822">
        <v>3412</v>
      </c>
      <c r="I1822" t="str">
        <f t="shared" si="56"/>
        <v>YES</v>
      </c>
      <c r="J1822" t="s">
        <v>1828</v>
      </c>
      <c r="K1822">
        <v>892984.58216200001</v>
      </c>
      <c r="L1822">
        <f t="shared" si="57"/>
        <v>0</v>
      </c>
    </row>
    <row r="1823" spans="1:12" x14ac:dyDescent="0.25">
      <c r="A1823">
        <v>3413</v>
      </c>
      <c r="B1823">
        <v>2578.844603</v>
      </c>
      <c r="C1823">
        <v>2578.844603</v>
      </c>
      <c r="D1823">
        <v>0</v>
      </c>
      <c r="E1823">
        <v>4410.1547149999997</v>
      </c>
      <c r="F1823" s="1">
        <v>2.48</v>
      </c>
      <c r="H1823">
        <v>3413</v>
      </c>
      <c r="I1823" t="str">
        <f t="shared" si="56"/>
        <v>YES</v>
      </c>
      <c r="J1823" t="s">
        <v>1829</v>
      </c>
      <c r="K1823">
        <v>3882014.09394</v>
      </c>
      <c r="L1823">
        <f t="shared" si="57"/>
        <v>0</v>
      </c>
    </row>
    <row r="1824" spans="1:12" x14ac:dyDescent="0.25">
      <c r="A1824">
        <v>3416</v>
      </c>
      <c r="B1824">
        <v>22107.82531</v>
      </c>
      <c r="C1824">
        <v>22107.82531</v>
      </c>
      <c r="D1824">
        <v>0</v>
      </c>
      <c r="E1824">
        <v>2785.9948989999998</v>
      </c>
      <c r="F1824" s="1">
        <v>13.4</v>
      </c>
      <c r="H1824">
        <v>3416</v>
      </c>
      <c r="I1824" t="str">
        <f t="shared" si="56"/>
        <v>YES</v>
      </c>
      <c r="J1824" t="s">
        <v>1830</v>
      </c>
      <c r="K1824">
        <v>270071.21446500003</v>
      </c>
      <c r="L1824">
        <f t="shared" si="57"/>
        <v>0</v>
      </c>
    </row>
    <row r="1825" spans="1:12" x14ac:dyDescent="0.25">
      <c r="A1825">
        <v>3417</v>
      </c>
      <c r="B1825">
        <v>10947.93353</v>
      </c>
      <c r="C1825">
        <v>10947.93353</v>
      </c>
      <c r="D1825">
        <v>0</v>
      </c>
      <c r="E1825">
        <v>4385.5183850000003</v>
      </c>
      <c r="F1825" s="1">
        <v>10.5</v>
      </c>
      <c r="H1825">
        <v>3417</v>
      </c>
      <c r="I1825" t="str">
        <f t="shared" si="56"/>
        <v>YES</v>
      </c>
      <c r="J1825" t="s">
        <v>1831</v>
      </c>
      <c r="K1825">
        <v>313759.14192099997</v>
      </c>
      <c r="L1825">
        <f t="shared" si="57"/>
        <v>0</v>
      </c>
    </row>
    <row r="1826" spans="1:12" x14ac:dyDescent="0.25">
      <c r="A1826">
        <v>3418</v>
      </c>
      <c r="B1826">
        <v>14993.365169999999</v>
      </c>
      <c r="C1826">
        <v>14993.365169999999</v>
      </c>
      <c r="D1826">
        <v>0</v>
      </c>
      <c r="E1826">
        <v>3009.0309689999999</v>
      </c>
      <c r="F1826" s="1">
        <v>9.82</v>
      </c>
      <c r="H1826">
        <v>3418</v>
      </c>
      <c r="I1826" t="str">
        <f t="shared" si="56"/>
        <v>YES</v>
      </c>
      <c r="J1826" t="s">
        <v>1832</v>
      </c>
      <c r="K1826">
        <v>484973.43373300001</v>
      </c>
      <c r="L1826">
        <f t="shared" si="57"/>
        <v>0</v>
      </c>
    </row>
    <row r="1827" spans="1:12" x14ac:dyDescent="0.25">
      <c r="A1827">
        <v>3419</v>
      </c>
      <c r="B1827">
        <v>6113.3685969999997</v>
      </c>
      <c r="C1827">
        <v>6113.3685969999997</v>
      </c>
      <c r="D1827">
        <v>0</v>
      </c>
      <c r="E1827">
        <v>1767.4308570000001</v>
      </c>
      <c r="F1827" s="1">
        <v>2.35</v>
      </c>
      <c r="H1827">
        <v>3419</v>
      </c>
      <c r="I1827" t="str">
        <f t="shared" si="56"/>
        <v>YES</v>
      </c>
      <c r="J1827" t="s">
        <v>1833</v>
      </c>
      <c r="K1827">
        <v>619383.40372099995</v>
      </c>
      <c r="L1827">
        <f t="shared" si="57"/>
        <v>0</v>
      </c>
    </row>
    <row r="1828" spans="1:12" x14ac:dyDescent="0.25">
      <c r="A1828">
        <v>3420</v>
      </c>
      <c r="B1828">
        <v>38639.667750000001</v>
      </c>
      <c r="C1828">
        <v>38639.667750000001</v>
      </c>
      <c r="D1828">
        <v>0</v>
      </c>
      <c r="E1828">
        <v>96.683963879999993</v>
      </c>
      <c r="F1828" s="1">
        <v>0.81299999999999994</v>
      </c>
      <c r="H1828">
        <v>3420</v>
      </c>
      <c r="I1828" t="str">
        <f t="shared" si="56"/>
        <v>YES</v>
      </c>
      <c r="J1828" t="s">
        <v>1834</v>
      </c>
      <c r="K1828">
        <v>160129.726998</v>
      </c>
      <c r="L1828">
        <f t="shared" si="57"/>
        <v>0</v>
      </c>
    </row>
    <row r="1829" spans="1:12" x14ac:dyDescent="0.25">
      <c r="A1829">
        <v>3421</v>
      </c>
      <c r="B1829">
        <v>2424.961198</v>
      </c>
      <c r="C1829">
        <v>2424.961198</v>
      </c>
      <c r="D1829">
        <v>0</v>
      </c>
      <c r="E1829">
        <v>1334.632159</v>
      </c>
      <c r="F1829" s="1">
        <v>0.70499999999999996</v>
      </c>
      <c r="H1829">
        <v>3421</v>
      </c>
      <c r="I1829" t="str">
        <f t="shared" si="56"/>
        <v>YES</v>
      </c>
      <c r="J1829" t="s">
        <v>1835</v>
      </c>
      <c r="K1829">
        <v>461134.694127</v>
      </c>
      <c r="L1829">
        <f t="shared" si="57"/>
        <v>0</v>
      </c>
    </row>
    <row r="1830" spans="1:12" x14ac:dyDescent="0.25">
      <c r="A1830">
        <v>3422</v>
      </c>
      <c r="B1830">
        <v>11046.00424</v>
      </c>
      <c r="C1830">
        <v>11046.00424</v>
      </c>
      <c r="D1830">
        <v>0</v>
      </c>
      <c r="E1830">
        <v>3208.0582960000002</v>
      </c>
      <c r="F1830" s="1">
        <v>7.72</v>
      </c>
      <c r="H1830">
        <v>3422</v>
      </c>
      <c r="I1830" t="str">
        <f t="shared" si="56"/>
        <v>YES</v>
      </c>
      <c r="J1830" t="s">
        <v>1836</v>
      </c>
      <c r="K1830">
        <v>761929.28227099997</v>
      </c>
      <c r="L1830">
        <f t="shared" si="57"/>
        <v>0</v>
      </c>
    </row>
    <row r="1831" spans="1:12" x14ac:dyDescent="0.25">
      <c r="A1831">
        <v>3423</v>
      </c>
      <c r="B1831">
        <v>3244.909564</v>
      </c>
      <c r="C1831">
        <v>3244.909564</v>
      </c>
      <c r="D1831">
        <v>0</v>
      </c>
      <c r="E1831">
        <v>1585.4894549999999</v>
      </c>
      <c r="F1831" s="1">
        <v>1.1200000000000001</v>
      </c>
      <c r="H1831">
        <v>3423</v>
      </c>
      <c r="I1831" t="str">
        <f t="shared" si="56"/>
        <v>YES</v>
      </c>
      <c r="J1831" t="s">
        <v>1837</v>
      </c>
      <c r="K1831">
        <v>793872.36917900003</v>
      </c>
      <c r="L1831">
        <f t="shared" si="57"/>
        <v>0</v>
      </c>
    </row>
    <row r="1832" spans="1:12" x14ac:dyDescent="0.25">
      <c r="A1832">
        <v>3424</v>
      </c>
      <c r="B1832">
        <v>5361.6396709999999</v>
      </c>
      <c r="C1832">
        <v>5361.6396709999999</v>
      </c>
      <c r="D1832">
        <v>0</v>
      </c>
      <c r="E1832">
        <v>3630.3488870000001</v>
      </c>
      <c r="F1832" s="1">
        <v>4.24</v>
      </c>
      <c r="H1832">
        <v>3424</v>
      </c>
      <c r="I1832" t="str">
        <f t="shared" si="56"/>
        <v>YES</v>
      </c>
      <c r="J1832" t="s">
        <v>1838</v>
      </c>
      <c r="K1832">
        <v>922303.35441100004</v>
      </c>
      <c r="L1832">
        <f t="shared" si="57"/>
        <v>0</v>
      </c>
    </row>
    <row r="1833" spans="1:12" x14ac:dyDescent="0.25">
      <c r="A1833">
        <v>3425</v>
      </c>
      <c r="B1833">
        <v>4246.9143809999996</v>
      </c>
      <c r="C1833">
        <v>4246.9143809999996</v>
      </c>
      <c r="D1833">
        <v>0</v>
      </c>
      <c r="E1833">
        <v>2617.157181</v>
      </c>
      <c r="F1833" s="1">
        <v>2.42</v>
      </c>
      <c r="H1833">
        <v>3425</v>
      </c>
      <c r="I1833" t="str">
        <f t="shared" si="56"/>
        <v>YES</v>
      </c>
      <c r="J1833" t="s">
        <v>1839</v>
      </c>
      <c r="K1833">
        <v>701821.22496200004</v>
      </c>
      <c r="L1833">
        <f t="shared" si="57"/>
        <v>0</v>
      </c>
    </row>
    <row r="1834" spans="1:12" x14ac:dyDescent="0.25">
      <c r="A1834">
        <v>3426</v>
      </c>
      <c r="B1834">
        <v>1897.6099099999999</v>
      </c>
      <c r="C1834">
        <v>1897.6099099999999</v>
      </c>
      <c r="D1834">
        <v>0</v>
      </c>
      <c r="E1834">
        <v>1071.654949</v>
      </c>
      <c r="F1834" s="1">
        <v>0.443</v>
      </c>
      <c r="H1834">
        <v>3426</v>
      </c>
      <c r="I1834" t="str">
        <f t="shared" si="56"/>
        <v>YES</v>
      </c>
      <c r="J1834" t="s">
        <v>1840</v>
      </c>
      <c r="K1834">
        <v>2094105.93848</v>
      </c>
      <c r="L1834">
        <f t="shared" si="57"/>
        <v>0</v>
      </c>
    </row>
    <row r="1835" spans="1:12" x14ac:dyDescent="0.25">
      <c r="A1835">
        <v>3429</v>
      </c>
      <c r="B1835">
        <v>7539.8056779999997</v>
      </c>
      <c r="C1835">
        <v>7539.8056779999997</v>
      </c>
      <c r="D1835">
        <v>0</v>
      </c>
      <c r="E1835">
        <v>3459.9897970000002</v>
      </c>
      <c r="F1835" s="1">
        <v>5.68</v>
      </c>
      <c r="H1835">
        <v>3429</v>
      </c>
      <c r="I1835" t="str">
        <f t="shared" si="56"/>
        <v>YES</v>
      </c>
      <c r="J1835" t="s">
        <v>1841</v>
      </c>
      <c r="K1835">
        <v>884113.34569099999</v>
      </c>
      <c r="L1835">
        <f t="shared" si="57"/>
        <v>0</v>
      </c>
    </row>
    <row r="1836" spans="1:12" x14ac:dyDescent="0.25">
      <c r="A1836">
        <v>3430</v>
      </c>
      <c r="B1836">
        <v>5968.2463180000004</v>
      </c>
      <c r="C1836">
        <v>5968.2463180000004</v>
      </c>
      <c r="D1836">
        <v>0</v>
      </c>
      <c r="E1836">
        <v>3988.6274920000001</v>
      </c>
      <c r="F1836" s="1">
        <v>5.18</v>
      </c>
      <c r="H1836">
        <v>3430</v>
      </c>
      <c r="I1836" t="str">
        <f t="shared" si="56"/>
        <v>YES</v>
      </c>
      <c r="J1836" t="s">
        <v>1842</v>
      </c>
      <c r="K1836">
        <v>940838.66036700003</v>
      </c>
      <c r="L1836">
        <f t="shared" si="57"/>
        <v>0</v>
      </c>
    </row>
    <row r="1837" spans="1:12" x14ac:dyDescent="0.25">
      <c r="A1837">
        <v>3431</v>
      </c>
      <c r="B1837">
        <v>3494.073288</v>
      </c>
      <c r="C1837">
        <v>3494.073288</v>
      </c>
      <c r="D1837">
        <v>0</v>
      </c>
      <c r="E1837">
        <v>2145.5796799999998</v>
      </c>
      <c r="F1837" s="1">
        <v>1.63</v>
      </c>
      <c r="H1837">
        <v>3431</v>
      </c>
      <c r="I1837" t="str">
        <f t="shared" si="56"/>
        <v>YES</v>
      </c>
      <c r="J1837" t="s">
        <v>1843</v>
      </c>
      <c r="K1837">
        <v>694234.87648400001</v>
      </c>
      <c r="L1837">
        <f t="shared" si="57"/>
        <v>0</v>
      </c>
    </row>
    <row r="1838" spans="1:12" x14ac:dyDescent="0.25">
      <c r="A1838">
        <v>3432</v>
      </c>
      <c r="B1838">
        <v>767.78060540000001</v>
      </c>
      <c r="C1838">
        <v>767.78060540000001</v>
      </c>
      <c r="D1838">
        <v>0</v>
      </c>
      <c r="E1838">
        <v>3269.1487149999998</v>
      </c>
      <c r="F1838" s="1">
        <v>0.54700000000000004</v>
      </c>
      <c r="H1838">
        <v>3432</v>
      </c>
      <c r="I1838" t="str">
        <f t="shared" si="56"/>
        <v>YES</v>
      </c>
      <c r="J1838" t="s">
        <v>1844</v>
      </c>
      <c r="K1838">
        <v>1426812.0115100001</v>
      </c>
      <c r="L1838">
        <f t="shared" si="57"/>
        <v>0</v>
      </c>
    </row>
    <row r="1839" spans="1:12" x14ac:dyDescent="0.25">
      <c r="A1839">
        <v>3433</v>
      </c>
      <c r="B1839">
        <v>2905.2367399999998</v>
      </c>
      <c r="C1839">
        <v>2905.2367399999998</v>
      </c>
      <c r="D1839">
        <v>0</v>
      </c>
      <c r="E1839">
        <v>1832.4198710000001</v>
      </c>
      <c r="F1839" s="1">
        <v>1.1599999999999999</v>
      </c>
      <c r="H1839">
        <v>3433</v>
      </c>
      <c r="I1839" t="str">
        <f t="shared" si="56"/>
        <v>YES</v>
      </c>
      <c r="J1839" t="s">
        <v>1845</v>
      </c>
      <c r="K1839">
        <v>483077.03923499997</v>
      </c>
      <c r="L1839">
        <f t="shared" si="57"/>
        <v>0</v>
      </c>
    </row>
    <row r="1840" spans="1:12" x14ac:dyDescent="0.25">
      <c r="A1840">
        <v>3434</v>
      </c>
      <c r="B1840">
        <v>21189.687480000001</v>
      </c>
      <c r="C1840">
        <v>21189.687480000001</v>
      </c>
      <c r="D1840">
        <v>0</v>
      </c>
      <c r="E1840">
        <v>3017.2344450000001</v>
      </c>
      <c r="F1840" s="1">
        <v>13.9</v>
      </c>
      <c r="H1840">
        <v>3434</v>
      </c>
      <c r="I1840" t="str">
        <f t="shared" ref="I1840:I1903" si="58">IF(A1840=H1840,"YES","NO")</f>
        <v>YES</v>
      </c>
      <c r="J1840" t="s">
        <v>1846</v>
      </c>
      <c r="K1840">
        <v>904733.04842400004</v>
      </c>
      <c r="L1840">
        <f t="shared" si="57"/>
        <v>0</v>
      </c>
    </row>
    <row r="1841" spans="1:12" x14ac:dyDescent="0.25">
      <c r="A1841">
        <v>3437</v>
      </c>
      <c r="B1841">
        <v>1976.758918</v>
      </c>
      <c r="C1841">
        <v>1976.758918</v>
      </c>
      <c r="D1841">
        <v>0</v>
      </c>
      <c r="E1841">
        <v>1627.9973970000001</v>
      </c>
      <c r="F1841" s="1">
        <v>0.70099999999999996</v>
      </c>
      <c r="H1841">
        <v>3437</v>
      </c>
      <c r="I1841" t="str">
        <f t="shared" si="58"/>
        <v>YES</v>
      </c>
      <c r="J1841" t="s">
        <v>1847</v>
      </c>
      <c r="K1841">
        <v>413718.68021299999</v>
      </c>
      <c r="L1841">
        <f t="shared" si="57"/>
        <v>0</v>
      </c>
    </row>
    <row r="1842" spans="1:12" x14ac:dyDescent="0.25">
      <c r="A1842">
        <v>3438</v>
      </c>
      <c r="B1842">
        <v>10329.5507</v>
      </c>
      <c r="C1842">
        <v>10329.5507</v>
      </c>
      <c r="D1842">
        <v>0</v>
      </c>
      <c r="E1842">
        <v>2075.7805450000001</v>
      </c>
      <c r="F1842" s="1">
        <v>4.67</v>
      </c>
      <c r="H1842">
        <v>3438</v>
      </c>
      <c r="I1842" t="str">
        <f t="shared" si="58"/>
        <v>YES</v>
      </c>
      <c r="J1842" t="s">
        <v>1848</v>
      </c>
      <c r="K1842">
        <v>589857.62098600005</v>
      </c>
      <c r="L1842">
        <f t="shared" si="57"/>
        <v>0</v>
      </c>
    </row>
    <row r="1843" spans="1:12" x14ac:dyDescent="0.25">
      <c r="A1843">
        <v>3439</v>
      </c>
      <c r="B1843">
        <v>6534.283563</v>
      </c>
      <c r="C1843">
        <v>6534.283563</v>
      </c>
      <c r="D1843">
        <v>0</v>
      </c>
      <c r="E1843">
        <v>2310.978572</v>
      </c>
      <c r="F1843" s="1">
        <v>3.29</v>
      </c>
      <c r="H1843">
        <v>3439</v>
      </c>
      <c r="I1843" t="str">
        <f t="shared" si="58"/>
        <v>YES</v>
      </c>
      <c r="J1843" t="s">
        <v>1849</v>
      </c>
      <c r="K1843">
        <v>567976.277795</v>
      </c>
      <c r="L1843">
        <f t="shared" si="57"/>
        <v>0</v>
      </c>
    </row>
    <row r="1844" spans="1:12" x14ac:dyDescent="0.25">
      <c r="A1844">
        <v>3440</v>
      </c>
      <c r="B1844">
        <v>8290.4180890000007</v>
      </c>
      <c r="C1844">
        <v>8290.4180890000007</v>
      </c>
      <c r="D1844">
        <v>0</v>
      </c>
      <c r="E1844">
        <v>4031.9466860000002</v>
      </c>
      <c r="F1844" s="1">
        <v>7.28</v>
      </c>
      <c r="H1844">
        <v>3440</v>
      </c>
      <c r="I1844" t="str">
        <f t="shared" si="58"/>
        <v>YES</v>
      </c>
      <c r="J1844" t="s">
        <v>1850</v>
      </c>
      <c r="K1844">
        <v>974769.65495899995</v>
      </c>
      <c r="L1844">
        <f t="shared" si="57"/>
        <v>0</v>
      </c>
    </row>
    <row r="1845" spans="1:12" x14ac:dyDescent="0.25">
      <c r="A1845">
        <v>3441</v>
      </c>
      <c r="B1845">
        <v>9987.1074590000007</v>
      </c>
      <c r="C1845">
        <v>9987.1074590000007</v>
      </c>
      <c r="D1845">
        <v>0</v>
      </c>
      <c r="E1845">
        <v>3908.6521640000001</v>
      </c>
      <c r="F1845" s="1">
        <v>8.5</v>
      </c>
      <c r="H1845">
        <v>3441</v>
      </c>
      <c r="I1845" t="str">
        <f t="shared" si="58"/>
        <v>YES</v>
      </c>
      <c r="J1845" t="s">
        <v>1851</v>
      </c>
      <c r="K1845">
        <v>769153.86705999996</v>
      </c>
      <c r="L1845">
        <f t="shared" si="57"/>
        <v>0</v>
      </c>
    </row>
    <row r="1846" spans="1:12" x14ac:dyDescent="0.25">
      <c r="A1846">
        <v>3442</v>
      </c>
      <c r="B1846">
        <v>28150.702669999999</v>
      </c>
      <c r="C1846">
        <v>28150.702669999999</v>
      </c>
      <c r="D1846">
        <v>0</v>
      </c>
      <c r="E1846">
        <v>3205.0288799999998</v>
      </c>
      <c r="F1846" s="1">
        <v>19.600000000000001</v>
      </c>
      <c r="H1846">
        <v>3442</v>
      </c>
      <c r="I1846" t="str">
        <f t="shared" si="58"/>
        <v>YES</v>
      </c>
      <c r="J1846" t="s">
        <v>1852</v>
      </c>
      <c r="K1846">
        <v>524235.83357100002</v>
      </c>
      <c r="L1846">
        <f t="shared" si="57"/>
        <v>0</v>
      </c>
    </row>
    <row r="1847" spans="1:12" x14ac:dyDescent="0.25">
      <c r="A1847">
        <v>3443</v>
      </c>
      <c r="B1847">
        <v>18983.07905</v>
      </c>
      <c r="C1847">
        <v>18983.07905</v>
      </c>
      <c r="D1847">
        <v>0</v>
      </c>
      <c r="E1847">
        <v>1805.5399689999999</v>
      </c>
      <c r="F1847" s="1">
        <v>7.46</v>
      </c>
      <c r="H1847">
        <v>3443</v>
      </c>
      <c r="I1847" t="str">
        <f t="shared" si="58"/>
        <v>YES</v>
      </c>
      <c r="J1847" t="s">
        <v>1853</v>
      </c>
      <c r="K1847">
        <v>638332.775486</v>
      </c>
      <c r="L1847">
        <f t="shared" si="57"/>
        <v>0</v>
      </c>
    </row>
    <row r="1848" spans="1:12" x14ac:dyDescent="0.25">
      <c r="A1848">
        <v>3444</v>
      </c>
      <c r="B1848">
        <v>2193.3580029999998</v>
      </c>
      <c r="C1848">
        <v>2193.3580029999998</v>
      </c>
      <c r="D1848">
        <v>0</v>
      </c>
      <c r="E1848">
        <v>2492.0757859999999</v>
      </c>
      <c r="F1848" s="1">
        <v>1.19</v>
      </c>
      <c r="H1848">
        <v>3444</v>
      </c>
      <c r="I1848" t="str">
        <f t="shared" si="58"/>
        <v>YES</v>
      </c>
      <c r="J1848" t="s">
        <v>1854</v>
      </c>
      <c r="K1848">
        <v>928000.40761999995</v>
      </c>
      <c r="L1848">
        <f t="shared" si="57"/>
        <v>0</v>
      </c>
    </row>
    <row r="1849" spans="1:12" x14ac:dyDescent="0.25">
      <c r="A1849">
        <v>3447</v>
      </c>
      <c r="B1849">
        <v>2728.9281249999999</v>
      </c>
      <c r="C1849">
        <v>2728.9281249999999</v>
      </c>
      <c r="D1849">
        <v>0</v>
      </c>
      <c r="E1849">
        <v>2780.5891860000002</v>
      </c>
      <c r="F1849" s="1">
        <v>1.65</v>
      </c>
      <c r="H1849">
        <v>3447</v>
      </c>
      <c r="I1849" t="str">
        <f t="shared" si="58"/>
        <v>YES</v>
      </c>
      <c r="J1849" t="s">
        <v>1855</v>
      </c>
      <c r="K1849">
        <v>820629.126162</v>
      </c>
      <c r="L1849">
        <f t="shared" si="57"/>
        <v>0</v>
      </c>
    </row>
    <row r="1850" spans="1:12" x14ac:dyDescent="0.25">
      <c r="A1850">
        <v>3448</v>
      </c>
      <c r="B1850">
        <v>1503.997304</v>
      </c>
      <c r="C1850">
        <v>1503.997304</v>
      </c>
      <c r="D1850">
        <v>0</v>
      </c>
      <c r="E1850">
        <v>2278.5619459999998</v>
      </c>
      <c r="F1850" s="1">
        <v>0.746</v>
      </c>
      <c r="H1850">
        <v>3448</v>
      </c>
      <c r="I1850" t="str">
        <f t="shared" si="58"/>
        <v>YES</v>
      </c>
      <c r="J1850" t="s">
        <v>1856</v>
      </c>
      <c r="K1850">
        <v>716681.16735999996</v>
      </c>
      <c r="L1850">
        <f t="shared" si="57"/>
        <v>0</v>
      </c>
    </row>
    <row r="1851" spans="1:12" x14ac:dyDescent="0.25">
      <c r="A1851">
        <v>3449</v>
      </c>
      <c r="B1851">
        <v>1095.4919030000001</v>
      </c>
      <c r="C1851">
        <v>1095.4919030000001</v>
      </c>
      <c r="D1851">
        <v>0</v>
      </c>
      <c r="E1851">
        <v>1554.5040369999999</v>
      </c>
      <c r="F1851" s="1">
        <v>0.371</v>
      </c>
      <c r="H1851">
        <v>3449</v>
      </c>
      <c r="I1851" t="str">
        <f t="shared" si="58"/>
        <v>YES</v>
      </c>
      <c r="J1851" t="s">
        <v>1857</v>
      </c>
      <c r="K1851">
        <v>408978.16114699998</v>
      </c>
      <c r="L1851">
        <f t="shared" si="57"/>
        <v>0</v>
      </c>
    </row>
    <row r="1852" spans="1:12" x14ac:dyDescent="0.25">
      <c r="A1852">
        <v>3450</v>
      </c>
      <c r="B1852">
        <v>4137.9636140000002</v>
      </c>
      <c r="C1852">
        <v>4137.9636140000002</v>
      </c>
      <c r="D1852">
        <v>0</v>
      </c>
      <c r="E1852">
        <v>3584.3448309999999</v>
      </c>
      <c r="F1852" s="1">
        <v>3.23</v>
      </c>
      <c r="H1852">
        <v>3450</v>
      </c>
      <c r="I1852" t="str">
        <f t="shared" si="58"/>
        <v>YES</v>
      </c>
      <c r="J1852" t="s">
        <v>1858</v>
      </c>
      <c r="K1852">
        <v>1143430.2067799999</v>
      </c>
      <c r="L1852">
        <f t="shared" si="57"/>
        <v>0</v>
      </c>
    </row>
    <row r="1853" spans="1:12" x14ac:dyDescent="0.25">
      <c r="A1853">
        <v>3453</v>
      </c>
      <c r="B1853">
        <v>8677.5265670000008</v>
      </c>
      <c r="C1853">
        <v>8677.5265670000008</v>
      </c>
      <c r="D1853">
        <v>0</v>
      </c>
      <c r="E1853">
        <v>2749.1387</v>
      </c>
      <c r="F1853" s="1">
        <v>5.19</v>
      </c>
      <c r="H1853">
        <v>3453</v>
      </c>
      <c r="I1853" t="str">
        <f t="shared" si="58"/>
        <v>YES</v>
      </c>
      <c r="J1853" t="s">
        <v>1859</v>
      </c>
      <c r="K1853">
        <v>714630.46159199998</v>
      </c>
      <c r="L1853">
        <f t="shared" si="57"/>
        <v>0</v>
      </c>
    </row>
    <row r="1854" spans="1:12" x14ac:dyDescent="0.25">
      <c r="A1854">
        <v>3454</v>
      </c>
      <c r="B1854">
        <v>20624.42078</v>
      </c>
      <c r="C1854">
        <v>20624.42078</v>
      </c>
      <c r="D1854">
        <v>0</v>
      </c>
      <c r="E1854">
        <v>1840.753757</v>
      </c>
      <c r="F1854" s="1">
        <v>8.27</v>
      </c>
      <c r="H1854">
        <v>3454</v>
      </c>
      <c r="I1854" t="str">
        <f t="shared" si="58"/>
        <v>YES</v>
      </c>
      <c r="J1854" t="s">
        <v>1860</v>
      </c>
      <c r="K1854">
        <v>531732.29249300004</v>
      </c>
      <c r="L1854">
        <f t="shared" si="57"/>
        <v>0</v>
      </c>
    </row>
    <row r="1855" spans="1:12" x14ac:dyDescent="0.25">
      <c r="A1855">
        <v>3455</v>
      </c>
      <c r="B1855">
        <v>7498.5473380000003</v>
      </c>
      <c r="C1855">
        <v>7498.5473380000003</v>
      </c>
      <c r="D1855">
        <v>0</v>
      </c>
      <c r="E1855">
        <v>2523.9906510000001</v>
      </c>
      <c r="F1855" s="1">
        <v>4.12</v>
      </c>
      <c r="H1855">
        <v>3455</v>
      </c>
      <c r="I1855" t="str">
        <f t="shared" si="58"/>
        <v>YES</v>
      </c>
      <c r="J1855" t="s">
        <v>1861</v>
      </c>
      <c r="K1855">
        <v>260010.73637500001</v>
      </c>
      <c r="L1855">
        <f t="shared" si="57"/>
        <v>0</v>
      </c>
    </row>
    <row r="1856" spans="1:12" x14ac:dyDescent="0.25">
      <c r="A1856">
        <v>3456</v>
      </c>
      <c r="B1856">
        <v>37160.479229999997</v>
      </c>
      <c r="C1856">
        <v>37160.479229999997</v>
      </c>
      <c r="D1856">
        <v>0</v>
      </c>
      <c r="E1856">
        <v>1208.459431</v>
      </c>
      <c r="F1856" s="1">
        <v>9.7799999999999994</v>
      </c>
      <c r="H1856">
        <v>3456</v>
      </c>
      <c r="I1856" t="str">
        <f t="shared" si="58"/>
        <v>YES</v>
      </c>
      <c r="J1856" t="s">
        <v>1862</v>
      </c>
      <c r="K1856">
        <v>388818.13447699999</v>
      </c>
      <c r="L1856">
        <f t="shared" si="57"/>
        <v>0</v>
      </c>
    </row>
    <row r="1857" spans="1:12" x14ac:dyDescent="0.25">
      <c r="A1857">
        <v>3457</v>
      </c>
      <c r="B1857">
        <v>12880.1101</v>
      </c>
      <c r="C1857">
        <v>12880.1101</v>
      </c>
      <c r="D1857">
        <v>0</v>
      </c>
      <c r="E1857">
        <v>3361.228447</v>
      </c>
      <c r="F1857" s="1">
        <v>9.43</v>
      </c>
      <c r="H1857">
        <v>3457</v>
      </c>
      <c r="I1857" t="str">
        <f t="shared" si="58"/>
        <v>YES</v>
      </c>
      <c r="J1857" t="s">
        <v>1863</v>
      </c>
      <c r="K1857">
        <v>281173.03270799998</v>
      </c>
      <c r="L1857">
        <f t="shared" si="57"/>
        <v>0</v>
      </c>
    </row>
    <row r="1858" spans="1:12" x14ac:dyDescent="0.25">
      <c r="A1858">
        <v>3458</v>
      </c>
      <c r="B1858">
        <v>7413.4273830000002</v>
      </c>
      <c r="C1858">
        <v>7413.4273830000002</v>
      </c>
      <c r="D1858">
        <v>0</v>
      </c>
      <c r="E1858">
        <v>2197.5122000000001</v>
      </c>
      <c r="F1858" s="1">
        <v>3.55</v>
      </c>
      <c r="H1858">
        <v>3458</v>
      </c>
      <c r="I1858" t="str">
        <f t="shared" si="58"/>
        <v>YES</v>
      </c>
      <c r="J1858" t="s">
        <v>1864</v>
      </c>
      <c r="K1858">
        <v>547590.31938899995</v>
      </c>
      <c r="L1858">
        <f t="shared" si="57"/>
        <v>0</v>
      </c>
    </row>
    <row r="1859" spans="1:12" x14ac:dyDescent="0.25">
      <c r="A1859">
        <v>3459</v>
      </c>
      <c r="B1859">
        <v>12089.81119</v>
      </c>
      <c r="C1859">
        <v>12089.81119</v>
      </c>
      <c r="D1859">
        <v>0</v>
      </c>
      <c r="E1859">
        <v>1917.701656</v>
      </c>
      <c r="F1859" s="1">
        <v>5.05</v>
      </c>
      <c r="H1859">
        <v>3459</v>
      </c>
      <c r="I1859" t="str">
        <f t="shared" si="58"/>
        <v>YES</v>
      </c>
      <c r="J1859" t="s">
        <v>1865</v>
      </c>
      <c r="K1859">
        <v>978647.40750900004</v>
      </c>
      <c r="L1859">
        <f t="shared" ref="L1859:L1922" si="59">EXP(0.2052)*K1859*(D1859/C1859)</f>
        <v>0</v>
      </c>
    </row>
    <row r="1860" spans="1:12" x14ac:dyDescent="0.25">
      <c r="A1860">
        <v>3460</v>
      </c>
      <c r="B1860">
        <v>7677.7339380000003</v>
      </c>
      <c r="C1860">
        <v>7677.7339380000003</v>
      </c>
      <c r="D1860">
        <v>0</v>
      </c>
      <c r="E1860">
        <v>2636.2151589999999</v>
      </c>
      <c r="F1860" s="1">
        <v>4.41</v>
      </c>
      <c r="H1860">
        <v>3460</v>
      </c>
      <c r="I1860" t="str">
        <f t="shared" si="58"/>
        <v>YES</v>
      </c>
      <c r="J1860" t="s">
        <v>1866</v>
      </c>
      <c r="K1860">
        <v>520604.37539399997</v>
      </c>
      <c r="L1860">
        <f t="shared" si="59"/>
        <v>0</v>
      </c>
    </row>
    <row r="1861" spans="1:12" x14ac:dyDescent="0.25">
      <c r="A1861">
        <v>3463</v>
      </c>
      <c r="B1861">
        <v>6564.6743800000004</v>
      </c>
      <c r="C1861">
        <v>6564.6743800000004</v>
      </c>
      <c r="D1861">
        <v>0</v>
      </c>
      <c r="E1861">
        <v>3898.936177</v>
      </c>
      <c r="F1861" s="1">
        <v>5.57</v>
      </c>
      <c r="H1861">
        <v>3463</v>
      </c>
      <c r="I1861" t="str">
        <f t="shared" si="58"/>
        <v>YES</v>
      </c>
      <c r="J1861" t="s">
        <v>1867</v>
      </c>
      <c r="K1861">
        <v>1025360.6040000001</v>
      </c>
      <c r="L1861">
        <f t="shared" si="59"/>
        <v>0</v>
      </c>
    </row>
    <row r="1862" spans="1:12" x14ac:dyDescent="0.25">
      <c r="A1862">
        <v>3464</v>
      </c>
      <c r="B1862">
        <v>11820.503500000001</v>
      </c>
      <c r="C1862">
        <v>11820.503500000001</v>
      </c>
      <c r="D1862">
        <v>0</v>
      </c>
      <c r="E1862">
        <v>5249.9479730000003</v>
      </c>
      <c r="F1862" s="1">
        <v>13.5</v>
      </c>
      <c r="H1862">
        <v>3464</v>
      </c>
      <c r="I1862" t="str">
        <f t="shared" si="58"/>
        <v>YES</v>
      </c>
      <c r="J1862" t="s">
        <v>1868</v>
      </c>
      <c r="K1862">
        <v>1051322.15949</v>
      </c>
      <c r="L1862">
        <f t="shared" si="59"/>
        <v>0</v>
      </c>
    </row>
    <row r="1863" spans="1:12" x14ac:dyDescent="0.25">
      <c r="A1863">
        <v>3465</v>
      </c>
      <c r="B1863">
        <v>6496.8582100000003</v>
      </c>
      <c r="C1863">
        <v>6496.8582100000003</v>
      </c>
      <c r="D1863">
        <v>0</v>
      </c>
      <c r="E1863">
        <v>2882.6921860000002</v>
      </c>
      <c r="F1863" s="1">
        <v>4.08</v>
      </c>
      <c r="H1863">
        <v>3465</v>
      </c>
      <c r="I1863" t="str">
        <f t="shared" si="58"/>
        <v>YES</v>
      </c>
      <c r="J1863" t="s">
        <v>1869</v>
      </c>
      <c r="K1863">
        <v>666078.93388899998</v>
      </c>
      <c r="L1863">
        <f t="shared" si="59"/>
        <v>0</v>
      </c>
    </row>
    <row r="1864" spans="1:12" x14ac:dyDescent="0.25">
      <c r="A1864">
        <v>3466</v>
      </c>
      <c r="B1864">
        <v>6426.1651590000001</v>
      </c>
      <c r="C1864">
        <v>6426.1651590000001</v>
      </c>
      <c r="D1864">
        <v>0</v>
      </c>
      <c r="E1864">
        <v>2547.1696929999998</v>
      </c>
      <c r="F1864" s="1">
        <v>3.56</v>
      </c>
      <c r="H1864">
        <v>3466</v>
      </c>
      <c r="I1864" t="str">
        <f t="shared" si="58"/>
        <v>YES</v>
      </c>
      <c r="J1864" t="s">
        <v>1870</v>
      </c>
      <c r="K1864">
        <v>420215.80270100001</v>
      </c>
      <c r="L1864">
        <f t="shared" si="59"/>
        <v>0</v>
      </c>
    </row>
    <row r="1865" spans="1:12" x14ac:dyDescent="0.25">
      <c r="A1865">
        <v>3467</v>
      </c>
      <c r="B1865">
        <v>2988.1693759999998</v>
      </c>
      <c r="C1865">
        <v>2988.1693759999998</v>
      </c>
      <c r="D1865">
        <v>0</v>
      </c>
      <c r="E1865">
        <v>2840.6820990000001</v>
      </c>
      <c r="F1865" s="1">
        <v>1.85</v>
      </c>
      <c r="H1865">
        <v>3467</v>
      </c>
      <c r="I1865" t="str">
        <f t="shared" si="58"/>
        <v>YES</v>
      </c>
      <c r="J1865" t="s">
        <v>1871</v>
      </c>
      <c r="K1865">
        <v>744907.02475400001</v>
      </c>
      <c r="L1865">
        <f t="shared" si="59"/>
        <v>0</v>
      </c>
    </row>
    <row r="1866" spans="1:12" x14ac:dyDescent="0.25">
      <c r="A1866">
        <v>3468</v>
      </c>
      <c r="B1866">
        <v>6817.5018799999998</v>
      </c>
      <c r="C1866">
        <v>6817.5018799999998</v>
      </c>
      <c r="D1866">
        <v>0</v>
      </c>
      <c r="E1866">
        <v>2381.571872</v>
      </c>
      <c r="F1866" s="1">
        <v>3.54</v>
      </c>
      <c r="H1866">
        <v>3468</v>
      </c>
      <c r="I1866" t="str">
        <f t="shared" si="58"/>
        <v>YES</v>
      </c>
      <c r="J1866" t="s">
        <v>1872</v>
      </c>
      <c r="K1866">
        <v>774955.32485900004</v>
      </c>
      <c r="L1866">
        <f t="shared" si="59"/>
        <v>0</v>
      </c>
    </row>
    <row r="1867" spans="1:12" x14ac:dyDescent="0.25">
      <c r="A1867">
        <v>3471</v>
      </c>
      <c r="B1867">
        <v>15562.5057</v>
      </c>
      <c r="C1867">
        <v>15562.5057</v>
      </c>
      <c r="D1867">
        <v>0</v>
      </c>
      <c r="E1867">
        <v>874.45807630000002</v>
      </c>
      <c r="F1867" s="1">
        <v>2.96</v>
      </c>
      <c r="H1867">
        <v>3471</v>
      </c>
      <c r="I1867" t="str">
        <f t="shared" si="58"/>
        <v>YES</v>
      </c>
      <c r="J1867" t="s">
        <v>1873</v>
      </c>
      <c r="K1867">
        <v>701216.12954500003</v>
      </c>
      <c r="L1867">
        <f t="shared" si="59"/>
        <v>0</v>
      </c>
    </row>
    <row r="1868" spans="1:12" x14ac:dyDescent="0.25">
      <c r="A1868">
        <v>3472</v>
      </c>
      <c r="B1868">
        <v>4452.5420599999998</v>
      </c>
      <c r="C1868">
        <v>4452.5420599999998</v>
      </c>
      <c r="D1868">
        <v>0</v>
      </c>
      <c r="E1868">
        <v>2481.0501669999999</v>
      </c>
      <c r="F1868" s="1">
        <v>2.41</v>
      </c>
      <c r="H1868">
        <v>3472</v>
      </c>
      <c r="I1868" t="str">
        <f t="shared" si="58"/>
        <v>YES</v>
      </c>
      <c r="J1868" t="s">
        <v>1874</v>
      </c>
      <c r="K1868">
        <v>1428673.0835899999</v>
      </c>
      <c r="L1868">
        <f t="shared" si="59"/>
        <v>0</v>
      </c>
    </row>
    <row r="1869" spans="1:12" x14ac:dyDescent="0.25">
      <c r="A1869">
        <v>3473</v>
      </c>
      <c r="B1869">
        <v>6450.4062359999998</v>
      </c>
      <c r="C1869">
        <v>6450.4062359999998</v>
      </c>
      <c r="D1869">
        <v>0</v>
      </c>
      <c r="E1869">
        <v>2399.9504649999999</v>
      </c>
      <c r="F1869" s="1">
        <v>3.37</v>
      </c>
      <c r="H1869">
        <v>3473</v>
      </c>
      <c r="I1869" t="str">
        <f t="shared" si="58"/>
        <v>YES</v>
      </c>
      <c r="J1869" t="s">
        <v>1875</v>
      </c>
      <c r="K1869">
        <v>754824.49060599995</v>
      </c>
      <c r="L1869">
        <f t="shared" si="59"/>
        <v>0</v>
      </c>
    </row>
    <row r="1870" spans="1:12" x14ac:dyDescent="0.25">
      <c r="A1870">
        <v>3474</v>
      </c>
      <c r="B1870">
        <v>3493.9320309999998</v>
      </c>
      <c r="C1870">
        <v>3493.9320309999998</v>
      </c>
      <c r="D1870">
        <v>0</v>
      </c>
      <c r="E1870">
        <v>2880.541291</v>
      </c>
      <c r="F1870" s="1">
        <v>2.19</v>
      </c>
      <c r="H1870">
        <v>3474</v>
      </c>
      <c r="I1870" t="str">
        <f t="shared" si="58"/>
        <v>YES</v>
      </c>
      <c r="J1870" t="s">
        <v>1876</v>
      </c>
      <c r="K1870">
        <v>745502.66497899999</v>
      </c>
      <c r="L1870">
        <f t="shared" si="59"/>
        <v>0</v>
      </c>
    </row>
    <row r="1871" spans="1:12" x14ac:dyDescent="0.25">
      <c r="A1871">
        <v>3477</v>
      </c>
      <c r="B1871">
        <v>1581.625937</v>
      </c>
      <c r="C1871">
        <v>1581.625937</v>
      </c>
      <c r="D1871">
        <v>0</v>
      </c>
      <c r="E1871">
        <v>133.46669900000001</v>
      </c>
      <c r="F1871" s="1">
        <v>4.5999999999999999E-2</v>
      </c>
      <c r="H1871">
        <v>3477</v>
      </c>
      <c r="I1871" t="str">
        <f t="shared" si="58"/>
        <v>YES</v>
      </c>
      <c r="J1871" t="s">
        <v>1877</v>
      </c>
      <c r="K1871">
        <v>3313590.28</v>
      </c>
      <c r="L1871">
        <f t="shared" si="59"/>
        <v>0</v>
      </c>
    </row>
    <row r="1872" spans="1:12" x14ac:dyDescent="0.25">
      <c r="A1872">
        <v>3478</v>
      </c>
      <c r="B1872">
        <v>1581.625937</v>
      </c>
      <c r="C1872">
        <v>1581.625937</v>
      </c>
      <c r="D1872">
        <v>0</v>
      </c>
      <c r="E1872">
        <v>834.18670750000001</v>
      </c>
      <c r="F1872" s="1">
        <v>0.28699999999999998</v>
      </c>
      <c r="H1872">
        <v>3478</v>
      </c>
      <c r="I1872" t="str">
        <f t="shared" si="58"/>
        <v>YES</v>
      </c>
      <c r="J1872" t="s">
        <v>1878</v>
      </c>
      <c r="K1872">
        <v>5401570.6531699998</v>
      </c>
      <c r="L1872">
        <f t="shared" si="59"/>
        <v>0</v>
      </c>
    </row>
    <row r="1873" spans="1:12" x14ac:dyDescent="0.25">
      <c r="A1873">
        <v>3479</v>
      </c>
      <c r="B1873">
        <v>421.49427839999998</v>
      </c>
      <c r="C1873">
        <v>421.49427839999998</v>
      </c>
      <c r="D1873">
        <v>0</v>
      </c>
      <c r="E1873">
        <v>343.91113580000001</v>
      </c>
      <c r="F1873" s="1">
        <v>3.1600000000000003E-2</v>
      </c>
      <c r="H1873">
        <v>3479</v>
      </c>
      <c r="I1873" t="str">
        <f t="shared" si="58"/>
        <v>YES</v>
      </c>
      <c r="J1873" t="s">
        <v>1879</v>
      </c>
      <c r="K1873">
        <v>10701434.875399999</v>
      </c>
      <c r="L1873">
        <f t="shared" si="59"/>
        <v>0</v>
      </c>
    </row>
    <row r="1874" spans="1:12" x14ac:dyDescent="0.25">
      <c r="A1874">
        <v>3480</v>
      </c>
      <c r="B1874">
        <v>524.2473334</v>
      </c>
      <c r="C1874">
        <v>524.2473334</v>
      </c>
      <c r="D1874">
        <v>0</v>
      </c>
      <c r="E1874">
        <v>164.0934134</v>
      </c>
      <c r="F1874" s="1">
        <v>1.8700000000000001E-2</v>
      </c>
      <c r="H1874">
        <v>3480</v>
      </c>
      <c r="I1874" t="str">
        <f t="shared" si="58"/>
        <v>YES</v>
      </c>
      <c r="J1874" t="s">
        <v>1880</v>
      </c>
      <c r="K1874">
        <v>10154271.711300001</v>
      </c>
      <c r="L1874">
        <f t="shared" si="59"/>
        <v>0</v>
      </c>
    </row>
    <row r="1875" spans="1:12" x14ac:dyDescent="0.25">
      <c r="A1875">
        <v>3481</v>
      </c>
      <c r="B1875">
        <v>245.5219664</v>
      </c>
      <c r="C1875">
        <v>245.5219664</v>
      </c>
      <c r="D1875">
        <v>0</v>
      </c>
      <c r="E1875">
        <v>806.68497009999999</v>
      </c>
      <c r="F1875" s="1">
        <v>4.3099999999999999E-2</v>
      </c>
      <c r="H1875">
        <v>3481</v>
      </c>
      <c r="I1875" t="str">
        <f t="shared" si="58"/>
        <v>YES</v>
      </c>
      <c r="J1875" t="s">
        <v>1881</v>
      </c>
      <c r="K1875">
        <v>4351436.0422400003</v>
      </c>
      <c r="L1875">
        <f t="shared" si="59"/>
        <v>0</v>
      </c>
    </row>
    <row r="1876" spans="1:12" x14ac:dyDescent="0.25">
      <c r="A1876">
        <v>3482</v>
      </c>
      <c r="B1876">
        <v>240.09012849999999</v>
      </c>
      <c r="C1876">
        <v>240.09012849999999</v>
      </c>
      <c r="D1876">
        <v>0</v>
      </c>
      <c r="E1876">
        <v>215.59314370000001</v>
      </c>
      <c r="F1876" s="1">
        <v>1.1299999999999999E-2</v>
      </c>
      <c r="H1876">
        <v>3482</v>
      </c>
      <c r="I1876" t="str">
        <f t="shared" si="58"/>
        <v>YES</v>
      </c>
      <c r="J1876" t="s">
        <v>1882</v>
      </c>
      <c r="K1876">
        <v>4584241.6213699998</v>
      </c>
      <c r="L1876">
        <f t="shared" si="59"/>
        <v>0</v>
      </c>
    </row>
    <row r="1877" spans="1:12" x14ac:dyDescent="0.25">
      <c r="A1877">
        <v>3483</v>
      </c>
      <c r="B1877">
        <v>193.13582349999999</v>
      </c>
      <c r="C1877">
        <v>193.13582349999999</v>
      </c>
      <c r="D1877">
        <v>0</v>
      </c>
      <c r="E1877">
        <v>1249.0981389999999</v>
      </c>
      <c r="F1877" s="1">
        <v>5.2499999999999998E-2</v>
      </c>
      <c r="H1877">
        <v>3483</v>
      </c>
      <c r="I1877" t="str">
        <f t="shared" si="58"/>
        <v>YES</v>
      </c>
      <c r="J1877" t="s">
        <v>1883</v>
      </c>
      <c r="K1877">
        <v>6531628.2343800003</v>
      </c>
      <c r="L1877">
        <f t="shared" si="59"/>
        <v>0</v>
      </c>
    </row>
    <row r="1878" spans="1:12" x14ac:dyDescent="0.25">
      <c r="A1878">
        <v>3484</v>
      </c>
      <c r="B1878">
        <v>308.25581019999998</v>
      </c>
      <c r="C1878">
        <v>308.25581019999998</v>
      </c>
      <c r="D1878">
        <v>0</v>
      </c>
      <c r="E1878">
        <v>802.5654882</v>
      </c>
      <c r="F1878" s="1">
        <v>5.3900000000000003E-2</v>
      </c>
      <c r="H1878">
        <v>3484</v>
      </c>
      <c r="I1878" t="str">
        <f t="shared" si="58"/>
        <v>YES</v>
      </c>
      <c r="J1878" t="s">
        <v>1884</v>
      </c>
      <c r="K1878">
        <v>5276961.5914099999</v>
      </c>
      <c r="L1878">
        <f t="shared" si="59"/>
        <v>0</v>
      </c>
    </row>
    <row r="1879" spans="1:12" x14ac:dyDescent="0.25">
      <c r="A1879">
        <v>3485</v>
      </c>
      <c r="B1879">
        <v>306.97368719999997</v>
      </c>
      <c r="C1879">
        <v>306.97368719999997</v>
      </c>
      <c r="D1879">
        <v>0</v>
      </c>
      <c r="E1879">
        <v>100.6596256</v>
      </c>
      <c r="F1879" s="1">
        <v>6.7299999999999999E-3</v>
      </c>
      <c r="H1879">
        <v>3485</v>
      </c>
      <c r="I1879" t="str">
        <f t="shared" si="58"/>
        <v>YES</v>
      </c>
      <c r="J1879" t="s">
        <v>1885</v>
      </c>
      <c r="K1879">
        <v>5861273.15209</v>
      </c>
      <c r="L1879">
        <f t="shared" si="59"/>
        <v>0</v>
      </c>
    </row>
    <row r="1880" spans="1:12" x14ac:dyDescent="0.25">
      <c r="A1880">
        <v>3487</v>
      </c>
      <c r="B1880">
        <v>14670.322270000001</v>
      </c>
      <c r="C1880">
        <v>14670.322270000001</v>
      </c>
      <c r="D1880">
        <v>0</v>
      </c>
      <c r="E1880">
        <v>2884.569047</v>
      </c>
      <c r="F1880" s="1">
        <v>9.2100000000000009</v>
      </c>
      <c r="H1880">
        <v>3487</v>
      </c>
      <c r="I1880" t="str">
        <f t="shared" si="58"/>
        <v>YES</v>
      </c>
      <c r="J1880" t="s">
        <v>1886</v>
      </c>
      <c r="K1880">
        <v>1115627.8067999999</v>
      </c>
      <c r="L1880">
        <f t="shared" si="59"/>
        <v>0</v>
      </c>
    </row>
    <row r="1881" spans="1:12" x14ac:dyDescent="0.25">
      <c r="A1881">
        <v>3488</v>
      </c>
      <c r="B1881">
        <v>7171.4011570000002</v>
      </c>
      <c r="C1881">
        <v>7171.4011570000002</v>
      </c>
      <c r="D1881">
        <v>0</v>
      </c>
      <c r="E1881">
        <v>326.07642019999997</v>
      </c>
      <c r="F1881" s="1">
        <v>0.50900000000000001</v>
      </c>
      <c r="H1881">
        <v>3488</v>
      </c>
      <c r="I1881" t="str">
        <f t="shared" si="58"/>
        <v>YES</v>
      </c>
      <c r="J1881" t="s">
        <v>1887</v>
      </c>
      <c r="K1881">
        <v>767249.79851700005</v>
      </c>
      <c r="L1881">
        <f t="shared" si="59"/>
        <v>0</v>
      </c>
    </row>
    <row r="1882" spans="1:12" x14ac:dyDescent="0.25">
      <c r="A1882">
        <v>3489</v>
      </c>
      <c r="B1882">
        <v>10670.788</v>
      </c>
      <c r="C1882">
        <v>10670.788</v>
      </c>
      <c r="D1882">
        <v>0</v>
      </c>
      <c r="E1882">
        <v>2321.6531660000001</v>
      </c>
      <c r="F1882" s="1">
        <v>5.39</v>
      </c>
      <c r="H1882">
        <v>3489</v>
      </c>
      <c r="I1882" t="str">
        <f t="shared" si="58"/>
        <v>YES</v>
      </c>
      <c r="J1882" t="s">
        <v>1888</v>
      </c>
      <c r="K1882">
        <v>878083.86895699997</v>
      </c>
      <c r="L1882">
        <f t="shared" si="59"/>
        <v>0</v>
      </c>
    </row>
    <row r="1883" spans="1:12" x14ac:dyDescent="0.25">
      <c r="A1883">
        <v>3490</v>
      </c>
      <c r="B1883">
        <v>5272.580215</v>
      </c>
      <c r="C1883">
        <v>5272.580215</v>
      </c>
      <c r="D1883">
        <v>0</v>
      </c>
      <c r="E1883">
        <v>1853.7230910000001</v>
      </c>
      <c r="F1883" s="1">
        <v>2.13</v>
      </c>
      <c r="H1883">
        <v>3490</v>
      </c>
      <c r="I1883" t="str">
        <f t="shared" si="58"/>
        <v>YES</v>
      </c>
      <c r="J1883" t="s">
        <v>1889</v>
      </c>
      <c r="K1883">
        <v>546392.46369400003</v>
      </c>
      <c r="L1883">
        <f t="shared" si="59"/>
        <v>0</v>
      </c>
    </row>
    <row r="1884" spans="1:12" x14ac:dyDescent="0.25">
      <c r="A1884">
        <v>3491</v>
      </c>
      <c r="B1884">
        <v>10273.64229</v>
      </c>
      <c r="C1884">
        <v>10273.64229</v>
      </c>
      <c r="D1884">
        <v>0</v>
      </c>
      <c r="E1884">
        <v>4187.2493340000001</v>
      </c>
      <c r="F1884" s="1">
        <v>9.3699999999999992</v>
      </c>
      <c r="H1884">
        <v>3491</v>
      </c>
      <c r="I1884" t="str">
        <f t="shared" si="58"/>
        <v>YES</v>
      </c>
      <c r="J1884" t="s">
        <v>1890</v>
      </c>
      <c r="K1884">
        <v>1435129.0608099999</v>
      </c>
      <c r="L1884">
        <f t="shared" si="59"/>
        <v>0</v>
      </c>
    </row>
    <row r="1885" spans="1:12" x14ac:dyDescent="0.25">
      <c r="A1885">
        <v>3492</v>
      </c>
      <c r="B1885">
        <v>13013.896930000001</v>
      </c>
      <c r="C1885">
        <v>13013.896930000001</v>
      </c>
      <c r="D1885">
        <v>0</v>
      </c>
      <c r="E1885">
        <v>2610.6099850000001</v>
      </c>
      <c r="F1885" s="1">
        <v>7.4</v>
      </c>
      <c r="H1885">
        <v>3492</v>
      </c>
      <c r="I1885" t="str">
        <f t="shared" si="58"/>
        <v>YES</v>
      </c>
      <c r="J1885" t="s">
        <v>1891</v>
      </c>
      <c r="K1885">
        <v>701777.01741199999</v>
      </c>
      <c r="L1885">
        <f t="shared" si="59"/>
        <v>0</v>
      </c>
    </row>
    <row r="1886" spans="1:12" x14ac:dyDescent="0.25">
      <c r="A1886">
        <v>3493</v>
      </c>
      <c r="B1886">
        <v>6910.9667790000003</v>
      </c>
      <c r="C1886">
        <v>6910.9667790000003</v>
      </c>
      <c r="D1886">
        <v>0</v>
      </c>
      <c r="E1886">
        <v>1715.74371</v>
      </c>
      <c r="F1886" s="1">
        <v>2.58</v>
      </c>
      <c r="H1886">
        <v>3493</v>
      </c>
      <c r="I1886" t="str">
        <f t="shared" si="58"/>
        <v>YES</v>
      </c>
      <c r="J1886" t="s">
        <v>1892</v>
      </c>
      <c r="K1886">
        <v>492697.407664</v>
      </c>
      <c r="L1886">
        <f t="shared" si="59"/>
        <v>0</v>
      </c>
    </row>
    <row r="1887" spans="1:12" x14ac:dyDescent="0.25">
      <c r="A1887">
        <v>3494</v>
      </c>
      <c r="B1887">
        <v>13728.656199999999</v>
      </c>
      <c r="C1887">
        <v>13728.656199999999</v>
      </c>
      <c r="D1887">
        <v>0</v>
      </c>
      <c r="E1887">
        <v>2691.3752469999999</v>
      </c>
      <c r="F1887" s="1">
        <v>8.0500000000000007</v>
      </c>
      <c r="H1887">
        <v>3494</v>
      </c>
      <c r="I1887" t="str">
        <f t="shared" si="58"/>
        <v>YES</v>
      </c>
      <c r="J1887" t="s">
        <v>1893</v>
      </c>
      <c r="K1887">
        <v>663721.37014300004</v>
      </c>
      <c r="L1887">
        <f t="shared" si="59"/>
        <v>0</v>
      </c>
    </row>
    <row r="1888" spans="1:12" x14ac:dyDescent="0.25">
      <c r="A1888">
        <v>3497</v>
      </c>
      <c r="B1888">
        <v>3443.6029250000001</v>
      </c>
      <c r="C1888">
        <v>3443.6029250000001</v>
      </c>
      <c r="D1888">
        <v>0</v>
      </c>
      <c r="E1888">
        <v>3247.4461179999998</v>
      </c>
      <c r="F1888" s="1">
        <v>2.4300000000000002</v>
      </c>
      <c r="H1888">
        <v>3497</v>
      </c>
      <c r="I1888" t="str">
        <f t="shared" si="58"/>
        <v>YES</v>
      </c>
      <c r="J1888" t="s">
        <v>1894</v>
      </c>
      <c r="K1888">
        <v>964669.10892699996</v>
      </c>
      <c r="L1888">
        <f t="shared" si="59"/>
        <v>0</v>
      </c>
    </row>
    <row r="1889" spans="1:12" x14ac:dyDescent="0.25">
      <c r="A1889">
        <v>3498</v>
      </c>
      <c r="B1889">
        <v>1876.2077429999999</v>
      </c>
      <c r="C1889">
        <v>1876.2077429999999</v>
      </c>
      <c r="D1889">
        <v>0</v>
      </c>
      <c r="E1889">
        <v>1648.7651000000001</v>
      </c>
      <c r="F1889" s="1">
        <v>0.67400000000000004</v>
      </c>
      <c r="H1889">
        <v>3498</v>
      </c>
      <c r="I1889" t="str">
        <f t="shared" si="58"/>
        <v>YES</v>
      </c>
      <c r="J1889" t="s">
        <v>1895</v>
      </c>
      <c r="K1889">
        <v>661385.96321399999</v>
      </c>
      <c r="L1889">
        <f t="shared" si="59"/>
        <v>0</v>
      </c>
    </row>
    <row r="1890" spans="1:12" x14ac:dyDescent="0.25">
      <c r="A1890">
        <v>3499</v>
      </c>
      <c r="B1890">
        <v>6637.0219420000003</v>
      </c>
      <c r="C1890">
        <v>6637.0219420000003</v>
      </c>
      <c r="D1890">
        <v>0</v>
      </c>
      <c r="E1890">
        <v>2172.3976280000002</v>
      </c>
      <c r="F1890" s="1">
        <v>3.14</v>
      </c>
      <c r="H1890">
        <v>3499</v>
      </c>
      <c r="I1890" t="str">
        <f t="shared" si="58"/>
        <v>YES</v>
      </c>
      <c r="J1890" t="s">
        <v>1896</v>
      </c>
      <c r="K1890">
        <v>702144.87342900003</v>
      </c>
      <c r="L1890">
        <f t="shared" si="59"/>
        <v>0</v>
      </c>
    </row>
    <row r="1891" spans="1:12" x14ac:dyDescent="0.25">
      <c r="A1891">
        <v>3500</v>
      </c>
      <c r="B1891">
        <v>3774.514795</v>
      </c>
      <c r="C1891">
        <v>3774.514795</v>
      </c>
      <c r="D1891">
        <v>0</v>
      </c>
      <c r="E1891">
        <v>4106.3911539999999</v>
      </c>
      <c r="F1891" s="1">
        <v>3.37</v>
      </c>
      <c r="H1891">
        <v>3500</v>
      </c>
      <c r="I1891" t="str">
        <f t="shared" si="58"/>
        <v>YES</v>
      </c>
      <c r="J1891" t="s">
        <v>1897</v>
      </c>
      <c r="K1891">
        <v>1276066.12481</v>
      </c>
      <c r="L1891">
        <f t="shared" si="59"/>
        <v>0</v>
      </c>
    </row>
    <row r="1892" spans="1:12" x14ac:dyDescent="0.25">
      <c r="A1892">
        <v>3503</v>
      </c>
      <c r="B1892">
        <v>15277.89248</v>
      </c>
      <c r="C1892">
        <v>15277.89248</v>
      </c>
      <c r="D1892">
        <v>0</v>
      </c>
      <c r="E1892">
        <v>31.2729477</v>
      </c>
      <c r="F1892" s="1">
        <v>0.104</v>
      </c>
      <c r="H1892">
        <v>3503</v>
      </c>
      <c r="I1892" t="str">
        <f t="shared" si="58"/>
        <v>YES</v>
      </c>
      <c r="J1892" t="s">
        <v>1898</v>
      </c>
      <c r="K1892">
        <v>2832018.87256</v>
      </c>
      <c r="L1892">
        <f t="shared" si="59"/>
        <v>0</v>
      </c>
    </row>
    <row r="1893" spans="1:12" x14ac:dyDescent="0.25">
      <c r="A1893">
        <v>3504</v>
      </c>
      <c r="B1893">
        <v>10885.928739999999</v>
      </c>
      <c r="C1893">
        <v>10885.928739999999</v>
      </c>
      <c r="D1893">
        <v>0</v>
      </c>
      <c r="E1893">
        <v>4.4675535650000002</v>
      </c>
      <c r="F1893" s="1">
        <v>1.06E-2</v>
      </c>
      <c r="H1893">
        <v>3504</v>
      </c>
      <c r="I1893" t="str">
        <f t="shared" si="58"/>
        <v>YES</v>
      </c>
      <c r="J1893" t="s">
        <v>1899</v>
      </c>
      <c r="K1893">
        <v>4471520.7272500005</v>
      </c>
      <c r="L1893">
        <f t="shared" si="59"/>
        <v>0</v>
      </c>
    </row>
    <row r="1894" spans="1:12" x14ac:dyDescent="0.25">
      <c r="A1894">
        <v>3505</v>
      </c>
      <c r="B1894">
        <v>12266.08101</v>
      </c>
      <c r="C1894">
        <v>12266.08101</v>
      </c>
      <c r="D1894">
        <v>0</v>
      </c>
      <c r="E1894">
        <v>1.7970200000000001E-4</v>
      </c>
      <c r="F1894" s="1">
        <v>4.7999999999999996E-7</v>
      </c>
      <c r="H1894">
        <v>3505</v>
      </c>
      <c r="I1894" t="str">
        <f t="shared" si="58"/>
        <v>YES</v>
      </c>
      <c r="J1894" t="s">
        <v>1900</v>
      </c>
      <c r="K1894">
        <v>1237814.2890300001</v>
      </c>
      <c r="L1894">
        <f t="shared" si="59"/>
        <v>0</v>
      </c>
    </row>
    <row r="1895" spans="1:12" x14ac:dyDescent="0.25">
      <c r="A1895">
        <v>3594</v>
      </c>
      <c r="B1895">
        <v>311.10846750000002</v>
      </c>
      <c r="C1895">
        <v>311.10846750000002</v>
      </c>
      <c r="D1895">
        <v>0</v>
      </c>
      <c r="E1895">
        <v>98.799842220000002</v>
      </c>
      <c r="F1895" s="1">
        <v>6.6899999999999998E-3</v>
      </c>
      <c r="H1895">
        <v>3594</v>
      </c>
      <c r="I1895" t="str">
        <f t="shared" si="58"/>
        <v>YES</v>
      </c>
      <c r="J1895" t="s">
        <v>1901</v>
      </c>
      <c r="K1895">
        <v>1195981.8189300001</v>
      </c>
      <c r="L1895">
        <f t="shared" si="59"/>
        <v>0</v>
      </c>
    </row>
    <row r="1896" spans="1:12" x14ac:dyDescent="0.25">
      <c r="A1896">
        <v>3595</v>
      </c>
      <c r="B1896">
        <v>1117.1832910000001</v>
      </c>
      <c r="C1896">
        <v>1117.1832910000001</v>
      </c>
      <c r="D1896">
        <v>0</v>
      </c>
      <c r="E1896">
        <v>2386.2190150000001</v>
      </c>
      <c r="F1896" s="1">
        <v>0.57999999999999996</v>
      </c>
      <c r="H1896">
        <v>3595</v>
      </c>
      <c r="I1896" t="str">
        <f t="shared" si="58"/>
        <v>YES</v>
      </c>
      <c r="J1896" t="s">
        <v>1902</v>
      </c>
      <c r="K1896">
        <v>818905.19564000005</v>
      </c>
      <c r="L1896">
        <f t="shared" si="59"/>
        <v>0</v>
      </c>
    </row>
    <row r="1897" spans="1:12" x14ac:dyDescent="0.25">
      <c r="A1897">
        <v>3596</v>
      </c>
      <c r="B1897">
        <v>1016.115995</v>
      </c>
      <c r="C1897">
        <v>1016.115995</v>
      </c>
      <c r="D1897">
        <v>0</v>
      </c>
      <c r="E1897">
        <v>1832.936375</v>
      </c>
      <c r="F1897" s="1">
        <v>0.40600000000000003</v>
      </c>
      <c r="H1897">
        <v>3596</v>
      </c>
      <c r="I1897" t="str">
        <f t="shared" si="58"/>
        <v>YES</v>
      </c>
      <c r="J1897" t="s">
        <v>1903</v>
      </c>
      <c r="K1897">
        <v>1053578.54051</v>
      </c>
      <c r="L1897">
        <f t="shared" si="59"/>
        <v>0</v>
      </c>
    </row>
    <row r="1898" spans="1:12" x14ac:dyDescent="0.25">
      <c r="A1898">
        <v>3597</v>
      </c>
      <c r="B1898">
        <v>545.38952240000003</v>
      </c>
      <c r="C1898">
        <v>545.38952240000003</v>
      </c>
      <c r="D1898">
        <v>0</v>
      </c>
      <c r="E1898">
        <v>1180.3797239999999</v>
      </c>
      <c r="F1898" s="1">
        <v>0.14000000000000001</v>
      </c>
      <c r="H1898">
        <v>3597</v>
      </c>
      <c r="I1898" t="str">
        <f t="shared" si="58"/>
        <v>YES</v>
      </c>
      <c r="J1898" t="s">
        <v>1904</v>
      </c>
      <c r="K1898">
        <v>1262475.05969</v>
      </c>
      <c r="L1898">
        <f t="shared" si="59"/>
        <v>0</v>
      </c>
    </row>
    <row r="1899" spans="1:12" x14ac:dyDescent="0.25">
      <c r="A1899">
        <v>3598</v>
      </c>
      <c r="B1899">
        <v>1.166338235</v>
      </c>
      <c r="C1899">
        <v>1.166338235</v>
      </c>
      <c r="D1899">
        <v>0</v>
      </c>
      <c r="E1899">
        <v>4.591590031</v>
      </c>
      <c r="F1899" s="1">
        <v>1.17E-6</v>
      </c>
      <c r="H1899">
        <v>3598</v>
      </c>
      <c r="I1899" t="str">
        <f t="shared" si="58"/>
        <v>YES</v>
      </c>
      <c r="J1899" t="s">
        <v>1905</v>
      </c>
      <c r="K1899">
        <v>3202590.33549</v>
      </c>
      <c r="L1899">
        <f t="shared" si="59"/>
        <v>0</v>
      </c>
    </row>
    <row r="1900" spans="1:12" x14ac:dyDescent="0.25">
      <c r="A1900">
        <v>3599</v>
      </c>
      <c r="B1900">
        <v>123.52614370000001</v>
      </c>
      <c r="C1900">
        <v>123.52614370000001</v>
      </c>
      <c r="D1900">
        <v>0</v>
      </c>
      <c r="E1900">
        <v>184.56182580000001</v>
      </c>
      <c r="F1900" s="1">
        <v>4.96E-3</v>
      </c>
      <c r="H1900">
        <v>3599</v>
      </c>
      <c r="I1900" t="str">
        <f t="shared" si="58"/>
        <v>YES</v>
      </c>
      <c r="J1900" t="s">
        <v>1906</v>
      </c>
      <c r="K1900">
        <v>2313250.8796199998</v>
      </c>
      <c r="L1900">
        <f t="shared" si="59"/>
        <v>0</v>
      </c>
    </row>
    <row r="1901" spans="1:12" x14ac:dyDescent="0.25">
      <c r="A1901">
        <v>3600</v>
      </c>
      <c r="B1901">
        <v>2376.2600600000001</v>
      </c>
      <c r="C1901">
        <v>2376.2600600000001</v>
      </c>
      <c r="D1901">
        <v>0</v>
      </c>
      <c r="E1901">
        <v>3188.6009600000002</v>
      </c>
      <c r="F1901" s="1">
        <v>1.65</v>
      </c>
      <c r="H1901">
        <v>3600</v>
      </c>
      <c r="I1901" t="str">
        <f t="shared" si="58"/>
        <v>YES</v>
      </c>
      <c r="J1901" t="s">
        <v>1907</v>
      </c>
      <c r="K1901">
        <v>926512.99941100006</v>
      </c>
      <c r="L1901">
        <f t="shared" si="59"/>
        <v>0</v>
      </c>
    </row>
    <row r="1902" spans="1:12" x14ac:dyDescent="0.25">
      <c r="A1902">
        <v>3601</v>
      </c>
      <c r="B1902">
        <v>4539.264682</v>
      </c>
      <c r="C1902">
        <v>4539.264682</v>
      </c>
      <c r="D1902">
        <v>0</v>
      </c>
      <c r="E1902">
        <v>4435.44488</v>
      </c>
      <c r="F1902" s="1">
        <v>4.38</v>
      </c>
      <c r="H1902">
        <v>3601</v>
      </c>
      <c r="I1902" t="str">
        <f t="shared" si="58"/>
        <v>YES</v>
      </c>
      <c r="J1902" t="s">
        <v>1908</v>
      </c>
      <c r="K1902">
        <v>1208683.4169099999</v>
      </c>
      <c r="L1902">
        <f t="shared" si="59"/>
        <v>0</v>
      </c>
    </row>
    <row r="1903" spans="1:12" x14ac:dyDescent="0.25">
      <c r="A1903">
        <v>3602</v>
      </c>
      <c r="B1903">
        <v>20067.122950000001</v>
      </c>
      <c r="C1903">
        <v>20067.122950000001</v>
      </c>
      <c r="D1903">
        <v>0</v>
      </c>
      <c r="E1903">
        <v>3707.5360000000001</v>
      </c>
      <c r="F1903" s="1">
        <v>16.2</v>
      </c>
      <c r="H1903">
        <v>3602</v>
      </c>
      <c r="I1903" t="str">
        <f t="shared" si="58"/>
        <v>YES</v>
      </c>
      <c r="J1903" t="s">
        <v>1909</v>
      </c>
      <c r="K1903">
        <v>1151869.8935</v>
      </c>
      <c r="L1903">
        <f t="shared" si="59"/>
        <v>0</v>
      </c>
    </row>
    <row r="1904" spans="1:12" x14ac:dyDescent="0.25">
      <c r="A1904">
        <v>3603</v>
      </c>
      <c r="B1904">
        <v>2439.4118060000001</v>
      </c>
      <c r="C1904">
        <v>2439.4118060000001</v>
      </c>
      <c r="D1904">
        <v>0</v>
      </c>
      <c r="E1904">
        <v>3232.5954529999999</v>
      </c>
      <c r="F1904" s="1">
        <v>1.72</v>
      </c>
      <c r="H1904">
        <v>3603</v>
      </c>
      <c r="I1904" t="str">
        <f t="shared" ref="I1904:I1967" si="60">IF(A1904=H1904,"YES","NO")</f>
        <v>YES</v>
      </c>
      <c r="J1904" t="s">
        <v>1910</v>
      </c>
      <c r="K1904">
        <v>897576.53369800001</v>
      </c>
      <c r="L1904">
        <f t="shared" si="59"/>
        <v>0</v>
      </c>
    </row>
    <row r="1905" spans="1:12" x14ac:dyDescent="0.25">
      <c r="A1905">
        <v>3604</v>
      </c>
      <c r="B1905">
        <v>3369.7403340000001</v>
      </c>
      <c r="C1905">
        <v>3369.7403340000001</v>
      </c>
      <c r="D1905">
        <v>0</v>
      </c>
      <c r="E1905">
        <v>3354.8227069999998</v>
      </c>
      <c r="F1905" s="1">
        <v>2.46</v>
      </c>
      <c r="H1905">
        <v>3604</v>
      </c>
      <c r="I1905" t="str">
        <f t="shared" si="60"/>
        <v>YES</v>
      </c>
      <c r="J1905" t="s">
        <v>1911</v>
      </c>
      <c r="K1905">
        <v>1268137.85353</v>
      </c>
      <c r="L1905">
        <f t="shared" si="59"/>
        <v>0</v>
      </c>
    </row>
    <row r="1906" spans="1:12" x14ac:dyDescent="0.25">
      <c r="A1906">
        <v>3607</v>
      </c>
      <c r="B1906">
        <v>311.10846750000002</v>
      </c>
      <c r="C1906">
        <v>311.10846750000002</v>
      </c>
      <c r="D1906">
        <v>0</v>
      </c>
      <c r="E1906">
        <v>415.78251829999999</v>
      </c>
      <c r="F1906" s="1">
        <v>2.8199999999999999E-2</v>
      </c>
      <c r="H1906">
        <v>3607</v>
      </c>
      <c r="I1906" t="str">
        <f t="shared" si="60"/>
        <v>YES</v>
      </c>
      <c r="J1906" t="s">
        <v>1912</v>
      </c>
      <c r="K1906">
        <v>3001063.5627600001</v>
      </c>
      <c r="L1906">
        <f t="shared" si="59"/>
        <v>0</v>
      </c>
    </row>
    <row r="1907" spans="1:12" x14ac:dyDescent="0.25">
      <c r="A1907">
        <v>3608</v>
      </c>
      <c r="B1907">
        <v>68.641368540000002</v>
      </c>
      <c r="C1907">
        <v>68.641368540000002</v>
      </c>
      <c r="D1907">
        <v>0</v>
      </c>
      <c r="E1907">
        <v>176.32874200000001</v>
      </c>
      <c r="F1907" s="1">
        <v>2.64E-3</v>
      </c>
      <c r="H1907">
        <v>3608</v>
      </c>
      <c r="I1907" t="str">
        <f t="shared" si="60"/>
        <v>YES</v>
      </c>
      <c r="J1907" t="s">
        <v>1913</v>
      </c>
      <c r="K1907">
        <v>3516754.59803</v>
      </c>
      <c r="L1907">
        <f t="shared" si="59"/>
        <v>0</v>
      </c>
    </row>
    <row r="1908" spans="1:12" x14ac:dyDescent="0.25">
      <c r="A1908">
        <v>3609</v>
      </c>
      <c r="B1908">
        <v>0.68418346600000002</v>
      </c>
      <c r="C1908">
        <v>0.68418346600000002</v>
      </c>
      <c r="D1908">
        <v>0</v>
      </c>
      <c r="E1908">
        <v>7.1145360909999997</v>
      </c>
      <c r="F1908" s="1">
        <v>1.06E-6</v>
      </c>
      <c r="H1908">
        <v>3609</v>
      </c>
      <c r="I1908" t="str">
        <f t="shared" si="60"/>
        <v>YES</v>
      </c>
      <c r="J1908" t="s">
        <v>1914</v>
      </c>
      <c r="K1908">
        <v>1878632.89271</v>
      </c>
      <c r="L1908">
        <f t="shared" si="59"/>
        <v>0</v>
      </c>
    </row>
    <row r="1909" spans="1:12" x14ac:dyDescent="0.25">
      <c r="A1909">
        <v>3610</v>
      </c>
      <c r="B1909">
        <v>24.17143609</v>
      </c>
      <c r="C1909">
        <v>24.17143609</v>
      </c>
      <c r="D1909">
        <v>0</v>
      </c>
      <c r="E1909" s="1">
        <v>9.1299999999999997E-5</v>
      </c>
      <c r="F1909" s="1">
        <v>4.8099999999999999E-10</v>
      </c>
      <c r="H1909">
        <v>3610</v>
      </c>
      <c r="I1909" t="str">
        <f t="shared" si="60"/>
        <v>YES</v>
      </c>
      <c r="J1909" t="s">
        <v>1915</v>
      </c>
      <c r="K1909">
        <v>7416478.8683799999</v>
      </c>
      <c r="L1909">
        <f t="shared" si="59"/>
        <v>0</v>
      </c>
    </row>
    <row r="1910" spans="1:12" x14ac:dyDescent="0.25">
      <c r="A1910">
        <v>3611</v>
      </c>
      <c r="B1910">
        <v>413.11826539999998</v>
      </c>
      <c r="C1910">
        <v>413.11826539999998</v>
      </c>
      <c r="D1910">
        <v>0</v>
      </c>
      <c r="E1910">
        <v>444.80939009999997</v>
      </c>
      <c r="F1910" s="1">
        <v>0.04</v>
      </c>
      <c r="H1910">
        <v>3611</v>
      </c>
      <c r="I1910" t="str">
        <f t="shared" si="60"/>
        <v>YES</v>
      </c>
      <c r="J1910" t="s">
        <v>1916</v>
      </c>
      <c r="K1910">
        <v>2318056.6491700001</v>
      </c>
      <c r="L1910">
        <f t="shared" si="59"/>
        <v>0</v>
      </c>
    </row>
    <row r="1911" spans="1:12" x14ac:dyDescent="0.25">
      <c r="A1911">
        <v>3612</v>
      </c>
      <c r="B1911">
        <v>133.59842939999999</v>
      </c>
      <c r="C1911">
        <v>133.59842939999999</v>
      </c>
      <c r="D1911">
        <v>0</v>
      </c>
      <c r="E1911">
        <v>9.6697521739999992</v>
      </c>
      <c r="F1911" s="1">
        <v>2.81E-4</v>
      </c>
      <c r="H1911">
        <v>3612</v>
      </c>
      <c r="I1911" t="str">
        <f t="shared" si="60"/>
        <v>YES</v>
      </c>
      <c r="J1911" t="s">
        <v>1917</v>
      </c>
      <c r="K1911">
        <v>4855195.7488900004</v>
      </c>
      <c r="L1911">
        <f t="shared" si="59"/>
        <v>0</v>
      </c>
    </row>
    <row r="1912" spans="1:12" x14ac:dyDescent="0.25">
      <c r="A1912">
        <v>3613</v>
      </c>
      <c r="B1912">
        <v>203.6372667</v>
      </c>
      <c r="C1912">
        <v>203.6372667</v>
      </c>
      <c r="D1912">
        <v>0</v>
      </c>
      <c r="E1912">
        <v>168.67324529999999</v>
      </c>
      <c r="F1912" s="1">
        <v>7.4799999999999997E-3</v>
      </c>
      <c r="H1912">
        <v>3613</v>
      </c>
      <c r="I1912" t="str">
        <f t="shared" si="60"/>
        <v>YES</v>
      </c>
      <c r="J1912" t="s">
        <v>1918</v>
      </c>
      <c r="K1912">
        <v>1456408.25599</v>
      </c>
      <c r="L1912">
        <f t="shared" si="59"/>
        <v>0</v>
      </c>
    </row>
    <row r="1913" spans="1:12" x14ac:dyDescent="0.25">
      <c r="A1913">
        <v>3614</v>
      </c>
      <c r="B1913">
        <v>447.06571339999999</v>
      </c>
      <c r="C1913">
        <v>447.06571339999999</v>
      </c>
      <c r="D1913">
        <v>0</v>
      </c>
      <c r="E1913">
        <v>402.0689271</v>
      </c>
      <c r="F1913" s="1">
        <v>3.9100000000000003E-2</v>
      </c>
      <c r="H1913">
        <v>3614</v>
      </c>
      <c r="I1913" t="str">
        <f t="shared" si="60"/>
        <v>YES</v>
      </c>
      <c r="J1913" t="s">
        <v>1919</v>
      </c>
      <c r="K1913">
        <v>2910067.65258</v>
      </c>
      <c r="L1913">
        <f t="shared" si="59"/>
        <v>0</v>
      </c>
    </row>
    <row r="1914" spans="1:12" x14ac:dyDescent="0.25">
      <c r="A1914">
        <v>3615</v>
      </c>
      <c r="B1914">
        <v>53.680829240000001</v>
      </c>
      <c r="C1914">
        <v>53.680829240000001</v>
      </c>
      <c r="D1914">
        <v>0</v>
      </c>
      <c r="E1914">
        <v>156.65832689999999</v>
      </c>
      <c r="F1914" s="1">
        <v>1.83E-3</v>
      </c>
      <c r="H1914">
        <v>3615</v>
      </c>
      <c r="I1914" t="str">
        <f t="shared" si="60"/>
        <v>YES</v>
      </c>
      <c r="J1914" t="s">
        <v>1920</v>
      </c>
      <c r="K1914">
        <v>3844599.93084</v>
      </c>
      <c r="L1914">
        <f t="shared" si="59"/>
        <v>0</v>
      </c>
    </row>
    <row r="1915" spans="1:12" x14ac:dyDescent="0.25">
      <c r="A1915">
        <v>3616</v>
      </c>
      <c r="B1915">
        <v>95.505990740000001</v>
      </c>
      <c r="C1915">
        <v>95.505990740000001</v>
      </c>
      <c r="D1915">
        <v>0</v>
      </c>
      <c r="E1915">
        <v>411.56063330000001</v>
      </c>
      <c r="F1915" s="1">
        <v>8.5599999999999999E-3</v>
      </c>
      <c r="H1915">
        <v>3616</v>
      </c>
      <c r="I1915" t="str">
        <f t="shared" si="60"/>
        <v>YES</v>
      </c>
      <c r="J1915" t="s">
        <v>1921</v>
      </c>
      <c r="K1915">
        <v>3013271.4368699999</v>
      </c>
      <c r="L1915">
        <f t="shared" si="59"/>
        <v>0</v>
      </c>
    </row>
    <row r="1916" spans="1:12" x14ac:dyDescent="0.25">
      <c r="A1916">
        <v>3617</v>
      </c>
      <c r="B1916">
        <v>251.11175349999999</v>
      </c>
      <c r="C1916">
        <v>251.11175349999999</v>
      </c>
      <c r="D1916">
        <v>0</v>
      </c>
      <c r="E1916">
        <v>329.9571158</v>
      </c>
      <c r="F1916" s="1">
        <v>1.7999999999999999E-2</v>
      </c>
      <c r="H1916">
        <v>3617</v>
      </c>
      <c r="I1916" t="str">
        <f t="shared" si="60"/>
        <v>YES</v>
      </c>
      <c r="J1916" t="s">
        <v>1922</v>
      </c>
      <c r="K1916">
        <v>3238551.3818999999</v>
      </c>
      <c r="L1916">
        <f t="shared" si="59"/>
        <v>0</v>
      </c>
    </row>
    <row r="1917" spans="1:12" x14ac:dyDescent="0.25">
      <c r="A1917">
        <v>3618</v>
      </c>
      <c r="B1917">
        <v>47.377889289999999</v>
      </c>
      <c r="C1917">
        <v>47.377889289999999</v>
      </c>
      <c r="D1917">
        <v>0</v>
      </c>
      <c r="E1917" s="1">
        <v>9.1299999999999997E-5</v>
      </c>
      <c r="F1917" s="1">
        <v>9.4200000000000006E-10</v>
      </c>
      <c r="H1917">
        <v>3618</v>
      </c>
      <c r="I1917" t="str">
        <f t="shared" si="60"/>
        <v>YES</v>
      </c>
      <c r="J1917" t="s">
        <v>1923</v>
      </c>
      <c r="K1917">
        <v>2211727.7014299999</v>
      </c>
      <c r="L1917">
        <f t="shared" si="59"/>
        <v>0</v>
      </c>
    </row>
    <row r="1918" spans="1:12" x14ac:dyDescent="0.25">
      <c r="A1918">
        <v>3619</v>
      </c>
      <c r="B1918">
        <v>203.6372667</v>
      </c>
      <c r="C1918">
        <v>203.6372667</v>
      </c>
      <c r="D1918">
        <v>0</v>
      </c>
      <c r="E1918">
        <v>343.86186240000001</v>
      </c>
      <c r="F1918" s="1">
        <v>1.52E-2</v>
      </c>
      <c r="H1918">
        <v>3619</v>
      </c>
      <c r="I1918" t="str">
        <f t="shared" si="60"/>
        <v>YES</v>
      </c>
      <c r="J1918" t="s">
        <v>1924</v>
      </c>
      <c r="K1918">
        <v>2943256.8251800002</v>
      </c>
      <c r="L1918">
        <f t="shared" si="59"/>
        <v>0</v>
      </c>
    </row>
    <row r="1919" spans="1:12" x14ac:dyDescent="0.25">
      <c r="A1919">
        <v>3620</v>
      </c>
      <c r="B1919">
        <v>320.67427950000001</v>
      </c>
      <c r="C1919">
        <v>320.67427950000001</v>
      </c>
      <c r="D1919">
        <v>0</v>
      </c>
      <c r="E1919">
        <v>484.61692340000002</v>
      </c>
      <c r="F1919" s="1">
        <v>3.3799999999999997E-2</v>
      </c>
      <c r="H1919">
        <v>3620</v>
      </c>
      <c r="I1919" t="str">
        <f t="shared" si="60"/>
        <v>YES</v>
      </c>
      <c r="J1919" t="s">
        <v>1925</v>
      </c>
      <c r="K1919">
        <v>2808010.7596999998</v>
      </c>
      <c r="L1919">
        <f t="shared" si="59"/>
        <v>0</v>
      </c>
    </row>
    <row r="1920" spans="1:12" x14ac:dyDescent="0.25">
      <c r="A1920">
        <v>3621</v>
      </c>
      <c r="B1920">
        <v>306.20241449999997</v>
      </c>
      <c r="C1920">
        <v>306.20241449999997</v>
      </c>
      <c r="D1920">
        <v>0</v>
      </c>
      <c r="E1920">
        <v>315.09608960000003</v>
      </c>
      <c r="F1920" s="1">
        <v>2.1000000000000001E-2</v>
      </c>
      <c r="H1920">
        <v>3621</v>
      </c>
      <c r="I1920" t="str">
        <f t="shared" si="60"/>
        <v>YES</v>
      </c>
      <c r="J1920" t="s">
        <v>1926</v>
      </c>
      <c r="K1920">
        <v>1919345.0618700001</v>
      </c>
      <c r="L1920">
        <f t="shared" si="59"/>
        <v>0</v>
      </c>
    </row>
    <row r="1921" spans="1:12" x14ac:dyDescent="0.25">
      <c r="A1921">
        <v>3622</v>
      </c>
      <c r="B1921">
        <v>91.706684480000007</v>
      </c>
      <c r="C1921">
        <v>91.706684480000007</v>
      </c>
      <c r="D1921">
        <v>0</v>
      </c>
      <c r="E1921">
        <v>179.03033579999999</v>
      </c>
      <c r="F1921" s="1">
        <v>3.5699999999999998E-3</v>
      </c>
      <c r="H1921">
        <v>3622</v>
      </c>
      <c r="I1921" t="str">
        <f t="shared" si="60"/>
        <v>YES</v>
      </c>
      <c r="J1921" t="s">
        <v>1927</v>
      </c>
      <c r="K1921">
        <v>2331703.0600700001</v>
      </c>
      <c r="L1921">
        <f t="shared" si="59"/>
        <v>0</v>
      </c>
    </row>
    <row r="1922" spans="1:12" x14ac:dyDescent="0.25">
      <c r="A1922">
        <v>3623</v>
      </c>
      <c r="B1922">
        <v>47.377889289999999</v>
      </c>
      <c r="C1922">
        <v>47.377889289999999</v>
      </c>
      <c r="D1922">
        <v>0</v>
      </c>
      <c r="E1922">
        <v>253.49726799999999</v>
      </c>
      <c r="F1922" s="1">
        <v>2.6199999999999999E-3</v>
      </c>
      <c r="H1922">
        <v>3623</v>
      </c>
      <c r="I1922" t="str">
        <f t="shared" si="60"/>
        <v>YES</v>
      </c>
      <c r="J1922" t="s">
        <v>1928</v>
      </c>
      <c r="K1922">
        <v>1413390.58176</v>
      </c>
      <c r="L1922">
        <f t="shared" si="59"/>
        <v>0</v>
      </c>
    </row>
    <row r="1923" spans="1:12" x14ac:dyDescent="0.25">
      <c r="A1923">
        <v>3624</v>
      </c>
      <c r="B1923">
        <v>306.20241449999997</v>
      </c>
      <c r="C1923">
        <v>306.20241449999997</v>
      </c>
      <c r="D1923">
        <v>0</v>
      </c>
      <c r="E1923">
        <v>422.05695459999998</v>
      </c>
      <c r="F1923" s="1">
        <v>2.81E-2</v>
      </c>
      <c r="H1923">
        <v>3624</v>
      </c>
      <c r="I1923" t="str">
        <f t="shared" si="60"/>
        <v>YES</v>
      </c>
      <c r="J1923" t="s">
        <v>1929</v>
      </c>
      <c r="K1923">
        <v>1658132.6596899999</v>
      </c>
      <c r="L1923">
        <f t="shared" ref="L1923:L1986" si="61">EXP(0.2052)*K1923*(D1923/C1923)</f>
        <v>0</v>
      </c>
    </row>
    <row r="1924" spans="1:12" x14ac:dyDescent="0.25">
      <c r="A1924">
        <v>3625</v>
      </c>
      <c r="B1924">
        <v>294.0784524</v>
      </c>
      <c r="C1924">
        <v>294.0784524</v>
      </c>
      <c r="D1924">
        <v>0</v>
      </c>
      <c r="F1924" s="1">
        <v>0</v>
      </c>
      <c r="H1924">
        <v>3625</v>
      </c>
      <c r="I1924" t="str">
        <f t="shared" si="60"/>
        <v>YES</v>
      </c>
      <c r="J1924" t="s">
        <v>1930</v>
      </c>
      <c r="K1924">
        <v>33871954.842600003</v>
      </c>
      <c r="L1924">
        <f t="shared" si="61"/>
        <v>0</v>
      </c>
    </row>
    <row r="1925" spans="1:12" x14ac:dyDescent="0.25">
      <c r="A1925">
        <v>3626</v>
      </c>
      <c r="B1925">
        <v>149.49971310000001</v>
      </c>
      <c r="C1925">
        <v>149.49971310000001</v>
      </c>
      <c r="D1925">
        <v>0</v>
      </c>
      <c r="E1925">
        <v>623.35782519999998</v>
      </c>
      <c r="F1925" s="1">
        <v>2.0299999999999999E-2</v>
      </c>
      <c r="H1925">
        <v>3626</v>
      </c>
      <c r="I1925" t="str">
        <f t="shared" si="60"/>
        <v>YES</v>
      </c>
      <c r="J1925" t="s">
        <v>1931</v>
      </c>
      <c r="K1925">
        <v>5710310.4274599999</v>
      </c>
      <c r="L1925">
        <f t="shared" si="61"/>
        <v>0</v>
      </c>
    </row>
    <row r="1926" spans="1:12" x14ac:dyDescent="0.25">
      <c r="A1926">
        <v>3627</v>
      </c>
      <c r="B1926">
        <v>786.39028399999995</v>
      </c>
      <c r="C1926">
        <v>786.39028399999995</v>
      </c>
      <c r="D1926">
        <v>0</v>
      </c>
      <c r="E1926">
        <v>453.89011529999999</v>
      </c>
      <c r="F1926" s="1">
        <v>7.7700000000000005E-2</v>
      </c>
      <c r="H1926">
        <v>3627</v>
      </c>
      <c r="I1926" t="str">
        <f t="shared" si="60"/>
        <v>YES</v>
      </c>
      <c r="J1926" t="s">
        <v>1932</v>
      </c>
      <c r="K1926">
        <v>2176035.4614300001</v>
      </c>
      <c r="L1926">
        <f t="shared" si="61"/>
        <v>0</v>
      </c>
    </row>
    <row r="1927" spans="1:12" x14ac:dyDescent="0.25">
      <c r="A1927">
        <v>3628</v>
      </c>
      <c r="B1927">
        <v>91.706684480000007</v>
      </c>
      <c r="C1927">
        <v>91.706684480000007</v>
      </c>
      <c r="D1927">
        <v>0</v>
      </c>
      <c r="E1927">
        <v>138.61768499999999</v>
      </c>
      <c r="F1927" s="1">
        <v>2.7699999999999999E-3</v>
      </c>
      <c r="H1927">
        <v>3628</v>
      </c>
      <c r="I1927" t="str">
        <f t="shared" si="60"/>
        <v>YES</v>
      </c>
      <c r="J1927" t="s">
        <v>1933</v>
      </c>
      <c r="K1927">
        <v>784521.61548200005</v>
      </c>
      <c r="L1927">
        <f t="shared" si="61"/>
        <v>0</v>
      </c>
    </row>
    <row r="1928" spans="1:12" x14ac:dyDescent="0.25">
      <c r="A1928">
        <v>3629</v>
      </c>
      <c r="B1928">
        <v>93.474162699999994</v>
      </c>
      <c r="C1928">
        <v>93.474162699999994</v>
      </c>
      <c r="D1928">
        <v>0</v>
      </c>
      <c r="E1928">
        <v>518.51716480000005</v>
      </c>
      <c r="F1928" s="1">
        <v>1.06E-2</v>
      </c>
      <c r="H1928">
        <v>3629</v>
      </c>
      <c r="I1928" t="str">
        <f t="shared" si="60"/>
        <v>YES</v>
      </c>
      <c r="J1928" t="s">
        <v>1934</v>
      </c>
      <c r="K1928">
        <v>2788620.7049099999</v>
      </c>
      <c r="L1928">
        <f t="shared" si="61"/>
        <v>0</v>
      </c>
    </row>
    <row r="1929" spans="1:12" x14ac:dyDescent="0.25">
      <c r="A1929">
        <v>3630</v>
      </c>
      <c r="B1929">
        <v>660.71749999999997</v>
      </c>
      <c r="C1929">
        <v>660.71749999999997</v>
      </c>
      <c r="D1929">
        <v>0</v>
      </c>
      <c r="E1929">
        <v>615.80570980000005</v>
      </c>
      <c r="F1929" s="1">
        <v>8.8599999999999998E-2</v>
      </c>
      <c r="H1929">
        <v>3630</v>
      </c>
      <c r="I1929" t="str">
        <f t="shared" si="60"/>
        <v>YES</v>
      </c>
      <c r="J1929" t="s">
        <v>1935</v>
      </c>
      <c r="K1929">
        <v>1737230.9189500001</v>
      </c>
      <c r="L1929">
        <f t="shared" si="61"/>
        <v>0</v>
      </c>
    </row>
    <row r="1930" spans="1:12" x14ac:dyDescent="0.25">
      <c r="A1930">
        <v>3631</v>
      </c>
      <c r="B1930">
        <v>278.31116960000003</v>
      </c>
      <c r="C1930">
        <v>278.31116960000003</v>
      </c>
      <c r="D1930">
        <v>0</v>
      </c>
      <c r="E1930">
        <v>448.44578840000003</v>
      </c>
      <c r="F1930" s="1">
        <v>2.7199999999999998E-2</v>
      </c>
      <c r="H1930">
        <v>3631</v>
      </c>
      <c r="I1930" t="str">
        <f t="shared" si="60"/>
        <v>YES</v>
      </c>
      <c r="J1930" t="s">
        <v>1936</v>
      </c>
      <c r="K1930">
        <v>2664091.7564400001</v>
      </c>
      <c r="L1930">
        <f t="shared" si="61"/>
        <v>0</v>
      </c>
    </row>
    <row r="1931" spans="1:12" x14ac:dyDescent="0.25">
      <c r="A1931">
        <v>3632</v>
      </c>
      <c r="B1931">
        <v>278.31116960000003</v>
      </c>
      <c r="C1931">
        <v>278.31116960000003</v>
      </c>
      <c r="D1931">
        <v>0</v>
      </c>
      <c r="E1931">
        <v>521.09595779999995</v>
      </c>
      <c r="F1931" s="1">
        <v>3.1600000000000003E-2</v>
      </c>
      <c r="H1931">
        <v>3632</v>
      </c>
      <c r="I1931" t="str">
        <f t="shared" si="60"/>
        <v>YES</v>
      </c>
      <c r="J1931" t="s">
        <v>1937</v>
      </c>
      <c r="K1931">
        <v>3140426.2702799998</v>
      </c>
      <c r="L1931">
        <f t="shared" si="61"/>
        <v>0</v>
      </c>
    </row>
    <row r="1932" spans="1:12" x14ac:dyDescent="0.25">
      <c r="A1932">
        <v>3633</v>
      </c>
      <c r="B1932">
        <v>427.44601189999997</v>
      </c>
      <c r="C1932">
        <v>427.44601189999997</v>
      </c>
      <c r="D1932">
        <v>0</v>
      </c>
      <c r="E1932">
        <v>271.66827790000002</v>
      </c>
      <c r="F1932" s="1">
        <v>2.53E-2</v>
      </c>
      <c r="H1932">
        <v>3633</v>
      </c>
      <c r="I1932" t="str">
        <f t="shared" si="60"/>
        <v>YES</v>
      </c>
      <c r="J1932" t="s">
        <v>1938</v>
      </c>
      <c r="K1932">
        <v>1716763.3694800001</v>
      </c>
      <c r="L1932">
        <f t="shared" si="61"/>
        <v>0</v>
      </c>
    </row>
    <row r="1933" spans="1:12" x14ac:dyDescent="0.25">
      <c r="A1933">
        <v>3634</v>
      </c>
      <c r="B1933">
        <v>723.18973119999998</v>
      </c>
      <c r="C1933">
        <v>723.18973119999998</v>
      </c>
      <c r="D1933">
        <v>0</v>
      </c>
      <c r="E1933">
        <v>464.74539090000002</v>
      </c>
      <c r="F1933" s="1">
        <v>7.3200000000000001E-2</v>
      </c>
      <c r="H1933">
        <v>3634</v>
      </c>
      <c r="I1933" t="str">
        <f t="shared" si="60"/>
        <v>YES</v>
      </c>
      <c r="J1933" t="s">
        <v>1939</v>
      </c>
      <c r="K1933">
        <v>1564314.93658</v>
      </c>
      <c r="L1933">
        <f t="shared" si="61"/>
        <v>0</v>
      </c>
    </row>
    <row r="1934" spans="1:12" x14ac:dyDescent="0.25">
      <c r="A1934">
        <v>3635</v>
      </c>
      <c r="B1934">
        <v>2.8441756640000002</v>
      </c>
      <c r="C1934">
        <v>2.8441756640000002</v>
      </c>
      <c r="D1934">
        <v>0</v>
      </c>
      <c r="E1934">
        <v>42.20820604</v>
      </c>
      <c r="F1934" s="1">
        <v>2.6100000000000001E-5</v>
      </c>
      <c r="H1934">
        <v>3635</v>
      </c>
      <c r="I1934" t="str">
        <f t="shared" si="60"/>
        <v>YES</v>
      </c>
      <c r="J1934" t="s">
        <v>1940</v>
      </c>
      <c r="K1934">
        <v>7809656.2089400003</v>
      </c>
      <c r="L1934">
        <f t="shared" si="61"/>
        <v>0</v>
      </c>
    </row>
    <row r="1935" spans="1:12" x14ac:dyDescent="0.25">
      <c r="A1935">
        <v>3636</v>
      </c>
      <c r="B1935">
        <v>133.59842939999999</v>
      </c>
      <c r="C1935">
        <v>133.59842939999999</v>
      </c>
      <c r="D1935">
        <v>0</v>
      </c>
      <c r="E1935">
        <v>3.5031668360000001</v>
      </c>
      <c r="F1935" s="1">
        <v>1.02E-4</v>
      </c>
      <c r="H1935">
        <v>3636</v>
      </c>
      <c r="I1935" t="str">
        <f t="shared" si="60"/>
        <v>YES</v>
      </c>
      <c r="J1935" t="s">
        <v>1941</v>
      </c>
      <c r="K1935">
        <v>4655192.63069</v>
      </c>
      <c r="L1935">
        <f t="shared" si="61"/>
        <v>0</v>
      </c>
    </row>
    <row r="1936" spans="1:12" x14ac:dyDescent="0.25">
      <c r="A1936">
        <v>3650</v>
      </c>
      <c r="B1936">
        <v>91.658169520000001</v>
      </c>
      <c r="C1936">
        <v>91.658169520000001</v>
      </c>
      <c r="D1936">
        <v>0</v>
      </c>
      <c r="E1936">
        <v>239.78643450000001</v>
      </c>
      <c r="F1936" s="1">
        <v>4.79E-3</v>
      </c>
      <c r="H1936">
        <v>3650</v>
      </c>
      <c r="I1936" t="str">
        <f t="shared" si="60"/>
        <v>YES</v>
      </c>
      <c r="J1936" t="s">
        <v>1942</v>
      </c>
      <c r="K1936">
        <v>1712927.59555</v>
      </c>
      <c r="L1936">
        <f t="shared" si="61"/>
        <v>0</v>
      </c>
    </row>
    <row r="1937" spans="1:12" x14ac:dyDescent="0.25">
      <c r="A1937">
        <v>3651</v>
      </c>
      <c r="B1937">
        <v>39.555977640000002</v>
      </c>
      <c r="C1937">
        <v>39.555977640000002</v>
      </c>
      <c r="D1937">
        <v>0</v>
      </c>
      <c r="E1937">
        <v>127.0801791</v>
      </c>
      <c r="F1937" s="1">
        <v>1.09E-3</v>
      </c>
      <c r="H1937">
        <v>3651</v>
      </c>
      <c r="I1937" t="str">
        <f t="shared" si="60"/>
        <v>YES</v>
      </c>
      <c r="J1937" t="s">
        <v>1943</v>
      </c>
      <c r="K1937">
        <v>1797879.89818</v>
      </c>
      <c r="L1937">
        <f t="shared" si="61"/>
        <v>0</v>
      </c>
    </row>
    <row r="1938" spans="1:12" x14ac:dyDescent="0.25">
      <c r="A1938">
        <v>3652</v>
      </c>
      <c r="B1938">
        <v>149.49971310000001</v>
      </c>
      <c r="C1938">
        <v>149.49971310000001</v>
      </c>
      <c r="D1938">
        <v>0</v>
      </c>
      <c r="E1938">
        <v>12.30955893</v>
      </c>
      <c r="F1938" s="1">
        <v>4.0099999999999999E-4</v>
      </c>
      <c r="H1938">
        <v>3652</v>
      </c>
      <c r="I1938" t="str">
        <f t="shared" si="60"/>
        <v>YES</v>
      </c>
      <c r="J1938" t="s">
        <v>1944</v>
      </c>
      <c r="K1938">
        <v>4699573.3710200004</v>
      </c>
      <c r="L1938">
        <f t="shared" si="61"/>
        <v>0</v>
      </c>
    </row>
    <row r="1939" spans="1:12" x14ac:dyDescent="0.25">
      <c r="A1939">
        <v>3653</v>
      </c>
      <c r="B1939">
        <v>98.500816009999994</v>
      </c>
      <c r="C1939">
        <v>98.500816009999994</v>
      </c>
      <c r="D1939">
        <v>0</v>
      </c>
      <c r="E1939">
        <v>291.09712330000002</v>
      </c>
      <c r="F1939" s="1">
        <v>6.2399999999999999E-3</v>
      </c>
      <c r="H1939">
        <v>3653</v>
      </c>
      <c r="I1939" t="str">
        <f t="shared" si="60"/>
        <v>YES</v>
      </c>
      <c r="J1939" t="s">
        <v>1945</v>
      </c>
      <c r="K1939">
        <v>2171851.3932599998</v>
      </c>
      <c r="L1939">
        <f t="shared" si="61"/>
        <v>0</v>
      </c>
    </row>
    <row r="1940" spans="1:12" x14ac:dyDescent="0.25">
      <c r="A1940">
        <v>3654</v>
      </c>
      <c r="B1940">
        <v>129.60234070000001</v>
      </c>
      <c r="C1940">
        <v>129.60234070000001</v>
      </c>
      <c r="D1940">
        <v>0</v>
      </c>
      <c r="E1940">
        <v>283.65906740000003</v>
      </c>
      <c r="F1940" s="1">
        <v>8.0000000000000002E-3</v>
      </c>
      <c r="H1940">
        <v>3654</v>
      </c>
      <c r="I1940" t="str">
        <f t="shared" si="60"/>
        <v>YES</v>
      </c>
      <c r="J1940" t="s">
        <v>1946</v>
      </c>
      <c r="K1940">
        <v>2589907.0337999999</v>
      </c>
      <c r="L1940">
        <f t="shared" si="61"/>
        <v>0</v>
      </c>
    </row>
    <row r="1941" spans="1:12" x14ac:dyDescent="0.25">
      <c r="A1941">
        <v>3655</v>
      </c>
      <c r="B1941">
        <v>274.45015430000001</v>
      </c>
      <c r="C1941">
        <v>274.45015430000001</v>
      </c>
      <c r="D1941">
        <v>0</v>
      </c>
      <c r="E1941">
        <v>144.1366228</v>
      </c>
      <c r="F1941" s="1">
        <v>8.6099999999999996E-3</v>
      </c>
      <c r="H1941">
        <v>3655</v>
      </c>
      <c r="I1941" t="str">
        <f t="shared" si="60"/>
        <v>YES</v>
      </c>
      <c r="J1941" t="s">
        <v>1947</v>
      </c>
      <c r="K1941">
        <v>1693353.8833900001</v>
      </c>
      <c r="L1941">
        <f t="shared" si="61"/>
        <v>0</v>
      </c>
    </row>
    <row r="1942" spans="1:12" x14ac:dyDescent="0.25">
      <c r="A1942">
        <v>3656</v>
      </c>
      <c r="B1942">
        <v>149.237787</v>
      </c>
      <c r="C1942">
        <v>149.237787</v>
      </c>
      <c r="D1942">
        <v>0</v>
      </c>
      <c r="E1942">
        <v>114.1381653</v>
      </c>
      <c r="F1942" s="1">
        <v>3.7100000000000002E-3</v>
      </c>
      <c r="H1942">
        <v>3656</v>
      </c>
      <c r="I1942" t="str">
        <f t="shared" si="60"/>
        <v>YES</v>
      </c>
      <c r="J1942" t="s">
        <v>1948</v>
      </c>
      <c r="K1942">
        <v>2765631.7299000002</v>
      </c>
      <c r="L1942">
        <f t="shared" si="61"/>
        <v>0</v>
      </c>
    </row>
    <row r="1943" spans="1:12" x14ac:dyDescent="0.25">
      <c r="A1943">
        <v>3657</v>
      </c>
      <c r="B1943">
        <v>91.658169520000001</v>
      </c>
      <c r="C1943">
        <v>91.658169520000001</v>
      </c>
      <c r="D1943">
        <v>0</v>
      </c>
      <c r="E1943">
        <v>133.0698822</v>
      </c>
      <c r="F1943" s="1">
        <v>2.66E-3</v>
      </c>
      <c r="H1943">
        <v>3657</v>
      </c>
      <c r="I1943" t="str">
        <f t="shared" si="60"/>
        <v>YES</v>
      </c>
      <c r="J1943" t="s">
        <v>1949</v>
      </c>
      <c r="K1943">
        <v>1848999.9919100001</v>
      </c>
      <c r="L1943">
        <f t="shared" si="61"/>
        <v>0</v>
      </c>
    </row>
    <row r="1944" spans="1:12" x14ac:dyDescent="0.25">
      <c r="A1944">
        <v>3658</v>
      </c>
      <c r="B1944">
        <v>215.32272380000001</v>
      </c>
      <c r="C1944">
        <v>215.32272380000001</v>
      </c>
      <c r="D1944">
        <v>0</v>
      </c>
      <c r="E1944">
        <v>377.2994478</v>
      </c>
      <c r="F1944" s="1">
        <v>1.77E-2</v>
      </c>
      <c r="H1944">
        <v>3658</v>
      </c>
      <c r="I1944" t="str">
        <f t="shared" si="60"/>
        <v>YES</v>
      </c>
      <c r="J1944" t="s">
        <v>1950</v>
      </c>
      <c r="K1944">
        <v>1770678.8328100001</v>
      </c>
      <c r="L1944">
        <f t="shared" si="61"/>
        <v>0</v>
      </c>
    </row>
    <row r="1945" spans="1:12" x14ac:dyDescent="0.25">
      <c r="A1945">
        <v>3659</v>
      </c>
      <c r="B1945">
        <v>25.5642034</v>
      </c>
      <c r="C1945">
        <v>25.5642034</v>
      </c>
      <c r="D1945">
        <v>0</v>
      </c>
      <c r="E1945">
        <v>8.6625179419999991</v>
      </c>
      <c r="F1945" s="1">
        <v>4.8199999999999999E-5</v>
      </c>
      <c r="H1945">
        <v>3659</v>
      </c>
      <c r="I1945" t="str">
        <f t="shared" si="60"/>
        <v>YES</v>
      </c>
      <c r="J1945" t="s">
        <v>1951</v>
      </c>
      <c r="K1945">
        <v>3298545.4609699999</v>
      </c>
      <c r="L1945">
        <f t="shared" si="61"/>
        <v>0</v>
      </c>
    </row>
    <row r="1946" spans="1:12" x14ac:dyDescent="0.25">
      <c r="A1946">
        <v>3660</v>
      </c>
      <c r="B1946">
        <v>148.23674260000001</v>
      </c>
      <c r="C1946">
        <v>148.23674260000001</v>
      </c>
      <c r="D1946">
        <v>0</v>
      </c>
      <c r="E1946">
        <v>208.39140380000001</v>
      </c>
      <c r="F1946" s="1">
        <v>6.7299999999999999E-3</v>
      </c>
      <c r="H1946">
        <v>3660</v>
      </c>
      <c r="I1946" t="str">
        <f t="shared" si="60"/>
        <v>YES</v>
      </c>
      <c r="J1946" t="s">
        <v>1952</v>
      </c>
      <c r="K1946">
        <v>1412361.29073</v>
      </c>
      <c r="L1946">
        <f t="shared" si="61"/>
        <v>0</v>
      </c>
    </row>
    <row r="1947" spans="1:12" x14ac:dyDescent="0.25">
      <c r="A1947">
        <v>3661</v>
      </c>
      <c r="B1947">
        <v>162.15804650000001</v>
      </c>
      <c r="C1947">
        <v>162.15804650000001</v>
      </c>
      <c r="D1947">
        <v>0</v>
      </c>
      <c r="E1947">
        <v>279.2281213</v>
      </c>
      <c r="F1947" s="1">
        <v>9.8600000000000007E-3</v>
      </c>
      <c r="H1947">
        <v>3661</v>
      </c>
      <c r="I1947" t="str">
        <f t="shared" si="60"/>
        <v>YES</v>
      </c>
      <c r="J1947" t="s">
        <v>1953</v>
      </c>
      <c r="K1947">
        <v>19844895.7837</v>
      </c>
      <c r="L1947">
        <f t="shared" si="61"/>
        <v>0</v>
      </c>
    </row>
    <row r="1948" spans="1:12" x14ac:dyDescent="0.25">
      <c r="A1948">
        <v>3662</v>
      </c>
      <c r="B1948">
        <v>161.9277237</v>
      </c>
      <c r="C1948">
        <v>161.9277237</v>
      </c>
      <c r="D1948">
        <v>0</v>
      </c>
      <c r="E1948">
        <v>270.57211749999999</v>
      </c>
      <c r="F1948" s="1">
        <v>9.5399999999999999E-3</v>
      </c>
      <c r="H1948">
        <v>3662</v>
      </c>
      <c r="I1948" t="str">
        <f t="shared" si="60"/>
        <v>YES</v>
      </c>
      <c r="J1948" t="s">
        <v>1954</v>
      </c>
      <c r="K1948">
        <v>1773340.1131800001</v>
      </c>
      <c r="L1948">
        <f t="shared" si="61"/>
        <v>0</v>
      </c>
    </row>
    <row r="1949" spans="1:12" x14ac:dyDescent="0.25">
      <c r="A1949">
        <v>3663</v>
      </c>
      <c r="B1949">
        <v>230.185541</v>
      </c>
      <c r="C1949">
        <v>230.185541</v>
      </c>
      <c r="D1949">
        <v>0</v>
      </c>
      <c r="E1949">
        <v>160.5789303</v>
      </c>
      <c r="F1949" s="1">
        <v>8.0499999999999999E-3</v>
      </c>
      <c r="H1949">
        <v>3663</v>
      </c>
      <c r="I1949" t="str">
        <f t="shared" si="60"/>
        <v>YES</v>
      </c>
      <c r="J1949" t="s">
        <v>1955</v>
      </c>
      <c r="K1949">
        <v>2009894.51838</v>
      </c>
      <c r="L1949">
        <f t="shared" si="61"/>
        <v>0</v>
      </c>
    </row>
    <row r="1950" spans="1:12" x14ac:dyDescent="0.25">
      <c r="A1950">
        <v>3664</v>
      </c>
      <c r="B1950">
        <v>183.96549899999999</v>
      </c>
      <c r="C1950">
        <v>183.96549899999999</v>
      </c>
      <c r="D1950">
        <v>0</v>
      </c>
      <c r="E1950">
        <v>343.34503740000002</v>
      </c>
      <c r="F1950" s="1">
        <v>1.38E-2</v>
      </c>
      <c r="H1950">
        <v>3664</v>
      </c>
      <c r="I1950" t="str">
        <f t="shared" si="60"/>
        <v>YES</v>
      </c>
      <c r="J1950" t="s">
        <v>1956</v>
      </c>
      <c r="K1950">
        <v>2136965.7896799999</v>
      </c>
      <c r="L1950">
        <f t="shared" si="61"/>
        <v>0</v>
      </c>
    </row>
    <row r="1951" spans="1:12" x14ac:dyDescent="0.25">
      <c r="A1951">
        <v>3665</v>
      </c>
      <c r="B1951">
        <v>119.7667395</v>
      </c>
      <c r="C1951">
        <v>119.7667395</v>
      </c>
      <c r="D1951">
        <v>0</v>
      </c>
      <c r="E1951">
        <v>223.0845118</v>
      </c>
      <c r="F1951" s="1">
        <v>5.8199999999999997E-3</v>
      </c>
      <c r="H1951">
        <v>3665</v>
      </c>
      <c r="I1951" t="str">
        <f t="shared" si="60"/>
        <v>YES</v>
      </c>
      <c r="J1951" t="s">
        <v>1957</v>
      </c>
      <c r="K1951">
        <v>1299911.9336999999</v>
      </c>
      <c r="L1951">
        <f t="shared" si="61"/>
        <v>0</v>
      </c>
    </row>
    <row r="1952" spans="1:12" x14ac:dyDescent="0.25">
      <c r="A1952">
        <v>3666</v>
      </c>
      <c r="B1952">
        <v>215.32272380000001</v>
      </c>
      <c r="C1952">
        <v>215.32272380000001</v>
      </c>
      <c r="D1952">
        <v>0</v>
      </c>
      <c r="E1952">
        <v>109.9339937</v>
      </c>
      <c r="F1952" s="1">
        <v>5.1500000000000001E-3</v>
      </c>
      <c r="H1952">
        <v>3666</v>
      </c>
      <c r="I1952" t="str">
        <f t="shared" si="60"/>
        <v>YES</v>
      </c>
      <c r="J1952" t="s">
        <v>1958</v>
      </c>
      <c r="K1952">
        <v>1048307.6552</v>
      </c>
      <c r="L1952">
        <f t="shared" si="61"/>
        <v>0</v>
      </c>
    </row>
    <row r="1953" spans="1:12" x14ac:dyDescent="0.25">
      <c r="A1953">
        <v>3667</v>
      </c>
      <c r="B1953">
        <v>41.838780759999999</v>
      </c>
      <c r="C1953">
        <v>41.838780759999999</v>
      </c>
      <c r="D1953">
        <v>0</v>
      </c>
      <c r="E1953">
        <v>7.3005036299999997</v>
      </c>
      <c r="F1953" s="1">
        <v>6.6500000000000004E-5</v>
      </c>
      <c r="H1953">
        <v>3667</v>
      </c>
      <c r="I1953" t="str">
        <f t="shared" si="60"/>
        <v>YES</v>
      </c>
      <c r="J1953" t="s">
        <v>1959</v>
      </c>
      <c r="K1953">
        <v>2775321.87366</v>
      </c>
      <c r="L1953">
        <f t="shared" si="61"/>
        <v>0</v>
      </c>
    </row>
    <row r="1954" spans="1:12" x14ac:dyDescent="0.25">
      <c r="A1954">
        <v>3668</v>
      </c>
      <c r="B1954">
        <v>22.533736739999998</v>
      </c>
      <c r="C1954">
        <v>22.533736739999998</v>
      </c>
      <c r="D1954">
        <v>0</v>
      </c>
      <c r="E1954">
        <v>7.6448238420000001</v>
      </c>
      <c r="F1954" s="1">
        <v>3.7499999999999997E-5</v>
      </c>
      <c r="H1954">
        <v>3668</v>
      </c>
      <c r="I1954" t="str">
        <f t="shared" si="60"/>
        <v>YES</v>
      </c>
      <c r="J1954" t="s">
        <v>1960</v>
      </c>
      <c r="K1954">
        <v>2907593.4593500001</v>
      </c>
      <c r="L1954">
        <f t="shared" si="61"/>
        <v>0</v>
      </c>
    </row>
    <row r="1955" spans="1:12" x14ac:dyDescent="0.25">
      <c r="A1955">
        <v>3669</v>
      </c>
      <c r="B1955">
        <v>17.322217779999999</v>
      </c>
      <c r="C1955">
        <v>17.322217779999999</v>
      </c>
      <c r="D1955">
        <v>0</v>
      </c>
      <c r="E1955">
        <v>5.3399460540000003</v>
      </c>
      <c r="F1955" s="1">
        <v>2.0100000000000001E-5</v>
      </c>
      <c r="H1955">
        <v>3669</v>
      </c>
      <c r="I1955" t="str">
        <f t="shared" si="60"/>
        <v>YES</v>
      </c>
      <c r="J1955" t="s">
        <v>1961</v>
      </c>
      <c r="K1955">
        <v>2235140.0685700001</v>
      </c>
      <c r="L1955">
        <f t="shared" si="61"/>
        <v>0</v>
      </c>
    </row>
    <row r="1956" spans="1:12" x14ac:dyDescent="0.25">
      <c r="A1956">
        <v>3670</v>
      </c>
      <c r="B1956">
        <v>45.761488059999998</v>
      </c>
      <c r="C1956">
        <v>45.761488059999998</v>
      </c>
      <c r="D1956">
        <v>0</v>
      </c>
      <c r="E1956">
        <v>133.26160279999999</v>
      </c>
      <c r="F1956" s="1">
        <v>1.33E-3</v>
      </c>
      <c r="H1956">
        <v>3670</v>
      </c>
      <c r="I1956" t="str">
        <f t="shared" si="60"/>
        <v>YES</v>
      </c>
      <c r="J1956" t="s">
        <v>1962</v>
      </c>
      <c r="K1956">
        <v>1154863.5957599999</v>
      </c>
      <c r="L1956">
        <f t="shared" si="61"/>
        <v>0</v>
      </c>
    </row>
    <row r="1957" spans="1:12" x14ac:dyDescent="0.25">
      <c r="A1957">
        <v>3671</v>
      </c>
      <c r="B1957">
        <v>41.838780759999999</v>
      </c>
      <c r="C1957">
        <v>41.838780759999999</v>
      </c>
      <c r="D1957">
        <v>0</v>
      </c>
      <c r="E1957">
        <v>6.9046944999999997</v>
      </c>
      <c r="F1957" s="1">
        <v>6.2899999999999997E-5</v>
      </c>
      <c r="H1957">
        <v>3671</v>
      </c>
      <c r="I1957" t="str">
        <f t="shared" si="60"/>
        <v>YES</v>
      </c>
      <c r="J1957" t="s">
        <v>1963</v>
      </c>
      <c r="K1957">
        <v>2623270.22725</v>
      </c>
      <c r="L1957">
        <f t="shared" si="61"/>
        <v>0</v>
      </c>
    </row>
    <row r="1958" spans="1:12" x14ac:dyDescent="0.25">
      <c r="A1958">
        <v>3672</v>
      </c>
      <c r="B1958">
        <v>26.4531156</v>
      </c>
      <c r="C1958">
        <v>26.4531156</v>
      </c>
      <c r="D1958">
        <v>0</v>
      </c>
      <c r="E1958">
        <v>8.1147441209999993</v>
      </c>
      <c r="F1958" s="1">
        <v>4.6699999999999997E-5</v>
      </c>
      <c r="H1958">
        <v>3672</v>
      </c>
      <c r="I1958" t="str">
        <f t="shared" si="60"/>
        <v>YES</v>
      </c>
      <c r="J1958" t="s">
        <v>1964</v>
      </c>
      <c r="K1958">
        <v>3413358.1109099998</v>
      </c>
      <c r="L1958">
        <f t="shared" si="61"/>
        <v>0</v>
      </c>
    </row>
    <row r="1959" spans="1:12" x14ac:dyDescent="0.25">
      <c r="A1959">
        <v>3673</v>
      </c>
      <c r="B1959">
        <v>101.43683</v>
      </c>
      <c r="C1959">
        <v>101.43683</v>
      </c>
      <c r="D1959">
        <v>0</v>
      </c>
      <c r="E1959">
        <v>576.26202179999996</v>
      </c>
      <c r="F1959" s="1">
        <v>1.2699999999999999E-2</v>
      </c>
      <c r="H1959">
        <v>3673</v>
      </c>
      <c r="I1959" t="str">
        <f t="shared" si="60"/>
        <v>YES</v>
      </c>
      <c r="J1959" t="s">
        <v>1965</v>
      </c>
      <c r="K1959">
        <v>1840746.1701700001</v>
      </c>
      <c r="L1959">
        <f t="shared" si="61"/>
        <v>0</v>
      </c>
    </row>
    <row r="1960" spans="1:12" x14ac:dyDescent="0.25">
      <c r="A1960">
        <v>3674</v>
      </c>
      <c r="B1960">
        <v>46.282250329999997</v>
      </c>
      <c r="C1960">
        <v>46.282250329999997</v>
      </c>
      <c r="D1960">
        <v>0</v>
      </c>
      <c r="E1960">
        <v>239.79062350000001</v>
      </c>
      <c r="F1960" s="1">
        <v>2.4199999999999998E-3</v>
      </c>
      <c r="H1960">
        <v>3674</v>
      </c>
      <c r="I1960" t="str">
        <f t="shared" si="60"/>
        <v>YES</v>
      </c>
      <c r="J1960" t="s">
        <v>1966</v>
      </c>
      <c r="K1960">
        <v>1448990.1362999999</v>
      </c>
      <c r="L1960">
        <f t="shared" si="61"/>
        <v>0</v>
      </c>
    </row>
    <row r="1961" spans="1:12" x14ac:dyDescent="0.25">
      <c r="A1961">
        <v>3675</v>
      </c>
      <c r="B1961">
        <v>62.716114519999998</v>
      </c>
      <c r="C1961">
        <v>62.716114519999998</v>
      </c>
      <c r="D1961">
        <v>0</v>
      </c>
      <c r="E1961">
        <v>276.52731560000001</v>
      </c>
      <c r="F1961" s="1">
        <v>3.7799999999999999E-3</v>
      </c>
      <c r="H1961">
        <v>3675</v>
      </c>
      <c r="I1961" t="str">
        <f t="shared" si="60"/>
        <v>YES</v>
      </c>
      <c r="J1961" t="s">
        <v>1967</v>
      </c>
      <c r="K1961">
        <v>1963485.99868</v>
      </c>
      <c r="L1961">
        <f t="shared" si="61"/>
        <v>0</v>
      </c>
    </row>
    <row r="1962" spans="1:12" x14ac:dyDescent="0.25">
      <c r="A1962">
        <v>3676</v>
      </c>
      <c r="B1962">
        <v>89.388575700000004</v>
      </c>
      <c r="C1962">
        <v>89.388575700000004</v>
      </c>
      <c r="D1962">
        <v>0</v>
      </c>
      <c r="E1962">
        <v>1267.384462</v>
      </c>
      <c r="F1962" s="1">
        <v>2.47E-2</v>
      </c>
      <c r="H1962">
        <v>3676</v>
      </c>
      <c r="I1962" t="str">
        <f t="shared" si="60"/>
        <v>YES</v>
      </c>
      <c r="J1962" t="s">
        <v>1968</v>
      </c>
      <c r="K1962">
        <v>2474032.24927</v>
      </c>
      <c r="L1962">
        <f t="shared" si="61"/>
        <v>0</v>
      </c>
    </row>
    <row r="1963" spans="1:12" x14ac:dyDescent="0.25">
      <c r="A1963">
        <v>3677</v>
      </c>
      <c r="B1963">
        <v>68.338891660000002</v>
      </c>
      <c r="C1963">
        <v>68.338891660000002</v>
      </c>
      <c r="D1963">
        <v>0</v>
      </c>
      <c r="E1963">
        <v>275.70473870000001</v>
      </c>
      <c r="F1963" s="1">
        <v>4.1000000000000003E-3</v>
      </c>
      <c r="H1963">
        <v>3677</v>
      </c>
      <c r="I1963" t="str">
        <f t="shared" si="60"/>
        <v>YES</v>
      </c>
      <c r="J1963" t="s">
        <v>1969</v>
      </c>
      <c r="K1963">
        <v>8363391.3158900002</v>
      </c>
      <c r="L1963">
        <f t="shared" si="61"/>
        <v>0</v>
      </c>
    </row>
    <row r="1964" spans="1:12" x14ac:dyDescent="0.25">
      <c r="A1964">
        <v>3678</v>
      </c>
      <c r="B1964">
        <v>249.6153391</v>
      </c>
      <c r="C1964">
        <v>249.6153391</v>
      </c>
      <c r="D1964">
        <v>0</v>
      </c>
      <c r="E1964">
        <v>129.8827565</v>
      </c>
      <c r="F1964" s="1">
        <v>7.0600000000000003E-3</v>
      </c>
      <c r="H1964">
        <v>3678</v>
      </c>
      <c r="I1964" t="str">
        <f t="shared" si="60"/>
        <v>YES</v>
      </c>
      <c r="J1964" t="s">
        <v>1970</v>
      </c>
      <c r="K1964">
        <v>3938720.8252400002</v>
      </c>
      <c r="L1964">
        <f t="shared" si="61"/>
        <v>0</v>
      </c>
    </row>
    <row r="1965" spans="1:12" x14ac:dyDescent="0.25">
      <c r="A1965">
        <v>3679</v>
      </c>
      <c r="B1965">
        <v>1052.5258799999999</v>
      </c>
      <c r="C1965">
        <v>1052.5258799999999</v>
      </c>
      <c r="D1965">
        <v>0</v>
      </c>
      <c r="E1965">
        <v>815.15818290000004</v>
      </c>
      <c r="F1965" s="1">
        <v>0.187</v>
      </c>
      <c r="H1965">
        <v>3679</v>
      </c>
      <c r="I1965" t="str">
        <f t="shared" si="60"/>
        <v>YES</v>
      </c>
      <c r="J1965" t="s">
        <v>1971</v>
      </c>
      <c r="K1965">
        <v>1993821.84397</v>
      </c>
      <c r="L1965">
        <f t="shared" si="61"/>
        <v>0</v>
      </c>
    </row>
    <row r="1966" spans="1:12" x14ac:dyDescent="0.25">
      <c r="A1966">
        <v>3680</v>
      </c>
      <c r="B1966">
        <v>797.02014359999998</v>
      </c>
      <c r="C1966">
        <v>797.02014359999998</v>
      </c>
      <c r="D1966">
        <v>0</v>
      </c>
      <c r="E1966">
        <v>64.473065099999999</v>
      </c>
      <c r="F1966" s="1">
        <v>1.12E-2</v>
      </c>
      <c r="H1966">
        <v>3680</v>
      </c>
      <c r="I1966" t="str">
        <f t="shared" si="60"/>
        <v>YES</v>
      </c>
      <c r="J1966" t="s">
        <v>1972</v>
      </c>
      <c r="K1966">
        <v>733523.73046999995</v>
      </c>
      <c r="L1966">
        <f t="shared" si="61"/>
        <v>0</v>
      </c>
    </row>
    <row r="1967" spans="1:12" x14ac:dyDescent="0.25">
      <c r="A1967">
        <v>3681</v>
      </c>
      <c r="B1967">
        <v>142.3217357</v>
      </c>
      <c r="C1967">
        <v>142.3217357</v>
      </c>
      <c r="D1967">
        <v>0</v>
      </c>
      <c r="E1967">
        <v>304.66354280000002</v>
      </c>
      <c r="F1967" s="1">
        <v>9.4400000000000005E-3</v>
      </c>
      <c r="H1967">
        <v>3681</v>
      </c>
      <c r="I1967" t="str">
        <f t="shared" si="60"/>
        <v>YES</v>
      </c>
      <c r="J1967" t="s">
        <v>1973</v>
      </c>
      <c r="K1967">
        <v>2582617.8069699998</v>
      </c>
      <c r="L1967">
        <f t="shared" si="61"/>
        <v>0</v>
      </c>
    </row>
    <row r="1968" spans="1:12" x14ac:dyDescent="0.25">
      <c r="A1968">
        <v>3682</v>
      </c>
      <c r="B1968">
        <v>286.23163579999999</v>
      </c>
      <c r="C1968">
        <v>286.23163579999999</v>
      </c>
      <c r="D1968">
        <v>0</v>
      </c>
      <c r="E1968">
        <v>591.45087790000002</v>
      </c>
      <c r="F1968" s="1">
        <v>3.6900000000000002E-2</v>
      </c>
      <c r="H1968">
        <v>3682</v>
      </c>
      <c r="I1968" t="str">
        <f t="shared" ref="I1968:I2031" si="62">IF(A1968=H1968,"YES","NO")</f>
        <v>YES</v>
      </c>
      <c r="J1968" t="s">
        <v>1974</v>
      </c>
      <c r="K1968">
        <v>10681676.011700001</v>
      </c>
      <c r="L1968">
        <f t="shared" si="61"/>
        <v>0</v>
      </c>
    </row>
    <row r="1969" spans="1:12" x14ac:dyDescent="0.25">
      <c r="A1969">
        <v>3683</v>
      </c>
      <c r="B1969">
        <v>24.657849970000001</v>
      </c>
      <c r="C1969">
        <v>24.657849970000001</v>
      </c>
      <c r="D1969">
        <v>0</v>
      </c>
      <c r="E1969">
        <v>99.528675410000005</v>
      </c>
      <c r="F1969" s="1">
        <v>5.3399999999999997E-4</v>
      </c>
      <c r="H1969">
        <v>3683</v>
      </c>
      <c r="I1969" t="str">
        <f t="shared" si="62"/>
        <v>YES</v>
      </c>
      <c r="J1969" t="s">
        <v>1975</v>
      </c>
      <c r="K1969">
        <v>3017688.9200400002</v>
      </c>
      <c r="L1969">
        <f t="shared" si="61"/>
        <v>0</v>
      </c>
    </row>
    <row r="1970" spans="1:12" x14ac:dyDescent="0.25">
      <c r="A1970">
        <v>3684</v>
      </c>
      <c r="B1970">
        <v>1299.9998000000001</v>
      </c>
      <c r="C1970">
        <v>1299.9998000000001</v>
      </c>
      <c r="D1970">
        <v>0</v>
      </c>
      <c r="E1970">
        <v>2614.5005900000001</v>
      </c>
      <c r="F1970" s="1">
        <v>0.74</v>
      </c>
      <c r="H1970">
        <v>3684</v>
      </c>
      <c r="I1970" t="str">
        <f t="shared" si="62"/>
        <v>YES</v>
      </c>
      <c r="J1970" t="s">
        <v>1976</v>
      </c>
      <c r="K1970">
        <v>1607386.6759800001</v>
      </c>
      <c r="L1970">
        <f t="shared" si="61"/>
        <v>0</v>
      </c>
    </row>
    <row r="1971" spans="1:12" x14ac:dyDescent="0.25">
      <c r="A1971">
        <v>3685</v>
      </c>
      <c r="B1971">
        <v>2276.8964040000001</v>
      </c>
      <c r="C1971">
        <v>2276.8964040000001</v>
      </c>
      <c r="D1971">
        <v>0</v>
      </c>
      <c r="E1971">
        <v>1372.4462390000001</v>
      </c>
      <c r="F1971" s="1">
        <v>0.68</v>
      </c>
      <c r="H1971">
        <v>3685</v>
      </c>
      <c r="I1971" t="str">
        <f t="shared" si="62"/>
        <v>YES</v>
      </c>
      <c r="J1971" t="s">
        <v>1977</v>
      </c>
      <c r="K1971">
        <v>1254321.71043</v>
      </c>
      <c r="L1971">
        <f t="shared" si="61"/>
        <v>0</v>
      </c>
    </row>
    <row r="1972" spans="1:12" x14ac:dyDescent="0.25">
      <c r="A1972">
        <v>3686</v>
      </c>
      <c r="B1972">
        <v>158.64519770000001</v>
      </c>
      <c r="C1972">
        <v>158.64519770000001</v>
      </c>
      <c r="D1972">
        <v>0</v>
      </c>
      <c r="E1972">
        <v>489.6151246</v>
      </c>
      <c r="F1972" s="1">
        <v>1.6899999999999998E-2</v>
      </c>
      <c r="H1972">
        <v>3686</v>
      </c>
      <c r="I1972" t="str">
        <f t="shared" si="62"/>
        <v>YES</v>
      </c>
      <c r="J1972" t="s">
        <v>1978</v>
      </c>
      <c r="K1972">
        <v>2878888.43065</v>
      </c>
      <c r="L1972">
        <f t="shared" si="61"/>
        <v>0</v>
      </c>
    </row>
    <row r="1973" spans="1:12" x14ac:dyDescent="0.25">
      <c r="A1973">
        <v>3687</v>
      </c>
      <c r="B1973">
        <v>46.901227040000002</v>
      </c>
      <c r="C1973">
        <v>46.901227040000002</v>
      </c>
      <c r="D1973">
        <v>0</v>
      </c>
      <c r="E1973">
        <v>15.86023741</v>
      </c>
      <c r="F1973" s="1">
        <v>1.6200000000000001E-4</v>
      </c>
      <c r="H1973">
        <v>3687</v>
      </c>
      <c r="I1973" t="str">
        <f t="shared" si="62"/>
        <v>YES</v>
      </c>
      <c r="J1973" t="s">
        <v>1979</v>
      </c>
      <c r="K1973">
        <v>3521436.2187600001</v>
      </c>
      <c r="L1973">
        <f t="shared" si="61"/>
        <v>0</v>
      </c>
    </row>
    <row r="1974" spans="1:12" x14ac:dyDescent="0.25">
      <c r="A1974">
        <v>3688</v>
      </c>
      <c r="B1974">
        <v>199.0197091</v>
      </c>
      <c r="C1974">
        <v>199.0197091</v>
      </c>
      <c r="D1974">
        <v>0</v>
      </c>
      <c r="E1974">
        <v>739.42624999999998</v>
      </c>
      <c r="F1974" s="1">
        <v>3.2000000000000001E-2</v>
      </c>
      <c r="H1974">
        <v>3688</v>
      </c>
      <c r="I1974" t="str">
        <f t="shared" si="62"/>
        <v>YES</v>
      </c>
      <c r="J1974" t="s">
        <v>1980</v>
      </c>
      <c r="K1974">
        <v>6226999.63246</v>
      </c>
      <c r="L1974">
        <f t="shared" si="61"/>
        <v>0</v>
      </c>
    </row>
    <row r="1975" spans="1:12" x14ac:dyDescent="0.25">
      <c r="A1975">
        <v>3689</v>
      </c>
      <c r="B1975">
        <v>1181.417361</v>
      </c>
      <c r="C1975">
        <v>1181.417361</v>
      </c>
      <c r="D1975">
        <v>0</v>
      </c>
      <c r="E1975">
        <v>12.350377050000001</v>
      </c>
      <c r="F1975" s="1">
        <v>3.1800000000000001E-3</v>
      </c>
      <c r="H1975">
        <v>3689</v>
      </c>
      <c r="I1975" t="str">
        <f t="shared" si="62"/>
        <v>YES</v>
      </c>
      <c r="J1975" t="s">
        <v>1981</v>
      </c>
      <c r="K1975">
        <v>2482463.54892</v>
      </c>
      <c r="L1975">
        <f t="shared" si="61"/>
        <v>0</v>
      </c>
    </row>
    <row r="1976" spans="1:12" x14ac:dyDescent="0.25">
      <c r="A1976">
        <v>3690</v>
      </c>
      <c r="B1976">
        <v>118.6287457</v>
      </c>
      <c r="C1976">
        <v>118.6287457</v>
      </c>
      <c r="D1976">
        <v>0</v>
      </c>
      <c r="E1976">
        <v>61.41550994</v>
      </c>
      <c r="F1976" s="1">
        <v>1.5900000000000001E-3</v>
      </c>
      <c r="H1976">
        <v>3690</v>
      </c>
      <c r="I1976" t="str">
        <f t="shared" si="62"/>
        <v>YES</v>
      </c>
      <c r="J1976" t="s">
        <v>1982</v>
      </c>
      <c r="K1976">
        <v>725934.48447400006</v>
      </c>
      <c r="L1976">
        <f t="shared" si="61"/>
        <v>0</v>
      </c>
    </row>
    <row r="1977" spans="1:12" x14ac:dyDescent="0.25">
      <c r="A1977">
        <v>3691</v>
      </c>
      <c r="B1977">
        <v>1300.7276380000001</v>
      </c>
      <c r="C1977">
        <v>1300.7276380000001</v>
      </c>
      <c r="D1977">
        <v>0</v>
      </c>
      <c r="E1977">
        <v>1519.4968469999999</v>
      </c>
      <c r="F1977" s="1">
        <v>0.43</v>
      </c>
      <c r="H1977">
        <v>3691</v>
      </c>
      <c r="I1977" t="str">
        <f t="shared" si="62"/>
        <v>YES</v>
      </c>
      <c r="J1977" t="s">
        <v>1983</v>
      </c>
      <c r="K1977">
        <v>1843824.5783599999</v>
      </c>
      <c r="L1977">
        <f t="shared" si="61"/>
        <v>0</v>
      </c>
    </row>
    <row r="1978" spans="1:12" x14ac:dyDescent="0.25">
      <c r="A1978">
        <v>3692</v>
      </c>
      <c r="B1978">
        <v>1125.818757</v>
      </c>
      <c r="C1978">
        <v>1125.818757</v>
      </c>
      <c r="D1978">
        <v>0</v>
      </c>
      <c r="E1978">
        <v>1624.0023060000001</v>
      </c>
      <c r="F1978" s="1">
        <v>0.39800000000000002</v>
      </c>
      <c r="H1978">
        <v>3692</v>
      </c>
      <c r="I1978" t="str">
        <f t="shared" si="62"/>
        <v>YES</v>
      </c>
      <c r="J1978" t="s">
        <v>1984</v>
      </c>
      <c r="K1978">
        <v>2349549.32223</v>
      </c>
      <c r="L1978">
        <f t="shared" si="61"/>
        <v>0</v>
      </c>
    </row>
    <row r="1979" spans="1:12" x14ac:dyDescent="0.25">
      <c r="A1979">
        <v>3693</v>
      </c>
      <c r="B1979">
        <v>4657.5571980000004</v>
      </c>
      <c r="C1979">
        <v>4657.5571980000004</v>
      </c>
      <c r="D1979">
        <v>0</v>
      </c>
      <c r="E1979">
        <v>7.6014826999999993E-2</v>
      </c>
      <c r="F1979" s="1">
        <v>7.7100000000000004E-5</v>
      </c>
      <c r="H1979">
        <v>3693</v>
      </c>
      <c r="I1979" t="str">
        <f t="shared" si="62"/>
        <v>YES</v>
      </c>
      <c r="J1979" t="s">
        <v>1985</v>
      </c>
      <c r="K1979">
        <v>503959.71332899999</v>
      </c>
      <c r="L1979">
        <f t="shared" si="61"/>
        <v>0</v>
      </c>
    </row>
    <row r="1980" spans="1:12" x14ac:dyDescent="0.25">
      <c r="A1980">
        <v>3694</v>
      </c>
      <c r="B1980">
        <v>4191.8429610000003</v>
      </c>
      <c r="C1980">
        <v>4191.8429610000003</v>
      </c>
      <c r="D1980">
        <v>0</v>
      </c>
      <c r="E1980">
        <v>1778.044813</v>
      </c>
      <c r="F1980" s="1">
        <v>1.62</v>
      </c>
      <c r="H1980">
        <v>3694</v>
      </c>
      <c r="I1980" t="str">
        <f t="shared" si="62"/>
        <v>YES</v>
      </c>
      <c r="J1980" t="s">
        <v>1986</v>
      </c>
      <c r="K1980">
        <v>489925.05151899997</v>
      </c>
      <c r="L1980">
        <f t="shared" si="61"/>
        <v>0</v>
      </c>
    </row>
    <row r="1981" spans="1:12" x14ac:dyDescent="0.25">
      <c r="A1981">
        <v>3708</v>
      </c>
      <c r="B1981">
        <v>895.10293360000003</v>
      </c>
      <c r="C1981">
        <v>895.10293360000003</v>
      </c>
      <c r="D1981">
        <v>0</v>
      </c>
      <c r="E1981">
        <v>3639</v>
      </c>
      <c r="F1981" s="1">
        <v>0.70899999999999996</v>
      </c>
      <c r="H1981">
        <v>3708</v>
      </c>
      <c r="I1981" t="str">
        <f t="shared" si="62"/>
        <v>YES</v>
      </c>
      <c r="J1981" t="s">
        <v>1987</v>
      </c>
      <c r="K1981">
        <v>2276826.5260000001</v>
      </c>
      <c r="L1981">
        <f t="shared" si="61"/>
        <v>0</v>
      </c>
    </row>
    <row r="1982" spans="1:12" x14ac:dyDescent="0.25">
      <c r="A1982">
        <v>3709</v>
      </c>
      <c r="B1982">
        <v>1697.3305559999999</v>
      </c>
      <c r="C1982">
        <v>1697.3305559999999</v>
      </c>
      <c r="D1982">
        <v>0</v>
      </c>
      <c r="E1982">
        <v>3629</v>
      </c>
      <c r="F1982" s="1">
        <v>1.34</v>
      </c>
      <c r="H1982">
        <v>3709</v>
      </c>
      <c r="I1982" t="str">
        <f t="shared" si="62"/>
        <v>YES</v>
      </c>
      <c r="J1982" t="s">
        <v>1988</v>
      </c>
      <c r="K1982">
        <v>1464462.92967</v>
      </c>
      <c r="L1982">
        <f t="shared" si="61"/>
        <v>0</v>
      </c>
    </row>
    <row r="1983" spans="1:12" x14ac:dyDescent="0.25">
      <c r="A1983">
        <v>3710</v>
      </c>
      <c r="B1983">
        <v>3419.6227730000001</v>
      </c>
      <c r="C1983">
        <v>3419.6227730000001</v>
      </c>
      <c r="D1983">
        <v>0</v>
      </c>
      <c r="E1983">
        <v>2836</v>
      </c>
      <c r="F1983" s="1">
        <v>2.11</v>
      </c>
      <c r="H1983">
        <v>3710</v>
      </c>
      <c r="I1983" t="str">
        <f t="shared" si="62"/>
        <v>YES</v>
      </c>
      <c r="J1983" t="s">
        <v>1989</v>
      </c>
      <c r="K1983">
        <v>685629.55335199996</v>
      </c>
      <c r="L1983">
        <f t="shared" si="61"/>
        <v>0</v>
      </c>
    </row>
    <row r="1984" spans="1:12" x14ac:dyDescent="0.25">
      <c r="A1984">
        <v>3711</v>
      </c>
      <c r="B1984">
        <v>5408.9806900000003</v>
      </c>
      <c r="C1984">
        <v>5408.9806900000003</v>
      </c>
      <c r="D1984">
        <v>0</v>
      </c>
      <c r="E1984">
        <v>3542</v>
      </c>
      <c r="F1984" s="1">
        <v>4.17</v>
      </c>
      <c r="H1984">
        <v>3711</v>
      </c>
      <c r="I1984" t="str">
        <f t="shared" si="62"/>
        <v>YES</v>
      </c>
      <c r="J1984" t="s">
        <v>1990</v>
      </c>
      <c r="K1984">
        <v>843284.82624199998</v>
      </c>
      <c r="L1984">
        <f t="shared" si="61"/>
        <v>0</v>
      </c>
    </row>
    <row r="1985" spans="1:12" x14ac:dyDescent="0.25">
      <c r="A1985">
        <v>3712</v>
      </c>
      <c r="B1985">
        <v>831.33247340000003</v>
      </c>
      <c r="C1985">
        <v>831.33247340000003</v>
      </c>
      <c r="D1985">
        <v>0</v>
      </c>
      <c r="E1985">
        <v>2623</v>
      </c>
      <c r="F1985" s="1">
        <v>0.47499999999999998</v>
      </c>
      <c r="H1985">
        <v>3712</v>
      </c>
      <c r="I1985" t="str">
        <f t="shared" si="62"/>
        <v>YES</v>
      </c>
      <c r="J1985" t="s">
        <v>1991</v>
      </c>
      <c r="K1985">
        <v>1986019.70148</v>
      </c>
      <c r="L1985">
        <f t="shared" si="61"/>
        <v>0</v>
      </c>
    </row>
    <row r="1986" spans="1:12" x14ac:dyDescent="0.25">
      <c r="A1986">
        <v>3713</v>
      </c>
      <c r="B1986">
        <v>3427.3817130000002</v>
      </c>
      <c r="C1986">
        <v>3427.3817130000002</v>
      </c>
      <c r="D1986">
        <v>0</v>
      </c>
      <c r="E1986">
        <v>3528</v>
      </c>
      <c r="F1986" s="1">
        <v>2.63</v>
      </c>
      <c r="H1986">
        <v>3713</v>
      </c>
      <c r="I1986" t="str">
        <f t="shared" si="62"/>
        <v>YES</v>
      </c>
      <c r="J1986" t="s">
        <v>1992</v>
      </c>
      <c r="K1986">
        <v>853917.41180300002</v>
      </c>
      <c r="L1986">
        <f t="shared" si="61"/>
        <v>0</v>
      </c>
    </row>
    <row r="1987" spans="1:12" x14ac:dyDescent="0.25">
      <c r="A1987">
        <v>3714</v>
      </c>
      <c r="B1987">
        <v>5329.1927859999996</v>
      </c>
      <c r="C1987">
        <v>5329.1927859999996</v>
      </c>
      <c r="D1987">
        <v>0</v>
      </c>
      <c r="E1987">
        <v>3087</v>
      </c>
      <c r="F1987" s="1">
        <v>3.58</v>
      </c>
      <c r="H1987">
        <v>3714</v>
      </c>
      <c r="I1987" t="str">
        <f t="shared" si="62"/>
        <v>YES</v>
      </c>
      <c r="J1987" t="s">
        <v>1993</v>
      </c>
      <c r="K1987">
        <v>825978.71065999998</v>
      </c>
      <c r="L1987">
        <f t="shared" ref="L1987:L2050" si="63">EXP(0.2052)*K1987*(D1987/C1987)</f>
        <v>0</v>
      </c>
    </row>
    <row r="1988" spans="1:12" x14ac:dyDescent="0.25">
      <c r="A1988">
        <v>3715</v>
      </c>
      <c r="B1988">
        <v>4625.130204</v>
      </c>
      <c r="C1988">
        <v>4625.130204</v>
      </c>
      <c r="D1988">
        <v>0</v>
      </c>
      <c r="E1988">
        <v>2329</v>
      </c>
      <c r="F1988" s="1">
        <v>2.35</v>
      </c>
      <c r="H1988">
        <v>3715</v>
      </c>
      <c r="I1988" t="str">
        <f t="shared" si="62"/>
        <v>YES</v>
      </c>
      <c r="J1988" t="s">
        <v>1994</v>
      </c>
      <c r="K1988">
        <v>617777.35919900006</v>
      </c>
      <c r="L1988">
        <f t="shared" si="63"/>
        <v>0</v>
      </c>
    </row>
    <row r="1989" spans="1:12" x14ac:dyDescent="0.25">
      <c r="A1989">
        <v>3716</v>
      </c>
      <c r="B1989">
        <v>2075.020892</v>
      </c>
      <c r="C1989">
        <v>2075.020892</v>
      </c>
      <c r="D1989">
        <v>0</v>
      </c>
      <c r="E1989">
        <v>2910</v>
      </c>
      <c r="F1989" s="1">
        <v>1.31</v>
      </c>
      <c r="H1989">
        <v>3716</v>
      </c>
      <c r="I1989" t="str">
        <f t="shared" si="62"/>
        <v>YES</v>
      </c>
      <c r="J1989" t="s">
        <v>1995</v>
      </c>
      <c r="K1989">
        <v>712467.19282</v>
      </c>
      <c r="L1989">
        <f t="shared" si="63"/>
        <v>0</v>
      </c>
    </row>
    <row r="1990" spans="1:12" x14ac:dyDescent="0.25">
      <c r="A1990">
        <v>3717</v>
      </c>
      <c r="B1990">
        <v>2403.234606</v>
      </c>
      <c r="C1990">
        <v>2403.234606</v>
      </c>
      <c r="D1990">
        <v>0</v>
      </c>
      <c r="E1990">
        <v>1674</v>
      </c>
      <c r="F1990" s="1">
        <v>0.876</v>
      </c>
      <c r="H1990">
        <v>3717</v>
      </c>
      <c r="I1990" t="str">
        <f t="shared" si="62"/>
        <v>YES</v>
      </c>
      <c r="J1990" t="s">
        <v>1996</v>
      </c>
      <c r="K1990">
        <v>828572.43138199998</v>
      </c>
      <c r="L1990">
        <f t="shared" si="63"/>
        <v>0</v>
      </c>
    </row>
    <row r="1991" spans="1:12" x14ac:dyDescent="0.25">
      <c r="A1991">
        <v>3718</v>
      </c>
      <c r="B1991">
        <v>3516.2503099999999</v>
      </c>
      <c r="C1991">
        <v>3516.2503099999999</v>
      </c>
      <c r="D1991">
        <v>0</v>
      </c>
      <c r="E1991">
        <v>3199</v>
      </c>
      <c r="F1991" s="1">
        <v>2.4500000000000002</v>
      </c>
      <c r="H1991">
        <v>3718</v>
      </c>
      <c r="I1991" t="str">
        <f t="shared" si="62"/>
        <v>YES</v>
      </c>
      <c r="J1991" t="s">
        <v>1997</v>
      </c>
      <c r="K1991">
        <v>1071025.9352599999</v>
      </c>
      <c r="L1991">
        <f t="shared" si="63"/>
        <v>0</v>
      </c>
    </row>
    <row r="1992" spans="1:12" x14ac:dyDescent="0.25">
      <c r="A1992">
        <v>3723</v>
      </c>
      <c r="B1992">
        <v>1927.583742</v>
      </c>
      <c r="C1992">
        <v>1927.583742</v>
      </c>
      <c r="D1992">
        <v>0</v>
      </c>
      <c r="E1992">
        <v>2709</v>
      </c>
      <c r="F1992" s="1">
        <v>1.1399999999999999</v>
      </c>
      <c r="H1992">
        <v>3723</v>
      </c>
      <c r="I1992" t="str">
        <f t="shared" si="62"/>
        <v>YES</v>
      </c>
      <c r="J1992" t="s">
        <v>1998</v>
      </c>
      <c r="K1992">
        <v>750285.05349700002</v>
      </c>
      <c r="L1992">
        <f t="shared" si="63"/>
        <v>0</v>
      </c>
    </row>
    <row r="1993" spans="1:12" x14ac:dyDescent="0.25">
      <c r="A1993">
        <v>3724</v>
      </c>
      <c r="B1993">
        <v>724.78127189999998</v>
      </c>
      <c r="C1993">
        <v>724.78127189999998</v>
      </c>
      <c r="D1993">
        <v>0</v>
      </c>
      <c r="E1993">
        <v>312.26344449999999</v>
      </c>
      <c r="F1993" s="1">
        <v>4.9299999999999997E-2</v>
      </c>
      <c r="H1993">
        <v>3724</v>
      </c>
      <c r="I1993" t="str">
        <f t="shared" si="62"/>
        <v>YES</v>
      </c>
      <c r="J1993" t="s">
        <v>1999</v>
      </c>
      <c r="K1993">
        <v>1839955.7209399999</v>
      </c>
      <c r="L1993">
        <f t="shared" si="63"/>
        <v>0</v>
      </c>
    </row>
    <row r="1994" spans="1:12" x14ac:dyDescent="0.25">
      <c r="A1994">
        <v>3725</v>
      </c>
      <c r="B1994">
        <v>2527.424035</v>
      </c>
      <c r="C1994">
        <v>2527.424035</v>
      </c>
      <c r="D1994">
        <v>0</v>
      </c>
      <c r="E1994">
        <v>5099.6051239999997</v>
      </c>
      <c r="F1994" s="1">
        <v>2.81</v>
      </c>
      <c r="H1994">
        <v>3725</v>
      </c>
      <c r="I1994" t="str">
        <f t="shared" si="62"/>
        <v>YES</v>
      </c>
      <c r="J1994" t="s">
        <v>2000</v>
      </c>
      <c r="K1994">
        <v>1129926.8223000001</v>
      </c>
      <c r="L1994">
        <f t="shared" si="63"/>
        <v>0</v>
      </c>
    </row>
    <row r="1995" spans="1:12" x14ac:dyDescent="0.25">
      <c r="A1995">
        <v>3726</v>
      </c>
      <c r="B1995">
        <v>1543.920664</v>
      </c>
      <c r="C1995">
        <v>1543.920664</v>
      </c>
      <c r="D1995">
        <v>0</v>
      </c>
      <c r="E1995">
        <v>1673</v>
      </c>
      <c r="F1995" s="1">
        <v>0.56200000000000006</v>
      </c>
      <c r="H1995">
        <v>3726</v>
      </c>
      <c r="I1995" t="str">
        <f t="shared" si="62"/>
        <v>YES</v>
      </c>
      <c r="J1995" t="s">
        <v>2001</v>
      </c>
      <c r="K1995">
        <v>701248.11107900005</v>
      </c>
      <c r="L1995">
        <f t="shared" si="63"/>
        <v>0</v>
      </c>
    </row>
    <row r="1996" spans="1:12" x14ac:dyDescent="0.25">
      <c r="A1996">
        <v>3727</v>
      </c>
      <c r="B1996">
        <v>2270.3688769999999</v>
      </c>
      <c r="C1996">
        <v>2270.3688769999999</v>
      </c>
      <c r="D1996">
        <v>0</v>
      </c>
      <c r="E1996">
        <v>2512</v>
      </c>
      <c r="F1996" s="1">
        <v>1.24</v>
      </c>
      <c r="H1996">
        <v>3727</v>
      </c>
      <c r="I1996" t="str">
        <f t="shared" si="62"/>
        <v>YES</v>
      </c>
      <c r="J1996" t="s">
        <v>2002</v>
      </c>
      <c r="K1996">
        <v>879870.71054999996</v>
      </c>
      <c r="L1996">
        <f t="shared" si="63"/>
        <v>0</v>
      </c>
    </row>
    <row r="1997" spans="1:12" x14ac:dyDescent="0.25">
      <c r="A1997">
        <v>3728</v>
      </c>
      <c r="B1997">
        <v>2390.8236350000002</v>
      </c>
      <c r="C1997">
        <v>2390.8236350000002</v>
      </c>
      <c r="D1997">
        <v>0</v>
      </c>
      <c r="E1997">
        <v>2969.516987</v>
      </c>
      <c r="F1997" s="1">
        <v>1.55</v>
      </c>
      <c r="H1997">
        <v>3728</v>
      </c>
      <c r="I1997" t="str">
        <f t="shared" si="62"/>
        <v>YES</v>
      </c>
      <c r="J1997" t="s">
        <v>2003</v>
      </c>
      <c r="K1997">
        <v>793977.08376800001</v>
      </c>
      <c r="L1997">
        <f t="shared" si="63"/>
        <v>0</v>
      </c>
    </row>
    <row r="1998" spans="1:12" x14ac:dyDescent="0.25">
      <c r="A1998">
        <v>3729</v>
      </c>
      <c r="B1998">
        <v>1706.7831650000001</v>
      </c>
      <c r="C1998">
        <v>1706.7831650000001</v>
      </c>
      <c r="D1998">
        <v>0</v>
      </c>
      <c r="E1998">
        <v>1259.150541</v>
      </c>
      <c r="F1998" s="1">
        <v>0.46800000000000003</v>
      </c>
      <c r="H1998">
        <v>3729</v>
      </c>
      <c r="I1998" t="str">
        <f t="shared" si="62"/>
        <v>YES</v>
      </c>
      <c r="J1998" t="s">
        <v>2004</v>
      </c>
      <c r="K1998">
        <v>821216.190909</v>
      </c>
      <c r="L1998">
        <f t="shared" si="63"/>
        <v>0</v>
      </c>
    </row>
    <row r="1999" spans="1:12" x14ac:dyDescent="0.25">
      <c r="A1999">
        <v>3730</v>
      </c>
      <c r="B1999">
        <v>359.9014487</v>
      </c>
      <c r="C1999">
        <v>359.9014487</v>
      </c>
      <c r="D1999">
        <v>0</v>
      </c>
      <c r="E1999">
        <v>2029.07933</v>
      </c>
      <c r="F1999" s="1">
        <v>0.159</v>
      </c>
      <c r="H1999">
        <v>3730</v>
      </c>
      <c r="I1999" t="str">
        <f t="shared" si="62"/>
        <v>YES</v>
      </c>
      <c r="J1999" t="s">
        <v>2005</v>
      </c>
      <c r="K1999">
        <v>2347516.1922599999</v>
      </c>
      <c r="L1999">
        <f t="shared" si="63"/>
        <v>0</v>
      </c>
    </row>
    <row r="2000" spans="1:12" x14ac:dyDescent="0.25">
      <c r="A2000">
        <v>3731</v>
      </c>
      <c r="B2000">
        <v>1702.3332680000001</v>
      </c>
      <c r="C2000">
        <v>1702.3332680000001</v>
      </c>
      <c r="D2000">
        <v>0</v>
      </c>
      <c r="E2000">
        <v>2173.4120509999998</v>
      </c>
      <c r="F2000" s="1">
        <v>0.80600000000000005</v>
      </c>
      <c r="H2000">
        <v>3731</v>
      </c>
      <c r="I2000" t="str">
        <f t="shared" si="62"/>
        <v>YES</v>
      </c>
      <c r="J2000" t="s">
        <v>2006</v>
      </c>
      <c r="K2000">
        <v>505147.69037700002</v>
      </c>
      <c r="L2000">
        <f t="shared" si="63"/>
        <v>0</v>
      </c>
    </row>
    <row r="2001" spans="1:12" x14ac:dyDescent="0.25">
      <c r="A2001">
        <v>3732</v>
      </c>
      <c r="B2001">
        <v>2286.9319930000001</v>
      </c>
      <c r="C2001">
        <v>2286.9319930000001</v>
      </c>
      <c r="D2001">
        <v>0</v>
      </c>
      <c r="E2001">
        <v>1682.437408</v>
      </c>
      <c r="F2001" s="1">
        <v>0.83799999999999997</v>
      </c>
      <c r="H2001">
        <v>3732</v>
      </c>
      <c r="I2001" t="str">
        <f t="shared" si="62"/>
        <v>YES</v>
      </c>
      <c r="J2001" t="s">
        <v>2007</v>
      </c>
      <c r="K2001">
        <v>461662.57429700001</v>
      </c>
      <c r="L2001">
        <f t="shared" si="63"/>
        <v>0</v>
      </c>
    </row>
    <row r="2002" spans="1:12" x14ac:dyDescent="0.25">
      <c r="A2002">
        <v>3800</v>
      </c>
      <c r="B2002">
        <v>12115.327439999999</v>
      </c>
      <c r="C2002">
        <v>12115.327439999999</v>
      </c>
      <c r="D2002">
        <v>0</v>
      </c>
      <c r="E2002">
        <v>3532.4584369999998</v>
      </c>
      <c r="F2002" s="1">
        <v>9.32</v>
      </c>
      <c r="H2002">
        <v>3800</v>
      </c>
      <c r="I2002" t="str">
        <f t="shared" si="62"/>
        <v>YES</v>
      </c>
      <c r="J2002" t="s">
        <v>2008</v>
      </c>
      <c r="K2002">
        <v>1157534.28525</v>
      </c>
      <c r="L2002">
        <f t="shared" si="63"/>
        <v>0</v>
      </c>
    </row>
    <row r="2003" spans="1:12" x14ac:dyDescent="0.25">
      <c r="A2003">
        <v>3801</v>
      </c>
      <c r="B2003">
        <v>10046.46372</v>
      </c>
      <c r="C2003">
        <v>10046.46372</v>
      </c>
      <c r="D2003">
        <v>0</v>
      </c>
      <c r="E2003">
        <v>2080.563474</v>
      </c>
      <c r="F2003" s="1">
        <v>4.55</v>
      </c>
      <c r="H2003">
        <v>3801</v>
      </c>
      <c r="I2003" t="str">
        <f t="shared" si="62"/>
        <v>YES</v>
      </c>
      <c r="J2003" t="s">
        <v>2009</v>
      </c>
      <c r="K2003">
        <v>991447.59050299996</v>
      </c>
      <c r="L2003">
        <f t="shared" si="63"/>
        <v>0</v>
      </c>
    </row>
    <row r="2004" spans="1:12" x14ac:dyDescent="0.25">
      <c r="A2004">
        <v>3802</v>
      </c>
      <c r="B2004">
        <v>4450.6611249999996</v>
      </c>
      <c r="C2004">
        <v>4450.6611249999996</v>
      </c>
      <c r="D2004">
        <v>0</v>
      </c>
      <c r="E2004">
        <v>2246.6383289999999</v>
      </c>
      <c r="F2004" s="1">
        <v>2.1800000000000002</v>
      </c>
      <c r="H2004">
        <v>3802</v>
      </c>
      <c r="I2004" t="str">
        <f t="shared" si="62"/>
        <v>YES</v>
      </c>
      <c r="J2004" t="s">
        <v>2010</v>
      </c>
      <c r="K2004">
        <v>857009.82278199994</v>
      </c>
      <c r="L2004">
        <f t="shared" si="63"/>
        <v>0</v>
      </c>
    </row>
    <row r="2005" spans="1:12" x14ac:dyDescent="0.25">
      <c r="A2005">
        <v>3803</v>
      </c>
      <c r="B2005">
        <v>3178.0593389999999</v>
      </c>
      <c r="C2005">
        <v>3178.0593389999999</v>
      </c>
      <c r="D2005">
        <v>0</v>
      </c>
      <c r="E2005">
        <v>3804.3077330000001</v>
      </c>
      <c r="F2005" s="1">
        <v>2.63</v>
      </c>
      <c r="H2005">
        <v>3803</v>
      </c>
      <c r="I2005" t="str">
        <f t="shared" si="62"/>
        <v>YES</v>
      </c>
      <c r="J2005" t="s">
        <v>2011</v>
      </c>
      <c r="K2005">
        <v>1195769.0827500001</v>
      </c>
      <c r="L2005">
        <f t="shared" si="63"/>
        <v>0</v>
      </c>
    </row>
    <row r="2006" spans="1:12" x14ac:dyDescent="0.25">
      <c r="A2006">
        <v>3804</v>
      </c>
      <c r="B2006">
        <v>1362.475269</v>
      </c>
      <c r="C2006">
        <v>1362.475269</v>
      </c>
      <c r="D2006">
        <v>0</v>
      </c>
      <c r="E2006">
        <v>4590.8131149999999</v>
      </c>
      <c r="F2006" s="1">
        <v>1.36</v>
      </c>
      <c r="H2006">
        <v>3804</v>
      </c>
      <c r="I2006" t="str">
        <f t="shared" si="62"/>
        <v>YES</v>
      </c>
      <c r="J2006" t="s">
        <v>2012</v>
      </c>
      <c r="K2006">
        <v>2277998.3916199999</v>
      </c>
      <c r="L2006">
        <f t="shared" si="63"/>
        <v>0</v>
      </c>
    </row>
    <row r="2007" spans="1:12" x14ac:dyDescent="0.25">
      <c r="A2007">
        <v>3805</v>
      </c>
      <c r="B2007">
        <v>2189.3184200000001</v>
      </c>
      <c r="C2007">
        <v>2189.3184200000001</v>
      </c>
      <c r="D2007">
        <v>0</v>
      </c>
      <c r="E2007">
        <v>0.21891321</v>
      </c>
      <c r="F2007" s="1">
        <v>1.0399999999999999E-4</v>
      </c>
      <c r="H2007">
        <v>3805</v>
      </c>
      <c r="I2007" t="str">
        <f t="shared" si="62"/>
        <v>YES</v>
      </c>
      <c r="J2007" t="s">
        <v>2013</v>
      </c>
      <c r="K2007">
        <v>579852.23080599995</v>
      </c>
      <c r="L2007">
        <f t="shared" si="63"/>
        <v>0</v>
      </c>
    </row>
    <row r="2008" spans="1:12" x14ac:dyDescent="0.25">
      <c r="A2008">
        <v>3808</v>
      </c>
      <c r="B2008">
        <v>374.5982649</v>
      </c>
      <c r="C2008">
        <v>374.5982649</v>
      </c>
      <c r="D2008">
        <v>0</v>
      </c>
      <c r="E2008">
        <v>3805.5906060000002</v>
      </c>
      <c r="F2008" s="1">
        <v>0.31</v>
      </c>
      <c r="H2008">
        <v>3808</v>
      </c>
      <c r="I2008" t="str">
        <f t="shared" si="62"/>
        <v>YES</v>
      </c>
      <c r="J2008" t="s">
        <v>2014</v>
      </c>
      <c r="K2008">
        <v>2295880.1244000001</v>
      </c>
      <c r="L2008">
        <f t="shared" si="63"/>
        <v>0</v>
      </c>
    </row>
    <row r="2009" spans="1:12" x14ac:dyDescent="0.25">
      <c r="A2009">
        <v>3809</v>
      </c>
      <c r="B2009">
        <v>5634.0293920000004</v>
      </c>
      <c r="C2009">
        <v>5634.0293920000004</v>
      </c>
      <c r="D2009">
        <v>0</v>
      </c>
      <c r="E2009">
        <v>2061.3355219999999</v>
      </c>
      <c r="F2009" s="1">
        <v>2.5299999999999998</v>
      </c>
      <c r="H2009">
        <v>3809</v>
      </c>
      <c r="I2009" t="str">
        <f t="shared" si="62"/>
        <v>YES</v>
      </c>
      <c r="J2009" t="s">
        <v>2015</v>
      </c>
      <c r="K2009">
        <v>716612.40064300003</v>
      </c>
      <c r="L2009">
        <f t="shared" si="63"/>
        <v>0</v>
      </c>
    </row>
    <row r="2010" spans="1:12" x14ac:dyDescent="0.25">
      <c r="A2010">
        <v>3810</v>
      </c>
      <c r="B2010">
        <v>4924.8656730000002</v>
      </c>
      <c r="C2010">
        <v>4924.8656730000002</v>
      </c>
      <c r="D2010">
        <v>0</v>
      </c>
      <c r="E2010">
        <v>107.0451747</v>
      </c>
      <c r="F2010" s="1">
        <v>0.115</v>
      </c>
      <c r="H2010">
        <v>3810</v>
      </c>
      <c r="I2010" t="str">
        <f t="shared" si="62"/>
        <v>YES</v>
      </c>
      <c r="J2010" t="s">
        <v>2016</v>
      </c>
      <c r="K2010">
        <v>2398388.4713099999</v>
      </c>
      <c r="L2010">
        <f t="shared" si="63"/>
        <v>0</v>
      </c>
    </row>
    <row r="2011" spans="1:12" x14ac:dyDescent="0.25">
      <c r="A2011">
        <v>3811</v>
      </c>
      <c r="B2011">
        <v>16383.806930000001</v>
      </c>
      <c r="C2011">
        <v>16383.806930000001</v>
      </c>
      <c r="D2011">
        <v>0</v>
      </c>
      <c r="E2011" s="1">
        <v>9.2100000000000003E-5</v>
      </c>
      <c r="F2011" s="1">
        <v>3.2899999999999999E-7</v>
      </c>
      <c r="H2011">
        <v>3811</v>
      </c>
      <c r="I2011" t="str">
        <f t="shared" si="62"/>
        <v>YES</v>
      </c>
      <c r="J2011" t="s">
        <v>2017</v>
      </c>
      <c r="K2011">
        <v>971879.240016</v>
      </c>
      <c r="L2011">
        <f t="shared" si="63"/>
        <v>0</v>
      </c>
    </row>
    <row r="2012" spans="1:12" x14ac:dyDescent="0.25">
      <c r="A2012">
        <v>3812</v>
      </c>
      <c r="B2012">
        <v>6039.6455429999996</v>
      </c>
      <c r="C2012">
        <v>6039.6455429999996</v>
      </c>
      <c r="D2012">
        <v>0</v>
      </c>
      <c r="E2012">
        <v>3349.4275429999998</v>
      </c>
      <c r="F2012" s="1">
        <v>4.4000000000000004</v>
      </c>
      <c r="H2012">
        <v>3812</v>
      </c>
      <c r="I2012" t="str">
        <f t="shared" si="62"/>
        <v>YES</v>
      </c>
      <c r="J2012" t="s">
        <v>2018</v>
      </c>
      <c r="K2012">
        <v>1185460.59772</v>
      </c>
      <c r="L2012">
        <f t="shared" si="63"/>
        <v>0</v>
      </c>
    </row>
    <row r="2013" spans="1:12" x14ac:dyDescent="0.25">
      <c r="A2013">
        <v>3813</v>
      </c>
      <c r="B2013">
        <v>25523.710780000001</v>
      </c>
      <c r="C2013">
        <v>25523.710780000001</v>
      </c>
      <c r="D2013">
        <v>0</v>
      </c>
      <c r="E2013">
        <v>970.40709019999997</v>
      </c>
      <c r="F2013" s="1">
        <v>5.39</v>
      </c>
      <c r="H2013">
        <v>3813</v>
      </c>
      <c r="I2013" t="str">
        <f t="shared" si="62"/>
        <v>YES</v>
      </c>
      <c r="J2013" t="s">
        <v>2019</v>
      </c>
      <c r="K2013">
        <v>302761.43749699998</v>
      </c>
      <c r="L2013">
        <f t="shared" si="63"/>
        <v>0</v>
      </c>
    </row>
    <row r="2014" spans="1:12" x14ac:dyDescent="0.25">
      <c r="A2014">
        <v>3814</v>
      </c>
      <c r="B2014">
        <v>14923.968860000001</v>
      </c>
      <c r="C2014">
        <v>14923.968860000001</v>
      </c>
      <c r="D2014">
        <v>0</v>
      </c>
      <c r="E2014">
        <v>16.385528359999999</v>
      </c>
      <c r="F2014" s="1">
        <v>5.3199999999999997E-2</v>
      </c>
      <c r="H2014">
        <v>3814</v>
      </c>
      <c r="I2014" t="str">
        <f t="shared" si="62"/>
        <v>YES</v>
      </c>
      <c r="J2014" t="s">
        <v>2020</v>
      </c>
      <c r="K2014">
        <v>886183.32234299998</v>
      </c>
      <c r="L2014">
        <f t="shared" si="63"/>
        <v>0</v>
      </c>
    </row>
    <row r="2015" spans="1:12" x14ac:dyDescent="0.25">
      <c r="A2015">
        <v>3815</v>
      </c>
      <c r="B2015">
        <v>12381.820970000001</v>
      </c>
      <c r="C2015">
        <v>12381.820970000001</v>
      </c>
      <c r="D2015">
        <v>0</v>
      </c>
      <c r="E2015">
        <v>2623.0985260000002</v>
      </c>
      <c r="F2015" s="1">
        <v>7.07</v>
      </c>
      <c r="H2015">
        <v>3815</v>
      </c>
      <c r="I2015" t="str">
        <f t="shared" si="62"/>
        <v>YES</v>
      </c>
      <c r="J2015" t="s">
        <v>2021</v>
      </c>
      <c r="K2015">
        <v>925059.82910900004</v>
      </c>
      <c r="L2015">
        <f t="shared" si="63"/>
        <v>0</v>
      </c>
    </row>
    <row r="2016" spans="1:12" x14ac:dyDescent="0.25">
      <c r="A2016">
        <v>3816</v>
      </c>
      <c r="B2016">
        <v>4534.1644500000002</v>
      </c>
      <c r="C2016">
        <v>4534.1644500000002</v>
      </c>
      <c r="D2016">
        <v>0</v>
      </c>
      <c r="E2016" s="1">
        <v>9.2100000000000003E-5</v>
      </c>
      <c r="F2016" s="1">
        <v>9.09E-8</v>
      </c>
      <c r="H2016">
        <v>3816</v>
      </c>
      <c r="I2016" t="str">
        <f t="shared" si="62"/>
        <v>YES</v>
      </c>
      <c r="J2016" t="s">
        <v>2022</v>
      </c>
      <c r="K2016">
        <v>586568.51108800003</v>
      </c>
      <c r="L2016">
        <f t="shared" si="63"/>
        <v>0</v>
      </c>
    </row>
    <row r="2017" spans="1:12" x14ac:dyDescent="0.25">
      <c r="A2017">
        <v>3817</v>
      </c>
      <c r="B2017">
        <v>597.37090420000004</v>
      </c>
      <c r="C2017">
        <v>597.37090420000004</v>
      </c>
      <c r="D2017">
        <v>0</v>
      </c>
      <c r="E2017">
        <v>4450.8597149999996</v>
      </c>
      <c r="F2017" s="1">
        <v>0.57899999999999996</v>
      </c>
      <c r="H2017">
        <v>3817</v>
      </c>
      <c r="I2017" t="str">
        <f t="shared" si="62"/>
        <v>YES</v>
      </c>
      <c r="J2017" t="s">
        <v>2023</v>
      </c>
      <c r="K2017">
        <v>2704483.8332000002</v>
      </c>
      <c r="L2017">
        <f t="shared" si="63"/>
        <v>0</v>
      </c>
    </row>
    <row r="2018" spans="1:12" x14ac:dyDescent="0.25">
      <c r="A2018">
        <v>3818</v>
      </c>
      <c r="B2018">
        <v>7305.6637179999998</v>
      </c>
      <c r="C2018">
        <v>7305.6637179999998</v>
      </c>
      <c r="D2018">
        <v>0</v>
      </c>
      <c r="E2018" s="1">
        <v>9.2100000000000003E-5</v>
      </c>
      <c r="F2018" s="1">
        <v>1.4700000000000001E-7</v>
      </c>
      <c r="H2018">
        <v>3818</v>
      </c>
      <c r="I2018" t="str">
        <f t="shared" si="62"/>
        <v>YES</v>
      </c>
      <c r="J2018" t="s">
        <v>2024</v>
      </c>
      <c r="K2018">
        <v>756465.41497599997</v>
      </c>
      <c r="L2018">
        <f t="shared" si="63"/>
        <v>0</v>
      </c>
    </row>
    <row r="2019" spans="1:12" x14ac:dyDescent="0.25">
      <c r="A2019">
        <v>3819</v>
      </c>
      <c r="B2019">
        <v>1215.768705</v>
      </c>
      <c r="C2019">
        <v>1215.768705</v>
      </c>
      <c r="D2019">
        <v>0</v>
      </c>
      <c r="E2019">
        <v>2035.850021</v>
      </c>
      <c r="F2019" s="1">
        <v>0.53900000000000003</v>
      </c>
      <c r="H2019">
        <v>3819</v>
      </c>
      <c r="I2019" t="str">
        <f t="shared" si="62"/>
        <v>YES</v>
      </c>
      <c r="J2019" t="s">
        <v>2025</v>
      </c>
      <c r="K2019">
        <v>735021.07279899996</v>
      </c>
      <c r="L2019">
        <f t="shared" si="63"/>
        <v>0</v>
      </c>
    </row>
    <row r="2020" spans="1:12" x14ac:dyDescent="0.25">
      <c r="A2020">
        <v>3822</v>
      </c>
      <c r="B2020">
        <v>1383.106663</v>
      </c>
      <c r="C2020">
        <v>1383.106663</v>
      </c>
      <c r="D2020">
        <v>0</v>
      </c>
      <c r="E2020">
        <v>3773.6521469999998</v>
      </c>
      <c r="F2020" s="1">
        <v>1.1399999999999999</v>
      </c>
      <c r="H2020">
        <v>3822</v>
      </c>
      <c r="I2020" t="str">
        <f t="shared" si="62"/>
        <v>YES</v>
      </c>
      <c r="J2020" t="s">
        <v>2026</v>
      </c>
      <c r="K2020">
        <v>1086406.8630900001</v>
      </c>
      <c r="L2020">
        <f t="shared" si="63"/>
        <v>0</v>
      </c>
    </row>
    <row r="2021" spans="1:12" x14ac:dyDescent="0.25">
      <c r="A2021">
        <v>3823</v>
      </c>
      <c r="B2021">
        <v>1076.062825</v>
      </c>
      <c r="C2021">
        <v>1076.062825</v>
      </c>
      <c r="D2021">
        <v>0</v>
      </c>
      <c r="E2021">
        <v>3615.8737430000001</v>
      </c>
      <c r="F2021" s="1">
        <v>0.84699999999999998</v>
      </c>
      <c r="H2021">
        <v>3823</v>
      </c>
      <c r="I2021" t="str">
        <f t="shared" si="62"/>
        <v>YES</v>
      </c>
      <c r="J2021" t="s">
        <v>2027</v>
      </c>
      <c r="K2021">
        <v>1814530.1021499999</v>
      </c>
      <c r="L2021">
        <f t="shared" si="63"/>
        <v>0</v>
      </c>
    </row>
    <row r="2022" spans="1:12" x14ac:dyDescent="0.25">
      <c r="A2022">
        <v>3824</v>
      </c>
      <c r="B2022">
        <v>1874.507619</v>
      </c>
      <c r="C2022">
        <v>1874.507619</v>
      </c>
      <c r="D2022">
        <v>0</v>
      </c>
      <c r="E2022">
        <v>1.0092800000000001E-4</v>
      </c>
      <c r="F2022" s="1">
        <v>4.1199999999999998E-8</v>
      </c>
      <c r="H2022">
        <v>3824</v>
      </c>
      <c r="I2022" t="str">
        <f t="shared" si="62"/>
        <v>YES</v>
      </c>
      <c r="J2022" t="s">
        <v>2028</v>
      </c>
      <c r="K2022">
        <v>5149644.2004199997</v>
      </c>
      <c r="L2022">
        <f t="shared" si="63"/>
        <v>0</v>
      </c>
    </row>
    <row r="2023" spans="1:12" x14ac:dyDescent="0.25">
      <c r="A2023">
        <v>3825</v>
      </c>
      <c r="B2023">
        <v>1269.197492</v>
      </c>
      <c r="C2023">
        <v>1269.197492</v>
      </c>
      <c r="D2023">
        <v>0</v>
      </c>
      <c r="E2023">
        <v>3824.5923330000001</v>
      </c>
      <c r="F2023" s="1">
        <v>1.06</v>
      </c>
      <c r="H2023">
        <v>3825</v>
      </c>
      <c r="I2023" t="str">
        <f t="shared" si="62"/>
        <v>YES</v>
      </c>
      <c r="J2023" t="s">
        <v>2029</v>
      </c>
      <c r="K2023">
        <v>1242953.5782900001</v>
      </c>
      <c r="L2023">
        <f t="shared" si="63"/>
        <v>0</v>
      </c>
    </row>
    <row r="2024" spans="1:12" x14ac:dyDescent="0.25">
      <c r="A2024">
        <v>3826</v>
      </c>
      <c r="B2024">
        <v>460.27553219999999</v>
      </c>
      <c r="C2024">
        <v>460.27553219999999</v>
      </c>
      <c r="D2024">
        <v>0</v>
      </c>
      <c r="E2024">
        <v>1719.0542230000001</v>
      </c>
      <c r="F2024" s="1">
        <v>0.17199999999999999</v>
      </c>
      <c r="H2024">
        <v>3826</v>
      </c>
      <c r="I2024" t="str">
        <f t="shared" si="62"/>
        <v>YES</v>
      </c>
      <c r="J2024" t="s">
        <v>2030</v>
      </c>
      <c r="K2024">
        <v>1727087.2283399999</v>
      </c>
      <c r="L2024">
        <f t="shared" si="63"/>
        <v>0</v>
      </c>
    </row>
    <row r="2025" spans="1:12" x14ac:dyDescent="0.25">
      <c r="A2025">
        <v>3827</v>
      </c>
      <c r="B2025">
        <v>1828.342124</v>
      </c>
      <c r="C2025">
        <v>1828.342124</v>
      </c>
      <c r="D2025">
        <v>0</v>
      </c>
      <c r="E2025">
        <v>3334.4841780000002</v>
      </c>
      <c r="F2025" s="1">
        <v>1.33</v>
      </c>
      <c r="H2025">
        <v>3827</v>
      </c>
      <c r="I2025" t="str">
        <f t="shared" si="62"/>
        <v>YES</v>
      </c>
      <c r="J2025" t="s">
        <v>2031</v>
      </c>
      <c r="K2025">
        <v>1507911.81284</v>
      </c>
      <c r="L2025">
        <f t="shared" si="63"/>
        <v>0</v>
      </c>
    </row>
    <row r="2026" spans="1:12" x14ac:dyDescent="0.25">
      <c r="A2026">
        <v>3828</v>
      </c>
      <c r="B2026">
        <v>1269.197492</v>
      </c>
      <c r="C2026">
        <v>1269.197492</v>
      </c>
      <c r="D2026">
        <v>0</v>
      </c>
      <c r="E2026">
        <v>3351.7214760000002</v>
      </c>
      <c r="F2026" s="1">
        <v>0.92600000000000005</v>
      </c>
      <c r="H2026">
        <v>3828</v>
      </c>
      <c r="I2026" t="str">
        <f t="shared" si="62"/>
        <v>YES</v>
      </c>
      <c r="J2026" t="s">
        <v>2032</v>
      </c>
      <c r="K2026">
        <v>882356.24646699999</v>
      </c>
      <c r="L2026">
        <f t="shared" si="63"/>
        <v>0</v>
      </c>
    </row>
    <row r="2027" spans="1:12" x14ac:dyDescent="0.25">
      <c r="A2027">
        <v>3829</v>
      </c>
      <c r="B2027">
        <v>127.0325366</v>
      </c>
      <c r="C2027">
        <v>127.0325366</v>
      </c>
      <c r="D2027">
        <v>0</v>
      </c>
      <c r="E2027">
        <v>1155.0364649999999</v>
      </c>
      <c r="F2027" s="1">
        <v>3.1899999999999998E-2</v>
      </c>
      <c r="H2027">
        <v>3829</v>
      </c>
      <c r="I2027" t="str">
        <f t="shared" si="62"/>
        <v>YES</v>
      </c>
      <c r="J2027" t="s">
        <v>2033</v>
      </c>
      <c r="K2027">
        <v>1945129.99798</v>
      </c>
      <c r="L2027">
        <f t="shared" si="63"/>
        <v>0</v>
      </c>
    </row>
    <row r="2028" spans="1:12" x14ac:dyDescent="0.25">
      <c r="A2028">
        <v>3831</v>
      </c>
      <c r="B2028">
        <v>24096.815210000001</v>
      </c>
      <c r="C2028">
        <v>24096.815210000001</v>
      </c>
      <c r="D2028">
        <v>0</v>
      </c>
      <c r="E2028">
        <v>374.81386279999998</v>
      </c>
      <c r="F2028" s="1">
        <v>1.97</v>
      </c>
      <c r="H2028">
        <v>3831</v>
      </c>
      <c r="I2028" t="str">
        <f t="shared" si="62"/>
        <v>YES</v>
      </c>
      <c r="J2028" t="s">
        <v>2034</v>
      </c>
      <c r="K2028">
        <v>121419.07752799999</v>
      </c>
      <c r="L2028">
        <f t="shared" si="63"/>
        <v>0</v>
      </c>
    </row>
    <row r="2029" spans="1:12" x14ac:dyDescent="0.25">
      <c r="A2029">
        <v>3832</v>
      </c>
      <c r="B2029">
        <v>25195.28066</v>
      </c>
      <c r="C2029">
        <v>25195.28066</v>
      </c>
      <c r="D2029">
        <v>0</v>
      </c>
      <c r="E2029">
        <v>1766.387442</v>
      </c>
      <c r="F2029" s="1">
        <v>9.69</v>
      </c>
      <c r="H2029">
        <v>3832</v>
      </c>
      <c r="I2029" t="str">
        <f t="shared" si="62"/>
        <v>YES</v>
      </c>
      <c r="J2029" t="s">
        <v>2035</v>
      </c>
      <c r="K2029">
        <v>70694.774650199994</v>
      </c>
      <c r="L2029">
        <f t="shared" si="63"/>
        <v>0</v>
      </c>
    </row>
    <row r="2030" spans="1:12" x14ac:dyDescent="0.25">
      <c r="A2030">
        <v>3833</v>
      </c>
      <c r="B2030">
        <v>995.22965910000005</v>
      </c>
      <c r="C2030">
        <v>995.22965910000005</v>
      </c>
      <c r="D2030">
        <v>0</v>
      </c>
      <c r="E2030">
        <v>20.710865009999999</v>
      </c>
      <c r="F2030" s="1">
        <v>4.4900000000000001E-3</v>
      </c>
      <c r="H2030">
        <v>3833</v>
      </c>
      <c r="I2030" t="str">
        <f t="shared" si="62"/>
        <v>YES</v>
      </c>
      <c r="J2030" t="s">
        <v>2036</v>
      </c>
      <c r="K2030">
        <v>1387855.2764699999</v>
      </c>
      <c r="L2030">
        <f t="shared" si="63"/>
        <v>0</v>
      </c>
    </row>
    <row r="2031" spans="1:12" x14ac:dyDescent="0.25">
      <c r="A2031">
        <v>3834</v>
      </c>
      <c r="B2031">
        <v>11679.33915</v>
      </c>
      <c r="C2031">
        <v>11679.33915</v>
      </c>
      <c r="D2031">
        <v>0</v>
      </c>
      <c r="E2031">
        <v>10.964576060000001</v>
      </c>
      <c r="F2031" s="1">
        <v>2.7900000000000001E-2</v>
      </c>
      <c r="H2031">
        <v>3834</v>
      </c>
      <c r="I2031" t="str">
        <f t="shared" si="62"/>
        <v>YES</v>
      </c>
      <c r="J2031" t="s">
        <v>2037</v>
      </c>
      <c r="K2031">
        <v>488638.96591700002</v>
      </c>
      <c r="L2031">
        <f t="shared" si="63"/>
        <v>0</v>
      </c>
    </row>
    <row r="2032" spans="1:12" x14ac:dyDescent="0.25">
      <c r="A2032">
        <v>3835</v>
      </c>
      <c r="B2032">
        <v>17363.955529999999</v>
      </c>
      <c r="C2032">
        <v>17363.955529999999</v>
      </c>
      <c r="D2032">
        <v>0</v>
      </c>
      <c r="E2032">
        <v>2176.9693520000001</v>
      </c>
      <c r="F2032" s="1">
        <v>8.23</v>
      </c>
      <c r="H2032">
        <v>3835</v>
      </c>
      <c r="I2032" t="str">
        <f t="shared" ref="I2032:I2095" si="64">IF(A2032=H2032,"YES","NO")</f>
        <v>YES</v>
      </c>
      <c r="J2032" t="s">
        <v>2038</v>
      </c>
      <c r="K2032">
        <v>958448.48453699995</v>
      </c>
      <c r="L2032">
        <f t="shared" si="63"/>
        <v>0</v>
      </c>
    </row>
    <row r="2033" spans="1:12" x14ac:dyDescent="0.25">
      <c r="A2033">
        <v>3836</v>
      </c>
      <c r="B2033">
        <v>21184.141159999999</v>
      </c>
      <c r="C2033">
        <v>21184.141159999999</v>
      </c>
      <c r="D2033">
        <v>0</v>
      </c>
      <c r="E2033">
        <v>3195.5827979999999</v>
      </c>
      <c r="F2033" s="1">
        <v>14.7</v>
      </c>
      <c r="H2033">
        <v>3836</v>
      </c>
      <c r="I2033" t="str">
        <f t="shared" si="64"/>
        <v>YES</v>
      </c>
      <c r="J2033" t="s">
        <v>2039</v>
      </c>
      <c r="K2033">
        <v>984329.36944399995</v>
      </c>
      <c r="L2033">
        <f t="shared" si="63"/>
        <v>0</v>
      </c>
    </row>
    <row r="2034" spans="1:12" x14ac:dyDescent="0.25">
      <c r="A2034">
        <v>3837</v>
      </c>
      <c r="B2034">
        <v>30888.133290000002</v>
      </c>
      <c r="C2034">
        <v>30888.133290000002</v>
      </c>
      <c r="D2034">
        <v>0</v>
      </c>
      <c r="E2034">
        <v>1798.013132</v>
      </c>
      <c r="F2034" s="1">
        <v>12.1</v>
      </c>
      <c r="H2034">
        <v>3837</v>
      </c>
      <c r="I2034" t="str">
        <f t="shared" si="64"/>
        <v>YES</v>
      </c>
      <c r="J2034" t="s">
        <v>2040</v>
      </c>
      <c r="K2034">
        <v>153349.29621</v>
      </c>
      <c r="L2034">
        <f t="shared" si="63"/>
        <v>0</v>
      </c>
    </row>
    <row r="2035" spans="1:12" x14ac:dyDescent="0.25">
      <c r="A2035">
        <v>3838</v>
      </c>
      <c r="B2035">
        <v>26421.602999999999</v>
      </c>
      <c r="C2035">
        <v>26421.602999999999</v>
      </c>
      <c r="D2035">
        <v>0</v>
      </c>
      <c r="E2035">
        <v>3307.8115200000002</v>
      </c>
      <c r="F2035" s="1">
        <v>19</v>
      </c>
      <c r="H2035">
        <v>3838</v>
      </c>
      <c r="I2035" t="str">
        <f t="shared" si="64"/>
        <v>YES</v>
      </c>
      <c r="J2035" t="s">
        <v>2041</v>
      </c>
      <c r="K2035">
        <v>310043.23194899998</v>
      </c>
      <c r="L2035">
        <f t="shared" si="63"/>
        <v>0</v>
      </c>
    </row>
    <row r="2036" spans="1:12" x14ac:dyDescent="0.25">
      <c r="A2036">
        <v>3839</v>
      </c>
      <c r="B2036">
        <v>28623.94886</v>
      </c>
      <c r="C2036">
        <v>28623.94886</v>
      </c>
      <c r="D2036">
        <v>0</v>
      </c>
      <c r="E2036">
        <v>2435.8648560000001</v>
      </c>
      <c r="F2036" s="1">
        <v>15.2</v>
      </c>
      <c r="H2036">
        <v>3839</v>
      </c>
      <c r="I2036" t="str">
        <f t="shared" si="64"/>
        <v>YES</v>
      </c>
      <c r="J2036" t="s">
        <v>2042</v>
      </c>
      <c r="K2036">
        <v>277779.20431499998</v>
      </c>
      <c r="L2036">
        <f t="shared" si="63"/>
        <v>0</v>
      </c>
    </row>
    <row r="2037" spans="1:12" x14ac:dyDescent="0.25">
      <c r="A2037">
        <v>3840</v>
      </c>
      <c r="B2037">
        <v>9251.1451859999997</v>
      </c>
      <c r="C2037">
        <v>9251.1451859999997</v>
      </c>
      <c r="D2037">
        <v>0</v>
      </c>
      <c r="E2037">
        <v>278.95439119999998</v>
      </c>
      <c r="F2037" s="1">
        <v>0.56200000000000006</v>
      </c>
      <c r="H2037">
        <v>3840</v>
      </c>
      <c r="I2037" t="str">
        <f t="shared" si="64"/>
        <v>YES</v>
      </c>
      <c r="J2037" t="s">
        <v>2043</v>
      </c>
      <c r="K2037">
        <v>1354950.0125</v>
      </c>
      <c r="L2037">
        <f t="shared" si="63"/>
        <v>0</v>
      </c>
    </row>
    <row r="2038" spans="1:12" x14ac:dyDescent="0.25">
      <c r="A2038">
        <v>3841</v>
      </c>
      <c r="B2038">
        <v>31625.321489999998</v>
      </c>
      <c r="C2038">
        <v>31625.321489999998</v>
      </c>
      <c r="D2038">
        <v>0</v>
      </c>
      <c r="E2038">
        <v>159.47562110000001</v>
      </c>
      <c r="F2038" s="1">
        <v>1.1000000000000001</v>
      </c>
      <c r="H2038">
        <v>3841</v>
      </c>
      <c r="I2038" t="str">
        <f t="shared" si="64"/>
        <v>YES</v>
      </c>
      <c r="J2038" t="s">
        <v>2044</v>
      </c>
      <c r="K2038">
        <v>126269.364267</v>
      </c>
      <c r="L2038">
        <f t="shared" si="63"/>
        <v>0</v>
      </c>
    </row>
    <row r="2039" spans="1:12" x14ac:dyDescent="0.25">
      <c r="A2039">
        <v>3842</v>
      </c>
      <c r="B2039">
        <v>24190.272099999998</v>
      </c>
      <c r="C2039">
        <v>24190.272099999998</v>
      </c>
      <c r="D2039">
        <v>0</v>
      </c>
      <c r="E2039">
        <v>4104.4536209999997</v>
      </c>
      <c r="F2039" s="1">
        <v>21.6</v>
      </c>
      <c r="H2039">
        <v>3842</v>
      </c>
      <c r="I2039" t="str">
        <f t="shared" si="64"/>
        <v>YES</v>
      </c>
      <c r="J2039" t="s">
        <v>2045</v>
      </c>
      <c r="K2039">
        <v>1337247.7912999999</v>
      </c>
      <c r="L2039">
        <f t="shared" si="63"/>
        <v>0</v>
      </c>
    </row>
    <row r="2040" spans="1:12" x14ac:dyDescent="0.25">
      <c r="A2040">
        <v>3843</v>
      </c>
      <c r="B2040">
        <v>42697.353210000001</v>
      </c>
      <c r="C2040">
        <v>42697.353210000001</v>
      </c>
      <c r="D2040">
        <v>0</v>
      </c>
      <c r="E2040">
        <v>40.491202880000003</v>
      </c>
      <c r="F2040" s="1">
        <v>0.376</v>
      </c>
      <c r="H2040">
        <v>3843</v>
      </c>
      <c r="I2040" t="str">
        <f t="shared" si="64"/>
        <v>YES</v>
      </c>
      <c r="J2040" t="s">
        <v>2046</v>
      </c>
      <c r="K2040">
        <v>264876.68193600001</v>
      </c>
      <c r="L2040">
        <f t="shared" si="63"/>
        <v>0</v>
      </c>
    </row>
    <row r="2041" spans="1:12" x14ac:dyDescent="0.25">
      <c r="A2041">
        <v>3844</v>
      </c>
      <c r="B2041">
        <v>21278.181120000001</v>
      </c>
      <c r="C2041">
        <v>21278.181120000001</v>
      </c>
      <c r="D2041">
        <v>0</v>
      </c>
      <c r="E2041">
        <v>677.09753639999997</v>
      </c>
      <c r="F2041" s="1">
        <v>3.14</v>
      </c>
      <c r="H2041">
        <v>3844</v>
      </c>
      <c r="I2041" t="str">
        <f t="shared" si="64"/>
        <v>YES</v>
      </c>
      <c r="J2041" t="s">
        <v>2047</v>
      </c>
      <c r="K2041">
        <v>355453.05041199998</v>
      </c>
      <c r="L2041">
        <f t="shared" si="63"/>
        <v>0</v>
      </c>
    </row>
    <row r="2042" spans="1:12" x14ac:dyDescent="0.25">
      <c r="A2042">
        <v>3845</v>
      </c>
      <c r="B2042">
        <v>26239.868310000002</v>
      </c>
      <c r="C2042">
        <v>26239.868310000002</v>
      </c>
      <c r="D2042">
        <v>0</v>
      </c>
      <c r="E2042">
        <v>2685.926367</v>
      </c>
      <c r="F2042" s="1">
        <v>15.3</v>
      </c>
      <c r="H2042">
        <v>3845</v>
      </c>
      <c r="I2042" t="str">
        <f t="shared" si="64"/>
        <v>YES</v>
      </c>
      <c r="J2042" t="s">
        <v>2048</v>
      </c>
      <c r="K2042">
        <v>187000.316059</v>
      </c>
      <c r="L2042">
        <f t="shared" si="63"/>
        <v>0</v>
      </c>
    </row>
    <row r="2043" spans="1:12" x14ac:dyDescent="0.25">
      <c r="A2043">
        <v>3846</v>
      </c>
      <c r="B2043">
        <v>20964.764090000001</v>
      </c>
      <c r="C2043">
        <v>20964.764090000001</v>
      </c>
      <c r="D2043">
        <v>0</v>
      </c>
      <c r="E2043">
        <v>1672.195911</v>
      </c>
      <c r="F2043" s="1">
        <v>7.63</v>
      </c>
      <c r="H2043">
        <v>3846</v>
      </c>
      <c r="I2043" t="str">
        <f t="shared" si="64"/>
        <v>YES</v>
      </c>
      <c r="J2043" t="s">
        <v>2049</v>
      </c>
      <c r="K2043">
        <v>375854.12444400002</v>
      </c>
      <c r="L2043">
        <f t="shared" si="63"/>
        <v>0</v>
      </c>
    </row>
    <row r="2044" spans="1:12" x14ac:dyDescent="0.25">
      <c r="A2044">
        <v>3847</v>
      </c>
      <c r="B2044">
        <v>23175.794880000001</v>
      </c>
      <c r="C2044">
        <v>23175.794880000001</v>
      </c>
      <c r="D2044">
        <v>0</v>
      </c>
      <c r="E2044">
        <v>880.83424160000004</v>
      </c>
      <c r="F2044" s="1">
        <v>4.4400000000000004</v>
      </c>
      <c r="H2044">
        <v>3847</v>
      </c>
      <c r="I2044" t="str">
        <f t="shared" si="64"/>
        <v>YES</v>
      </c>
      <c r="J2044" t="s">
        <v>2050</v>
      </c>
      <c r="K2044">
        <v>290820.02726399997</v>
      </c>
      <c r="L2044">
        <f t="shared" si="63"/>
        <v>0</v>
      </c>
    </row>
    <row r="2045" spans="1:12" x14ac:dyDescent="0.25">
      <c r="A2045">
        <v>3848</v>
      </c>
      <c r="B2045">
        <v>44131.91805</v>
      </c>
      <c r="C2045">
        <v>44131.91805</v>
      </c>
      <c r="D2045">
        <v>0</v>
      </c>
      <c r="E2045">
        <v>1.22829E-4</v>
      </c>
      <c r="F2045" s="1">
        <v>1.1799999999999999E-6</v>
      </c>
      <c r="H2045">
        <v>3848</v>
      </c>
      <c r="I2045" t="str">
        <f t="shared" si="64"/>
        <v>YES</v>
      </c>
      <c r="J2045" t="s">
        <v>2051</v>
      </c>
      <c r="K2045">
        <v>65035.128802300002</v>
      </c>
      <c r="L2045">
        <f t="shared" si="63"/>
        <v>0</v>
      </c>
    </row>
    <row r="2046" spans="1:12" x14ac:dyDescent="0.25">
      <c r="A2046">
        <v>3849</v>
      </c>
      <c r="B2046">
        <v>1681.759323</v>
      </c>
      <c r="C2046">
        <v>1681.759323</v>
      </c>
      <c r="D2046">
        <v>0</v>
      </c>
      <c r="E2046">
        <v>1.22829E-4</v>
      </c>
      <c r="F2046" s="1">
        <v>4.4999999999999999E-8</v>
      </c>
      <c r="H2046">
        <v>3849</v>
      </c>
      <c r="I2046" t="str">
        <f t="shared" si="64"/>
        <v>YES</v>
      </c>
      <c r="J2046" t="s">
        <v>2052</v>
      </c>
      <c r="K2046">
        <v>163167.44608299999</v>
      </c>
      <c r="L2046">
        <f t="shared" si="63"/>
        <v>0</v>
      </c>
    </row>
    <row r="2047" spans="1:12" x14ac:dyDescent="0.25">
      <c r="A2047">
        <v>3850</v>
      </c>
      <c r="B2047">
        <v>28308.821240000001</v>
      </c>
      <c r="C2047">
        <v>28308.821240000001</v>
      </c>
      <c r="D2047">
        <v>0</v>
      </c>
      <c r="E2047">
        <v>2441.9999990000001</v>
      </c>
      <c r="F2047" s="1">
        <v>15.1</v>
      </c>
      <c r="H2047">
        <v>3850</v>
      </c>
      <c r="I2047" t="str">
        <f t="shared" si="64"/>
        <v>YES</v>
      </c>
      <c r="J2047" t="s">
        <v>2053</v>
      </c>
      <c r="K2047">
        <v>960910.11085900001</v>
      </c>
      <c r="L2047">
        <f t="shared" si="63"/>
        <v>0</v>
      </c>
    </row>
    <row r="2048" spans="1:12" x14ac:dyDescent="0.25">
      <c r="A2048">
        <v>3851</v>
      </c>
      <c r="B2048">
        <v>20234.06479</v>
      </c>
      <c r="C2048">
        <v>20234.06479</v>
      </c>
      <c r="D2048">
        <v>0</v>
      </c>
      <c r="E2048">
        <v>3289</v>
      </c>
      <c r="F2048" s="1">
        <v>14.5</v>
      </c>
      <c r="H2048">
        <v>3851</v>
      </c>
      <c r="I2048" t="str">
        <f t="shared" si="64"/>
        <v>YES</v>
      </c>
      <c r="J2048" t="s">
        <v>2054</v>
      </c>
      <c r="K2048">
        <v>724067.67701600003</v>
      </c>
      <c r="L2048">
        <f t="shared" si="63"/>
        <v>0</v>
      </c>
    </row>
    <row r="2049" spans="1:12" x14ac:dyDescent="0.25">
      <c r="A2049">
        <v>3852</v>
      </c>
      <c r="B2049">
        <v>10634.2865</v>
      </c>
      <c r="C2049">
        <v>10634.2865</v>
      </c>
      <c r="D2049">
        <v>0</v>
      </c>
      <c r="E2049">
        <v>2.5650052250000002</v>
      </c>
      <c r="F2049" s="1">
        <v>5.94E-3</v>
      </c>
      <c r="H2049">
        <v>3852</v>
      </c>
      <c r="I2049" t="str">
        <f t="shared" si="64"/>
        <v>YES</v>
      </c>
      <c r="J2049" t="s">
        <v>2055</v>
      </c>
      <c r="K2049">
        <v>741183.25731699995</v>
      </c>
      <c r="L2049">
        <f t="shared" si="63"/>
        <v>0</v>
      </c>
    </row>
    <row r="2050" spans="1:12" x14ac:dyDescent="0.25">
      <c r="A2050">
        <v>3853</v>
      </c>
      <c r="B2050">
        <v>5529.5185149999998</v>
      </c>
      <c r="C2050">
        <v>5529.5185149999998</v>
      </c>
      <c r="D2050">
        <v>0</v>
      </c>
      <c r="E2050">
        <v>2451.6546990000002</v>
      </c>
      <c r="F2050" s="1">
        <v>2.95</v>
      </c>
      <c r="H2050">
        <v>3853</v>
      </c>
      <c r="I2050" t="str">
        <f t="shared" si="64"/>
        <v>YES</v>
      </c>
      <c r="J2050" t="s">
        <v>2056</v>
      </c>
      <c r="K2050">
        <v>789643.07392500003</v>
      </c>
      <c r="L2050">
        <f t="shared" si="63"/>
        <v>0</v>
      </c>
    </row>
    <row r="2051" spans="1:12" x14ac:dyDescent="0.25">
      <c r="A2051">
        <v>3854</v>
      </c>
      <c r="B2051">
        <v>2700.9635830000002</v>
      </c>
      <c r="C2051">
        <v>2700.9635830000002</v>
      </c>
      <c r="D2051">
        <v>0</v>
      </c>
      <c r="E2051">
        <v>24.024479209999999</v>
      </c>
      <c r="F2051" s="1">
        <v>1.41E-2</v>
      </c>
      <c r="H2051">
        <v>3854</v>
      </c>
      <c r="I2051" t="str">
        <f t="shared" si="64"/>
        <v>YES</v>
      </c>
      <c r="J2051" t="s">
        <v>2057</v>
      </c>
      <c r="K2051">
        <v>1994406.5005300001</v>
      </c>
      <c r="L2051">
        <f t="shared" ref="L2051:L2114" si="65">EXP(0.2052)*K2051*(D2051/C2051)</f>
        <v>0</v>
      </c>
    </row>
    <row r="2052" spans="1:12" x14ac:dyDescent="0.25">
      <c r="A2052">
        <v>3855</v>
      </c>
      <c r="B2052">
        <v>7856.2137640000001</v>
      </c>
      <c r="C2052">
        <v>7856.2137640000001</v>
      </c>
      <c r="D2052">
        <v>0</v>
      </c>
      <c r="E2052">
        <v>17.95507868</v>
      </c>
      <c r="F2052" s="1">
        <v>3.0700000000000002E-2</v>
      </c>
      <c r="H2052">
        <v>3855</v>
      </c>
      <c r="I2052" t="str">
        <f t="shared" si="64"/>
        <v>YES</v>
      </c>
      <c r="J2052" t="s">
        <v>2058</v>
      </c>
      <c r="K2052">
        <v>2116991.01859</v>
      </c>
      <c r="L2052">
        <f t="shared" si="65"/>
        <v>0</v>
      </c>
    </row>
    <row r="2053" spans="1:12" x14ac:dyDescent="0.25">
      <c r="A2053">
        <v>3856</v>
      </c>
      <c r="B2053">
        <v>10633.795179999999</v>
      </c>
      <c r="C2053">
        <v>10633.795179999999</v>
      </c>
      <c r="D2053">
        <v>0</v>
      </c>
      <c r="E2053">
        <v>3848.3453020000002</v>
      </c>
      <c r="F2053" s="1">
        <v>8.91</v>
      </c>
      <c r="H2053">
        <v>3856</v>
      </c>
      <c r="I2053" t="str">
        <f t="shared" si="64"/>
        <v>YES</v>
      </c>
      <c r="J2053" t="s">
        <v>2059</v>
      </c>
      <c r="K2053">
        <v>985440.23039399995</v>
      </c>
      <c r="L2053">
        <f t="shared" si="65"/>
        <v>0</v>
      </c>
    </row>
    <row r="2054" spans="1:12" x14ac:dyDescent="0.25">
      <c r="A2054">
        <v>3857</v>
      </c>
      <c r="B2054">
        <v>3821.840447</v>
      </c>
      <c r="C2054">
        <v>3821.840447</v>
      </c>
      <c r="D2054">
        <v>0</v>
      </c>
      <c r="E2054">
        <v>2491.3421130000002</v>
      </c>
      <c r="F2054" s="1">
        <v>2.0699999999999998</v>
      </c>
      <c r="H2054">
        <v>3857</v>
      </c>
      <c r="I2054" t="str">
        <f t="shared" si="64"/>
        <v>YES</v>
      </c>
      <c r="J2054" t="s">
        <v>2060</v>
      </c>
      <c r="K2054">
        <v>626215.99083300005</v>
      </c>
      <c r="L2054">
        <f t="shared" si="65"/>
        <v>0</v>
      </c>
    </row>
    <row r="2055" spans="1:12" x14ac:dyDescent="0.25">
      <c r="A2055">
        <v>3858</v>
      </c>
      <c r="B2055">
        <v>3741.1863370000001</v>
      </c>
      <c r="C2055">
        <v>3741.1863370000001</v>
      </c>
      <c r="D2055">
        <v>0</v>
      </c>
      <c r="E2055">
        <v>1943.065955</v>
      </c>
      <c r="F2055" s="1">
        <v>1.58</v>
      </c>
      <c r="H2055">
        <v>3858</v>
      </c>
      <c r="I2055" t="str">
        <f t="shared" si="64"/>
        <v>YES</v>
      </c>
      <c r="J2055" t="s">
        <v>2061</v>
      </c>
      <c r="K2055">
        <v>670176.51635499997</v>
      </c>
      <c r="L2055">
        <f t="shared" si="65"/>
        <v>0</v>
      </c>
    </row>
    <row r="2056" spans="1:12" x14ac:dyDescent="0.25">
      <c r="A2056">
        <v>3859</v>
      </c>
      <c r="B2056">
        <v>3407.2827579999998</v>
      </c>
      <c r="C2056">
        <v>3407.2827579999998</v>
      </c>
      <c r="D2056">
        <v>0</v>
      </c>
      <c r="E2056">
        <v>2660.7020640000001</v>
      </c>
      <c r="F2056" s="1">
        <v>1.97</v>
      </c>
      <c r="H2056">
        <v>3859</v>
      </c>
      <c r="I2056" t="str">
        <f t="shared" si="64"/>
        <v>YES</v>
      </c>
      <c r="J2056" t="s">
        <v>2062</v>
      </c>
      <c r="K2056">
        <v>769670.77364100004</v>
      </c>
      <c r="L2056">
        <f t="shared" si="65"/>
        <v>0</v>
      </c>
    </row>
    <row r="2057" spans="1:12" x14ac:dyDescent="0.25">
      <c r="A2057">
        <v>3860</v>
      </c>
      <c r="B2057">
        <v>3776.705312</v>
      </c>
      <c r="C2057">
        <v>3776.705312</v>
      </c>
      <c r="D2057">
        <v>0</v>
      </c>
      <c r="E2057">
        <v>2740.7833879999998</v>
      </c>
      <c r="F2057" s="1">
        <v>2.25</v>
      </c>
      <c r="H2057">
        <v>3860</v>
      </c>
      <c r="I2057" t="str">
        <f t="shared" si="64"/>
        <v>YES</v>
      </c>
      <c r="J2057" t="s">
        <v>2063</v>
      </c>
      <c r="K2057">
        <v>979333.68427500001</v>
      </c>
      <c r="L2057">
        <f t="shared" si="65"/>
        <v>0</v>
      </c>
    </row>
    <row r="2058" spans="1:12" x14ac:dyDescent="0.25">
      <c r="A2058">
        <v>3861</v>
      </c>
      <c r="B2058">
        <v>1587.370739</v>
      </c>
      <c r="C2058">
        <v>1587.370739</v>
      </c>
      <c r="D2058">
        <v>0</v>
      </c>
      <c r="E2058">
        <v>2792.0123309999999</v>
      </c>
      <c r="F2058" s="1">
        <v>0.96499999999999997</v>
      </c>
      <c r="H2058">
        <v>3861</v>
      </c>
      <c r="I2058" t="str">
        <f t="shared" si="64"/>
        <v>YES</v>
      </c>
      <c r="J2058" t="s">
        <v>2064</v>
      </c>
      <c r="K2058">
        <v>578118.27492999996</v>
      </c>
      <c r="L2058">
        <f t="shared" si="65"/>
        <v>0</v>
      </c>
    </row>
    <row r="2059" spans="1:12" x14ac:dyDescent="0.25">
      <c r="A2059">
        <v>3862</v>
      </c>
      <c r="B2059">
        <v>1351.889893</v>
      </c>
      <c r="C2059">
        <v>1351.889893</v>
      </c>
      <c r="D2059">
        <v>0</v>
      </c>
      <c r="E2059">
        <v>3200.157228</v>
      </c>
      <c r="F2059" s="1">
        <v>0.94199999999999995</v>
      </c>
      <c r="H2059">
        <v>3862</v>
      </c>
      <c r="I2059" t="str">
        <f t="shared" si="64"/>
        <v>YES</v>
      </c>
      <c r="J2059" t="s">
        <v>2065</v>
      </c>
      <c r="K2059">
        <v>739360.834806</v>
      </c>
      <c r="L2059">
        <f t="shared" si="65"/>
        <v>0</v>
      </c>
    </row>
    <row r="2060" spans="1:12" x14ac:dyDescent="0.25">
      <c r="A2060">
        <v>3863</v>
      </c>
      <c r="B2060">
        <v>1563.154129</v>
      </c>
      <c r="C2060">
        <v>1563.154129</v>
      </c>
      <c r="D2060">
        <v>0</v>
      </c>
      <c r="E2060">
        <v>1872.4651710000001</v>
      </c>
      <c r="F2060" s="1">
        <v>0.63700000000000001</v>
      </c>
      <c r="H2060">
        <v>3863</v>
      </c>
      <c r="I2060" t="str">
        <f t="shared" si="64"/>
        <v>YES</v>
      </c>
      <c r="J2060" t="s">
        <v>2066</v>
      </c>
      <c r="K2060">
        <v>1791011.94723</v>
      </c>
      <c r="L2060">
        <f t="shared" si="65"/>
        <v>0</v>
      </c>
    </row>
    <row r="2061" spans="1:12" x14ac:dyDescent="0.25">
      <c r="A2061">
        <v>3864</v>
      </c>
      <c r="B2061">
        <v>2030.0617520000001</v>
      </c>
      <c r="C2061">
        <v>2030.0617520000001</v>
      </c>
      <c r="D2061">
        <v>0</v>
      </c>
      <c r="E2061">
        <v>262.73695939999999</v>
      </c>
      <c r="F2061" s="1">
        <v>0.11600000000000001</v>
      </c>
      <c r="H2061">
        <v>3864</v>
      </c>
      <c r="I2061" t="str">
        <f t="shared" si="64"/>
        <v>YES</v>
      </c>
      <c r="J2061" t="s">
        <v>2067</v>
      </c>
      <c r="K2061">
        <v>515266.47331999999</v>
      </c>
      <c r="L2061">
        <f t="shared" si="65"/>
        <v>0</v>
      </c>
    </row>
    <row r="2062" spans="1:12" x14ac:dyDescent="0.25">
      <c r="A2062">
        <v>3865</v>
      </c>
      <c r="B2062">
        <v>256.10979079999998</v>
      </c>
      <c r="C2062">
        <v>256.10979079999998</v>
      </c>
      <c r="D2062">
        <v>0</v>
      </c>
      <c r="E2062">
        <v>43.477710809999998</v>
      </c>
      <c r="F2062" s="1">
        <v>2.4199999999999998E-3</v>
      </c>
      <c r="H2062">
        <v>3865</v>
      </c>
      <c r="I2062" t="str">
        <f t="shared" si="64"/>
        <v>YES</v>
      </c>
      <c r="J2062" t="s">
        <v>2068</v>
      </c>
      <c r="K2062">
        <v>935077.57479500002</v>
      </c>
      <c r="L2062">
        <f t="shared" si="65"/>
        <v>0</v>
      </c>
    </row>
    <row r="2063" spans="1:12" x14ac:dyDescent="0.25">
      <c r="A2063">
        <v>3866</v>
      </c>
      <c r="B2063">
        <v>30920.274399999998</v>
      </c>
      <c r="C2063">
        <v>30920.274399999998</v>
      </c>
      <c r="D2063">
        <v>0</v>
      </c>
      <c r="E2063">
        <v>735.08702310000001</v>
      </c>
      <c r="F2063" s="1">
        <v>4.95</v>
      </c>
      <c r="H2063">
        <v>3866</v>
      </c>
      <c r="I2063" t="str">
        <f t="shared" si="64"/>
        <v>YES</v>
      </c>
      <c r="J2063" t="s">
        <v>2069</v>
      </c>
      <c r="K2063">
        <v>215269.56425200001</v>
      </c>
      <c r="L2063">
        <f t="shared" si="65"/>
        <v>0</v>
      </c>
    </row>
    <row r="2064" spans="1:12" x14ac:dyDescent="0.25">
      <c r="A2064">
        <v>3867</v>
      </c>
      <c r="B2064">
        <v>28247.463919999998</v>
      </c>
      <c r="C2064">
        <v>28247.463919999998</v>
      </c>
      <c r="D2064">
        <v>0</v>
      </c>
      <c r="E2064">
        <v>3888.6227530000001</v>
      </c>
      <c r="F2064" s="1">
        <v>23.9</v>
      </c>
      <c r="H2064">
        <v>3867</v>
      </c>
      <c r="I2064" t="str">
        <f t="shared" si="64"/>
        <v>YES</v>
      </c>
      <c r="J2064" t="s">
        <v>2070</v>
      </c>
      <c r="K2064">
        <v>342983.58078999998</v>
      </c>
      <c r="L2064">
        <f t="shared" si="65"/>
        <v>0</v>
      </c>
    </row>
    <row r="2065" spans="1:12" x14ac:dyDescent="0.25">
      <c r="A2065">
        <v>3868</v>
      </c>
      <c r="B2065">
        <v>23895.590270000001</v>
      </c>
      <c r="C2065">
        <v>23895.590270000001</v>
      </c>
      <c r="D2065">
        <v>0</v>
      </c>
      <c r="E2065">
        <v>1579.2484919999999</v>
      </c>
      <c r="F2065" s="1">
        <v>8.2200000000000006</v>
      </c>
      <c r="H2065">
        <v>3868</v>
      </c>
      <c r="I2065" t="str">
        <f t="shared" si="64"/>
        <v>YES</v>
      </c>
      <c r="J2065" t="s">
        <v>2071</v>
      </c>
      <c r="K2065">
        <v>172413.06614700001</v>
      </c>
      <c r="L2065">
        <f t="shared" si="65"/>
        <v>0</v>
      </c>
    </row>
    <row r="2066" spans="1:12" x14ac:dyDescent="0.25">
      <c r="A2066">
        <v>3869</v>
      </c>
      <c r="B2066">
        <v>23103.88855</v>
      </c>
      <c r="C2066">
        <v>23103.88855</v>
      </c>
      <c r="D2066">
        <v>0</v>
      </c>
      <c r="E2066">
        <v>2292.619271</v>
      </c>
      <c r="F2066" s="1">
        <v>11.5</v>
      </c>
      <c r="H2066">
        <v>3869</v>
      </c>
      <c r="I2066" t="str">
        <f t="shared" si="64"/>
        <v>YES</v>
      </c>
      <c r="J2066" t="s">
        <v>2072</v>
      </c>
      <c r="K2066">
        <v>685598.26447399997</v>
      </c>
      <c r="L2066">
        <f t="shared" si="65"/>
        <v>0</v>
      </c>
    </row>
    <row r="2067" spans="1:12" x14ac:dyDescent="0.25">
      <c r="A2067">
        <v>3870</v>
      </c>
      <c r="B2067">
        <v>20255.623909999998</v>
      </c>
      <c r="C2067">
        <v>20255.623909999998</v>
      </c>
      <c r="D2067">
        <v>0</v>
      </c>
      <c r="E2067">
        <v>492.87492329999998</v>
      </c>
      <c r="F2067" s="1">
        <v>2.17</v>
      </c>
      <c r="H2067">
        <v>3870</v>
      </c>
      <c r="I2067" t="str">
        <f t="shared" si="64"/>
        <v>YES</v>
      </c>
      <c r="J2067" t="s">
        <v>2073</v>
      </c>
      <c r="K2067">
        <v>259358.86245399999</v>
      </c>
      <c r="L2067">
        <f t="shared" si="65"/>
        <v>0</v>
      </c>
    </row>
    <row r="2068" spans="1:12" x14ac:dyDescent="0.25">
      <c r="A2068">
        <v>3875</v>
      </c>
      <c r="B2068">
        <v>1377.1339290000001</v>
      </c>
      <c r="C2068">
        <v>1377.1339290000001</v>
      </c>
      <c r="D2068">
        <v>0</v>
      </c>
      <c r="E2068">
        <v>179.71251860000001</v>
      </c>
      <c r="F2068" s="1">
        <v>5.3900000000000003E-2</v>
      </c>
      <c r="H2068">
        <v>3875</v>
      </c>
      <c r="I2068" t="str">
        <f t="shared" si="64"/>
        <v>YES</v>
      </c>
      <c r="J2068" t="s">
        <v>2074</v>
      </c>
      <c r="K2068">
        <v>1651266.96135</v>
      </c>
      <c r="L2068">
        <f t="shared" si="65"/>
        <v>0</v>
      </c>
    </row>
    <row r="2069" spans="1:12" x14ac:dyDescent="0.25">
      <c r="A2069">
        <v>3900</v>
      </c>
      <c r="B2069">
        <v>14347.05917</v>
      </c>
      <c r="C2069">
        <v>14347.05917</v>
      </c>
      <c r="D2069">
        <v>0</v>
      </c>
      <c r="E2069">
        <v>4229.3538630000003</v>
      </c>
      <c r="F2069" s="1">
        <v>13.2</v>
      </c>
      <c r="H2069">
        <v>3900</v>
      </c>
      <c r="I2069" t="str">
        <f t="shared" si="64"/>
        <v>YES</v>
      </c>
      <c r="J2069" t="s">
        <v>2075</v>
      </c>
      <c r="K2069">
        <v>1483757.90989</v>
      </c>
      <c r="L2069">
        <f t="shared" si="65"/>
        <v>0</v>
      </c>
    </row>
    <row r="2070" spans="1:12" x14ac:dyDescent="0.25">
      <c r="A2070">
        <v>3901</v>
      </c>
      <c r="B2070">
        <v>2496.658629</v>
      </c>
      <c r="C2070">
        <v>2496.658629</v>
      </c>
      <c r="D2070">
        <v>0</v>
      </c>
      <c r="E2070">
        <v>4261.1691170000004</v>
      </c>
      <c r="F2070" s="1">
        <v>2.3199999999999998</v>
      </c>
      <c r="H2070">
        <v>3901</v>
      </c>
      <c r="I2070" t="str">
        <f t="shared" si="64"/>
        <v>YES</v>
      </c>
      <c r="J2070" t="s">
        <v>2076</v>
      </c>
      <c r="K2070">
        <v>1195177.79737</v>
      </c>
      <c r="L2070">
        <f t="shared" si="65"/>
        <v>0</v>
      </c>
    </row>
    <row r="2071" spans="1:12" x14ac:dyDescent="0.25">
      <c r="A2071">
        <v>3902</v>
      </c>
      <c r="B2071">
        <v>17962.69702</v>
      </c>
      <c r="C2071">
        <v>17962.69702</v>
      </c>
      <c r="D2071">
        <v>0</v>
      </c>
      <c r="E2071">
        <v>4191.9796539999998</v>
      </c>
      <c r="F2071" s="1">
        <v>16.399999999999999</v>
      </c>
      <c r="H2071">
        <v>3902</v>
      </c>
      <c r="I2071" t="str">
        <f t="shared" si="64"/>
        <v>YES</v>
      </c>
      <c r="J2071" t="s">
        <v>2077</v>
      </c>
      <c r="K2071">
        <v>1067407.75181</v>
      </c>
      <c r="L2071">
        <f t="shared" si="65"/>
        <v>0</v>
      </c>
    </row>
    <row r="2072" spans="1:12" x14ac:dyDescent="0.25">
      <c r="A2072">
        <v>3903</v>
      </c>
      <c r="B2072">
        <v>26506.884709999998</v>
      </c>
      <c r="C2072">
        <v>26506.884709999998</v>
      </c>
      <c r="D2072">
        <v>0</v>
      </c>
      <c r="E2072">
        <v>3985.4973660000001</v>
      </c>
      <c r="F2072" s="1">
        <v>23</v>
      </c>
      <c r="H2072">
        <v>3903</v>
      </c>
      <c r="I2072" t="str">
        <f t="shared" si="64"/>
        <v>YES</v>
      </c>
      <c r="J2072" t="s">
        <v>2078</v>
      </c>
      <c r="K2072">
        <v>1362946.7260799999</v>
      </c>
      <c r="L2072">
        <f t="shared" si="65"/>
        <v>0</v>
      </c>
    </row>
    <row r="2073" spans="1:12" x14ac:dyDescent="0.25">
      <c r="A2073">
        <v>3905</v>
      </c>
      <c r="B2073">
        <v>6119.7901760000004</v>
      </c>
      <c r="C2073">
        <v>6119.7901760000004</v>
      </c>
      <c r="D2073">
        <v>0</v>
      </c>
      <c r="E2073">
        <v>1755.907616</v>
      </c>
      <c r="F2073" s="1">
        <v>2.34</v>
      </c>
      <c r="H2073">
        <v>3905</v>
      </c>
      <c r="I2073" t="str">
        <f t="shared" si="64"/>
        <v>YES</v>
      </c>
      <c r="J2073" t="s">
        <v>2079</v>
      </c>
      <c r="K2073">
        <v>348504.45994999999</v>
      </c>
      <c r="L2073">
        <f t="shared" si="65"/>
        <v>0</v>
      </c>
    </row>
    <row r="2074" spans="1:12" x14ac:dyDescent="0.25">
      <c r="A2074">
        <v>3906</v>
      </c>
      <c r="B2074">
        <v>19262.578249999999</v>
      </c>
      <c r="C2074">
        <v>19262.578249999999</v>
      </c>
      <c r="D2074">
        <v>0</v>
      </c>
      <c r="E2074">
        <v>1445.266024</v>
      </c>
      <c r="F2074" s="1">
        <v>6.06</v>
      </c>
      <c r="H2074">
        <v>3906</v>
      </c>
      <c r="I2074" t="str">
        <f t="shared" si="64"/>
        <v>YES</v>
      </c>
      <c r="J2074" t="s">
        <v>2080</v>
      </c>
      <c r="K2074">
        <v>640646.27108800004</v>
      </c>
      <c r="L2074">
        <f t="shared" si="65"/>
        <v>0</v>
      </c>
    </row>
    <row r="2075" spans="1:12" x14ac:dyDescent="0.25">
      <c r="A2075">
        <v>3907</v>
      </c>
      <c r="B2075">
        <v>1496.362474</v>
      </c>
      <c r="C2075">
        <v>1496.362474</v>
      </c>
      <c r="D2075">
        <v>0</v>
      </c>
      <c r="E2075">
        <v>3309.0212219999999</v>
      </c>
      <c r="F2075" s="1">
        <v>1.08</v>
      </c>
      <c r="H2075">
        <v>3907</v>
      </c>
      <c r="I2075" t="str">
        <f t="shared" si="64"/>
        <v>YES</v>
      </c>
      <c r="J2075" t="s">
        <v>2081</v>
      </c>
      <c r="K2075">
        <v>1340275.04</v>
      </c>
      <c r="L2075">
        <f t="shared" si="65"/>
        <v>0</v>
      </c>
    </row>
    <row r="2076" spans="1:12" x14ac:dyDescent="0.25">
      <c r="A2076">
        <v>3908</v>
      </c>
      <c r="B2076">
        <v>2235.5364209999998</v>
      </c>
      <c r="C2076">
        <v>2235.5364209999998</v>
      </c>
      <c r="D2076">
        <v>0</v>
      </c>
      <c r="E2076">
        <v>3411.9892880000002</v>
      </c>
      <c r="F2076" s="1">
        <v>1.66</v>
      </c>
      <c r="H2076">
        <v>3908</v>
      </c>
      <c r="I2076" t="str">
        <f t="shared" si="64"/>
        <v>YES</v>
      </c>
      <c r="J2076" t="s">
        <v>2082</v>
      </c>
      <c r="K2076">
        <v>789203.54911300004</v>
      </c>
      <c r="L2076">
        <f t="shared" si="65"/>
        <v>0</v>
      </c>
    </row>
    <row r="2077" spans="1:12" x14ac:dyDescent="0.25">
      <c r="A2077">
        <v>3909</v>
      </c>
      <c r="B2077">
        <v>6305.8558810000004</v>
      </c>
      <c r="C2077">
        <v>6305.8558810000004</v>
      </c>
      <c r="D2077">
        <v>0</v>
      </c>
      <c r="E2077">
        <v>1868.8784470000001</v>
      </c>
      <c r="F2077" s="1">
        <v>2.57</v>
      </c>
      <c r="H2077">
        <v>3909</v>
      </c>
      <c r="I2077" t="str">
        <f t="shared" si="64"/>
        <v>YES</v>
      </c>
      <c r="J2077" t="s">
        <v>2083</v>
      </c>
      <c r="K2077">
        <v>677073.38189299998</v>
      </c>
      <c r="L2077">
        <f t="shared" si="65"/>
        <v>0</v>
      </c>
    </row>
    <row r="2078" spans="1:12" x14ac:dyDescent="0.25">
      <c r="A2078">
        <v>3910</v>
      </c>
      <c r="B2078">
        <v>3600.873623</v>
      </c>
      <c r="C2078">
        <v>3600.873623</v>
      </c>
      <c r="D2078">
        <v>0</v>
      </c>
      <c r="E2078">
        <v>2726.0054639999998</v>
      </c>
      <c r="F2078" s="1">
        <v>2.14</v>
      </c>
      <c r="H2078">
        <v>3910</v>
      </c>
      <c r="I2078" t="str">
        <f t="shared" si="64"/>
        <v>YES</v>
      </c>
      <c r="J2078" t="s">
        <v>2084</v>
      </c>
      <c r="K2078">
        <v>607065.17950299999</v>
      </c>
      <c r="L2078">
        <f t="shared" si="65"/>
        <v>0</v>
      </c>
    </row>
    <row r="2079" spans="1:12" x14ac:dyDescent="0.25">
      <c r="A2079">
        <v>3911</v>
      </c>
      <c r="B2079">
        <v>1370.306225</v>
      </c>
      <c r="C2079">
        <v>1370.306225</v>
      </c>
      <c r="D2079">
        <v>0</v>
      </c>
      <c r="E2079">
        <v>1344.03343</v>
      </c>
      <c r="F2079" s="1">
        <v>0.40100000000000002</v>
      </c>
      <c r="H2079">
        <v>3911</v>
      </c>
      <c r="I2079" t="str">
        <f t="shared" si="64"/>
        <v>YES</v>
      </c>
      <c r="J2079" t="s">
        <v>2085</v>
      </c>
      <c r="K2079">
        <v>398681.00746400002</v>
      </c>
      <c r="L2079">
        <f t="shared" si="65"/>
        <v>0</v>
      </c>
    </row>
    <row r="2080" spans="1:12" x14ac:dyDescent="0.25">
      <c r="A2080">
        <v>3912</v>
      </c>
      <c r="B2080">
        <v>3930.8213000000001</v>
      </c>
      <c r="C2080">
        <v>3930.8213000000001</v>
      </c>
      <c r="D2080">
        <v>0</v>
      </c>
      <c r="E2080">
        <v>3118.9340769999999</v>
      </c>
      <c r="F2080" s="1">
        <v>2.67</v>
      </c>
      <c r="H2080">
        <v>3912</v>
      </c>
      <c r="I2080" t="str">
        <f t="shared" si="64"/>
        <v>YES</v>
      </c>
      <c r="J2080" t="s">
        <v>2086</v>
      </c>
      <c r="K2080">
        <v>895988.61638699996</v>
      </c>
      <c r="L2080">
        <f t="shared" si="65"/>
        <v>0</v>
      </c>
    </row>
    <row r="2081" spans="1:12" x14ac:dyDescent="0.25">
      <c r="A2081">
        <v>3913</v>
      </c>
      <c r="B2081">
        <v>16493.051469999999</v>
      </c>
      <c r="C2081">
        <v>16493.051469999999</v>
      </c>
      <c r="D2081">
        <v>0</v>
      </c>
      <c r="E2081">
        <v>2134.0099869999999</v>
      </c>
      <c r="F2081" s="1">
        <v>7.66</v>
      </c>
      <c r="H2081">
        <v>3913</v>
      </c>
      <c r="I2081" t="str">
        <f t="shared" si="64"/>
        <v>YES</v>
      </c>
      <c r="J2081" t="s">
        <v>2087</v>
      </c>
      <c r="K2081">
        <v>802477.86446399998</v>
      </c>
      <c r="L2081">
        <f t="shared" si="65"/>
        <v>0</v>
      </c>
    </row>
    <row r="2082" spans="1:12" x14ac:dyDescent="0.25">
      <c r="A2082">
        <v>3914</v>
      </c>
      <c r="B2082">
        <v>3290.906058</v>
      </c>
      <c r="C2082">
        <v>3290.906058</v>
      </c>
      <c r="D2082">
        <v>0</v>
      </c>
      <c r="E2082">
        <v>2135.0719009999998</v>
      </c>
      <c r="F2082" s="1">
        <v>1.53</v>
      </c>
      <c r="H2082">
        <v>3914</v>
      </c>
      <c r="I2082" t="str">
        <f t="shared" si="64"/>
        <v>YES</v>
      </c>
      <c r="J2082" t="s">
        <v>2088</v>
      </c>
      <c r="K2082">
        <v>449918.85400599998</v>
      </c>
      <c r="L2082">
        <f t="shared" si="65"/>
        <v>0</v>
      </c>
    </row>
    <row r="2083" spans="1:12" x14ac:dyDescent="0.25">
      <c r="A2083">
        <v>3915</v>
      </c>
      <c r="B2083">
        <v>4856.5973839999997</v>
      </c>
      <c r="C2083">
        <v>4856.5973839999997</v>
      </c>
      <c r="D2083">
        <v>0</v>
      </c>
      <c r="E2083">
        <v>3921.6756820000001</v>
      </c>
      <c r="F2083" s="1">
        <v>4.1500000000000004</v>
      </c>
      <c r="H2083">
        <v>3915</v>
      </c>
      <c r="I2083" t="str">
        <f t="shared" si="64"/>
        <v>YES</v>
      </c>
      <c r="J2083" t="s">
        <v>2089</v>
      </c>
      <c r="K2083">
        <v>1037488.81265</v>
      </c>
      <c r="L2083">
        <f t="shared" si="65"/>
        <v>0</v>
      </c>
    </row>
    <row r="2084" spans="1:12" x14ac:dyDescent="0.25">
      <c r="A2084">
        <v>3916</v>
      </c>
      <c r="B2084">
        <v>6067.872883</v>
      </c>
      <c r="C2084">
        <v>6067.872883</v>
      </c>
      <c r="D2084">
        <v>0</v>
      </c>
      <c r="E2084">
        <v>1176.436868</v>
      </c>
      <c r="F2084" s="1">
        <v>1.55</v>
      </c>
      <c r="H2084">
        <v>3916</v>
      </c>
      <c r="I2084" t="str">
        <f t="shared" si="64"/>
        <v>YES</v>
      </c>
      <c r="J2084" t="s">
        <v>2090</v>
      </c>
      <c r="K2084">
        <v>602402.33388000005</v>
      </c>
      <c r="L2084">
        <f t="shared" si="65"/>
        <v>0</v>
      </c>
    </row>
    <row r="2085" spans="1:12" x14ac:dyDescent="0.25">
      <c r="A2085">
        <v>3917</v>
      </c>
      <c r="B2085">
        <v>5584.3897909999996</v>
      </c>
      <c r="C2085">
        <v>5584.3897909999996</v>
      </c>
      <c r="D2085">
        <v>0</v>
      </c>
      <c r="E2085">
        <v>1819.0416909999999</v>
      </c>
      <c r="F2085" s="1">
        <v>2.21</v>
      </c>
      <c r="H2085">
        <v>3917</v>
      </c>
      <c r="I2085" t="str">
        <f t="shared" si="64"/>
        <v>YES</v>
      </c>
      <c r="J2085" t="s">
        <v>2091</v>
      </c>
      <c r="K2085">
        <v>347609.41107099998</v>
      </c>
      <c r="L2085">
        <f t="shared" si="65"/>
        <v>0</v>
      </c>
    </row>
    <row r="2086" spans="1:12" x14ac:dyDescent="0.25">
      <c r="A2086">
        <v>3918</v>
      </c>
      <c r="B2086">
        <v>921.90714060000005</v>
      </c>
      <c r="C2086">
        <v>921.90714060000005</v>
      </c>
      <c r="D2086">
        <v>0</v>
      </c>
      <c r="E2086">
        <v>1092.256437</v>
      </c>
      <c r="F2086" s="1">
        <v>0.219</v>
      </c>
      <c r="H2086">
        <v>3918</v>
      </c>
      <c r="I2086" t="str">
        <f t="shared" si="64"/>
        <v>YES</v>
      </c>
      <c r="J2086" t="s">
        <v>2092</v>
      </c>
      <c r="K2086">
        <v>800675.94702099997</v>
      </c>
      <c r="L2086">
        <f t="shared" si="65"/>
        <v>0</v>
      </c>
    </row>
    <row r="2087" spans="1:12" x14ac:dyDescent="0.25">
      <c r="A2087">
        <v>3919</v>
      </c>
      <c r="B2087">
        <v>2209.1045960000001</v>
      </c>
      <c r="C2087">
        <v>2209.1045960000001</v>
      </c>
      <c r="D2087">
        <v>0</v>
      </c>
      <c r="E2087">
        <v>3640.7283040000002</v>
      </c>
      <c r="F2087" s="1">
        <v>1.75</v>
      </c>
      <c r="H2087">
        <v>3919</v>
      </c>
      <c r="I2087" t="str">
        <f t="shared" si="64"/>
        <v>YES</v>
      </c>
      <c r="J2087" t="s">
        <v>2093</v>
      </c>
      <c r="K2087">
        <v>857805.87566799996</v>
      </c>
      <c r="L2087">
        <f t="shared" si="65"/>
        <v>0</v>
      </c>
    </row>
    <row r="2088" spans="1:12" x14ac:dyDescent="0.25">
      <c r="A2088">
        <v>3920</v>
      </c>
      <c r="B2088">
        <v>1039.6218409999999</v>
      </c>
      <c r="C2088">
        <v>1039.6218409999999</v>
      </c>
      <c r="D2088">
        <v>0</v>
      </c>
      <c r="E2088">
        <v>3474.5683330000002</v>
      </c>
      <c r="F2088" s="1">
        <v>0.78700000000000003</v>
      </c>
      <c r="H2088">
        <v>3920</v>
      </c>
      <c r="I2088" t="str">
        <f t="shared" si="64"/>
        <v>YES</v>
      </c>
      <c r="J2088" t="s">
        <v>2094</v>
      </c>
      <c r="K2088">
        <v>1160256.8139500001</v>
      </c>
      <c r="L2088">
        <f t="shared" si="65"/>
        <v>0</v>
      </c>
    </row>
    <row r="2089" spans="1:12" x14ac:dyDescent="0.25">
      <c r="A2089">
        <v>3921</v>
      </c>
      <c r="B2089">
        <v>1697.782201</v>
      </c>
      <c r="C2089">
        <v>1697.782201</v>
      </c>
      <c r="D2089">
        <v>0</v>
      </c>
      <c r="E2089">
        <v>3411.4844849999999</v>
      </c>
      <c r="F2089" s="1">
        <v>1.26</v>
      </c>
      <c r="H2089">
        <v>3921</v>
      </c>
      <c r="I2089" t="str">
        <f t="shared" si="64"/>
        <v>YES</v>
      </c>
      <c r="J2089" t="s">
        <v>2095</v>
      </c>
      <c r="K2089">
        <v>881270.74079099996</v>
      </c>
      <c r="L2089">
        <f t="shared" si="65"/>
        <v>0</v>
      </c>
    </row>
    <row r="2090" spans="1:12" x14ac:dyDescent="0.25">
      <c r="A2090">
        <v>3922</v>
      </c>
      <c r="B2090">
        <v>1789.117978</v>
      </c>
      <c r="C2090">
        <v>1789.117978</v>
      </c>
      <c r="D2090">
        <v>0</v>
      </c>
      <c r="E2090">
        <v>2586.2969899999998</v>
      </c>
      <c r="F2090" s="1">
        <v>1.01</v>
      </c>
      <c r="H2090">
        <v>3922</v>
      </c>
      <c r="I2090" t="str">
        <f t="shared" si="64"/>
        <v>YES</v>
      </c>
      <c r="J2090" t="s">
        <v>2096</v>
      </c>
      <c r="K2090">
        <v>826776.14188999997</v>
      </c>
      <c r="L2090">
        <f t="shared" si="65"/>
        <v>0</v>
      </c>
    </row>
    <row r="2091" spans="1:12" x14ac:dyDescent="0.25">
      <c r="A2091">
        <v>3923</v>
      </c>
      <c r="B2091">
        <v>1765.104237</v>
      </c>
      <c r="C2091">
        <v>1765.104237</v>
      </c>
      <c r="D2091">
        <v>0</v>
      </c>
      <c r="E2091">
        <v>2615.4278279999999</v>
      </c>
      <c r="F2091" s="1">
        <v>1.01</v>
      </c>
      <c r="H2091">
        <v>3923</v>
      </c>
      <c r="I2091" t="str">
        <f t="shared" si="64"/>
        <v>YES</v>
      </c>
      <c r="J2091" t="s">
        <v>2097</v>
      </c>
      <c r="K2091">
        <v>664211.80303499999</v>
      </c>
      <c r="L2091">
        <f t="shared" si="65"/>
        <v>0</v>
      </c>
    </row>
    <row r="2092" spans="1:12" x14ac:dyDescent="0.25">
      <c r="A2092">
        <v>3924</v>
      </c>
      <c r="B2092">
        <v>4212.201153</v>
      </c>
      <c r="C2092">
        <v>4212.201153</v>
      </c>
      <c r="D2092">
        <v>0</v>
      </c>
      <c r="E2092">
        <v>3050.4989810000002</v>
      </c>
      <c r="F2092" s="1">
        <v>2.8</v>
      </c>
      <c r="H2092">
        <v>3924</v>
      </c>
      <c r="I2092" t="str">
        <f t="shared" si="64"/>
        <v>YES</v>
      </c>
      <c r="J2092" t="s">
        <v>2098</v>
      </c>
      <c r="K2092">
        <v>825784.83479200001</v>
      </c>
      <c r="L2092">
        <f t="shared" si="65"/>
        <v>0</v>
      </c>
    </row>
    <row r="2093" spans="1:12" x14ac:dyDescent="0.25">
      <c r="A2093">
        <v>3925</v>
      </c>
      <c r="B2093">
        <v>965.27299419999997</v>
      </c>
      <c r="C2093">
        <v>965.27299419999997</v>
      </c>
      <c r="D2093">
        <v>0</v>
      </c>
      <c r="E2093">
        <v>57.454773250000002</v>
      </c>
      <c r="F2093" s="1">
        <v>1.21E-2</v>
      </c>
      <c r="H2093">
        <v>3925</v>
      </c>
      <c r="I2093" t="str">
        <f t="shared" si="64"/>
        <v>YES</v>
      </c>
      <c r="J2093" t="s">
        <v>2099</v>
      </c>
      <c r="K2093">
        <v>947178.47269700002</v>
      </c>
      <c r="L2093">
        <f t="shared" si="65"/>
        <v>0</v>
      </c>
    </row>
    <row r="2094" spans="1:12" x14ac:dyDescent="0.25">
      <c r="A2094">
        <v>3926</v>
      </c>
      <c r="B2094">
        <v>2054.4017829999998</v>
      </c>
      <c r="C2094">
        <v>2054.4017829999998</v>
      </c>
      <c r="D2094">
        <v>0</v>
      </c>
      <c r="E2094">
        <v>4052.6274069999999</v>
      </c>
      <c r="F2094" s="1">
        <v>1.81</v>
      </c>
      <c r="H2094">
        <v>3926</v>
      </c>
      <c r="I2094" t="str">
        <f t="shared" si="64"/>
        <v>YES</v>
      </c>
      <c r="J2094" t="s">
        <v>2100</v>
      </c>
      <c r="K2094">
        <v>988798.58452899999</v>
      </c>
      <c r="L2094">
        <f t="shared" si="65"/>
        <v>0</v>
      </c>
    </row>
    <row r="2095" spans="1:12" x14ac:dyDescent="0.25">
      <c r="A2095">
        <v>3927</v>
      </c>
      <c r="B2095">
        <v>7822.2155929999999</v>
      </c>
      <c r="C2095">
        <v>7822.2155929999999</v>
      </c>
      <c r="D2095">
        <v>0</v>
      </c>
      <c r="E2095">
        <v>1616.264424</v>
      </c>
      <c r="F2095" s="1">
        <v>2.75</v>
      </c>
      <c r="H2095">
        <v>3927</v>
      </c>
      <c r="I2095" t="str">
        <f t="shared" si="64"/>
        <v>YES</v>
      </c>
      <c r="J2095" t="s">
        <v>2101</v>
      </c>
      <c r="K2095">
        <v>502333.05152699997</v>
      </c>
      <c r="L2095">
        <f t="shared" si="65"/>
        <v>0</v>
      </c>
    </row>
    <row r="2096" spans="1:12" x14ac:dyDescent="0.25">
      <c r="A2096">
        <v>3928</v>
      </c>
      <c r="B2096">
        <v>3018.1746029999999</v>
      </c>
      <c r="C2096">
        <v>3018.1746029999999</v>
      </c>
      <c r="D2096">
        <v>0</v>
      </c>
      <c r="E2096">
        <v>1396.228439</v>
      </c>
      <c r="F2096" s="1">
        <v>0.91800000000000004</v>
      </c>
      <c r="H2096">
        <v>3928</v>
      </c>
      <c r="I2096" t="str">
        <f t="shared" ref="I2096:I2159" si="66">IF(A2096=H2096,"YES","NO")</f>
        <v>YES</v>
      </c>
      <c r="J2096" t="s">
        <v>2102</v>
      </c>
      <c r="K2096">
        <v>444893.87908599997</v>
      </c>
      <c r="L2096">
        <f t="shared" si="65"/>
        <v>0</v>
      </c>
    </row>
    <row r="2097" spans="1:12" x14ac:dyDescent="0.25">
      <c r="A2097">
        <v>3929</v>
      </c>
      <c r="B2097">
        <v>1915.2010419999999</v>
      </c>
      <c r="C2097">
        <v>1915.2010419999999</v>
      </c>
      <c r="D2097">
        <v>0</v>
      </c>
      <c r="E2097">
        <v>1426.14834</v>
      </c>
      <c r="F2097" s="1">
        <v>0.59499999999999997</v>
      </c>
      <c r="H2097">
        <v>3929</v>
      </c>
      <c r="I2097" t="str">
        <f t="shared" si="66"/>
        <v>YES</v>
      </c>
      <c r="J2097" t="s">
        <v>2103</v>
      </c>
      <c r="K2097">
        <v>511789.491179</v>
      </c>
      <c r="L2097">
        <f t="shared" si="65"/>
        <v>0</v>
      </c>
    </row>
    <row r="2098" spans="1:12" x14ac:dyDescent="0.25">
      <c r="A2098">
        <v>3930</v>
      </c>
      <c r="B2098">
        <v>3412.9354899999998</v>
      </c>
      <c r="C2098">
        <v>3412.9354899999998</v>
      </c>
      <c r="D2098">
        <v>0</v>
      </c>
      <c r="E2098">
        <v>3962</v>
      </c>
      <c r="F2098" s="1">
        <v>2.94</v>
      </c>
      <c r="H2098">
        <v>3930</v>
      </c>
      <c r="I2098" t="str">
        <f t="shared" si="66"/>
        <v>YES</v>
      </c>
      <c r="J2098" t="s">
        <v>2104</v>
      </c>
      <c r="K2098">
        <v>944898.04973500001</v>
      </c>
      <c r="L2098">
        <f t="shared" si="65"/>
        <v>0</v>
      </c>
    </row>
    <row r="2099" spans="1:12" x14ac:dyDescent="0.25">
      <c r="A2099">
        <v>3931</v>
      </c>
      <c r="B2099">
        <v>17.36583452</v>
      </c>
      <c r="C2099">
        <v>17.36583452</v>
      </c>
      <c r="D2099">
        <v>0</v>
      </c>
      <c r="E2099" s="1">
        <v>4.6799999999999999E-5</v>
      </c>
      <c r="F2099" s="1">
        <v>1.7700000000000001E-10</v>
      </c>
      <c r="H2099">
        <v>3931</v>
      </c>
      <c r="I2099" t="str">
        <f t="shared" si="66"/>
        <v>YES</v>
      </c>
      <c r="J2099" t="s">
        <v>2105</v>
      </c>
      <c r="K2099">
        <v>3375275.5148700001</v>
      </c>
      <c r="L2099">
        <f t="shared" si="65"/>
        <v>0</v>
      </c>
    </row>
    <row r="2100" spans="1:12" x14ac:dyDescent="0.25">
      <c r="A2100">
        <v>3933</v>
      </c>
      <c r="B2100">
        <v>2680.7603600000002</v>
      </c>
      <c r="C2100">
        <v>2680.7603600000002</v>
      </c>
      <c r="D2100">
        <v>0</v>
      </c>
      <c r="E2100">
        <v>159.77334730000001</v>
      </c>
      <c r="F2100" s="1">
        <v>9.3299999999999994E-2</v>
      </c>
      <c r="H2100">
        <v>3933</v>
      </c>
      <c r="I2100" t="str">
        <f t="shared" si="66"/>
        <v>YES</v>
      </c>
      <c r="J2100" t="s">
        <v>2106</v>
      </c>
      <c r="K2100">
        <v>1157725.62647</v>
      </c>
      <c r="L2100">
        <f t="shared" si="65"/>
        <v>0</v>
      </c>
    </row>
    <row r="2101" spans="1:12" x14ac:dyDescent="0.25">
      <c r="A2101">
        <v>3934</v>
      </c>
      <c r="B2101">
        <v>2687.5726169999998</v>
      </c>
      <c r="C2101">
        <v>2687.5726169999998</v>
      </c>
      <c r="D2101">
        <v>0</v>
      </c>
      <c r="E2101" s="1">
        <v>4.6799999999999999E-5</v>
      </c>
      <c r="F2101" s="1">
        <v>2.7400000000000001E-8</v>
      </c>
      <c r="H2101">
        <v>3934</v>
      </c>
      <c r="I2101" t="str">
        <f t="shared" si="66"/>
        <v>YES</v>
      </c>
      <c r="J2101" t="s">
        <v>2107</v>
      </c>
      <c r="K2101">
        <v>1473746.31751</v>
      </c>
      <c r="L2101">
        <f t="shared" si="65"/>
        <v>0</v>
      </c>
    </row>
    <row r="2102" spans="1:12" x14ac:dyDescent="0.25">
      <c r="A2102">
        <v>3935</v>
      </c>
      <c r="B2102">
        <v>2824.6858090000001</v>
      </c>
      <c r="C2102">
        <v>2824.6858090000001</v>
      </c>
      <c r="D2102">
        <v>0</v>
      </c>
      <c r="E2102">
        <v>702.61424480000005</v>
      </c>
      <c r="F2102" s="1">
        <v>0.432</v>
      </c>
      <c r="H2102">
        <v>3935</v>
      </c>
      <c r="I2102" t="str">
        <f t="shared" si="66"/>
        <v>YES</v>
      </c>
      <c r="J2102" t="s">
        <v>2108</v>
      </c>
      <c r="K2102">
        <v>2548408.8593199998</v>
      </c>
      <c r="L2102">
        <f t="shared" si="65"/>
        <v>0</v>
      </c>
    </row>
    <row r="2103" spans="1:12" x14ac:dyDescent="0.25">
      <c r="A2103">
        <v>3936</v>
      </c>
      <c r="B2103">
        <v>21.521709189999999</v>
      </c>
      <c r="C2103">
        <v>21.521709189999999</v>
      </c>
      <c r="D2103">
        <v>0</v>
      </c>
      <c r="E2103">
        <v>21.05588431</v>
      </c>
      <c r="F2103" s="1">
        <v>9.87E-5</v>
      </c>
      <c r="H2103">
        <v>3936</v>
      </c>
      <c r="I2103" t="str">
        <f t="shared" si="66"/>
        <v>YES</v>
      </c>
      <c r="J2103" t="s">
        <v>2109</v>
      </c>
      <c r="K2103">
        <v>4182937.7876599999</v>
      </c>
      <c r="L2103">
        <f t="shared" si="65"/>
        <v>0</v>
      </c>
    </row>
    <row r="2104" spans="1:12" x14ac:dyDescent="0.25">
      <c r="A2104">
        <v>3937</v>
      </c>
      <c r="B2104">
        <v>3426.7113330000002</v>
      </c>
      <c r="C2104">
        <v>3426.7113330000002</v>
      </c>
      <c r="D2104">
        <v>0</v>
      </c>
      <c r="E2104">
        <v>11.21671008</v>
      </c>
      <c r="F2104" s="1">
        <v>8.3700000000000007E-3</v>
      </c>
      <c r="H2104">
        <v>3937</v>
      </c>
      <c r="I2104" t="str">
        <f t="shared" si="66"/>
        <v>YES</v>
      </c>
      <c r="J2104" t="s">
        <v>2110</v>
      </c>
      <c r="K2104">
        <v>1324034.80036</v>
      </c>
      <c r="L2104">
        <f t="shared" si="65"/>
        <v>0</v>
      </c>
    </row>
    <row r="2105" spans="1:12" x14ac:dyDescent="0.25">
      <c r="A2105">
        <v>3938</v>
      </c>
      <c r="B2105">
        <v>544.99500609999996</v>
      </c>
      <c r="C2105">
        <v>544.99500609999996</v>
      </c>
      <c r="D2105">
        <v>0</v>
      </c>
      <c r="E2105">
        <v>179.64484780000001</v>
      </c>
      <c r="F2105" s="1">
        <v>2.1299999999999999E-2</v>
      </c>
      <c r="H2105">
        <v>3938</v>
      </c>
      <c r="I2105" t="str">
        <f t="shared" si="66"/>
        <v>YES</v>
      </c>
      <c r="J2105" t="s">
        <v>2111</v>
      </c>
      <c r="K2105">
        <v>2565221.3378699999</v>
      </c>
      <c r="L2105">
        <f t="shared" si="65"/>
        <v>0</v>
      </c>
    </row>
    <row r="2106" spans="1:12" x14ac:dyDescent="0.25">
      <c r="A2106">
        <v>3939</v>
      </c>
      <c r="B2106">
        <v>3310.2138709999999</v>
      </c>
      <c r="C2106">
        <v>3310.2138709999999</v>
      </c>
      <c r="D2106">
        <v>0</v>
      </c>
      <c r="E2106">
        <v>29.64322164</v>
      </c>
      <c r="F2106" s="1">
        <v>2.1399999999999999E-2</v>
      </c>
      <c r="H2106">
        <v>3939</v>
      </c>
      <c r="I2106" t="str">
        <f t="shared" si="66"/>
        <v>YES</v>
      </c>
      <c r="J2106" t="s">
        <v>2112</v>
      </c>
      <c r="K2106">
        <v>1633721.1422600001</v>
      </c>
      <c r="L2106">
        <f t="shared" si="65"/>
        <v>0</v>
      </c>
    </row>
    <row r="2107" spans="1:12" x14ac:dyDescent="0.25">
      <c r="A2107">
        <v>3940</v>
      </c>
      <c r="B2107">
        <v>3474.948605</v>
      </c>
      <c r="C2107">
        <v>3474.948605</v>
      </c>
      <c r="D2107">
        <v>0</v>
      </c>
      <c r="E2107">
        <v>2627.6485969999999</v>
      </c>
      <c r="F2107" s="1">
        <v>1.99</v>
      </c>
      <c r="H2107">
        <v>3940</v>
      </c>
      <c r="I2107" t="str">
        <f t="shared" si="66"/>
        <v>YES</v>
      </c>
      <c r="J2107" t="s">
        <v>2113</v>
      </c>
      <c r="K2107">
        <v>1090127.5161299999</v>
      </c>
      <c r="L2107">
        <f t="shared" si="65"/>
        <v>0</v>
      </c>
    </row>
    <row r="2108" spans="1:12" x14ac:dyDescent="0.25">
      <c r="A2108">
        <v>3941</v>
      </c>
      <c r="B2108">
        <v>1544.3817710000001</v>
      </c>
      <c r="C2108">
        <v>1544.3817710000001</v>
      </c>
      <c r="D2108">
        <v>0</v>
      </c>
      <c r="E2108">
        <v>157.38030639999999</v>
      </c>
      <c r="F2108" s="1">
        <v>5.2900000000000003E-2</v>
      </c>
      <c r="H2108">
        <v>3941</v>
      </c>
      <c r="I2108" t="str">
        <f t="shared" si="66"/>
        <v>YES</v>
      </c>
      <c r="J2108" t="s">
        <v>2114</v>
      </c>
      <c r="K2108">
        <v>1493389.9757999999</v>
      </c>
      <c r="L2108">
        <f t="shared" si="65"/>
        <v>0</v>
      </c>
    </row>
    <row r="2109" spans="1:12" x14ac:dyDescent="0.25">
      <c r="A2109">
        <v>3942</v>
      </c>
      <c r="B2109">
        <v>75.040568260000001</v>
      </c>
      <c r="C2109">
        <v>75.040568260000001</v>
      </c>
      <c r="D2109">
        <v>0</v>
      </c>
      <c r="E2109">
        <v>312.32785869999998</v>
      </c>
      <c r="F2109" s="1">
        <v>5.1000000000000004E-3</v>
      </c>
      <c r="H2109">
        <v>3942</v>
      </c>
      <c r="I2109" t="str">
        <f t="shared" si="66"/>
        <v>YES</v>
      </c>
      <c r="J2109" t="s">
        <v>2115</v>
      </c>
      <c r="K2109">
        <v>3163275.4859199999</v>
      </c>
      <c r="L2109">
        <f t="shared" si="65"/>
        <v>0</v>
      </c>
    </row>
    <row r="2110" spans="1:12" x14ac:dyDescent="0.25">
      <c r="A2110">
        <v>3943</v>
      </c>
      <c r="B2110">
        <v>627.5940789</v>
      </c>
      <c r="C2110">
        <v>627.5940789</v>
      </c>
      <c r="D2110">
        <v>0</v>
      </c>
      <c r="E2110">
        <v>74.703128300000003</v>
      </c>
      <c r="F2110" s="1">
        <v>1.0200000000000001E-2</v>
      </c>
      <c r="H2110">
        <v>3943</v>
      </c>
      <c r="I2110" t="str">
        <f t="shared" si="66"/>
        <v>YES</v>
      </c>
      <c r="J2110" t="s">
        <v>2116</v>
      </c>
      <c r="K2110">
        <v>1570572.8495100001</v>
      </c>
      <c r="L2110">
        <f t="shared" si="65"/>
        <v>0</v>
      </c>
    </row>
    <row r="2111" spans="1:12" x14ac:dyDescent="0.25">
      <c r="A2111">
        <v>3944</v>
      </c>
      <c r="B2111">
        <v>1732.465582</v>
      </c>
      <c r="C2111">
        <v>1732.465582</v>
      </c>
      <c r="D2111">
        <v>0</v>
      </c>
      <c r="E2111">
        <v>2516.536603</v>
      </c>
      <c r="F2111" s="1">
        <v>0.94899999999999995</v>
      </c>
      <c r="H2111">
        <v>3944</v>
      </c>
      <c r="I2111" t="str">
        <f t="shared" si="66"/>
        <v>YES</v>
      </c>
      <c r="J2111" t="s">
        <v>2117</v>
      </c>
      <c r="K2111">
        <v>931253.89860700001</v>
      </c>
      <c r="L2111">
        <f t="shared" si="65"/>
        <v>0</v>
      </c>
    </row>
    <row r="2112" spans="1:12" x14ac:dyDescent="0.25">
      <c r="A2112">
        <v>3945</v>
      </c>
      <c r="B2112">
        <v>264.23984539999998</v>
      </c>
      <c r="C2112">
        <v>264.23984539999998</v>
      </c>
      <c r="D2112">
        <v>0</v>
      </c>
      <c r="E2112">
        <v>121.41351210000001</v>
      </c>
      <c r="F2112" s="1">
        <v>6.9899999999999997E-3</v>
      </c>
      <c r="H2112">
        <v>3945</v>
      </c>
      <c r="I2112" t="str">
        <f t="shared" si="66"/>
        <v>YES</v>
      </c>
      <c r="J2112" t="s">
        <v>2118</v>
      </c>
      <c r="K2112">
        <v>1164702.07072</v>
      </c>
      <c r="L2112">
        <f t="shared" si="65"/>
        <v>0</v>
      </c>
    </row>
    <row r="2113" spans="1:12" x14ac:dyDescent="0.25">
      <c r="A2113">
        <v>3946</v>
      </c>
      <c r="B2113">
        <v>1761.0189969999999</v>
      </c>
      <c r="C2113">
        <v>1761.0189969999999</v>
      </c>
      <c r="D2113">
        <v>0</v>
      </c>
      <c r="E2113">
        <v>649.99673840000003</v>
      </c>
      <c r="F2113" s="1">
        <v>0.249</v>
      </c>
      <c r="H2113">
        <v>3946</v>
      </c>
      <c r="I2113" t="str">
        <f t="shared" si="66"/>
        <v>YES</v>
      </c>
      <c r="J2113" t="s">
        <v>2119</v>
      </c>
      <c r="K2113">
        <v>1532359.1855500001</v>
      </c>
      <c r="L2113">
        <f t="shared" si="65"/>
        <v>0</v>
      </c>
    </row>
    <row r="2114" spans="1:12" x14ac:dyDescent="0.25">
      <c r="A2114">
        <v>3947</v>
      </c>
      <c r="B2114">
        <v>26.841836409999999</v>
      </c>
      <c r="C2114">
        <v>26.841836409999999</v>
      </c>
      <c r="D2114">
        <v>0</v>
      </c>
      <c r="E2114">
        <v>68.606453549999998</v>
      </c>
      <c r="F2114" s="1">
        <v>4.0099999999999999E-4</v>
      </c>
      <c r="H2114">
        <v>3947</v>
      </c>
      <c r="I2114" t="str">
        <f t="shared" si="66"/>
        <v>YES</v>
      </c>
      <c r="J2114" t="s">
        <v>2120</v>
      </c>
      <c r="K2114">
        <v>2229154.4713499998</v>
      </c>
      <c r="L2114">
        <f t="shared" si="65"/>
        <v>0</v>
      </c>
    </row>
    <row r="2115" spans="1:12" x14ac:dyDescent="0.25">
      <c r="A2115">
        <v>3948</v>
      </c>
      <c r="B2115">
        <v>5814.0136190000003</v>
      </c>
      <c r="C2115">
        <v>5814.0136190000003</v>
      </c>
      <c r="D2115">
        <v>0</v>
      </c>
      <c r="E2115">
        <v>79.119809540000006</v>
      </c>
      <c r="F2115" s="1">
        <v>0.1</v>
      </c>
      <c r="H2115">
        <v>3948</v>
      </c>
      <c r="I2115" t="str">
        <f t="shared" si="66"/>
        <v>YES</v>
      </c>
      <c r="J2115" t="s">
        <v>2121</v>
      </c>
      <c r="K2115">
        <v>779871.35545300005</v>
      </c>
      <c r="L2115">
        <f t="shared" ref="L2115:L2178" si="67">EXP(0.2052)*K2115*(D2115/C2115)</f>
        <v>0</v>
      </c>
    </row>
    <row r="2116" spans="1:12" x14ac:dyDescent="0.25">
      <c r="A2116">
        <v>3949</v>
      </c>
      <c r="B2116">
        <v>3561.3600379999998</v>
      </c>
      <c r="C2116">
        <v>3561.3600379999998</v>
      </c>
      <c r="D2116">
        <v>0</v>
      </c>
      <c r="E2116">
        <v>181.20763389999999</v>
      </c>
      <c r="F2116" s="1">
        <v>0.14099999999999999</v>
      </c>
      <c r="H2116">
        <v>3949</v>
      </c>
      <c r="I2116" t="str">
        <f t="shared" si="66"/>
        <v>YES</v>
      </c>
      <c r="J2116" t="s">
        <v>2122</v>
      </c>
      <c r="K2116">
        <v>774216.03199599998</v>
      </c>
      <c r="L2116">
        <f t="shared" si="67"/>
        <v>0</v>
      </c>
    </row>
    <row r="2117" spans="1:12" x14ac:dyDescent="0.25">
      <c r="A2117">
        <v>3950</v>
      </c>
      <c r="B2117">
        <v>85.549038920000001</v>
      </c>
      <c r="C2117">
        <v>85.549038920000001</v>
      </c>
      <c r="D2117">
        <v>0</v>
      </c>
      <c r="E2117">
        <v>90.420647849999995</v>
      </c>
      <c r="F2117" s="1">
        <v>1.6800000000000001E-3</v>
      </c>
      <c r="H2117">
        <v>3950</v>
      </c>
      <c r="I2117" t="str">
        <f t="shared" si="66"/>
        <v>YES</v>
      </c>
      <c r="J2117" t="s">
        <v>2123</v>
      </c>
      <c r="K2117">
        <v>2937935.64347</v>
      </c>
      <c r="L2117">
        <f t="shared" si="67"/>
        <v>0</v>
      </c>
    </row>
    <row r="2118" spans="1:12" x14ac:dyDescent="0.25">
      <c r="A2118">
        <v>3951</v>
      </c>
      <c r="B2118">
        <v>215.47956450000001</v>
      </c>
      <c r="C2118">
        <v>215.47956450000001</v>
      </c>
      <c r="D2118">
        <v>0</v>
      </c>
      <c r="E2118">
        <v>201.31154280000001</v>
      </c>
      <c r="F2118" s="1">
        <v>9.4400000000000005E-3</v>
      </c>
      <c r="H2118">
        <v>3951</v>
      </c>
      <c r="I2118" t="str">
        <f t="shared" si="66"/>
        <v>YES</v>
      </c>
      <c r="J2118" t="s">
        <v>2124</v>
      </c>
      <c r="K2118">
        <v>1720157.64167</v>
      </c>
      <c r="L2118">
        <f t="shared" si="67"/>
        <v>0</v>
      </c>
    </row>
    <row r="2119" spans="1:12" x14ac:dyDescent="0.25">
      <c r="A2119">
        <v>3952</v>
      </c>
      <c r="B2119">
        <v>1550.737224</v>
      </c>
      <c r="C2119">
        <v>1550.737224</v>
      </c>
      <c r="D2119">
        <v>0</v>
      </c>
      <c r="E2119">
        <v>29.974464000000001</v>
      </c>
      <c r="F2119" s="1">
        <v>1.01E-2</v>
      </c>
      <c r="H2119">
        <v>3952</v>
      </c>
      <c r="I2119" t="str">
        <f t="shared" si="66"/>
        <v>YES</v>
      </c>
      <c r="J2119" t="s">
        <v>2125</v>
      </c>
      <c r="K2119">
        <v>645806.46126100002</v>
      </c>
      <c r="L2119">
        <f t="shared" si="67"/>
        <v>0</v>
      </c>
    </row>
    <row r="2120" spans="1:12" x14ac:dyDescent="0.25">
      <c r="A2120">
        <v>3953</v>
      </c>
      <c r="B2120">
        <v>1105.8676579999999</v>
      </c>
      <c r="C2120">
        <v>1105.8676579999999</v>
      </c>
      <c r="D2120">
        <v>0</v>
      </c>
      <c r="E2120">
        <v>1756.1890619999999</v>
      </c>
      <c r="F2120" s="1">
        <v>0.42299999999999999</v>
      </c>
      <c r="H2120">
        <v>3953</v>
      </c>
      <c r="I2120" t="str">
        <f t="shared" si="66"/>
        <v>YES</v>
      </c>
      <c r="J2120" t="s">
        <v>2126</v>
      </c>
      <c r="K2120">
        <v>1480340.1706600001</v>
      </c>
      <c r="L2120">
        <f t="shared" si="67"/>
        <v>0</v>
      </c>
    </row>
    <row r="2121" spans="1:12" x14ac:dyDescent="0.25">
      <c r="A2121">
        <v>3954</v>
      </c>
      <c r="B2121">
        <v>124.7479496</v>
      </c>
      <c r="C2121">
        <v>124.7479496</v>
      </c>
      <c r="D2121">
        <v>0</v>
      </c>
      <c r="E2121">
        <v>131.18889920000001</v>
      </c>
      <c r="F2121" s="1">
        <v>3.5599999999999998E-3</v>
      </c>
      <c r="H2121">
        <v>3954</v>
      </c>
      <c r="I2121" t="str">
        <f t="shared" si="66"/>
        <v>YES</v>
      </c>
      <c r="J2121" t="s">
        <v>2127</v>
      </c>
      <c r="K2121">
        <v>898091.37517200003</v>
      </c>
      <c r="L2121">
        <f t="shared" si="67"/>
        <v>0</v>
      </c>
    </row>
    <row r="2122" spans="1:12" x14ac:dyDescent="0.25">
      <c r="A2122">
        <v>3955</v>
      </c>
      <c r="B2122">
        <v>451.5938754</v>
      </c>
      <c r="C2122">
        <v>451.5938754</v>
      </c>
      <c r="D2122">
        <v>0</v>
      </c>
      <c r="E2122">
        <v>209.52523959999999</v>
      </c>
      <c r="F2122" s="1">
        <v>2.06E-2</v>
      </c>
      <c r="H2122">
        <v>3955</v>
      </c>
      <c r="I2122" t="str">
        <f t="shared" si="66"/>
        <v>YES</v>
      </c>
      <c r="J2122" t="s">
        <v>2128</v>
      </c>
      <c r="K2122">
        <v>1177074.2037500001</v>
      </c>
      <c r="L2122">
        <f t="shared" si="67"/>
        <v>0</v>
      </c>
    </row>
    <row r="2123" spans="1:12" x14ac:dyDescent="0.25">
      <c r="A2123">
        <v>3956</v>
      </c>
      <c r="B2123">
        <v>1363.0520979999999</v>
      </c>
      <c r="C2123">
        <v>1363.0520979999999</v>
      </c>
      <c r="D2123">
        <v>0</v>
      </c>
      <c r="E2123">
        <v>128.23861120000001</v>
      </c>
      <c r="F2123" s="1">
        <v>3.8100000000000002E-2</v>
      </c>
      <c r="H2123">
        <v>3956</v>
      </c>
      <c r="I2123" t="str">
        <f t="shared" si="66"/>
        <v>YES</v>
      </c>
      <c r="J2123" t="s">
        <v>2129</v>
      </c>
      <c r="K2123">
        <v>4166714.3516699998</v>
      </c>
      <c r="L2123">
        <f t="shared" si="67"/>
        <v>0</v>
      </c>
    </row>
    <row r="2124" spans="1:12" x14ac:dyDescent="0.25">
      <c r="A2124">
        <v>3957</v>
      </c>
      <c r="B2124">
        <v>595.91766689999997</v>
      </c>
      <c r="C2124">
        <v>595.91766689999997</v>
      </c>
      <c r="D2124">
        <v>0</v>
      </c>
      <c r="E2124">
        <v>647.33853209999995</v>
      </c>
      <c r="F2124" s="1">
        <v>8.4000000000000005E-2</v>
      </c>
      <c r="H2124">
        <v>3957</v>
      </c>
      <c r="I2124" t="str">
        <f t="shared" si="66"/>
        <v>YES</v>
      </c>
      <c r="J2124" t="s">
        <v>2130</v>
      </c>
      <c r="K2124">
        <v>1232822.15983</v>
      </c>
      <c r="L2124">
        <f t="shared" si="67"/>
        <v>0</v>
      </c>
    </row>
    <row r="2125" spans="1:12" x14ac:dyDescent="0.25">
      <c r="A2125">
        <v>3958</v>
      </c>
      <c r="B2125">
        <v>1005.928928</v>
      </c>
      <c r="C2125">
        <v>1005.928928</v>
      </c>
      <c r="D2125">
        <v>0</v>
      </c>
      <c r="E2125">
        <v>367.07559259999999</v>
      </c>
      <c r="F2125" s="1">
        <v>8.0399999999999999E-2</v>
      </c>
      <c r="H2125">
        <v>3958</v>
      </c>
      <c r="I2125" t="str">
        <f t="shared" si="66"/>
        <v>YES</v>
      </c>
      <c r="J2125" t="s">
        <v>2131</v>
      </c>
      <c r="K2125">
        <v>1406143.9549199999</v>
      </c>
      <c r="L2125">
        <f t="shared" si="67"/>
        <v>0</v>
      </c>
    </row>
    <row r="2126" spans="1:12" x14ac:dyDescent="0.25">
      <c r="A2126">
        <v>3959</v>
      </c>
      <c r="B2126">
        <v>651.69277009999996</v>
      </c>
      <c r="C2126">
        <v>651.69277009999996</v>
      </c>
      <c r="D2126">
        <v>0</v>
      </c>
      <c r="E2126">
        <v>739.27800260000004</v>
      </c>
      <c r="F2126" s="1">
        <v>0.105</v>
      </c>
      <c r="H2126">
        <v>3959</v>
      </c>
      <c r="I2126" t="str">
        <f t="shared" si="66"/>
        <v>YES</v>
      </c>
      <c r="J2126" t="s">
        <v>2132</v>
      </c>
      <c r="K2126">
        <v>1133364.2922400001</v>
      </c>
      <c r="L2126">
        <f t="shared" si="67"/>
        <v>0</v>
      </c>
    </row>
    <row r="2127" spans="1:12" x14ac:dyDescent="0.25">
      <c r="A2127">
        <v>3960</v>
      </c>
      <c r="B2127">
        <v>1264.6984219999999</v>
      </c>
      <c r="C2127">
        <v>1264.6984219999999</v>
      </c>
      <c r="D2127">
        <v>0</v>
      </c>
      <c r="E2127">
        <v>1156.493735</v>
      </c>
      <c r="F2127" s="1">
        <v>0.318</v>
      </c>
      <c r="H2127">
        <v>3960</v>
      </c>
      <c r="I2127" t="str">
        <f t="shared" si="66"/>
        <v>YES</v>
      </c>
      <c r="J2127" t="s">
        <v>2133</v>
      </c>
      <c r="K2127">
        <v>680997.10838500003</v>
      </c>
      <c r="L2127">
        <f t="shared" si="67"/>
        <v>0</v>
      </c>
    </row>
    <row r="2128" spans="1:12" x14ac:dyDescent="0.25">
      <c r="A2128">
        <v>3961</v>
      </c>
      <c r="B2128">
        <v>24.380832699999999</v>
      </c>
      <c r="C2128">
        <v>24.380832699999999</v>
      </c>
      <c r="D2128">
        <v>0</v>
      </c>
      <c r="E2128">
        <v>81.478984209999993</v>
      </c>
      <c r="F2128" s="1">
        <v>4.3300000000000001E-4</v>
      </c>
      <c r="H2128">
        <v>3961</v>
      </c>
      <c r="I2128" t="str">
        <f t="shared" si="66"/>
        <v>YES</v>
      </c>
      <c r="J2128" t="s">
        <v>2134</v>
      </c>
      <c r="K2128">
        <v>2024807.29682</v>
      </c>
      <c r="L2128">
        <f t="shared" si="67"/>
        <v>0</v>
      </c>
    </row>
    <row r="2129" spans="1:12" x14ac:dyDescent="0.25">
      <c r="A2129">
        <v>3962</v>
      </c>
      <c r="B2129">
        <v>387.44160040000003</v>
      </c>
      <c r="C2129">
        <v>387.44160040000003</v>
      </c>
      <c r="D2129">
        <v>0</v>
      </c>
      <c r="E2129">
        <v>179.85627410000001</v>
      </c>
      <c r="F2129" s="1">
        <v>1.52E-2</v>
      </c>
      <c r="H2129">
        <v>3962</v>
      </c>
      <c r="I2129" t="str">
        <f t="shared" si="66"/>
        <v>YES</v>
      </c>
      <c r="J2129" t="s">
        <v>2135</v>
      </c>
      <c r="K2129">
        <v>1852527.6433699999</v>
      </c>
      <c r="L2129">
        <f t="shared" si="67"/>
        <v>0</v>
      </c>
    </row>
    <row r="2130" spans="1:12" x14ac:dyDescent="0.25">
      <c r="A2130">
        <v>3963</v>
      </c>
      <c r="B2130">
        <v>276.89553569999998</v>
      </c>
      <c r="C2130">
        <v>276.89553569999998</v>
      </c>
      <c r="D2130">
        <v>0</v>
      </c>
      <c r="E2130" s="1">
        <v>4.6799999999999999E-5</v>
      </c>
      <c r="F2130" s="1">
        <v>2.8200000000000002E-9</v>
      </c>
      <c r="H2130">
        <v>3963</v>
      </c>
      <c r="I2130" t="str">
        <f t="shared" si="66"/>
        <v>YES</v>
      </c>
      <c r="J2130" t="s">
        <v>2136</v>
      </c>
      <c r="K2130">
        <v>956691.79653299996</v>
      </c>
      <c r="L2130">
        <f t="shared" si="67"/>
        <v>0</v>
      </c>
    </row>
    <row r="2131" spans="1:12" x14ac:dyDescent="0.25">
      <c r="A2131">
        <v>3964</v>
      </c>
      <c r="B2131">
        <v>337.26902760000002</v>
      </c>
      <c r="C2131">
        <v>337.26902760000002</v>
      </c>
      <c r="D2131">
        <v>0</v>
      </c>
      <c r="E2131">
        <v>240.24219909999999</v>
      </c>
      <c r="F2131" s="1">
        <v>1.7600000000000001E-2</v>
      </c>
      <c r="H2131">
        <v>3964</v>
      </c>
      <c r="I2131" t="str">
        <f t="shared" si="66"/>
        <v>YES</v>
      </c>
      <c r="J2131" t="s">
        <v>2137</v>
      </c>
      <c r="K2131">
        <v>2356942.9726300002</v>
      </c>
      <c r="L2131">
        <f t="shared" si="67"/>
        <v>0</v>
      </c>
    </row>
    <row r="2132" spans="1:12" x14ac:dyDescent="0.25">
      <c r="A2132">
        <v>3965</v>
      </c>
      <c r="B2132">
        <v>213.0340305</v>
      </c>
      <c r="C2132">
        <v>213.0340305</v>
      </c>
      <c r="D2132">
        <v>0</v>
      </c>
      <c r="E2132">
        <v>419.42280520000003</v>
      </c>
      <c r="F2132" s="1">
        <v>1.95E-2</v>
      </c>
      <c r="H2132">
        <v>3965</v>
      </c>
      <c r="I2132" t="str">
        <f t="shared" si="66"/>
        <v>YES</v>
      </c>
      <c r="J2132" t="s">
        <v>2138</v>
      </c>
      <c r="K2132">
        <v>3158656.40796</v>
      </c>
      <c r="L2132">
        <f t="shared" si="67"/>
        <v>0</v>
      </c>
    </row>
    <row r="2133" spans="1:12" x14ac:dyDescent="0.25">
      <c r="A2133">
        <v>3966</v>
      </c>
      <c r="B2133">
        <v>18.193758280000001</v>
      </c>
      <c r="C2133">
        <v>18.193758280000001</v>
      </c>
      <c r="D2133">
        <v>0</v>
      </c>
      <c r="E2133" s="1">
        <v>4.6799999999999999E-5</v>
      </c>
      <c r="F2133" s="1">
        <v>1.8500000000000001E-10</v>
      </c>
      <c r="H2133">
        <v>3966</v>
      </c>
      <c r="I2133" t="str">
        <f t="shared" si="66"/>
        <v>YES</v>
      </c>
      <c r="J2133" t="s">
        <v>2139</v>
      </c>
      <c r="K2133">
        <v>2742560.5192100001</v>
      </c>
      <c r="L2133">
        <f t="shared" si="67"/>
        <v>0</v>
      </c>
    </row>
    <row r="2134" spans="1:12" x14ac:dyDescent="0.25">
      <c r="A2134">
        <v>3967</v>
      </c>
      <c r="B2134">
        <v>18.802701849999998</v>
      </c>
      <c r="C2134">
        <v>18.802701849999998</v>
      </c>
      <c r="D2134">
        <v>0</v>
      </c>
      <c r="E2134" s="1">
        <v>4.6799999999999999E-5</v>
      </c>
      <c r="F2134" s="1">
        <v>1.9200000000000001E-10</v>
      </c>
      <c r="H2134">
        <v>3967</v>
      </c>
      <c r="I2134" t="str">
        <f t="shared" si="66"/>
        <v>YES</v>
      </c>
      <c r="J2134" t="s">
        <v>2140</v>
      </c>
      <c r="K2134">
        <v>2834355.4473700002</v>
      </c>
      <c r="L2134">
        <f t="shared" si="67"/>
        <v>0</v>
      </c>
    </row>
    <row r="2135" spans="1:12" x14ac:dyDescent="0.25">
      <c r="A2135">
        <v>3968</v>
      </c>
      <c r="B2135">
        <v>1140.1688730000001</v>
      </c>
      <c r="C2135">
        <v>1140.1688730000001</v>
      </c>
      <c r="D2135">
        <v>0</v>
      </c>
      <c r="E2135">
        <v>278.90833739999999</v>
      </c>
      <c r="F2135" s="1">
        <v>6.9199999999999998E-2</v>
      </c>
      <c r="H2135">
        <v>3968</v>
      </c>
      <c r="I2135" t="str">
        <f t="shared" si="66"/>
        <v>YES</v>
      </c>
      <c r="J2135" t="s">
        <v>2141</v>
      </c>
      <c r="K2135">
        <v>4900785.9429400004</v>
      </c>
      <c r="L2135">
        <f t="shared" si="67"/>
        <v>0</v>
      </c>
    </row>
    <row r="2136" spans="1:12" x14ac:dyDescent="0.25">
      <c r="A2136">
        <v>3969</v>
      </c>
      <c r="B2136">
        <v>54.916269470000003</v>
      </c>
      <c r="C2136">
        <v>54.916269470000003</v>
      </c>
      <c r="D2136">
        <v>0</v>
      </c>
      <c r="E2136" s="1">
        <v>4.6799999999999999E-5</v>
      </c>
      <c r="F2136" s="1">
        <v>5.6000000000000003E-10</v>
      </c>
      <c r="H2136">
        <v>3969</v>
      </c>
      <c r="I2136" t="str">
        <f t="shared" si="66"/>
        <v>YES</v>
      </c>
      <c r="J2136" t="s">
        <v>2142</v>
      </c>
      <c r="K2136">
        <v>1396254.6250199999</v>
      </c>
      <c r="L2136">
        <f t="shared" si="67"/>
        <v>0</v>
      </c>
    </row>
    <row r="2137" spans="1:12" x14ac:dyDescent="0.25">
      <c r="A2137">
        <v>3970</v>
      </c>
      <c r="B2137">
        <v>307.50759470000003</v>
      </c>
      <c r="C2137">
        <v>307.50759470000003</v>
      </c>
      <c r="D2137">
        <v>0</v>
      </c>
      <c r="E2137">
        <v>1983.9998290000001</v>
      </c>
      <c r="F2137" s="1">
        <v>0.13300000000000001</v>
      </c>
      <c r="H2137">
        <v>3970</v>
      </c>
      <c r="I2137" t="str">
        <f t="shared" si="66"/>
        <v>YES</v>
      </c>
      <c r="J2137" t="s">
        <v>2143</v>
      </c>
      <c r="K2137">
        <v>3410977.99584</v>
      </c>
      <c r="L2137">
        <f t="shared" si="67"/>
        <v>0</v>
      </c>
    </row>
    <row r="2138" spans="1:12" x14ac:dyDescent="0.25">
      <c r="A2138">
        <v>3971</v>
      </c>
      <c r="B2138">
        <v>57.015484440000002</v>
      </c>
      <c r="C2138">
        <v>57.015484440000002</v>
      </c>
      <c r="D2138">
        <v>0</v>
      </c>
      <c r="E2138">
        <v>103.06391499999999</v>
      </c>
      <c r="F2138" s="1">
        <v>1.2800000000000001E-3</v>
      </c>
      <c r="H2138">
        <v>3971</v>
      </c>
      <c r="I2138" t="str">
        <f t="shared" si="66"/>
        <v>YES</v>
      </c>
      <c r="J2138" t="s">
        <v>2144</v>
      </c>
      <c r="K2138">
        <v>715030.85834100004</v>
      </c>
      <c r="L2138">
        <f t="shared" si="67"/>
        <v>0</v>
      </c>
    </row>
    <row r="2139" spans="1:12" x14ac:dyDescent="0.25">
      <c r="A2139">
        <v>3972</v>
      </c>
      <c r="B2139">
        <v>1805.2592910000001</v>
      </c>
      <c r="C2139">
        <v>1805.2592910000001</v>
      </c>
      <c r="D2139">
        <v>0</v>
      </c>
      <c r="E2139">
        <v>18.5709351</v>
      </c>
      <c r="F2139" s="1">
        <v>7.3000000000000001E-3</v>
      </c>
      <c r="H2139">
        <v>3972</v>
      </c>
      <c r="I2139" t="str">
        <f t="shared" si="66"/>
        <v>YES</v>
      </c>
      <c r="J2139" t="s">
        <v>2145</v>
      </c>
      <c r="K2139">
        <v>680066.79423999996</v>
      </c>
      <c r="L2139">
        <f t="shared" si="67"/>
        <v>0</v>
      </c>
    </row>
    <row r="2140" spans="1:12" x14ac:dyDescent="0.25">
      <c r="A2140">
        <v>3973</v>
      </c>
      <c r="B2140">
        <v>2092.3009579999998</v>
      </c>
      <c r="C2140">
        <v>2092.3009579999998</v>
      </c>
      <c r="D2140">
        <v>0</v>
      </c>
      <c r="E2140">
        <v>32.37995935</v>
      </c>
      <c r="F2140" s="1">
        <v>1.4800000000000001E-2</v>
      </c>
      <c r="H2140">
        <v>3973</v>
      </c>
      <c r="I2140" t="str">
        <f t="shared" si="66"/>
        <v>YES</v>
      </c>
      <c r="J2140" t="s">
        <v>2146</v>
      </c>
      <c r="K2140">
        <v>309722.56661400001</v>
      </c>
      <c r="L2140">
        <f t="shared" si="67"/>
        <v>0</v>
      </c>
    </row>
    <row r="2141" spans="1:12" x14ac:dyDescent="0.25">
      <c r="A2141">
        <v>3974</v>
      </c>
      <c r="B2141">
        <v>401.83859080000002</v>
      </c>
      <c r="C2141">
        <v>401.83859080000002</v>
      </c>
      <c r="D2141">
        <v>0</v>
      </c>
      <c r="E2141">
        <v>30.896824330000001</v>
      </c>
      <c r="F2141" s="1">
        <v>2.7000000000000001E-3</v>
      </c>
      <c r="H2141">
        <v>3974</v>
      </c>
      <c r="I2141" t="str">
        <f t="shared" si="66"/>
        <v>YES</v>
      </c>
      <c r="J2141" t="s">
        <v>2147</v>
      </c>
      <c r="K2141">
        <v>665678.15865400003</v>
      </c>
      <c r="L2141">
        <f t="shared" si="67"/>
        <v>0</v>
      </c>
    </row>
    <row r="2142" spans="1:12" x14ac:dyDescent="0.25">
      <c r="A2142">
        <v>4000</v>
      </c>
      <c r="B2142">
        <v>5799.9540150000003</v>
      </c>
      <c r="C2142">
        <v>5799.9540150000003</v>
      </c>
      <c r="D2142">
        <v>0</v>
      </c>
      <c r="E2142">
        <v>4403.0715250000003</v>
      </c>
      <c r="F2142" s="1">
        <v>5.56</v>
      </c>
      <c r="H2142">
        <v>4000</v>
      </c>
      <c r="I2142" t="str">
        <f t="shared" si="66"/>
        <v>YES</v>
      </c>
      <c r="J2142" t="s">
        <v>2148</v>
      </c>
      <c r="K2142">
        <v>1510036.32604</v>
      </c>
      <c r="L2142">
        <f t="shared" si="67"/>
        <v>0</v>
      </c>
    </row>
    <row r="2143" spans="1:12" x14ac:dyDescent="0.25">
      <c r="A2143">
        <v>4001</v>
      </c>
      <c r="B2143">
        <v>1976.461888</v>
      </c>
      <c r="C2143">
        <v>1976.461888</v>
      </c>
      <c r="D2143">
        <v>0</v>
      </c>
      <c r="E2143">
        <v>3536.4211289999998</v>
      </c>
      <c r="F2143" s="1">
        <v>1.52</v>
      </c>
      <c r="H2143">
        <v>4001</v>
      </c>
      <c r="I2143" t="str">
        <f t="shared" si="66"/>
        <v>YES</v>
      </c>
      <c r="J2143" t="s">
        <v>2149</v>
      </c>
      <c r="K2143">
        <v>1061254.13482</v>
      </c>
      <c r="L2143">
        <f t="shared" si="67"/>
        <v>0</v>
      </c>
    </row>
    <row r="2144" spans="1:12" x14ac:dyDescent="0.25">
      <c r="A2144">
        <v>4002</v>
      </c>
      <c r="B2144">
        <v>4419.7432209999997</v>
      </c>
      <c r="C2144">
        <v>4419.7432209999997</v>
      </c>
      <c r="D2144">
        <v>0</v>
      </c>
      <c r="E2144">
        <v>2695.5588010000001</v>
      </c>
      <c r="F2144" s="1">
        <v>2.59</v>
      </c>
      <c r="H2144">
        <v>4002</v>
      </c>
      <c r="I2144" t="str">
        <f t="shared" si="66"/>
        <v>YES</v>
      </c>
      <c r="J2144" t="s">
        <v>2150</v>
      </c>
      <c r="K2144">
        <v>670757.31945800001</v>
      </c>
      <c r="L2144">
        <f t="shared" si="67"/>
        <v>0</v>
      </c>
    </row>
    <row r="2145" spans="1:12" x14ac:dyDescent="0.25">
      <c r="A2145">
        <v>4003</v>
      </c>
      <c r="B2145">
        <v>1648.487809</v>
      </c>
      <c r="C2145">
        <v>1648.487809</v>
      </c>
      <c r="D2145">
        <v>0</v>
      </c>
      <c r="E2145">
        <v>2312.930636</v>
      </c>
      <c r="F2145" s="1">
        <v>0.83</v>
      </c>
      <c r="H2145">
        <v>4003</v>
      </c>
      <c r="I2145" t="str">
        <f t="shared" si="66"/>
        <v>YES</v>
      </c>
      <c r="J2145" t="s">
        <v>2151</v>
      </c>
      <c r="K2145">
        <v>894063.39352799999</v>
      </c>
      <c r="L2145">
        <f t="shared" si="67"/>
        <v>0</v>
      </c>
    </row>
    <row r="2146" spans="1:12" x14ac:dyDescent="0.25">
      <c r="A2146">
        <v>4004</v>
      </c>
      <c r="B2146">
        <v>5301.5988520000001</v>
      </c>
      <c r="C2146">
        <v>5301.5988520000001</v>
      </c>
      <c r="D2146">
        <v>0</v>
      </c>
      <c r="E2146">
        <v>2847.533919</v>
      </c>
      <c r="F2146" s="1">
        <v>3.29</v>
      </c>
      <c r="H2146">
        <v>4004</v>
      </c>
      <c r="I2146" t="str">
        <f t="shared" si="66"/>
        <v>YES</v>
      </c>
      <c r="J2146" t="s">
        <v>2152</v>
      </c>
      <c r="K2146">
        <v>939904.22800500004</v>
      </c>
      <c r="L2146">
        <f t="shared" si="67"/>
        <v>0</v>
      </c>
    </row>
    <row r="2147" spans="1:12" x14ac:dyDescent="0.25">
      <c r="A2147">
        <v>4005</v>
      </c>
      <c r="B2147">
        <v>5888.0947809999998</v>
      </c>
      <c r="C2147">
        <v>5888.0947809999998</v>
      </c>
      <c r="D2147">
        <v>0</v>
      </c>
      <c r="E2147">
        <v>3152.4839900000002</v>
      </c>
      <c r="F2147" s="1">
        <v>4.04</v>
      </c>
      <c r="H2147">
        <v>4005</v>
      </c>
      <c r="I2147" t="str">
        <f t="shared" si="66"/>
        <v>YES</v>
      </c>
      <c r="J2147" t="s">
        <v>2153</v>
      </c>
      <c r="K2147">
        <v>1007228.22126</v>
      </c>
      <c r="L2147">
        <f t="shared" si="67"/>
        <v>0</v>
      </c>
    </row>
    <row r="2148" spans="1:12" x14ac:dyDescent="0.25">
      <c r="A2148">
        <v>4008</v>
      </c>
      <c r="B2148">
        <v>1289.558135</v>
      </c>
      <c r="C2148">
        <v>1289.558135</v>
      </c>
      <c r="D2148">
        <v>0</v>
      </c>
      <c r="E2148">
        <v>3316.7779850000002</v>
      </c>
      <c r="F2148" s="1">
        <v>0.93100000000000005</v>
      </c>
      <c r="H2148">
        <v>4008</v>
      </c>
      <c r="I2148" t="str">
        <f t="shared" si="66"/>
        <v>YES</v>
      </c>
      <c r="J2148" t="s">
        <v>2154</v>
      </c>
      <c r="K2148">
        <v>1568088.40499</v>
      </c>
      <c r="L2148">
        <f t="shared" si="67"/>
        <v>0</v>
      </c>
    </row>
    <row r="2149" spans="1:12" x14ac:dyDescent="0.25">
      <c r="A2149">
        <v>4009</v>
      </c>
      <c r="B2149">
        <v>4018.7303590000001</v>
      </c>
      <c r="C2149">
        <v>4018.7303590000001</v>
      </c>
      <c r="D2149">
        <v>0</v>
      </c>
      <c r="E2149">
        <v>3046.7843680000001</v>
      </c>
      <c r="F2149" s="1">
        <v>2.67</v>
      </c>
      <c r="H2149">
        <v>4009</v>
      </c>
      <c r="I2149" t="str">
        <f t="shared" si="66"/>
        <v>YES</v>
      </c>
      <c r="J2149" t="s">
        <v>2155</v>
      </c>
      <c r="K2149">
        <v>712225.19879399997</v>
      </c>
      <c r="L2149">
        <f t="shared" si="67"/>
        <v>0</v>
      </c>
    </row>
    <row r="2150" spans="1:12" x14ac:dyDescent="0.25">
      <c r="A2150">
        <v>4010</v>
      </c>
      <c r="B2150">
        <v>4018.7303590000001</v>
      </c>
      <c r="C2150">
        <v>4018.7303590000001</v>
      </c>
      <c r="D2150">
        <v>0</v>
      </c>
      <c r="E2150">
        <v>2263.268028</v>
      </c>
      <c r="F2150" s="1">
        <v>1.98</v>
      </c>
      <c r="H2150">
        <v>4010</v>
      </c>
      <c r="I2150" t="str">
        <f t="shared" si="66"/>
        <v>YES</v>
      </c>
      <c r="J2150" t="s">
        <v>2156</v>
      </c>
      <c r="K2150">
        <v>716622.67692400003</v>
      </c>
      <c r="L2150">
        <f t="shared" si="67"/>
        <v>0</v>
      </c>
    </row>
    <row r="2151" spans="1:12" x14ac:dyDescent="0.25">
      <c r="A2151">
        <v>4011</v>
      </c>
      <c r="B2151">
        <v>6450.4933199999996</v>
      </c>
      <c r="C2151">
        <v>6450.4933199999996</v>
      </c>
      <c r="D2151">
        <v>0</v>
      </c>
      <c r="E2151">
        <v>18.169537859999998</v>
      </c>
      <c r="F2151" s="1">
        <v>2.5499999999999998E-2</v>
      </c>
      <c r="H2151">
        <v>4011</v>
      </c>
      <c r="I2151" t="str">
        <f t="shared" si="66"/>
        <v>YES</v>
      </c>
      <c r="J2151" t="s">
        <v>2157</v>
      </c>
      <c r="K2151">
        <v>1243926.27214</v>
      </c>
      <c r="L2151">
        <f t="shared" si="67"/>
        <v>0</v>
      </c>
    </row>
    <row r="2152" spans="1:12" x14ac:dyDescent="0.25">
      <c r="A2152">
        <v>4012</v>
      </c>
      <c r="B2152">
        <v>6623.147586</v>
      </c>
      <c r="C2152">
        <v>6623.147586</v>
      </c>
      <c r="D2152">
        <v>0</v>
      </c>
      <c r="E2152" s="1">
        <v>8.2200000000000006E-5</v>
      </c>
      <c r="F2152" s="1">
        <v>1.1899999999999999E-7</v>
      </c>
      <c r="H2152">
        <v>4012</v>
      </c>
      <c r="I2152" t="str">
        <f t="shared" si="66"/>
        <v>YES</v>
      </c>
      <c r="J2152" t="s">
        <v>2158</v>
      </c>
      <c r="K2152">
        <v>892587.73173799994</v>
      </c>
      <c r="L2152">
        <f t="shared" si="67"/>
        <v>0</v>
      </c>
    </row>
    <row r="2153" spans="1:12" x14ac:dyDescent="0.25">
      <c r="A2153">
        <v>4015</v>
      </c>
      <c r="B2153">
        <v>1432.9631099999999</v>
      </c>
      <c r="C2153">
        <v>1432.9631099999999</v>
      </c>
      <c r="D2153">
        <v>0</v>
      </c>
      <c r="E2153">
        <v>4648.4363579999999</v>
      </c>
      <c r="F2153" s="1">
        <v>1.45</v>
      </c>
      <c r="H2153">
        <v>4015</v>
      </c>
      <c r="I2153" t="str">
        <f t="shared" si="66"/>
        <v>YES</v>
      </c>
      <c r="J2153" t="s">
        <v>2159</v>
      </c>
      <c r="K2153">
        <v>1218294.0022100001</v>
      </c>
      <c r="L2153">
        <f t="shared" si="67"/>
        <v>0</v>
      </c>
    </row>
    <row r="2154" spans="1:12" x14ac:dyDescent="0.25">
      <c r="A2154">
        <v>4016</v>
      </c>
      <c r="B2154">
        <v>1788.7954649999999</v>
      </c>
      <c r="C2154">
        <v>1788.7954649999999</v>
      </c>
      <c r="D2154">
        <v>0</v>
      </c>
      <c r="E2154">
        <v>3144.9421390000002</v>
      </c>
      <c r="F2154" s="1">
        <v>1.22</v>
      </c>
      <c r="H2154">
        <v>4016</v>
      </c>
      <c r="I2154" t="str">
        <f t="shared" si="66"/>
        <v>YES</v>
      </c>
      <c r="J2154" t="s">
        <v>2160</v>
      </c>
      <c r="K2154">
        <v>836755.20403699996</v>
      </c>
      <c r="L2154">
        <f t="shared" si="67"/>
        <v>0</v>
      </c>
    </row>
    <row r="2155" spans="1:12" x14ac:dyDescent="0.25">
      <c r="A2155">
        <v>4017</v>
      </c>
      <c r="B2155">
        <v>1879.709683</v>
      </c>
      <c r="C2155">
        <v>1879.709683</v>
      </c>
      <c r="D2155">
        <v>0</v>
      </c>
      <c r="E2155">
        <v>2414.1879669999998</v>
      </c>
      <c r="F2155" s="1">
        <v>0.98799999999999999</v>
      </c>
      <c r="H2155">
        <v>4017</v>
      </c>
      <c r="I2155" t="str">
        <f t="shared" si="66"/>
        <v>YES</v>
      </c>
      <c r="J2155" t="s">
        <v>2161</v>
      </c>
      <c r="K2155">
        <v>805211.14250900003</v>
      </c>
      <c r="L2155">
        <f t="shared" si="67"/>
        <v>0</v>
      </c>
    </row>
    <row r="2156" spans="1:12" x14ac:dyDescent="0.25">
      <c r="A2156">
        <v>4018</v>
      </c>
      <c r="B2156">
        <v>2798.3089650000002</v>
      </c>
      <c r="C2156">
        <v>2798.3089650000002</v>
      </c>
      <c r="D2156">
        <v>0</v>
      </c>
      <c r="E2156">
        <v>1619.4553169999999</v>
      </c>
      <c r="F2156" s="1">
        <v>0.98699999999999999</v>
      </c>
      <c r="H2156">
        <v>4018</v>
      </c>
      <c r="I2156" t="str">
        <f t="shared" si="66"/>
        <v>YES</v>
      </c>
      <c r="J2156" t="s">
        <v>2162</v>
      </c>
      <c r="K2156">
        <v>381112.75424699998</v>
      </c>
      <c r="L2156">
        <f t="shared" si="67"/>
        <v>0</v>
      </c>
    </row>
    <row r="2157" spans="1:12" x14ac:dyDescent="0.25">
      <c r="A2157">
        <v>4019</v>
      </c>
      <c r="B2157">
        <v>3857.0200089999998</v>
      </c>
      <c r="C2157">
        <v>3857.0200089999998</v>
      </c>
      <c r="D2157">
        <v>0</v>
      </c>
      <c r="E2157">
        <v>3973.7242769999998</v>
      </c>
      <c r="F2157" s="1">
        <v>3.34</v>
      </c>
      <c r="H2157">
        <v>4019</v>
      </c>
      <c r="I2157" t="str">
        <f t="shared" si="66"/>
        <v>YES</v>
      </c>
      <c r="J2157" t="s">
        <v>2163</v>
      </c>
      <c r="K2157">
        <v>1300137.10568</v>
      </c>
      <c r="L2157">
        <f t="shared" si="67"/>
        <v>0</v>
      </c>
    </row>
    <row r="2158" spans="1:12" x14ac:dyDescent="0.25">
      <c r="A2158">
        <v>4020</v>
      </c>
      <c r="B2158">
        <v>7326.1395579999999</v>
      </c>
      <c r="C2158">
        <v>7326.1395579999999</v>
      </c>
      <c r="D2158">
        <v>0</v>
      </c>
      <c r="E2158">
        <v>3398.0838180000001</v>
      </c>
      <c r="F2158" s="1">
        <v>5.42</v>
      </c>
      <c r="H2158">
        <v>4020</v>
      </c>
      <c r="I2158" t="str">
        <f t="shared" si="66"/>
        <v>YES</v>
      </c>
      <c r="J2158" t="s">
        <v>2164</v>
      </c>
      <c r="K2158">
        <v>881562.55382000003</v>
      </c>
      <c r="L2158">
        <f t="shared" si="67"/>
        <v>0</v>
      </c>
    </row>
    <row r="2159" spans="1:12" x14ac:dyDescent="0.25">
      <c r="A2159">
        <v>4021</v>
      </c>
      <c r="B2159">
        <v>3524.9282929999999</v>
      </c>
      <c r="C2159">
        <v>3524.9282929999999</v>
      </c>
      <c r="D2159">
        <v>0</v>
      </c>
      <c r="E2159">
        <v>2116.1701240000002</v>
      </c>
      <c r="F2159" s="1">
        <v>1.62</v>
      </c>
      <c r="H2159">
        <v>4021</v>
      </c>
      <c r="I2159" t="str">
        <f t="shared" si="66"/>
        <v>YES</v>
      </c>
      <c r="J2159" t="s">
        <v>2165</v>
      </c>
      <c r="K2159">
        <v>770947.41887299996</v>
      </c>
      <c r="L2159">
        <f t="shared" si="67"/>
        <v>0</v>
      </c>
    </row>
    <row r="2160" spans="1:12" x14ac:dyDescent="0.25">
      <c r="A2160">
        <v>4024</v>
      </c>
      <c r="B2160">
        <v>908.05631679999999</v>
      </c>
      <c r="C2160">
        <v>908.05631679999999</v>
      </c>
      <c r="D2160">
        <v>0</v>
      </c>
      <c r="E2160">
        <v>2498.0000009999999</v>
      </c>
      <c r="F2160" s="1">
        <v>0.49399999999999999</v>
      </c>
      <c r="H2160">
        <v>4024</v>
      </c>
      <c r="I2160" t="str">
        <f t="shared" ref="I2160:I2223" si="68">IF(A2160=H2160,"YES","NO")</f>
        <v>YES</v>
      </c>
      <c r="J2160" t="s">
        <v>2166</v>
      </c>
      <c r="K2160">
        <v>1267627.76186</v>
      </c>
      <c r="L2160">
        <f t="shared" si="67"/>
        <v>0</v>
      </c>
    </row>
    <row r="2161" spans="1:12" x14ac:dyDescent="0.25">
      <c r="A2161">
        <v>4025</v>
      </c>
      <c r="B2161">
        <v>35.759068710000001</v>
      </c>
      <c r="C2161">
        <v>35.759068710000001</v>
      </c>
      <c r="D2161">
        <v>0</v>
      </c>
      <c r="E2161">
        <v>1271.274803</v>
      </c>
      <c r="F2161" s="1">
        <v>9.9000000000000008E-3</v>
      </c>
      <c r="H2161">
        <v>4025</v>
      </c>
      <c r="I2161" t="str">
        <f t="shared" si="68"/>
        <v>YES</v>
      </c>
      <c r="J2161" t="s">
        <v>2167</v>
      </c>
      <c r="K2161">
        <v>3421878.7007300002</v>
      </c>
      <c r="L2161">
        <f t="shared" si="67"/>
        <v>0</v>
      </c>
    </row>
    <row r="2162" spans="1:12" x14ac:dyDescent="0.25">
      <c r="A2162">
        <v>4026</v>
      </c>
      <c r="B2162">
        <v>1042.0599930000001</v>
      </c>
      <c r="C2162">
        <v>1042.0599930000001</v>
      </c>
      <c r="D2162">
        <v>0</v>
      </c>
      <c r="E2162">
        <v>3553</v>
      </c>
      <c r="F2162" s="1">
        <v>0.80600000000000005</v>
      </c>
      <c r="H2162">
        <v>4026</v>
      </c>
      <c r="I2162" t="str">
        <f t="shared" si="68"/>
        <v>YES</v>
      </c>
      <c r="J2162" t="s">
        <v>2168</v>
      </c>
      <c r="K2162">
        <v>1226563.6063900001</v>
      </c>
      <c r="L2162">
        <f t="shared" si="67"/>
        <v>0</v>
      </c>
    </row>
    <row r="2163" spans="1:12" x14ac:dyDescent="0.25">
      <c r="A2163">
        <v>4027</v>
      </c>
      <c r="B2163">
        <v>494.70988899999998</v>
      </c>
      <c r="C2163">
        <v>494.70988899999998</v>
      </c>
      <c r="D2163">
        <v>0</v>
      </c>
      <c r="E2163">
        <v>5079.7251960000003</v>
      </c>
      <c r="F2163" s="1">
        <v>0.54700000000000004</v>
      </c>
      <c r="H2163">
        <v>4027</v>
      </c>
      <c r="I2163" t="str">
        <f t="shared" si="68"/>
        <v>YES</v>
      </c>
      <c r="J2163" t="s">
        <v>2169</v>
      </c>
      <c r="K2163">
        <v>2071212.8207400001</v>
      </c>
      <c r="L2163">
        <f t="shared" si="67"/>
        <v>0</v>
      </c>
    </row>
    <row r="2164" spans="1:12" x14ac:dyDescent="0.25">
      <c r="A2164">
        <v>4028</v>
      </c>
      <c r="B2164">
        <v>2016.731669</v>
      </c>
      <c r="C2164">
        <v>2016.731669</v>
      </c>
      <c r="D2164">
        <v>0</v>
      </c>
      <c r="E2164">
        <v>4877</v>
      </c>
      <c r="F2164" s="1">
        <v>2.14</v>
      </c>
      <c r="H2164">
        <v>4028</v>
      </c>
      <c r="I2164" t="str">
        <f t="shared" si="68"/>
        <v>YES</v>
      </c>
      <c r="J2164" t="s">
        <v>2170</v>
      </c>
      <c r="K2164">
        <v>1620633.5375399999</v>
      </c>
      <c r="L2164">
        <f t="shared" si="67"/>
        <v>0</v>
      </c>
    </row>
    <row r="2165" spans="1:12" x14ac:dyDescent="0.25">
      <c r="A2165">
        <v>4029</v>
      </c>
      <c r="B2165">
        <v>1715.932368</v>
      </c>
      <c r="C2165">
        <v>1715.932368</v>
      </c>
      <c r="D2165">
        <v>0</v>
      </c>
      <c r="E2165">
        <v>4004</v>
      </c>
      <c r="F2165" s="1">
        <v>1.5</v>
      </c>
      <c r="H2165">
        <v>4029</v>
      </c>
      <c r="I2165" t="str">
        <f t="shared" si="68"/>
        <v>YES</v>
      </c>
      <c r="J2165" t="s">
        <v>2171</v>
      </c>
      <c r="K2165">
        <v>1638581.90496</v>
      </c>
      <c r="L2165">
        <f t="shared" si="67"/>
        <v>0</v>
      </c>
    </row>
    <row r="2166" spans="1:12" x14ac:dyDescent="0.25">
      <c r="A2166">
        <v>4032</v>
      </c>
      <c r="B2166">
        <v>6263.2314040000001</v>
      </c>
      <c r="C2166">
        <v>6263.2314040000001</v>
      </c>
      <c r="D2166">
        <v>0</v>
      </c>
      <c r="E2166">
        <v>4257.5658270000004</v>
      </c>
      <c r="F2166" s="1">
        <v>5.81</v>
      </c>
      <c r="H2166">
        <v>4032</v>
      </c>
      <c r="I2166" t="str">
        <f t="shared" si="68"/>
        <v>YES</v>
      </c>
      <c r="J2166" t="s">
        <v>2172</v>
      </c>
      <c r="K2166">
        <v>1127603.38433</v>
      </c>
      <c r="L2166">
        <f t="shared" si="67"/>
        <v>0</v>
      </c>
    </row>
    <row r="2167" spans="1:12" x14ac:dyDescent="0.25">
      <c r="A2167">
        <v>4033</v>
      </c>
      <c r="B2167">
        <v>1998.2119319999999</v>
      </c>
      <c r="C2167">
        <v>1998.2119319999999</v>
      </c>
      <c r="D2167">
        <v>0</v>
      </c>
      <c r="E2167">
        <v>1936.256883</v>
      </c>
      <c r="F2167" s="1">
        <v>0.84199999999999997</v>
      </c>
      <c r="H2167">
        <v>4033</v>
      </c>
      <c r="I2167" t="str">
        <f t="shared" si="68"/>
        <v>YES</v>
      </c>
      <c r="J2167" t="s">
        <v>2173</v>
      </c>
      <c r="K2167">
        <v>1701886.1793800001</v>
      </c>
      <c r="L2167">
        <f t="shared" si="67"/>
        <v>0</v>
      </c>
    </row>
    <row r="2168" spans="1:12" x14ac:dyDescent="0.25">
      <c r="A2168">
        <v>4034</v>
      </c>
      <c r="B2168">
        <v>5835.5217970000003</v>
      </c>
      <c r="C2168">
        <v>5835.5217970000003</v>
      </c>
      <c r="D2168">
        <v>0</v>
      </c>
      <c r="E2168">
        <v>3906.5179579999999</v>
      </c>
      <c r="F2168" s="1">
        <v>4.96</v>
      </c>
      <c r="H2168">
        <v>4034</v>
      </c>
      <c r="I2168" t="str">
        <f t="shared" si="68"/>
        <v>YES</v>
      </c>
      <c r="J2168" t="s">
        <v>2174</v>
      </c>
      <c r="K2168">
        <v>661900.77051299997</v>
      </c>
      <c r="L2168">
        <f t="shared" si="67"/>
        <v>0</v>
      </c>
    </row>
    <row r="2169" spans="1:12" x14ac:dyDescent="0.25">
      <c r="A2169">
        <v>4035</v>
      </c>
      <c r="B2169">
        <v>6821.3271379999996</v>
      </c>
      <c r="C2169">
        <v>6821.3271379999996</v>
      </c>
      <c r="D2169">
        <v>0</v>
      </c>
      <c r="E2169">
        <v>5017.6669739999998</v>
      </c>
      <c r="F2169" s="1">
        <v>7.45</v>
      </c>
      <c r="H2169">
        <v>4035</v>
      </c>
      <c r="I2169" t="str">
        <f t="shared" si="68"/>
        <v>YES</v>
      </c>
      <c r="J2169" t="s">
        <v>2175</v>
      </c>
      <c r="K2169">
        <v>592596.52570600004</v>
      </c>
      <c r="L2169">
        <f t="shared" si="67"/>
        <v>0</v>
      </c>
    </row>
    <row r="2170" spans="1:12" x14ac:dyDescent="0.25">
      <c r="A2170">
        <v>4036</v>
      </c>
      <c r="B2170">
        <v>5648.5495330000003</v>
      </c>
      <c r="C2170">
        <v>5648.5495330000003</v>
      </c>
      <c r="D2170">
        <v>0</v>
      </c>
      <c r="E2170">
        <v>6.2336912870000001</v>
      </c>
      <c r="F2170" s="1">
        <v>7.6699999999999997E-3</v>
      </c>
      <c r="H2170">
        <v>4036</v>
      </c>
      <c r="I2170" t="str">
        <f t="shared" si="68"/>
        <v>YES</v>
      </c>
      <c r="J2170" t="s">
        <v>2176</v>
      </c>
      <c r="K2170">
        <v>595982.89330300002</v>
      </c>
      <c r="L2170">
        <f t="shared" si="67"/>
        <v>0</v>
      </c>
    </row>
    <row r="2171" spans="1:12" x14ac:dyDescent="0.25">
      <c r="A2171">
        <v>4037</v>
      </c>
      <c r="B2171">
        <v>18083.2094</v>
      </c>
      <c r="C2171">
        <v>18083.2094</v>
      </c>
      <c r="D2171">
        <v>0</v>
      </c>
      <c r="E2171">
        <v>818.10911480000004</v>
      </c>
      <c r="F2171" s="1">
        <v>3.22</v>
      </c>
      <c r="H2171">
        <v>4037</v>
      </c>
      <c r="I2171" t="str">
        <f t="shared" si="68"/>
        <v>YES</v>
      </c>
      <c r="J2171" t="s">
        <v>2177</v>
      </c>
      <c r="K2171">
        <v>567030.03206799994</v>
      </c>
      <c r="L2171">
        <f t="shared" si="67"/>
        <v>0</v>
      </c>
    </row>
    <row r="2172" spans="1:12" x14ac:dyDescent="0.25">
      <c r="A2172">
        <v>4038</v>
      </c>
      <c r="B2172">
        <v>6596.9160410000004</v>
      </c>
      <c r="C2172">
        <v>6596.9160410000004</v>
      </c>
      <c r="D2172">
        <v>0</v>
      </c>
      <c r="E2172">
        <v>5.6437009079999996</v>
      </c>
      <c r="F2172" s="1">
        <v>8.1099999999999992E-3</v>
      </c>
      <c r="H2172">
        <v>4038</v>
      </c>
      <c r="I2172" t="str">
        <f t="shared" si="68"/>
        <v>YES</v>
      </c>
      <c r="J2172" t="s">
        <v>2178</v>
      </c>
      <c r="K2172">
        <v>468421.37456199998</v>
      </c>
      <c r="L2172">
        <f t="shared" si="67"/>
        <v>0</v>
      </c>
    </row>
    <row r="2173" spans="1:12" x14ac:dyDescent="0.25">
      <c r="A2173">
        <v>4039</v>
      </c>
      <c r="B2173">
        <v>11227.750959999999</v>
      </c>
      <c r="C2173">
        <v>11227.750959999999</v>
      </c>
      <c r="D2173">
        <v>0</v>
      </c>
      <c r="E2173">
        <v>4106.5469860000003</v>
      </c>
      <c r="F2173" s="1">
        <v>10</v>
      </c>
      <c r="H2173">
        <v>4039</v>
      </c>
      <c r="I2173" t="str">
        <f t="shared" si="68"/>
        <v>YES</v>
      </c>
      <c r="J2173" t="s">
        <v>2179</v>
      </c>
      <c r="K2173">
        <v>1500959.08577</v>
      </c>
      <c r="L2173">
        <f t="shared" si="67"/>
        <v>0</v>
      </c>
    </row>
    <row r="2174" spans="1:12" x14ac:dyDescent="0.25">
      <c r="A2174">
        <v>4040</v>
      </c>
      <c r="B2174">
        <v>10303.342140000001</v>
      </c>
      <c r="C2174">
        <v>10303.342140000001</v>
      </c>
      <c r="D2174">
        <v>0</v>
      </c>
      <c r="E2174">
        <v>3446.4588659999999</v>
      </c>
      <c r="F2174" s="1">
        <v>7.73</v>
      </c>
      <c r="H2174">
        <v>4040</v>
      </c>
      <c r="I2174" t="str">
        <f t="shared" si="68"/>
        <v>YES</v>
      </c>
      <c r="J2174" t="s">
        <v>2180</v>
      </c>
      <c r="K2174">
        <v>1452367.0404300001</v>
      </c>
      <c r="L2174">
        <f t="shared" si="67"/>
        <v>0</v>
      </c>
    </row>
    <row r="2175" spans="1:12" x14ac:dyDescent="0.25">
      <c r="A2175">
        <v>4043</v>
      </c>
      <c r="B2175">
        <v>7117.353075</v>
      </c>
      <c r="C2175">
        <v>7117.353075</v>
      </c>
      <c r="D2175">
        <v>0</v>
      </c>
      <c r="E2175">
        <v>32.584040020000003</v>
      </c>
      <c r="F2175" s="1">
        <v>5.0500000000000003E-2</v>
      </c>
      <c r="H2175">
        <v>4043</v>
      </c>
      <c r="I2175" t="str">
        <f t="shared" si="68"/>
        <v>YES</v>
      </c>
      <c r="J2175" t="s">
        <v>2181</v>
      </c>
      <c r="K2175">
        <v>1975819.0930999999</v>
      </c>
      <c r="L2175">
        <f t="shared" si="67"/>
        <v>0</v>
      </c>
    </row>
    <row r="2176" spans="1:12" x14ac:dyDescent="0.25">
      <c r="A2176">
        <v>4044</v>
      </c>
      <c r="B2176">
        <v>12651.726269999999</v>
      </c>
      <c r="C2176">
        <v>12651.726269999999</v>
      </c>
      <c r="D2176">
        <v>0</v>
      </c>
      <c r="E2176">
        <v>1.04441E-4</v>
      </c>
      <c r="F2176" s="1">
        <v>2.8799999999999998E-7</v>
      </c>
      <c r="H2176">
        <v>4044</v>
      </c>
      <c r="I2176" t="str">
        <f t="shared" si="68"/>
        <v>YES</v>
      </c>
      <c r="J2176" t="s">
        <v>2182</v>
      </c>
      <c r="K2176">
        <v>1720258.45411</v>
      </c>
      <c r="L2176">
        <f t="shared" si="67"/>
        <v>0</v>
      </c>
    </row>
    <row r="2177" spans="1:12" x14ac:dyDescent="0.25">
      <c r="A2177">
        <v>4045</v>
      </c>
      <c r="B2177">
        <v>8615.1413279999997</v>
      </c>
      <c r="C2177">
        <v>8615.1413279999997</v>
      </c>
      <c r="D2177">
        <v>0</v>
      </c>
      <c r="E2177">
        <v>1.04441E-4</v>
      </c>
      <c r="F2177" s="1">
        <v>1.9600000000000001E-7</v>
      </c>
      <c r="H2177">
        <v>4045</v>
      </c>
      <c r="I2177" t="str">
        <f t="shared" si="68"/>
        <v>YES</v>
      </c>
      <c r="J2177" t="s">
        <v>2183</v>
      </c>
      <c r="K2177">
        <v>11242312.2994</v>
      </c>
      <c r="L2177">
        <f t="shared" si="67"/>
        <v>0</v>
      </c>
    </row>
    <row r="2178" spans="1:12" x14ac:dyDescent="0.25">
      <c r="A2178">
        <v>4046</v>
      </c>
      <c r="B2178">
        <v>1526.632085</v>
      </c>
      <c r="C2178">
        <v>1526.632085</v>
      </c>
      <c r="D2178">
        <v>0</v>
      </c>
      <c r="E2178">
        <v>9.309726436</v>
      </c>
      <c r="F2178" s="1">
        <v>3.0899999999999999E-3</v>
      </c>
      <c r="H2178">
        <v>4046</v>
      </c>
      <c r="I2178" t="str">
        <f t="shared" si="68"/>
        <v>YES</v>
      </c>
      <c r="J2178" t="s">
        <v>2184</v>
      </c>
      <c r="K2178">
        <v>10660810.6735</v>
      </c>
      <c r="L2178">
        <f t="shared" si="67"/>
        <v>0</v>
      </c>
    </row>
    <row r="2179" spans="1:12" x14ac:dyDescent="0.25">
      <c r="A2179">
        <v>4047</v>
      </c>
      <c r="B2179" s="1">
        <v>1.39E-6</v>
      </c>
      <c r="C2179" s="1">
        <v>1.39E-6</v>
      </c>
      <c r="D2179">
        <v>0</v>
      </c>
      <c r="E2179">
        <v>1.04441E-4</v>
      </c>
      <c r="F2179" s="1">
        <v>3.1599999999999998E-17</v>
      </c>
      <c r="H2179">
        <v>4047</v>
      </c>
      <c r="I2179" t="str">
        <f t="shared" si="68"/>
        <v>YES</v>
      </c>
      <c r="J2179" t="s">
        <v>2185</v>
      </c>
      <c r="K2179">
        <v>5037222.4175500004</v>
      </c>
      <c r="L2179">
        <f t="shared" ref="L2179:L2242" si="69">EXP(0.2052)*K2179*(D2179/C2179)</f>
        <v>0</v>
      </c>
    </row>
    <row r="2180" spans="1:12" x14ac:dyDescent="0.25">
      <c r="A2180">
        <v>4048</v>
      </c>
      <c r="B2180">
        <v>1497.644644</v>
      </c>
      <c r="C2180">
        <v>1497.644644</v>
      </c>
      <c r="D2180">
        <v>0</v>
      </c>
      <c r="E2180">
        <v>2320.0696630000002</v>
      </c>
      <c r="F2180" s="1">
        <v>0.75700000000000001</v>
      </c>
      <c r="H2180">
        <v>4048</v>
      </c>
      <c r="I2180" t="str">
        <f t="shared" si="68"/>
        <v>YES</v>
      </c>
      <c r="J2180" t="s">
        <v>2186</v>
      </c>
      <c r="K2180">
        <v>674630.18894200004</v>
      </c>
      <c r="L2180">
        <f t="shared" si="69"/>
        <v>0</v>
      </c>
    </row>
    <row r="2181" spans="1:12" x14ac:dyDescent="0.25">
      <c r="A2181">
        <v>4049</v>
      </c>
      <c r="B2181">
        <v>5306.5552209999996</v>
      </c>
      <c r="C2181">
        <v>5306.5552209999996</v>
      </c>
      <c r="D2181">
        <v>0</v>
      </c>
      <c r="E2181">
        <v>3799.15418</v>
      </c>
      <c r="F2181" s="1">
        <v>4.3899999999999997</v>
      </c>
      <c r="H2181">
        <v>4049</v>
      </c>
      <c r="I2181" t="str">
        <f t="shared" si="68"/>
        <v>YES</v>
      </c>
      <c r="J2181" t="s">
        <v>2187</v>
      </c>
      <c r="K2181">
        <v>884146.60501699999</v>
      </c>
      <c r="L2181">
        <f t="shared" si="69"/>
        <v>0</v>
      </c>
    </row>
    <row r="2182" spans="1:12" x14ac:dyDescent="0.25">
      <c r="A2182">
        <v>4050</v>
      </c>
      <c r="B2182">
        <v>3472.5662390000002</v>
      </c>
      <c r="C2182">
        <v>3472.5662390000002</v>
      </c>
      <c r="D2182">
        <v>0</v>
      </c>
      <c r="E2182" s="1">
        <v>9.8400000000000007E-5</v>
      </c>
      <c r="F2182" s="1">
        <v>7.4400000000000004E-8</v>
      </c>
      <c r="H2182">
        <v>4050</v>
      </c>
      <c r="I2182" t="str">
        <f t="shared" si="68"/>
        <v>YES</v>
      </c>
      <c r="J2182" t="s">
        <v>2188</v>
      </c>
      <c r="K2182">
        <v>929978.97786900005</v>
      </c>
      <c r="L2182">
        <f t="shared" si="69"/>
        <v>0</v>
      </c>
    </row>
    <row r="2183" spans="1:12" x14ac:dyDescent="0.25">
      <c r="A2183">
        <v>4051</v>
      </c>
      <c r="B2183">
        <v>8597.3035679999994</v>
      </c>
      <c r="C2183">
        <v>8597.3035679999994</v>
      </c>
      <c r="D2183">
        <v>0</v>
      </c>
      <c r="E2183">
        <v>2484.4911550000002</v>
      </c>
      <c r="F2183" s="1">
        <v>4.6500000000000004</v>
      </c>
      <c r="H2183">
        <v>4051</v>
      </c>
      <c r="I2183" t="str">
        <f t="shared" si="68"/>
        <v>YES</v>
      </c>
      <c r="J2183" t="s">
        <v>2189</v>
      </c>
      <c r="K2183">
        <v>1133008.7764900001</v>
      </c>
      <c r="L2183">
        <f t="shared" si="69"/>
        <v>0</v>
      </c>
    </row>
    <row r="2184" spans="1:12" x14ac:dyDescent="0.25">
      <c r="A2184">
        <v>4052</v>
      </c>
      <c r="B2184">
        <v>10661.08023</v>
      </c>
      <c r="C2184">
        <v>10661.08023</v>
      </c>
      <c r="D2184">
        <v>0</v>
      </c>
      <c r="E2184">
        <v>1713.7901649999999</v>
      </c>
      <c r="F2184" s="1">
        <v>3.98</v>
      </c>
      <c r="H2184">
        <v>4052</v>
      </c>
      <c r="I2184" t="str">
        <f t="shared" si="68"/>
        <v>YES</v>
      </c>
      <c r="J2184" t="s">
        <v>2190</v>
      </c>
      <c r="K2184">
        <v>833008.35252399999</v>
      </c>
      <c r="L2184">
        <f t="shared" si="69"/>
        <v>0</v>
      </c>
    </row>
    <row r="2185" spans="1:12" x14ac:dyDescent="0.25">
      <c r="A2185">
        <v>4053</v>
      </c>
      <c r="B2185">
        <v>3387.872343</v>
      </c>
      <c r="C2185">
        <v>3387.872343</v>
      </c>
      <c r="D2185">
        <v>0</v>
      </c>
      <c r="E2185">
        <v>3413.6529639999999</v>
      </c>
      <c r="F2185" s="1">
        <v>2.52</v>
      </c>
      <c r="H2185">
        <v>4053</v>
      </c>
      <c r="I2185" t="str">
        <f t="shared" si="68"/>
        <v>YES</v>
      </c>
      <c r="J2185" t="s">
        <v>2191</v>
      </c>
      <c r="K2185">
        <v>983962.62003700004</v>
      </c>
      <c r="L2185">
        <f t="shared" si="69"/>
        <v>0</v>
      </c>
    </row>
    <row r="2186" spans="1:12" x14ac:dyDescent="0.25">
      <c r="A2186">
        <v>4054</v>
      </c>
      <c r="B2186">
        <v>3912.3889549999999</v>
      </c>
      <c r="C2186">
        <v>3912.3889549999999</v>
      </c>
      <c r="D2186">
        <v>0</v>
      </c>
      <c r="E2186">
        <v>2296.3461299999999</v>
      </c>
      <c r="F2186" s="1">
        <v>1.96</v>
      </c>
      <c r="H2186">
        <v>4054</v>
      </c>
      <c r="I2186" t="str">
        <f t="shared" si="68"/>
        <v>YES</v>
      </c>
      <c r="J2186" t="s">
        <v>2192</v>
      </c>
      <c r="K2186">
        <v>1151350.9813600001</v>
      </c>
      <c r="L2186">
        <f t="shared" si="69"/>
        <v>0</v>
      </c>
    </row>
    <row r="2187" spans="1:12" x14ac:dyDescent="0.25">
      <c r="A2187">
        <v>4055</v>
      </c>
      <c r="B2187">
        <v>353.2335362</v>
      </c>
      <c r="C2187">
        <v>353.2335362</v>
      </c>
      <c r="D2187">
        <v>0</v>
      </c>
      <c r="E2187" s="1">
        <v>9.8400000000000007E-5</v>
      </c>
      <c r="F2187" s="1">
        <v>7.5699999999999993E-9</v>
      </c>
      <c r="H2187">
        <v>4055</v>
      </c>
      <c r="I2187" t="str">
        <f t="shared" si="68"/>
        <v>YES</v>
      </c>
      <c r="J2187" t="s">
        <v>2193</v>
      </c>
      <c r="K2187">
        <v>2257326.5449299999</v>
      </c>
      <c r="L2187">
        <f t="shared" si="69"/>
        <v>0</v>
      </c>
    </row>
    <row r="2188" spans="1:12" x14ac:dyDescent="0.25">
      <c r="A2188">
        <v>4056</v>
      </c>
      <c r="B2188">
        <v>6916.7493770000001</v>
      </c>
      <c r="C2188">
        <v>6916.7493770000001</v>
      </c>
      <c r="D2188">
        <v>0</v>
      </c>
      <c r="E2188" s="1">
        <v>9.8400000000000007E-5</v>
      </c>
      <c r="F2188" s="1">
        <v>1.48E-7</v>
      </c>
      <c r="H2188">
        <v>4056</v>
      </c>
      <c r="I2188" t="str">
        <f t="shared" si="68"/>
        <v>YES</v>
      </c>
      <c r="J2188" t="s">
        <v>2194</v>
      </c>
      <c r="K2188">
        <v>1611620.0102299999</v>
      </c>
      <c r="L2188">
        <f t="shared" si="69"/>
        <v>0</v>
      </c>
    </row>
    <row r="2189" spans="1:12" x14ac:dyDescent="0.25">
      <c r="A2189">
        <v>4057</v>
      </c>
      <c r="B2189">
        <v>1149.3650580000001</v>
      </c>
      <c r="C2189">
        <v>1149.3650580000001</v>
      </c>
      <c r="D2189">
        <v>0</v>
      </c>
      <c r="E2189">
        <v>2588.1932700000002</v>
      </c>
      <c r="F2189" s="1">
        <v>0.64800000000000002</v>
      </c>
      <c r="H2189">
        <v>4057</v>
      </c>
      <c r="I2189" t="str">
        <f t="shared" si="68"/>
        <v>YES</v>
      </c>
      <c r="J2189" t="s">
        <v>2195</v>
      </c>
      <c r="K2189">
        <v>848686.07319000002</v>
      </c>
      <c r="L2189">
        <f t="shared" si="69"/>
        <v>0</v>
      </c>
    </row>
    <row r="2190" spans="1:12" x14ac:dyDescent="0.25">
      <c r="A2190">
        <v>4058</v>
      </c>
      <c r="B2190">
        <v>387.62863529999998</v>
      </c>
      <c r="C2190">
        <v>387.62863529999998</v>
      </c>
      <c r="D2190">
        <v>0</v>
      </c>
      <c r="E2190">
        <v>2847.3127260000001</v>
      </c>
      <c r="F2190" s="1">
        <v>0.24</v>
      </c>
      <c r="H2190">
        <v>4058</v>
      </c>
      <c r="I2190" t="str">
        <f t="shared" si="68"/>
        <v>YES</v>
      </c>
      <c r="J2190" t="s">
        <v>2196</v>
      </c>
      <c r="K2190">
        <v>807514.73001900001</v>
      </c>
      <c r="L2190">
        <f t="shared" si="69"/>
        <v>0</v>
      </c>
    </row>
    <row r="2191" spans="1:12" x14ac:dyDescent="0.25">
      <c r="A2191">
        <v>4059</v>
      </c>
      <c r="B2191">
        <v>1649.3244179999999</v>
      </c>
      <c r="C2191">
        <v>1649.3244179999999</v>
      </c>
      <c r="D2191">
        <v>0</v>
      </c>
      <c r="E2191">
        <v>386.0877557</v>
      </c>
      <c r="F2191" s="1">
        <v>0.13900000000000001</v>
      </c>
      <c r="H2191">
        <v>4059</v>
      </c>
      <c r="I2191" t="str">
        <f t="shared" si="68"/>
        <v>YES</v>
      </c>
      <c r="J2191" t="s">
        <v>2197</v>
      </c>
      <c r="K2191">
        <v>910076.89141200006</v>
      </c>
      <c r="L2191">
        <f t="shared" si="69"/>
        <v>0</v>
      </c>
    </row>
    <row r="2192" spans="1:12" x14ac:dyDescent="0.25">
      <c r="A2192">
        <v>4060</v>
      </c>
      <c r="B2192">
        <v>7313.0569489999998</v>
      </c>
      <c r="C2192">
        <v>7313.0569489999998</v>
      </c>
      <c r="D2192">
        <v>0</v>
      </c>
      <c r="E2192">
        <v>26.901698629999999</v>
      </c>
      <c r="F2192" s="1">
        <v>4.2799999999999998E-2</v>
      </c>
      <c r="H2192">
        <v>4060</v>
      </c>
      <c r="I2192" t="str">
        <f t="shared" si="68"/>
        <v>YES</v>
      </c>
      <c r="J2192" t="s">
        <v>2198</v>
      </c>
      <c r="K2192">
        <v>1572247.5843499999</v>
      </c>
      <c r="L2192">
        <f t="shared" si="69"/>
        <v>0</v>
      </c>
    </row>
    <row r="2193" spans="1:12" x14ac:dyDescent="0.25">
      <c r="A2193">
        <v>4100</v>
      </c>
      <c r="B2193">
        <v>5783.0748610000001</v>
      </c>
      <c r="C2193">
        <v>5783.0748610000001</v>
      </c>
      <c r="D2193">
        <v>0</v>
      </c>
      <c r="E2193">
        <v>3550.8600029999998</v>
      </c>
      <c r="F2193" s="1">
        <v>4.47</v>
      </c>
      <c r="H2193">
        <v>4100</v>
      </c>
      <c r="I2193" t="str">
        <f t="shared" si="68"/>
        <v>YES</v>
      </c>
      <c r="J2193" t="s">
        <v>2199</v>
      </c>
      <c r="K2193">
        <v>1415065.18426</v>
      </c>
      <c r="L2193">
        <f t="shared" si="69"/>
        <v>0</v>
      </c>
    </row>
    <row r="2194" spans="1:12" x14ac:dyDescent="0.25">
      <c r="A2194">
        <v>4101</v>
      </c>
      <c r="B2194">
        <v>9900.6343610000004</v>
      </c>
      <c r="C2194">
        <v>9900.6343610000004</v>
      </c>
      <c r="D2194">
        <v>0</v>
      </c>
      <c r="E2194">
        <v>9.9621318250000002</v>
      </c>
      <c r="F2194" s="1">
        <v>2.1499999999999998E-2</v>
      </c>
      <c r="H2194">
        <v>4101</v>
      </c>
      <c r="I2194" t="str">
        <f t="shared" si="68"/>
        <v>YES</v>
      </c>
      <c r="J2194" t="s">
        <v>2200</v>
      </c>
      <c r="K2194">
        <v>1307729.9917899999</v>
      </c>
      <c r="L2194">
        <f t="shared" si="69"/>
        <v>0</v>
      </c>
    </row>
    <row r="2195" spans="1:12" x14ac:dyDescent="0.25">
      <c r="A2195">
        <v>4102</v>
      </c>
      <c r="B2195">
        <v>21859.640329999998</v>
      </c>
      <c r="C2195">
        <v>21859.640329999998</v>
      </c>
      <c r="D2195">
        <v>0</v>
      </c>
      <c r="E2195">
        <v>2180.5316800000001</v>
      </c>
      <c r="F2195" s="1">
        <v>10.4</v>
      </c>
      <c r="H2195">
        <v>4102</v>
      </c>
      <c r="I2195" t="str">
        <f t="shared" si="68"/>
        <v>YES</v>
      </c>
      <c r="J2195" t="s">
        <v>2201</v>
      </c>
      <c r="K2195">
        <v>705591.42584100005</v>
      </c>
      <c r="L2195">
        <f t="shared" si="69"/>
        <v>0</v>
      </c>
    </row>
    <row r="2196" spans="1:12" x14ac:dyDescent="0.25">
      <c r="A2196">
        <v>4103</v>
      </c>
      <c r="B2196">
        <v>15557.94175</v>
      </c>
      <c r="C2196">
        <v>15557.94175</v>
      </c>
      <c r="D2196">
        <v>0</v>
      </c>
      <c r="E2196">
        <v>2314.863535</v>
      </c>
      <c r="F2196" s="1">
        <v>7.84</v>
      </c>
      <c r="H2196">
        <v>4103</v>
      </c>
      <c r="I2196" t="str">
        <f t="shared" si="68"/>
        <v>YES</v>
      </c>
      <c r="J2196" t="s">
        <v>2202</v>
      </c>
      <c r="K2196">
        <v>1423864.0812200001</v>
      </c>
      <c r="L2196">
        <f t="shared" si="69"/>
        <v>0</v>
      </c>
    </row>
    <row r="2197" spans="1:12" x14ac:dyDescent="0.25">
      <c r="A2197">
        <v>4104</v>
      </c>
      <c r="B2197">
        <v>16183.98918</v>
      </c>
      <c r="C2197">
        <v>16183.98918</v>
      </c>
      <c r="D2197">
        <v>0</v>
      </c>
      <c r="E2197">
        <v>3141.6160220000002</v>
      </c>
      <c r="F2197" s="1">
        <v>11.1</v>
      </c>
      <c r="H2197">
        <v>4104</v>
      </c>
      <c r="I2197" t="str">
        <f t="shared" si="68"/>
        <v>YES</v>
      </c>
      <c r="J2197" t="s">
        <v>2203</v>
      </c>
      <c r="K2197">
        <v>925429.33686000004</v>
      </c>
      <c r="L2197">
        <f t="shared" si="69"/>
        <v>0</v>
      </c>
    </row>
    <row r="2198" spans="1:12" x14ac:dyDescent="0.25">
      <c r="A2198">
        <v>4105</v>
      </c>
      <c r="B2198">
        <v>79133.727929999994</v>
      </c>
      <c r="C2198">
        <v>79133.727929999994</v>
      </c>
      <c r="D2198">
        <v>0</v>
      </c>
      <c r="E2198" s="1">
        <v>9.8200000000000002E-5</v>
      </c>
      <c r="F2198" s="1">
        <v>1.6899999999999999E-6</v>
      </c>
      <c r="H2198">
        <v>4105</v>
      </c>
      <c r="I2198" t="str">
        <f t="shared" si="68"/>
        <v>YES</v>
      </c>
      <c r="J2198" t="s">
        <v>2204</v>
      </c>
      <c r="K2198">
        <v>123180.111246</v>
      </c>
      <c r="L2198">
        <f t="shared" si="69"/>
        <v>0</v>
      </c>
    </row>
    <row r="2199" spans="1:12" x14ac:dyDescent="0.25">
      <c r="A2199">
        <v>4106</v>
      </c>
      <c r="B2199">
        <v>19573.121800000001</v>
      </c>
      <c r="C2199">
        <v>19573.121800000001</v>
      </c>
      <c r="D2199">
        <v>0</v>
      </c>
      <c r="E2199">
        <v>2398.9309870000002</v>
      </c>
      <c r="F2199" s="1">
        <v>10.199999999999999</v>
      </c>
      <c r="H2199">
        <v>4106</v>
      </c>
      <c r="I2199" t="str">
        <f t="shared" si="68"/>
        <v>YES</v>
      </c>
      <c r="J2199" t="s">
        <v>2205</v>
      </c>
      <c r="K2199">
        <v>350734.42338300002</v>
      </c>
      <c r="L2199">
        <f t="shared" si="69"/>
        <v>0</v>
      </c>
    </row>
    <row r="2200" spans="1:12" x14ac:dyDescent="0.25">
      <c r="A2200">
        <v>4107</v>
      </c>
      <c r="B2200">
        <v>85080.976739999998</v>
      </c>
      <c r="C2200">
        <v>85080.976739999998</v>
      </c>
      <c r="D2200">
        <v>0</v>
      </c>
      <c r="E2200">
        <v>39.500801289999998</v>
      </c>
      <c r="F2200" s="1">
        <v>0.73199999999999998</v>
      </c>
      <c r="H2200">
        <v>4107</v>
      </c>
      <c r="I2200" t="str">
        <f t="shared" si="68"/>
        <v>YES</v>
      </c>
      <c r="J2200" t="s">
        <v>2206</v>
      </c>
      <c r="K2200">
        <v>208049.73323700001</v>
      </c>
      <c r="L2200">
        <f t="shared" si="69"/>
        <v>0</v>
      </c>
    </row>
    <row r="2201" spans="1:12" x14ac:dyDescent="0.25">
      <c r="A2201">
        <v>4108</v>
      </c>
      <c r="B2201">
        <v>18123.152470000001</v>
      </c>
      <c r="C2201">
        <v>18123.152470000001</v>
      </c>
      <c r="D2201">
        <v>0</v>
      </c>
      <c r="E2201">
        <v>1632.3140920000001</v>
      </c>
      <c r="F2201" s="1">
        <v>6.44</v>
      </c>
      <c r="H2201">
        <v>4108</v>
      </c>
      <c r="I2201" t="str">
        <f t="shared" si="68"/>
        <v>YES</v>
      </c>
      <c r="J2201" t="s">
        <v>2207</v>
      </c>
      <c r="K2201">
        <v>621601.28818000003</v>
      </c>
      <c r="L2201">
        <f t="shared" si="69"/>
        <v>0</v>
      </c>
    </row>
    <row r="2202" spans="1:12" x14ac:dyDescent="0.25">
      <c r="A2202">
        <v>4109</v>
      </c>
      <c r="B2202">
        <v>23743.06594</v>
      </c>
      <c r="C2202">
        <v>23743.06594</v>
      </c>
      <c r="D2202">
        <v>0</v>
      </c>
      <c r="E2202">
        <v>1667.8834420000001</v>
      </c>
      <c r="F2202" s="1">
        <v>8.6199999999999992</v>
      </c>
      <c r="H2202">
        <v>4109</v>
      </c>
      <c r="I2202" t="str">
        <f t="shared" si="68"/>
        <v>YES</v>
      </c>
      <c r="J2202" t="s">
        <v>2208</v>
      </c>
      <c r="K2202">
        <v>435375.02171300002</v>
      </c>
      <c r="L2202">
        <f t="shared" si="69"/>
        <v>0</v>
      </c>
    </row>
    <row r="2203" spans="1:12" x14ac:dyDescent="0.25">
      <c r="A2203">
        <v>4110</v>
      </c>
      <c r="B2203">
        <v>16826.6819</v>
      </c>
      <c r="C2203">
        <v>16826.6819</v>
      </c>
      <c r="D2203">
        <v>0</v>
      </c>
      <c r="E2203" s="1">
        <v>9.8200000000000002E-5</v>
      </c>
      <c r="F2203" s="1">
        <v>3.5999999999999999E-7</v>
      </c>
      <c r="H2203">
        <v>4110</v>
      </c>
      <c r="I2203" t="str">
        <f t="shared" si="68"/>
        <v>YES</v>
      </c>
      <c r="J2203" t="s">
        <v>2209</v>
      </c>
      <c r="K2203">
        <v>89791.164500400002</v>
      </c>
      <c r="L2203">
        <f t="shared" si="69"/>
        <v>0</v>
      </c>
    </row>
    <row r="2204" spans="1:12" x14ac:dyDescent="0.25">
      <c r="A2204">
        <v>4111</v>
      </c>
      <c r="B2204">
        <v>49333.38869</v>
      </c>
      <c r="C2204">
        <v>49333.38869</v>
      </c>
      <c r="D2204">
        <v>0</v>
      </c>
      <c r="E2204">
        <v>200.16121910000001</v>
      </c>
      <c r="F2204" s="1">
        <v>2.15</v>
      </c>
      <c r="H2204">
        <v>4111</v>
      </c>
      <c r="I2204" t="str">
        <f t="shared" si="68"/>
        <v>YES</v>
      </c>
      <c r="J2204" t="s">
        <v>2210</v>
      </c>
      <c r="K2204">
        <v>136261.73905900001</v>
      </c>
      <c r="L2204">
        <f t="shared" si="69"/>
        <v>0</v>
      </c>
    </row>
    <row r="2205" spans="1:12" x14ac:dyDescent="0.25">
      <c r="A2205">
        <v>4112</v>
      </c>
      <c r="B2205">
        <v>41608.118340000001</v>
      </c>
      <c r="C2205">
        <v>41608.118340000001</v>
      </c>
      <c r="D2205">
        <v>0</v>
      </c>
      <c r="E2205">
        <v>382.3758929</v>
      </c>
      <c r="F2205" s="1">
        <v>3.46</v>
      </c>
      <c r="H2205">
        <v>4112</v>
      </c>
      <c r="I2205" t="str">
        <f t="shared" si="68"/>
        <v>YES</v>
      </c>
      <c r="J2205" t="s">
        <v>2211</v>
      </c>
      <c r="K2205">
        <v>217844.94602</v>
      </c>
      <c r="L2205">
        <f t="shared" si="69"/>
        <v>0</v>
      </c>
    </row>
    <row r="2206" spans="1:12" x14ac:dyDescent="0.25">
      <c r="A2206">
        <v>4113</v>
      </c>
      <c r="B2206">
        <v>1346.564715</v>
      </c>
      <c r="C2206">
        <v>1346.564715</v>
      </c>
      <c r="D2206">
        <v>0</v>
      </c>
      <c r="E2206">
        <v>3261.943221</v>
      </c>
      <c r="F2206" s="1">
        <v>0.95599999999999996</v>
      </c>
      <c r="H2206">
        <v>4113</v>
      </c>
      <c r="I2206" t="str">
        <f t="shared" si="68"/>
        <v>YES</v>
      </c>
      <c r="J2206" t="s">
        <v>2212</v>
      </c>
      <c r="K2206">
        <v>1662741.15329</v>
      </c>
      <c r="L2206">
        <f t="shared" si="69"/>
        <v>0</v>
      </c>
    </row>
    <row r="2207" spans="1:12" x14ac:dyDescent="0.25">
      <c r="A2207">
        <v>4114</v>
      </c>
      <c r="B2207">
        <v>2029.652231</v>
      </c>
      <c r="C2207">
        <v>2029.652231</v>
      </c>
      <c r="D2207">
        <v>0</v>
      </c>
      <c r="E2207">
        <v>2315.7709620000001</v>
      </c>
      <c r="F2207" s="1">
        <v>1.02</v>
      </c>
      <c r="H2207">
        <v>4114</v>
      </c>
      <c r="I2207" t="str">
        <f t="shared" si="68"/>
        <v>YES</v>
      </c>
      <c r="J2207" t="s">
        <v>2213</v>
      </c>
      <c r="K2207">
        <v>1065405.72</v>
      </c>
      <c r="L2207">
        <f t="shared" si="69"/>
        <v>0</v>
      </c>
    </row>
    <row r="2208" spans="1:12" x14ac:dyDescent="0.25">
      <c r="A2208">
        <v>4115</v>
      </c>
      <c r="B2208">
        <v>13085.873530000001</v>
      </c>
      <c r="C2208">
        <v>13085.873530000001</v>
      </c>
      <c r="D2208">
        <v>0</v>
      </c>
      <c r="E2208">
        <v>2890.3606519999998</v>
      </c>
      <c r="F2208" s="1">
        <v>8.24</v>
      </c>
      <c r="H2208">
        <v>4115</v>
      </c>
      <c r="I2208" t="str">
        <f t="shared" si="68"/>
        <v>YES</v>
      </c>
      <c r="J2208" t="s">
        <v>2214</v>
      </c>
      <c r="K2208">
        <v>1134045.9676999999</v>
      </c>
      <c r="L2208">
        <f t="shared" si="69"/>
        <v>0</v>
      </c>
    </row>
    <row r="2209" spans="1:12" x14ac:dyDescent="0.25">
      <c r="A2209">
        <v>4116</v>
      </c>
      <c r="B2209">
        <v>6554.0685119999998</v>
      </c>
      <c r="C2209">
        <v>6554.0685119999998</v>
      </c>
      <c r="D2209">
        <v>0</v>
      </c>
      <c r="E2209">
        <v>4866.283668</v>
      </c>
      <c r="F2209" s="1">
        <v>6.94</v>
      </c>
      <c r="H2209">
        <v>4116</v>
      </c>
      <c r="I2209" t="str">
        <f t="shared" si="68"/>
        <v>YES</v>
      </c>
      <c r="J2209" t="s">
        <v>2215</v>
      </c>
      <c r="K2209">
        <v>1408669.14671</v>
      </c>
      <c r="L2209">
        <f t="shared" si="69"/>
        <v>0</v>
      </c>
    </row>
    <row r="2210" spans="1:12" x14ac:dyDescent="0.25">
      <c r="A2210">
        <v>4117</v>
      </c>
      <c r="B2210">
        <v>6464.069708</v>
      </c>
      <c r="C2210">
        <v>6464.069708</v>
      </c>
      <c r="D2210">
        <v>0</v>
      </c>
      <c r="E2210">
        <v>3019.884853</v>
      </c>
      <c r="F2210" s="1">
        <v>4.25</v>
      </c>
      <c r="H2210">
        <v>4117</v>
      </c>
      <c r="I2210" t="str">
        <f t="shared" si="68"/>
        <v>YES</v>
      </c>
      <c r="J2210" t="s">
        <v>2216</v>
      </c>
      <c r="K2210">
        <v>865019.89246400003</v>
      </c>
      <c r="L2210">
        <f t="shared" si="69"/>
        <v>0</v>
      </c>
    </row>
    <row r="2211" spans="1:12" x14ac:dyDescent="0.25">
      <c r="A2211">
        <v>4118</v>
      </c>
      <c r="B2211">
        <v>11682.922130000001</v>
      </c>
      <c r="C2211">
        <v>11682.922130000001</v>
      </c>
      <c r="D2211">
        <v>0</v>
      </c>
      <c r="E2211">
        <v>2272.7566440000001</v>
      </c>
      <c r="F2211" s="1">
        <v>5.78</v>
      </c>
      <c r="H2211">
        <v>4118</v>
      </c>
      <c r="I2211" t="str">
        <f t="shared" si="68"/>
        <v>YES</v>
      </c>
      <c r="J2211" t="s">
        <v>2217</v>
      </c>
      <c r="K2211">
        <v>1233837.3687499999</v>
      </c>
      <c r="L2211">
        <f t="shared" si="69"/>
        <v>0</v>
      </c>
    </row>
    <row r="2212" spans="1:12" x14ac:dyDescent="0.25">
      <c r="A2212">
        <v>4119</v>
      </c>
      <c r="B2212">
        <v>11541.986440000001</v>
      </c>
      <c r="C2212">
        <v>11541.986440000001</v>
      </c>
      <c r="D2212">
        <v>0</v>
      </c>
      <c r="E2212">
        <v>1264.8973900000001</v>
      </c>
      <c r="F2212" s="1">
        <v>3.18</v>
      </c>
      <c r="H2212">
        <v>4119</v>
      </c>
      <c r="I2212" t="str">
        <f t="shared" si="68"/>
        <v>YES</v>
      </c>
      <c r="J2212" t="s">
        <v>2218</v>
      </c>
      <c r="K2212">
        <v>383842.90671900002</v>
      </c>
      <c r="L2212">
        <f t="shared" si="69"/>
        <v>0</v>
      </c>
    </row>
    <row r="2213" spans="1:12" x14ac:dyDescent="0.25">
      <c r="A2213">
        <v>4120</v>
      </c>
      <c r="B2213">
        <v>17877.405910000001</v>
      </c>
      <c r="C2213">
        <v>17877.405910000001</v>
      </c>
      <c r="D2213">
        <v>0</v>
      </c>
      <c r="E2213">
        <v>793.76502740000001</v>
      </c>
      <c r="F2213" s="1">
        <v>3.09</v>
      </c>
      <c r="H2213">
        <v>4120</v>
      </c>
      <c r="I2213" t="str">
        <f t="shared" si="68"/>
        <v>YES</v>
      </c>
      <c r="J2213" t="s">
        <v>2219</v>
      </c>
      <c r="K2213">
        <v>226888.46102700001</v>
      </c>
      <c r="L2213">
        <f t="shared" si="69"/>
        <v>0</v>
      </c>
    </row>
    <row r="2214" spans="1:12" x14ac:dyDescent="0.25">
      <c r="A2214">
        <v>4121</v>
      </c>
      <c r="B2214">
        <v>5882.4095859999998</v>
      </c>
      <c r="C2214">
        <v>5882.4095859999998</v>
      </c>
      <c r="D2214">
        <v>0</v>
      </c>
      <c r="E2214">
        <v>3048.608929</v>
      </c>
      <c r="F2214" s="1">
        <v>3.9</v>
      </c>
      <c r="H2214">
        <v>4121</v>
      </c>
      <c r="I2214" t="str">
        <f t="shared" si="68"/>
        <v>YES</v>
      </c>
      <c r="J2214" t="s">
        <v>2220</v>
      </c>
      <c r="K2214">
        <v>792620.06697100005</v>
      </c>
      <c r="L2214">
        <f t="shared" si="69"/>
        <v>0</v>
      </c>
    </row>
    <row r="2215" spans="1:12" x14ac:dyDescent="0.25">
      <c r="A2215">
        <v>4122</v>
      </c>
      <c r="B2215">
        <v>14652.948410000001</v>
      </c>
      <c r="C2215">
        <v>14652.948410000001</v>
      </c>
      <c r="D2215">
        <v>0</v>
      </c>
      <c r="E2215">
        <v>2537.4453760000001</v>
      </c>
      <c r="F2215" s="1">
        <v>8.1</v>
      </c>
      <c r="H2215">
        <v>4122</v>
      </c>
      <c r="I2215" t="str">
        <f t="shared" si="68"/>
        <v>YES</v>
      </c>
      <c r="J2215" t="s">
        <v>2221</v>
      </c>
      <c r="K2215">
        <v>664586.82978599996</v>
      </c>
      <c r="L2215">
        <f t="shared" si="69"/>
        <v>0</v>
      </c>
    </row>
    <row r="2216" spans="1:12" x14ac:dyDescent="0.25">
      <c r="A2216">
        <v>4123</v>
      </c>
      <c r="B2216">
        <v>11760.593129999999</v>
      </c>
      <c r="C2216">
        <v>11760.593129999999</v>
      </c>
      <c r="D2216">
        <v>0</v>
      </c>
      <c r="E2216">
        <v>2482.0575690000001</v>
      </c>
      <c r="F2216" s="1">
        <v>6.36</v>
      </c>
      <c r="H2216">
        <v>4123</v>
      </c>
      <c r="I2216" t="str">
        <f t="shared" si="68"/>
        <v>YES</v>
      </c>
      <c r="J2216" t="s">
        <v>2222</v>
      </c>
      <c r="K2216">
        <v>628390.52435199998</v>
      </c>
      <c r="L2216">
        <f t="shared" si="69"/>
        <v>0</v>
      </c>
    </row>
    <row r="2217" spans="1:12" x14ac:dyDescent="0.25">
      <c r="A2217">
        <v>4124</v>
      </c>
      <c r="B2217">
        <v>7600.7123629999996</v>
      </c>
      <c r="C2217">
        <v>7600.7123629999996</v>
      </c>
      <c r="D2217">
        <v>0</v>
      </c>
      <c r="E2217">
        <v>4415.5897359999999</v>
      </c>
      <c r="F2217" s="1">
        <v>7.31</v>
      </c>
      <c r="H2217">
        <v>4124</v>
      </c>
      <c r="I2217" t="str">
        <f t="shared" si="68"/>
        <v>YES</v>
      </c>
      <c r="J2217" t="s">
        <v>2223</v>
      </c>
      <c r="K2217">
        <v>1322301.30165</v>
      </c>
      <c r="L2217">
        <f t="shared" si="69"/>
        <v>0</v>
      </c>
    </row>
    <row r="2218" spans="1:12" x14ac:dyDescent="0.25">
      <c r="A2218">
        <v>4125</v>
      </c>
      <c r="B2218">
        <v>13022.2997</v>
      </c>
      <c r="C2218">
        <v>13022.2997</v>
      </c>
      <c r="D2218">
        <v>0</v>
      </c>
      <c r="E2218">
        <v>3029.4251290000002</v>
      </c>
      <c r="F2218" s="1">
        <v>8.59</v>
      </c>
      <c r="H2218">
        <v>4125</v>
      </c>
      <c r="I2218" t="str">
        <f t="shared" si="68"/>
        <v>YES</v>
      </c>
      <c r="J2218" t="s">
        <v>2224</v>
      </c>
      <c r="K2218">
        <v>867290.89842500002</v>
      </c>
      <c r="L2218">
        <f t="shared" si="69"/>
        <v>0</v>
      </c>
    </row>
    <row r="2219" spans="1:12" x14ac:dyDescent="0.25">
      <c r="A2219">
        <v>4126</v>
      </c>
      <c r="B2219">
        <v>5520.7206180000003</v>
      </c>
      <c r="C2219">
        <v>5520.7206180000003</v>
      </c>
      <c r="D2219">
        <v>0</v>
      </c>
      <c r="E2219">
        <v>3077.4513360000001</v>
      </c>
      <c r="F2219" s="1">
        <v>3.7</v>
      </c>
      <c r="H2219">
        <v>4126</v>
      </c>
      <c r="I2219" t="str">
        <f t="shared" si="68"/>
        <v>YES</v>
      </c>
      <c r="J2219" t="s">
        <v>2225</v>
      </c>
      <c r="K2219">
        <v>852384.02869299997</v>
      </c>
      <c r="L2219">
        <f t="shared" si="69"/>
        <v>0</v>
      </c>
    </row>
    <row r="2220" spans="1:12" x14ac:dyDescent="0.25">
      <c r="A2220">
        <v>4127</v>
      </c>
      <c r="B2220">
        <v>7614.8886279999997</v>
      </c>
      <c r="C2220">
        <v>7614.8886279999997</v>
      </c>
      <c r="D2220">
        <v>0</v>
      </c>
      <c r="E2220">
        <v>2105.6359729999999</v>
      </c>
      <c r="F2220" s="1">
        <v>3.49</v>
      </c>
      <c r="H2220">
        <v>4127</v>
      </c>
      <c r="I2220" t="str">
        <f t="shared" si="68"/>
        <v>YES</v>
      </c>
      <c r="J2220" t="s">
        <v>2226</v>
      </c>
      <c r="K2220">
        <v>648417.19140400004</v>
      </c>
      <c r="L2220">
        <f t="shared" si="69"/>
        <v>0</v>
      </c>
    </row>
    <row r="2221" spans="1:12" x14ac:dyDescent="0.25">
      <c r="A2221">
        <v>4128</v>
      </c>
      <c r="B2221">
        <v>9290.2623779999994</v>
      </c>
      <c r="C2221">
        <v>9290.2623779999994</v>
      </c>
      <c r="D2221">
        <v>0</v>
      </c>
      <c r="E2221">
        <v>3541.1974399999999</v>
      </c>
      <c r="F2221" s="1">
        <v>7.16</v>
      </c>
      <c r="H2221">
        <v>4128</v>
      </c>
      <c r="I2221" t="str">
        <f t="shared" si="68"/>
        <v>YES</v>
      </c>
      <c r="J2221" t="s">
        <v>2227</v>
      </c>
      <c r="K2221">
        <v>949079.95710999996</v>
      </c>
      <c r="L2221">
        <f t="shared" si="69"/>
        <v>0</v>
      </c>
    </row>
    <row r="2222" spans="1:12" x14ac:dyDescent="0.25">
      <c r="A2222">
        <v>4129</v>
      </c>
      <c r="B2222">
        <v>12271.61757</v>
      </c>
      <c r="C2222">
        <v>12271.61757</v>
      </c>
      <c r="D2222">
        <v>0</v>
      </c>
      <c r="E2222">
        <v>3103.9260960000001</v>
      </c>
      <c r="F2222" s="1">
        <v>8.2899999999999991</v>
      </c>
      <c r="H2222">
        <v>4129</v>
      </c>
      <c r="I2222" t="str">
        <f t="shared" si="68"/>
        <v>YES</v>
      </c>
      <c r="J2222" t="s">
        <v>2228</v>
      </c>
      <c r="K2222">
        <v>684713.98674600001</v>
      </c>
      <c r="L2222">
        <f t="shared" si="69"/>
        <v>0</v>
      </c>
    </row>
    <row r="2223" spans="1:12" x14ac:dyDescent="0.25">
      <c r="A2223">
        <v>4132</v>
      </c>
      <c r="B2223">
        <v>890.6280534</v>
      </c>
      <c r="C2223">
        <v>890.6280534</v>
      </c>
      <c r="D2223">
        <v>0</v>
      </c>
      <c r="E2223">
        <v>4229.2887920000003</v>
      </c>
      <c r="F2223" s="1">
        <v>0.82</v>
      </c>
      <c r="H2223">
        <v>4132</v>
      </c>
      <c r="I2223" t="str">
        <f t="shared" si="68"/>
        <v>YES</v>
      </c>
      <c r="J2223" t="s">
        <v>2229</v>
      </c>
      <c r="K2223">
        <v>1821886.43178</v>
      </c>
      <c r="L2223">
        <f t="shared" si="69"/>
        <v>0</v>
      </c>
    </row>
    <row r="2224" spans="1:12" x14ac:dyDescent="0.25">
      <c r="A2224">
        <v>4133</v>
      </c>
      <c r="B2224">
        <v>1562.5701280000001</v>
      </c>
      <c r="C2224">
        <v>1562.5701280000001</v>
      </c>
      <c r="D2224">
        <v>0</v>
      </c>
      <c r="E2224">
        <v>3050.5088369999999</v>
      </c>
      <c r="F2224" s="1">
        <v>1.04</v>
      </c>
      <c r="H2224">
        <v>4133</v>
      </c>
      <c r="I2224" t="str">
        <f t="shared" ref="I2224:I2287" si="70">IF(A2224=H2224,"YES","NO")</f>
        <v>YES</v>
      </c>
      <c r="J2224" t="s">
        <v>2230</v>
      </c>
      <c r="K2224">
        <v>821026.75534899998</v>
      </c>
      <c r="L2224">
        <f t="shared" si="69"/>
        <v>0</v>
      </c>
    </row>
    <row r="2225" spans="1:12" x14ac:dyDescent="0.25">
      <c r="A2225">
        <v>4134</v>
      </c>
      <c r="B2225">
        <v>5792.8715249999996</v>
      </c>
      <c r="C2225">
        <v>5792.8715249999996</v>
      </c>
      <c r="D2225">
        <v>0</v>
      </c>
      <c r="E2225">
        <v>3083.51298</v>
      </c>
      <c r="F2225" s="1">
        <v>3.89</v>
      </c>
      <c r="H2225">
        <v>4134</v>
      </c>
      <c r="I2225" t="str">
        <f t="shared" si="70"/>
        <v>YES</v>
      </c>
      <c r="J2225" t="s">
        <v>2231</v>
      </c>
      <c r="K2225">
        <v>1641267.8640600001</v>
      </c>
      <c r="L2225">
        <f t="shared" si="69"/>
        <v>0</v>
      </c>
    </row>
    <row r="2226" spans="1:12" x14ac:dyDescent="0.25">
      <c r="A2226">
        <v>4135</v>
      </c>
      <c r="B2226">
        <v>545.04717149999999</v>
      </c>
      <c r="C2226">
        <v>545.04717149999999</v>
      </c>
      <c r="D2226">
        <v>0</v>
      </c>
      <c r="E2226">
        <v>3596.242037</v>
      </c>
      <c r="F2226" s="1">
        <v>0.42699999999999999</v>
      </c>
      <c r="H2226">
        <v>4135</v>
      </c>
      <c r="I2226" t="str">
        <f t="shared" si="70"/>
        <v>YES</v>
      </c>
      <c r="J2226" t="s">
        <v>2232</v>
      </c>
      <c r="K2226">
        <v>868627.79554800002</v>
      </c>
      <c r="L2226">
        <f t="shared" si="69"/>
        <v>0</v>
      </c>
    </row>
    <row r="2227" spans="1:12" x14ac:dyDescent="0.25">
      <c r="A2227">
        <v>4136</v>
      </c>
      <c r="B2227">
        <v>5800.2757339999998</v>
      </c>
      <c r="C2227">
        <v>5800.2757339999998</v>
      </c>
      <c r="D2227">
        <v>0</v>
      </c>
      <c r="E2227">
        <v>3990.0495139999998</v>
      </c>
      <c r="F2227" s="1">
        <v>5.04</v>
      </c>
      <c r="H2227">
        <v>4136</v>
      </c>
      <c r="I2227" t="str">
        <f t="shared" si="70"/>
        <v>YES</v>
      </c>
      <c r="J2227" t="s">
        <v>2233</v>
      </c>
      <c r="K2227">
        <v>1666471.98538</v>
      </c>
      <c r="L2227">
        <f t="shared" si="69"/>
        <v>0</v>
      </c>
    </row>
    <row r="2228" spans="1:12" x14ac:dyDescent="0.25">
      <c r="A2228">
        <v>4137</v>
      </c>
      <c r="B2228">
        <v>1950.387862</v>
      </c>
      <c r="C2228">
        <v>1950.387862</v>
      </c>
      <c r="D2228">
        <v>0</v>
      </c>
      <c r="E2228">
        <v>2599.7292160000002</v>
      </c>
      <c r="F2228" s="1">
        <v>1.1000000000000001</v>
      </c>
      <c r="H2228">
        <v>4137</v>
      </c>
      <c r="I2228" t="str">
        <f t="shared" si="70"/>
        <v>YES</v>
      </c>
      <c r="J2228" t="s">
        <v>2234</v>
      </c>
      <c r="K2228">
        <v>818142.43245900003</v>
      </c>
      <c r="L2228">
        <f t="shared" si="69"/>
        <v>0</v>
      </c>
    </row>
    <row r="2229" spans="1:12" x14ac:dyDescent="0.25">
      <c r="A2229">
        <v>4138</v>
      </c>
      <c r="B2229">
        <v>1017.287811</v>
      </c>
      <c r="C2229">
        <v>1017.287811</v>
      </c>
      <c r="D2229">
        <v>0</v>
      </c>
      <c r="E2229">
        <v>2723.6686239999999</v>
      </c>
      <c r="F2229" s="1">
        <v>0.60299999999999998</v>
      </c>
      <c r="H2229">
        <v>4138</v>
      </c>
      <c r="I2229" t="str">
        <f t="shared" si="70"/>
        <v>YES</v>
      </c>
      <c r="J2229" t="s">
        <v>2235</v>
      </c>
      <c r="K2229">
        <v>2255479.25392</v>
      </c>
      <c r="L2229">
        <f t="shared" si="69"/>
        <v>0</v>
      </c>
    </row>
    <row r="2230" spans="1:12" x14ac:dyDescent="0.25">
      <c r="A2230">
        <v>4140</v>
      </c>
      <c r="B2230">
        <v>1148.5653600000001</v>
      </c>
      <c r="C2230">
        <v>1148.5653600000001</v>
      </c>
      <c r="D2230">
        <v>0</v>
      </c>
      <c r="E2230">
        <v>4035.5410959999999</v>
      </c>
      <c r="F2230" s="1">
        <v>1.01</v>
      </c>
      <c r="H2230">
        <v>4140</v>
      </c>
      <c r="I2230" t="str">
        <f t="shared" si="70"/>
        <v>YES</v>
      </c>
      <c r="J2230" t="s">
        <v>2236</v>
      </c>
      <c r="K2230">
        <v>1572510.83143</v>
      </c>
      <c r="L2230">
        <f t="shared" si="69"/>
        <v>0</v>
      </c>
    </row>
    <row r="2231" spans="1:12" x14ac:dyDescent="0.25">
      <c r="A2231">
        <v>4141</v>
      </c>
      <c r="B2231">
        <v>1828.078692</v>
      </c>
      <c r="C2231">
        <v>1828.078692</v>
      </c>
      <c r="D2231">
        <v>0</v>
      </c>
      <c r="E2231">
        <v>3347.9069049999998</v>
      </c>
      <c r="F2231" s="1">
        <v>1.33</v>
      </c>
      <c r="H2231">
        <v>4141</v>
      </c>
      <c r="I2231" t="str">
        <f t="shared" si="70"/>
        <v>YES</v>
      </c>
      <c r="J2231" t="s">
        <v>2237</v>
      </c>
      <c r="K2231">
        <v>1288422.38744</v>
      </c>
      <c r="L2231">
        <f t="shared" si="69"/>
        <v>0</v>
      </c>
    </row>
    <row r="2232" spans="1:12" x14ac:dyDescent="0.25">
      <c r="A2232">
        <v>4142</v>
      </c>
      <c r="B2232">
        <v>2336.6820109999999</v>
      </c>
      <c r="C2232">
        <v>2336.6820109999999</v>
      </c>
      <c r="D2232">
        <v>0</v>
      </c>
      <c r="E2232">
        <v>2252.282326</v>
      </c>
      <c r="F2232" s="1">
        <v>1.1499999999999999</v>
      </c>
      <c r="H2232">
        <v>4142</v>
      </c>
      <c r="I2232" t="str">
        <f t="shared" si="70"/>
        <v>YES</v>
      </c>
      <c r="J2232" t="s">
        <v>2238</v>
      </c>
      <c r="K2232">
        <v>799970.55459399999</v>
      </c>
      <c r="L2232">
        <f t="shared" si="69"/>
        <v>0</v>
      </c>
    </row>
    <row r="2233" spans="1:12" x14ac:dyDescent="0.25">
      <c r="A2233">
        <v>4143</v>
      </c>
      <c r="B2233">
        <v>14335.74555</v>
      </c>
      <c r="C2233">
        <v>14335.74555</v>
      </c>
      <c r="D2233">
        <v>0</v>
      </c>
      <c r="E2233">
        <v>4333.4714270000004</v>
      </c>
      <c r="F2233" s="1">
        <v>13.5</v>
      </c>
      <c r="H2233">
        <v>4143</v>
      </c>
      <c r="I2233" t="str">
        <f t="shared" si="70"/>
        <v>YES</v>
      </c>
      <c r="J2233" t="s">
        <v>2239</v>
      </c>
      <c r="K2233">
        <v>1424731.80889</v>
      </c>
      <c r="L2233">
        <f t="shared" si="69"/>
        <v>0</v>
      </c>
    </row>
    <row r="2234" spans="1:12" x14ac:dyDescent="0.25">
      <c r="A2234">
        <v>4144</v>
      </c>
      <c r="B2234">
        <v>4702.0123180000001</v>
      </c>
      <c r="C2234">
        <v>4702.0123180000001</v>
      </c>
      <c r="D2234">
        <v>0</v>
      </c>
      <c r="E2234">
        <v>3375.9459029999998</v>
      </c>
      <c r="F2234" s="1">
        <v>3.46</v>
      </c>
      <c r="H2234">
        <v>4144</v>
      </c>
      <c r="I2234" t="str">
        <f t="shared" si="70"/>
        <v>YES</v>
      </c>
      <c r="J2234" t="s">
        <v>2240</v>
      </c>
      <c r="K2234">
        <v>1011398.13273</v>
      </c>
      <c r="L2234">
        <f t="shared" si="69"/>
        <v>0</v>
      </c>
    </row>
    <row r="2235" spans="1:12" x14ac:dyDescent="0.25">
      <c r="A2235">
        <v>4145</v>
      </c>
      <c r="B2235">
        <v>21964.42513</v>
      </c>
      <c r="C2235">
        <v>21964.42513</v>
      </c>
      <c r="D2235">
        <v>0</v>
      </c>
      <c r="E2235">
        <v>2412.2308720000001</v>
      </c>
      <c r="F2235" s="1">
        <v>11.5</v>
      </c>
      <c r="H2235">
        <v>4145</v>
      </c>
      <c r="I2235" t="str">
        <f t="shared" si="70"/>
        <v>YES</v>
      </c>
      <c r="J2235" t="s">
        <v>2241</v>
      </c>
      <c r="K2235">
        <v>1007495.10494</v>
      </c>
      <c r="L2235">
        <f t="shared" si="69"/>
        <v>0</v>
      </c>
    </row>
    <row r="2236" spans="1:12" x14ac:dyDescent="0.25">
      <c r="A2236">
        <v>4146</v>
      </c>
      <c r="B2236">
        <v>12095.773639999999</v>
      </c>
      <c r="C2236">
        <v>12095.773639999999</v>
      </c>
      <c r="D2236">
        <v>0</v>
      </c>
      <c r="E2236">
        <v>2536.0807089999998</v>
      </c>
      <c r="F2236" s="1">
        <v>6.68</v>
      </c>
      <c r="H2236">
        <v>4146</v>
      </c>
      <c r="I2236" t="str">
        <f t="shared" si="70"/>
        <v>YES</v>
      </c>
      <c r="J2236" t="s">
        <v>2242</v>
      </c>
      <c r="K2236">
        <v>824375.00149299996</v>
      </c>
      <c r="L2236">
        <f t="shared" si="69"/>
        <v>0</v>
      </c>
    </row>
    <row r="2237" spans="1:12" x14ac:dyDescent="0.25">
      <c r="A2237">
        <v>4147</v>
      </c>
      <c r="B2237">
        <v>10568.341549999999</v>
      </c>
      <c r="C2237">
        <v>10568.341549999999</v>
      </c>
      <c r="D2237">
        <v>0</v>
      </c>
      <c r="E2237">
        <v>2082.0461409999998</v>
      </c>
      <c r="F2237" s="1">
        <v>4.79</v>
      </c>
      <c r="H2237">
        <v>4147</v>
      </c>
      <c r="I2237" t="str">
        <f t="shared" si="70"/>
        <v>YES</v>
      </c>
      <c r="J2237" t="s">
        <v>2243</v>
      </c>
      <c r="K2237">
        <v>673916.31885200005</v>
      </c>
      <c r="L2237">
        <f t="shared" si="69"/>
        <v>0</v>
      </c>
    </row>
    <row r="2238" spans="1:12" x14ac:dyDescent="0.25">
      <c r="A2238">
        <v>4148</v>
      </c>
      <c r="B2238">
        <v>28615.093069999999</v>
      </c>
      <c r="C2238">
        <v>28615.093069999999</v>
      </c>
      <c r="D2238">
        <v>0</v>
      </c>
      <c r="E2238">
        <v>1257.858381</v>
      </c>
      <c r="F2238" s="1">
        <v>7.84</v>
      </c>
      <c r="H2238">
        <v>4148</v>
      </c>
      <c r="I2238" t="str">
        <f t="shared" si="70"/>
        <v>YES</v>
      </c>
      <c r="J2238" t="s">
        <v>2244</v>
      </c>
      <c r="K2238">
        <v>569051.57911199995</v>
      </c>
      <c r="L2238">
        <f t="shared" si="69"/>
        <v>0</v>
      </c>
    </row>
    <row r="2239" spans="1:12" x14ac:dyDescent="0.25">
      <c r="A2239">
        <v>4149</v>
      </c>
      <c r="B2239">
        <v>14352.81688</v>
      </c>
      <c r="C2239">
        <v>14352.81688</v>
      </c>
      <c r="D2239">
        <v>0</v>
      </c>
      <c r="E2239">
        <v>4.4906541290000002</v>
      </c>
      <c r="F2239" s="1">
        <v>1.4E-2</v>
      </c>
      <c r="H2239">
        <v>4149</v>
      </c>
      <c r="I2239" t="str">
        <f t="shared" si="70"/>
        <v>YES</v>
      </c>
      <c r="J2239" t="s">
        <v>2245</v>
      </c>
      <c r="K2239">
        <v>926352.91676099994</v>
      </c>
      <c r="L2239">
        <f t="shared" si="69"/>
        <v>0</v>
      </c>
    </row>
    <row r="2240" spans="1:12" x14ac:dyDescent="0.25">
      <c r="A2240">
        <v>4150</v>
      </c>
      <c r="B2240">
        <v>29053.215929999998</v>
      </c>
      <c r="C2240">
        <v>29053.215929999998</v>
      </c>
      <c r="D2240">
        <v>0</v>
      </c>
      <c r="E2240">
        <v>2.15003762</v>
      </c>
      <c r="F2240" s="1">
        <v>1.3599999999999999E-2</v>
      </c>
      <c r="H2240">
        <v>4150</v>
      </c>
      <c r="I2240" t="str">
        <f t="shared" si="70"/>
        <v>YES</v>
      </c>
      <c r="J2240" t="s">
        <v>2246</v>
      </c>
      <c r="K2240">
        <v>443546.77626399999</v>
      </c>
      <c r="L2240">
        <f t="shared" si="69"/>
        <v>0</v>
      </c>
    </row>
    <row r="2241" spans="1:12" x14ac:dyDescent="0.25">
      <c r="A2241">
        <v>4151</v>
      </c>
      <c r="B2241">
        <v>22645.828420000002</v>
      </c>
      <c r="C2241">
        <v>22645.828420000002</v>
      </c>
      <c r="D2241">
        <v>0</v>
      </c>
      <c r="E2241">
        <v>5.9955480899999998</v>
      </c>
      <c r="F2241" s="1">
        <v>2.9600000000000001E-2</v>
      </c>
      <c r="H2241">
        <v>4151</v>
      </c>
      <c r="I2241" t="str">
        <f t="shared" si="70"/>
        <v>YES</v>
      </c>
      <c r="J2241" t="s">
        <v>2247</v>
      </c>
      <c r="K2241">
        <v>1236799.2827699999</v>
      </c>
      <c r="L2241">
        <f t="shared" si="69"/>
        <v>0</v>
      </c>
    </row>
    <row r="2242" spans="1:12" x14ac:dyDescent="0.25">
      <c r="A2242">
        <v>4154</v>
      </c>
      <c r="B2242">
        <v>17125.66646</v>
      </c>
      <c r="C2242">
        <v>17125.66646</v>
      </c>
      <c r="D2242">
        <v>0</v>
      </c>
      <c r="E2242">
        <v>2279.4791449999998</v>
      </c>
      <c r="F2242" s="1">
        <v>8.5</v>
      </c>
      <c r="H2242">
        <v>4154</v>
      </c>
      <c r="I2242" t="str">
        <f t="shared" si="70"/>
        <v>YES</v>
      </c>
      <c r="J2242" t="s">
        <v>2248</v>
      </c>
      <c r="K2242">
        <v>800359.91951100004</v>
      </c>
      <c r="L2242">
        <f t="shared" si="69"/>
        <v>0</v>
      </c>
    </row>
    <row r="2243" spans="1:12" x14ac:dyDescent="0.25">
      <c r="A2243">
        <v>4155</v>
      </c>
      <c r="B2243">
        <v>25539.437959999999</v>
      </c>
      <c r="C2243">
        <v>25539.437959999999</v>
      </c>
      <c r="D2243">
        <v>0</v>
      </c>
      <c r="E2243">
        <v>2689.0923969999999</v>
      </c>
      <c r="F2243" s="1">
        <v>15</v>
      </c>
      <c r="H2243">
        <v>4155</v>
      </c>
      <c r="I2243" t="str">
        <f t="shared" si="70"/>
        <v>YES</v>
      </c>
      <c r="J2243" t="s">
        <v>2249</v>
      </c>
      <c r="K2243">
        <v>1052519.3288</v>
      </c>
      <c r="L2243">
        <f t="shared" ref="L2243:L2306" si="71">EXP(0.2052)*K2243*(D2243/C2243)</f>
        <v>0</v>
      </c>
    </row>
    <row r="2244" spans="1:12" x14ac:dyDescent="0.25">
      <c r="A2244">
        <v>4156</v>
      </c>
      <c r="B2244">
        <v>3140.6219289999999</v>
      </c>
      <c r="C2244">
        <v>3140.6219289999999</v>
      </c>
      <c r="D2244">
        <v>0</v>
      </c>
      <c r="E2244">
        <v>2036.2487639999999</v>
      </c>
      <c r="F2244" s="1">
        <v>1.39</v>
      </c>
      <c r="H2244">
        <v>4156</v>
      </c>
      <c r="I2244" t="str">
        <f t="shared" si="70"/>
        <v>YES</v>
      </c>
      <c r="J2244" t="s">
        <v>2250</v>
      </c>
      <c r="K2244">
        <v>818935.30284200003</v>
      </c>
      <c r="L2244">
        <f t="shared" si="71"/>
        <v>0</v>
      </c>
    </row>
    <row r="2245" spans="1:12" x14ac:dyDescent="0.25">
      <c r="A2245">
        <v>4157</v>
      </c>
      <c r="B2245">
        <v>12725.497009999999</v>
      </c>
      <c r="C2245">
        <v>12725.497009999999</v>
      </c>
      <c r="D2245">
        <v>0</v>
      </c>
      <c r="E2245">
        <v>3661.0030409999999</v>
      </c>
      <c r="F2245" s="1">
        <v>10.1</v>
      </c>
      <c r="H2245">
        <v>4157</v>
      </c>
      <c r="I2245" t="str">
        <f t="shared" si="70"/>
        <v>YES</v>
      </c>
      <c r="J2245" t="s">
        <v>2251</v>
      </c>
      <c r="K2245">
        <v>885399.17799999996</v>
      </c>
      <c r="L2245">
        <f t="shared" si="71"/>
        <v>0</v>
      </c>
    </row>
    <row r="2246" spans="1:12" x14ac:dyDescent="0.25">
      <c r="A2246">
        <v>4158</v>
      </c>
      <c r="B2246">
        <v>16186.37883</v>
      </c>
      <c r="C2246">
        <v>16186.37883</v>
      </c>
      <c r="D2246">
        <v>0</v>
      </c>
      <c r="E2246">
        <v>2512.499413</v>
      </c>
      <c r="F2246" s="1">
        <v>8.85</v>
      </c>
      <c r="H2246">
        <v>4158</v>
      </c>
      <c r="I2246" t="str">
        <f t="shared" si="70"/>
        <v>YES</v>
      </c>
      <c r="J2246" t="s">
        <v>2252</v>
      </c>
      <c r="K2246">
        <v>821459.18270300003</v>
      </c>
      <c r="L2246">
        <f t="shared" si="71"/>
        <v>0</v>
      </c>
    </row>
    <row r="2247" spans="1:12" x14ac:dyDescent="0.25">
      <c r="A2247">
        <v>4159</v>
      </c>
      <c r="B2247">
        <v>2719.0611960000001</v>
      </c>
      <c r="C2247">
        <v>2719.0611960000001</v>
      </c>
      <c r="D2247">
        <v>0</v>
      </c>
      <c r="E2247">
        <v>2715.3845849999998</v>
      </c>
      <c r="F2247" s="1">
        <v>1.61</v>
      </c>
      <c r="H2247">
        <v>4159</v>
      </c>
      <c r="I2247" t="str">
        <f t="shared" si="70"/>
        <v>YES</v>
      </c>
      <c r="J2247" t="s">
        <v>2253</v>
      </c>
      <c r="K2247">
        <v>750469.76798100001</v>
      </c>
      <c r="L2247">
        <f t="shared" si="71"/>
        <v>0</v>
      </c>
    </row>
    <row r="2248" spans="1:12" x14ac:dyDescent="0.25">
      <c r="A2248">
        <v>4160</v>
      </c>
      <c r="B2248">
        <v>1261.2957879999999</v>
      </c>
      <c r="C2248">
        <v>1261.2957879999999</v>
      </c>
      <c r="D2248">
        <v>0</v>
      </c>
      <c r="E2248">
        <v>3905.1497279999999</v>
      </c>
      <c r="F2248" s="1">
        <v>1.07</v>
      </c>
      <c r="H2248">
        <v>4160</v>
      </c>
      <c r="I2248" t="str">
        <f t="shared" si="70"/>
        <v>YES</v>
      </c>
      <c r="J2248" t="s">
        <v>2254</v>
      </c>
      <c r="K2248">
        <v>1349112.7707400001</v>
      </c>
      <c r="L2248">
        <f t="shared" si="71"/>
        <v>0</v>
      </c>
    </row>
    <row r="2249" spans="1:12" x14ac:dyDescent="0.25">
      <c r="A2249">
        <v>4161</v>
      </c>
      <c r="B2249">
        <v>11307.342000000001</v>
      </c>
      <c r="C2249">
        <v>11307.342000000001</v>
      </c>
      <c r="D2249">
        <v>0</v>
      </c>
      <c r="E2249">
        <v>3999.2657850000001</v>
      </c>
      <c r="F2249" s="1">
        <v>9.85</v>
      </c>
      <c r="H2249">
        <v>4161</v>
      </c>
      <c r="I2249" t="str">
        <f t="shared" si="70"/>
        <v>YES</v>
      </c>
      <c r="J2249" t="s">
        <v>2255</v>
      </c>
      <c r="K2249">
        <v>1598564.29804</v>
      </c>
      <c r="L2249">
        <f t="shared" si="71"/>
        <v>0</v>
      </c>
    </row>
    <row r="2250" spans="1:12" x14ac:dyDescent="0.25">
      <c r="A2250">
        <v>4162</v>
      </c>
      <c r="B2250">
        <v>5991.5448710000001</v>
      </c>
      <c r="C2250">
        <v>5991.5448710000001</v>
      </c>
      <c r="D2250">
        <v>0</v>
      </c>
      <c r="E2250">
        <v>921.18199089999996</v>
      </c>
      <c r="F2250" s="1">
        <v>1.2</v>
      </c>
      <c r="H2250">
        <v>4162</v>
      </c>
      <c r="I2250" t="str">
        <f t="shared" si="70"/>
        <v>YES</v>
      </c>
      <c r="J2250" t="s">
        <v>2256</v>
      </c>
      <c r="K2250">
        <v>923038.80724600004</v>
      </c>
      <c r="L2250">
        <f t="shared" si="71"/>
        <v>0</v>
      </c>
    </row>
    <row r="2251" spans="1:12" x14ac:dyDescent="0.25">
      <c r="A2251">
        <v>4163</v>
      </c>
      <c r="B2251">
        <v>1780.394053</v>
      </c>
      <c r="C2251">
        <v>1780.394053</v>
      </c>
      <c r="D2251">
        <v>0</v>
      </c>
      <c r="E2251">
        <v>65.801075560000001</v>
      </c>
      <c r="F2251" s="1">
        <v>2.5499999999999998E-2</v>
      </c>
      <c r="H2251">
        <v>4163</v>
      </c>
      <c r="I2251" t="str">
        <f t="shared" si="70"/>
        <v>YES</v>
      </c>
      <c r="J2251" t="s">
        <v>2257</v>
      </c>
      <c r="K2251">
        <v>2182728.5443000002</v>
      </c>
      <c r="L2251">
        <f t="shared" si="71"/>
        <v>0</v>
      </c>
    </row>
    <row r="2252" spans="1:12" x14ac:dyDescent="0.25">
      <c r="A2252">
        <v>4200</v>
      </c>
      <c r="B2252">
        <v>330.704294</v>
      </c>
      <c r="C2252">
        <v>330.704294</v>
      </c>
      <c r="D2252">
        <v>0</v>
      </c>
      <c r="F2252" s="1">
        <v>0</v>
      </c>
      <c r="H2252">
        <v>4200</v>
      </c>
      <c r="I2252" t="str">
        <f t="shared" si="70"/>
        <v>YES</v>
      </c>
      <c r="J2252" t="s">
        <v>2258</v>
      </c>
      <c r="K2252">
        <v>1845262668.1400001</v>
      </c>
      <c r="L2252">
        <f t="shared" si="71"/>
        <v>0</v>
      </c>
    </row>
    <row r="2253" spans="1:12" x14ac:dyDescent="0.25">
      <c r="A2253">
        <v>4201</v>
      </c>
      <c r="B2253">
        <v>93.72798057</v>
      </c>
      <c r="C2253">
        <v>93.72798057</v>
      </c>
      <c r="D2253">
        <v>0</v>
      </c>
      <c r="E2253">
        <v>521.00000009999997</v>
      </c>
      <c r="F2253" s="1">
        <v>1.06E-2</v>
      </c>
      <c r="H2253">
        <v>4201</v>
      </c>
      <c r="I2253" t="str">
        <f t="shared" si="70"/>
        <v>YES</v>
      </c>
      <c r="J2253" t="s">
        <v>2259</v>
      </c>
      <c r="K2253">
        <v>45307710.905900002</v>
      </c>
      <c r="L2253">
        <f t="shared" si="71"/>
        <v>0</v>
      </c>
    </row>
    <row r="2254" spans="1:12" x14ac:dyDescent="0.25">
      <c r="A2254">
        <v>4205</v>
      </c>
      <c r="B2254">
        <v>410.23567430000003</v>
      </c>
      <c r="C2254">
        <v>410.23567430000003</v>
      </c>
      <c r="D2254">
        <v>0</v>
      </c>
      <c r="E2254">
        <v>1899.581962</v>
      </c>
      <c r="F2254" s="1">
        <v>0.17</v>
      </c>
      <c r="H2254">
        <v>4205</v>
      </c>
      <c r="I2254" t="str">
        <f t="shared" si="70"/>
        <v>YES</v>
      </c>
      <c r="J2254" t="s">
        <v>2260</v>
      </c>
      <c r="K2254">
        <v>62806853.247699998</v>
      </c>
      <c r="L2254">
        <f t="shared" si="71"/>
        <v>0</v>
      </c>
    </row>
    <row r="2255" spans="1:12" x14ac:dyDescent="0.25">
      <c r="A2255">
        <v>4206</v>
      </c>
      <c r="B2255">
        <v>362.56898639999997</v>
      </c>
      <c r="C2255">
        <v>362.56898639999997</v>
      </c>
      <c r="D2255">
        <v>0</v>
      </c>
      <c r="F2255" s="1">
        <v>0</v>
      </c>
      <c r="H2255">
        <v>4206</v>
      </c>
      <c r="I2255" t="str">
        <f t="shared" si="70"/>
        <v>YES</v>
      </c>
      <c r="J2255" t="s">
        <v>2261</v>
      </c>
      <c r="K2255">
        <v>63633230.053900003</v>
      </c>
      <c r="L2255">
        <f t="shared" si="71"/>
        <v>0</v>
      </c>
    </row>
    <row r="2256" spans="1:12" x14ac:dyDescent="0.25">
      <c r="A2256">
        <v>4207</v>
      </c>
      <c r="B2256">
        <v>431.03553049999999</v>
      </c>
      <c r="C2256">
        <v>431.03553049999999</v>
      </c>
      <c r="D2256">
        <v>0</v>
      </c>
      <c r="E2256">
        <v>1705.7664400000001</v>
      </c>
      <c r="F2256" s="1">
        <v>0.16</v>
      </c>
      <c r="H2256">
        <v>4207</v>
      </c>
      <c r="I2256" t="str">
        <f t="shared" si="70"/>
        <v>YES</v>
      </c>
      <c r="J2256" t="s">
        <v>2262</v>
      </c>
      <c r="K2256">
        <v>32746917.394200001</v>
      </c>
      <c r="L2256">
        <f t="shared" si="71"/>
        <v>0</v>
      </c>
    </row>
    <row r="2257" spans="1:12" x14ac:dyDescent="0.25">
      <c r="A2257">
        <v>4208</v>
      </c>
      <c r="B2257">
        <v>357.95833909999999</v>
      </c>
      <c r="C2257">
        <v>357.95833909999999</v>
      </c>
      <c r="D2257">
        <v>0</v>
      </c>
      <c r="F2257" s="1">
        <v>0</v>
      </c>
      <c r="H2257">
        <v>4208</v>
      </c>
      <c r="I2257" t="str">
        <f t="shared" si="70"/>
        <v>YES</v>
      </c>
      <c r="J2257" t="s">
        <v>2263</v>
      </c>
      <c r="K2257">
        <v>43344743.012500003</v>
      </c>
      <c r="L2257">
        <f t="shared" si="71"/>
        <v>0</v>
      </c>
    </row>
    <row r="2258" spans="1:12" x14ac:dyDescent="0.25">
      <c r="A2258">
        <v>4209</v>
      </c>
      <c r="B2258">
        <v>592.51946559999999</v>
      </c>
      <c r="C2258">
        <v>592.51946559999999</v>
      </c>
      <c r="D2258">
        <v>0</v>
      </c>
      <c r="F2258" s="1">
        <v>0</v>
      </c>
      <c r="H2258">
        <v>4209</v>
      </c>
      <c r="I2258" t="str">
        <f t="shared" si="70"/>
        <v>YES</v>
      </c>
      <c r="J2258" t="s">
        <v>2264</v>
      </c>
      <c r="K2258">
        <v>20316972.438700002</v>
      </c>
      <c r="L2258">
        <f t="shared" si="71"/>
        <v>0</v>
      </c>
    </row>
    <row r="2259" spans="1:12" x14ac:dyDescent="0.25">
      <c r="A2259">
        <v>4210</v>
      </c>
      <c r="B2259">
        <v>371.74348409999999</v>
      </c>
      <c r="C2259">
        <v>371.74348409999999</v>
      </c>
      <c r="D2259">
        <v>0</v>
      </c>
      <c r="F2259" s="1">
        <v>0</v>
      </c>
      <c r="H2259">
        <v>4210</v>
      </c>
      <c r="I2259" t="str">
        <f t="shared" si="70"/>
        <v>YES</v>
      </c>
      <c r="J2259" t="s">
        <v>2265</v>
      </c>
      <c r="K2259">
        <v>17736625.754299998</v>
      </c>
      <c r="L2259">
        <f t="shared" si="71"/>
        <v>0</v>
      </c>
    </row>
    <row r="2260" spans="1:12" x14ac:dyDescent="0.25">
      <c r="A2260">
        <v>4211</v>
      </c>
      <c r="B2260">
        <v>529.96534259999999</v>
      </c>
      <c r="C2260">
        <v>529.96534259999999</v>
      </c>
      <c r="D2260">
        <v>0</v>
      </c>
      <c r="E2260">
        <v>2336.5407530000002</v>
      </c>
      <c r="F2260" s="1">
        <v>0.27</v>
      </c>
      <c r="H2260">
        <v>4211</v>
      </c>
      <c r="I2260" t="str">
        <f t="shared" si="70"/>
        <v>YES</v>
      </c>
      <c r="J2260" t="s">
        <v>2266</v>
      </c>
      <c r="K2260">
        <v>16071674.012399999</v>
      </c>
      <c r="L2260">
        <f t="shared" si="71"/>
        <v>0</v>
      </c>
    </row>
    <row r="2261" spans="1:12" x14ac:dyDescent="0.25">
      <c r="A2261">
        <v>4212</v>
      </c>
      <c r="B2261">
        <v>533.29296680000004</v>
      </c>
      <c r="C2261">
        <v>533.29296680000004</v>
      </c>
      <c r="D2261">
        <v>0</v>
      </c>
      <c r="F2261" s="1">
        <v>0</v>
      </c>
      <c r="H2261">
        <v>4212</v>
      </c>
      <c r="I2261" t="str">
        <f t="shared" si="70"/>
        <v>YES</v>
      </c>
      <c r="J2261" t="s">
        <v>2267</v>
      </c>
      <c r="K2261">
        <v>19744232.848999999</v>
      </c>
      <c r="L2261">
        <f t="shared" si="71"/>
        <v>0</v>
      </c>
    </row>
    <row r="2262" spans="1:12" x14ac:dyDescent="0.25">
      <c r="A2262">
        <v>4213</v>
      </c>
      <c r="B2262">
        <v>389.75587530000001</v>
      </c>
      <c r="C2262">
        <v>389.75587530000001</v>
      </c>
      <c r="D2262">
        <v>0</v>
      </c>
      <c r="F2262" s="1">
        <v>0</v>
      </c>
      <c r="H2262">
        <v>4213</v>
      </c>
      <c r="I2262" t="str">
        <f t="shared" si="70"/>
        <v>YES</v>
      </c>
      <c r="J2262" t="s">
        <v>2268</v>
      </c>
      <c r="K2262">
        <v>29603724.285399999</v>
      </c>
      <c r="L2262">
        <f t="shared" si="71"/>
        <v>0</v>
      </c>
    </row>
    <row r="2263" spans="1:12" x14ac:dyDescent="0.25">
      <c r="A2263">
        <v>4214</v>
      </c>
      <c r="B2263">
        <v>345.4545895</v>
      </c>
      <c r="C2263">
        <v>345.4545895</v>
      </c>
      <c r="D2263">
        <v>0</v>
      </c>
      <c r="E2263">
        <v>1563.758738</v>
      </c>
      <c r="F2263" s="1">
        <v>0.11799999999999999</v>
      </c>
      <c r="H2263">
        <v>4214</v>
      </c>
      <c r="I2263" t="str">
        <f t="shared" si="70"/>
        <v>YES</v>
      </c>
      <c r="J2263" t="s">
        <v>2269</v>
      </c>
      <c r="K2263">
        <v>25224456.8794</v>
      </c>
      <c r="L2263">
        <f t="shared" si="71"/>
        <v>0</v>
      </c>
    </row>
    <row r="2264" spans="1:12" x14ac:dyDescent="0.25">
      <c r="A2264">
        <v>4300</v>
      </c>
      <c r="B2264">
        <v>529.78172170000005</v>
      </c>
      <c r="C2264">
        <v>529.78172170000005</v>
      </c>
      <c r="D2264">
        <v>0</v>
      </c>
      <c r="F2264" s="1">
        <v>0</v>
      </c>
      <c r="H2264">
        <v>4300</v>
      </c>
      <c r="I2264" t="str">
        <f t="shared" si="70"/>
        <v>YES</v>
      </c>
      <c r="J2264" t="s">
        <v>2270</v>
      </c>
      <c r="K2264">
        <v>115786726.3</v>
      </c>
      <c r="L2264">
        <f t="shared" si="71"/>
        <v>0</v>
      </c>
    </row>
    <row r="2265" spans="1:12" x14ac:dyDescent="0.25">
      <c r="A2265">
        <v>4301</v>
      </c>
      <c r="B2265">
        <v>297.02530669999999</v>
      </c>
      <c r="C2265">
        <v>297.02530669999999</v>
      </c>
      <c r="D2265">
        <v>0</v>
      </c>
      <c r="F2265" s="1">
        <v>0</v>
      </c>
      <c r="H2265">
        <v>4301</v>
      </c>
      <c r="I2265" t="str">
        <f t="shared" si="70"/>
        <v>YES</v>
      </c>
      <c r="J2265" t="s">
        <v>2271</v>
      </c>
      <c r="K2265">
        <v>65812258.751500003</v>
      </c>
      <c r="L2265">
        <f t="shared" si="71"/>
        <v>0</v>
      </c>
    </row>
    <row r="2266" spans="1:12" x14ac:dyDescent="0.25">
      <c r="A2266">
        <v>4302</v>
      </c>
      <c r="B2266">
        <v>1076.121259</v>
      </c>
      <c r="C2266">
        <v>1076.121259</v>
      </c>
      <c r="D2266">
        <v>0</v>
      </c>
      <c r="F2266" s="1">
        <v>0</v>
      </c>
      <c r="H2266">
        <v>4302</v>
      </c>
      <c r="I2266" t="str">
        <f t="shared" si="70"/>
        <v>YES</v>
      </c>
      <c r="J2266" t="s">
        <v>2272</v>
      </c>
      <c r="K2266">
        <v>88808821.683400005</v>
      </c>
      <c r="L2266">
        <f t="shared" si="71"/>
        <v>0</v>
      </c>
    </row>
    <row r="2267" spans="1:12" x14ac:dyDescent="0.25">
      <c r="A2267">
        <v>4303</v>
      </c>
      <c r="B2267">
        <v>214.70848269999999</v>
      </c>
      <c r="C2267">
        <v>214.70848269999999</v>
      </c>
      <c r="D2267">
        <v>0</v>
      </c>
      <c r="F2267" s="1">
        <v>0</v>
      </c>
      <c r="H2267">
        <v>4303</v>
      </c>
      <c r="I2267" t="str">
        <f t="shared" si="70"/>
        <v>YES</v>
      </c>
      <c r="J2267" t="s">
        <v>2273</v>
      </c>
      <c r="K2267">
        <v>16364344.7534</v>
      </c>
      <c r="L2267">
        <f t="shared" si="71"/>
        <v>0</v>
      </c>
    </row>
    <row r="2268" spans="1:12" x14ac:dyDescent="0.25">
      <c r="A2268">
        <v>4304</v>
      </c>
      <c r="B2268">
        <v>730.07200750000004</v>
      </c>
      <c r="C2268">
        <v>730.07200750000004</v>
      </c>
      <c r="D2268">
        <v>0</v>
      </c>
      <c r="E2268">
        <v>2911.6984389999998</v>
      </c>
      <c r="F2268" s="1">
        <v>0.46300000000000002</v>
      </c>
      <c r="H2268">
        <v>4304</v>
      </c>
      <c r="I2268" t="str">
        <f t="shared" si="70"/>
        <v>YES</v>
      </c>
      <c r="J2268" t="s">
        <v>2274</v>
      </c>
      <c r="K2268">
        <v>24026225.611900002</v>
      </c>
      <c r="L2268">
        <f t="shared" si="71"/>
        <v>0</v>
      </c>
    </row>
    <row r="2269" spans="1:12" x14ac:dyDescent="0.25">
      <c r="A2269">
        <v>4305</v>
      </c>
      <c r="B2269">
        <v>445.55025999999998</v>
      </c>
      <c r="C2269">
        <v>445.55025999999998</v>
      </c>
      <c r="D2269">
        <v>0</v>
      </c>
      <c r="E2269">
        <v>1812.53171</v>
      </c>
      <c r="F2269" s="1">
        <v>0.17599999999999999</v>
      </c>
      <c r="H2269">
        <v>4305</v>
      </c>
      <c r="I2269" t="str">
        <f t="shared" si="70"/>
        <v>YES</v>
      </c>
      <c r="J2269" t="s">
        <v>2275</v>
      </c>
      <c r="K2269">
        <v>12697598.2763</v>
      </c>
      <c r="L2269">
        <f t="shared" si="71"/>
        <v>0</v>
      </c>
    </row>
    <row r="2270" spans="1:12" x14ac:dyDescent="0.25">
      <c r="A2270">
        <v>4306</v>
      </c>
      <c r="B2270">
        <v>381.43562759999998</v>
      </c>
      <c r="C2270">
        <v>381.43562759999998</v>
      </c>
      <c r="D2270">
        <v>0</v>
      </c>
      <c r="F2270" s="1">
        <v>0</v>
      </c>
      <c r="H2270">
        <v>4306</v>
      </c>
      <c r="I2270" t="str">
        <f t="shared" si="70"/>
        <v>YES</v>
      </c>
      <c r="J2270" t="s">
        <v>2276</v>
      </c>
      <c r="K2270">
        <v>6290937.0444400003</v>
      </c>
      <c r="L2270">
        <f t="shared" si="71"/>
        <v>0</v>
      </c>
    </row>
    <row r="2271" spans="1:12" x14ac:dyDescent="0.25">
      <c r="A2271">
        <v>4307</v>
      </c>
      <c r="B2271">
        <v>437.90964860000003</v>
      </c>
      <c r="C2271">
        <v>437.90964860000003</v>
      </c>
      <c r="D2271">
        <v>0</v>
      </c>
      <c r="E2271">
        <v>1457.4427679999999</v>
      </c>
      <c r="F2271" s="1">
        <v>0.13900000000000001</v>
      </c>
      <c r="H2271">
        <v>4307</v>
      </c>
      <c r="I2271" t="str">
        <f t="shared" si="70"/>
        <v>YES</v>
      </c>
      <c r="J2271" t="s">
        <v>2277</v>
      </c>
      <c r="K2271">
        <v>10711775.934</v>
      </c>
      <c r="L2271">
        <f t="shared" si="71"/>
        <v>0</v>
      </c>
    </row>
    <row r="2272" spans="1:12" x14ac:dyDescent="0.25">
      <c r="A2272">
        <v>4308</v>
      </c>
      <c r="B2272">
        <v>835.88674270000001</v>
      </c>
      <c r="C2272">
        <v>835.88674270000001</v>
      </c>
      <c r="D2272">
        <v>0</v>
      </c>
      <c r="E2272">
        <v>1340.9132950000001</v>
      </c>
      <c r="F2272" s="1">
        <v>0.24399999999999999</v>
      </c>
      <c r="H2272">
        <v>4308</v>
      </c>
      <c r="I2272" t="str">
        <f t="shared" si="70"/>
        <v>YES</v>
      </c>
      <c r="J2272" t="s">
        <v>2278</v>
      </c>
      <c r="K2272">
        <v>8078470.4871399999</v>
      </c>
      <c r="L2272">
        <f t="shared" si="71"/>
        <v>0</v>
      </c>
    </row>
    <row r="2273" spans="1:12" x14ac:dyDescent="0.25">
      <c r="A2273">
        <v>4309</v>
      </c>
      <c r="B2273">
        <v>712.6451055</v>
      </c>
      <c r="C2273">
        <v>712.6451055</v>
      </c>
      <c r="D2273">
        <v>0</v>
      </c>
      <c r="E2273">
        <v>1487.3228349999999</v>
      </c>
      <c r="F2273" s="1">
        <v>0.23100000000000001</v>
      </c>
      <c r="H2273">
        <v>4309</v>
      </c>
      <c r="I2273" t="str">
        <f t="shared" si="70"/>
        <v>YES</v>
      </c>
      <c r="J2273" t="s">
        <v>2279</v>
      </c>
      <c r="K2273">
        <v>16758372.6609</v>
      </c>
      <c r="L2273">
        <f t="shared" si="71"/>
        <v>0</v>
      </c>
    </row>
    <row r="2274" spans="1:12" x14ac:dyDescent="0.25">
      <c r="A2274">
        <v>4310</v>
      </c>
      <c r="B2274">
        <v>3122.3732920000002</v>
      </c>
      <c r="C2274">
        <v>3122.3732920000002</v>
      </c>
      <c r="D2274">
        <v>0</v>
      </c>
      <c r="E2274">
        <v>1824.623613</v>
      </c>
      <c r="F2274" s="1">
        <v>1.24</v>
      </c>
      <c r="H2274">
        <v>4310</v>
      </c>
      <c r="I2274" t="str">
        <f t="shared" si="70"/>
        <v>YES</v>
      </c>
      <c r="J2274" t="s">
        <v>2280</v>
      </c>
      <c r="K2274">
        <v>4149393.2073900001</v>
      </c>
      <c r="L2274">
        <f t="shared" si="71"/>
        <v>0</v>
      </c>
    </row>
    <row r="2275" spans="1:12" x14ac:dyDescent="0.25">
      <c r="A2275">
        <v>4311</v>
      </c>
      <c r="B2275">
        <v>2617.4308930000002</v>
      </c>
      <c r="C2275">
        <v>2617.4308930000002</v>
      </c>
      <c r="D2275">
        <v>0</v>
      </c>
      <c r="E2275">
        <v>1391.8954879999999</v>
      </c>
      <c r="F2275" s="1">
        <v>0.79300000000000004</v>
      </c>
      <c r="H2275">
        <v>4311</v>
      </c>
      <c r="I2275" t="str">
        <f t="shared" si="70"/>
        <v>YES</v>
      </c>
      <c r="J2275" t="s">
        <v>2281</v>
      </c>
      <c r="K2275">
        <v>6525493.6519400002</v>
      </c>
      <c r="L2275">
        <f t="shared" si="71"/>
        <v>0</v>
      </c>
    </row>
    <row r="2276" spans="1:12" x14ac:dyDescent="0.25">
      <c r="A2276">
        <v>4312</v>
      </c>
      <c r="B2276">
        <v>2552.8662829999998</v>
      </c>
      <c r="C2276">
        <v>2552.8662829999998</v>
      </c>
      <c r="D2276">
        <v>0</v>
      </c>
      <c r="E2276">
        <v>2133.6481530000001</v>
      </c>
      <c r="F2276" s="1">
        <v>1.19</v>
      </c>
      <c r="H2276">
        <v>4312</v>
      </c>
      <c r="I2276" t="str">
        <f t="shared" si="70"/>
        <v>YES</v>
      </c>
      <c r="J2276" t="s">
        <v>2282</v>
      </c>
      <c r="K2276">
        <v>824345.36019299994</v>
      </c>
      <c r="L2276">
        <f t="shared" si="71"/>
        <v>0</v>
      </c>
    </row>
    <row r="2277" spans="1:12" x14ac:dyDescent="0.25">
      <c r="A2277">
        <v>4315</v>
      </c>
      <c r="B2277">
        <v>136.9400243</v>
      </c>
      <c r="C2277">
        <v>136.9400243</v>
      </c>
      <c r="D2277">
        <v>0</v>
      </c>
      <c r="F2277" s="1">
        <v>0</v>
      </c>
      <c r="H2277">
        <v>4315</v>
      </c>
      <c r="I2277" t="str">
        <f t="shared" si="70"/>
        <v>YES</v>
      </c>
      <c r="J2277" t="s">
        <v>2283</v>
      </c>
      <c r="K2277">
        <v>102432521.436</v>
      </c>
      <c r="L2277">
        <f t="shared" si="71"/>
        <v>0</v>
      </c>
    </row>
    <row r="2278" spans="1:12" x14ac:dyDescent="0.25">
      <c r="A2278">
        <v>4316</v>
      </c>
      <c r="B2278">
        <v>604.52124140000001</v>
      </c>
      <c r="C2278">
        <v>604.52124140000001</v>
      </c>
      <c r="D2278">
        <v>0</v>
      </c>
      <c r="F2278" s="1">
        <v>0</v>
      </c>
      <c r="H2278">
        <v>4316</v>
      </c>
      <c r="I2278" t="str">
        <f t="shared" si="70"/>
        <v>YES</v>
      </c>
      <c r="J2278" t="s">
        <v>2284</v>
      </c>
      <c r="K2278">
        <v>65393080.111000001</v>
      </c>
      <c r="L2278">
        <f t="shared" si="71"/>
        <v>0</v>
      </c>
    </row>
    <row r="2279" spans="1:12" x14ac:dyDescent="0.25">
      <c r="A2279">
        <v>4317</v>
      </c>
      <c r="B2279">
        <v>1231.822668</v>
      </c>
      <c r="C2279">
        <v>1231.822668</v>
      </c>
      <c r="D2279">
        <v>0</v>
      </c>
      <c r="F2279" s="1">
        <v>0</v>
      </c>
      <c r="H2279">
        <v>4317</v>
      </c>
      <c r="I2279" t="str">
        <f t="shared" si="70"/>
        <v>YES</v>
      </c>
      <c r="J2279" t="s">
        <v>2285</v>
      </c>
      <c r="K2279">
        <v>23515589.284499999</v>
      </c>
      <c r="L2279">
        <f t="shared" si="71"/>
        <v>0</v>
      </c>
    </row>
    <row r="2280" spans="1:12" x14ac:dyDescent="0.25">
      <c r="A2280">
        <v>4400</v>
      </c>
      <c r="B2280">
        <v>513.96433019999995</v>
      </c>
      <c r="C2280">
        <v>513.96433019999995</v>
      </c>
      <c r="D2280">
        <v>0</v>
      </c>
      <c r="E2280">
        <v>2991.9559979999999</v>
      </c>
      <c r="F2280" s="1">
        <v>0.33500000000000002</v>
      </c>
      <c r="H2280">
        <v>4400</v>
      </c>
      <c r="I2280" t="str">
        <f t="shared" si="70"/>
        <v>YES</v>
      </c>
      <c r="J2280" t="s">
        <v>2286</v>
      </c>
      <c r="K2280">
        <v>12206242.723099999</v>
      </c>
      <c r="L2280">
        <f t="shared" si="71"/>
        <v>0</v>
      </c>
    </row>
    <row r="2281" spans="1:12" x14ac:dyDescent="0.25">
      <c r="A2281">
        <v>4401</v>
      </c>
      <c r="B2281">
        <v>321.72072960000003</v>
      </c>
      <c r="C2281">
        <v>321.72072960000003</v>
      </c>
      <c r="D2281">
        <v>0</v>
      </c>
      <c r="E2281">
        <v>1548.344151</v>
      </c>
      <c r="F2281" s="1">
        <v>0.108</v>
      </c>
      <c r="H2281">
        <v>4401</v>
      </c>
      <c r="I2281" t="str">
        <f t="shared" si="70"/>
        <v>YES</v>
      </c>
      <c r="J2281" t="s">
        <v>2287</v>
      </c>
      <c r="K2281">
        <v>21332762.0055</v>
      </c>
      <c r="L2281">
        <f t="shared" si="71"/>
        <v>0</v>
      </c>
    </row>
    <row r="2282" spans="1:12" x14ac:dyDescent="0.25">
      <c r="A2282">
        <v>4402</v>
      </c>
      <c r="B2282">
        <v>189.4707995</v>
      </c>
      <c r="C2282">
        <v>189.4707995</v>
      </c>
      <c r="D2282">
        <v>0</v>
      </c>
      <c r="E2282">
        <v>388.3288076</v>
      </c>
      <c r="F2282" s="1">
        <v>1.6E-2</v>
      </c>
      <c r="H2282">
        <v>4402</v>
      </c>
      <c r="I2282" t="str">
        <f t="shared" si="70"/>
        <v>YES</v>
      </c>
      <c r="J2282" t="s">
        <v>2288</v>
      </c>
      <c r="K2282">
        <v>7093647.22903</v>
      </c>
      <c r="L2282">
        <f t="shared" si="71"/>
        <v>0</v>
      </c>
    </row>
    <row r="2283" spans="1:12" x14ac:dyDescent="0.25">
      <c r="A2283">
        <v>4403</v>
      </c>
      <c r="B2283">
        <v>271.42102039999997</v>
      </c>
      <c r="C2283">
        <v>271.42102039999997</v>
      </c>
      <c r="D2283">
        <v>0</v>
      </c>
      <c r="F2283" s="1">
        <v>0</v>
      </c>
      <c r="H2283">
        <v>4403</v>
      </c>
      <c r="I2283" t="str">
        <f t="shared" si="70"/>
        <v>YES</v>
      </c>
      <c r="J2283" t="s">
        <v>2289</v>
      </c>
      <c r="K2283">
        <v>11978154.2676</v>
      </c>
      <c r="L2283">
        <f t="shared" si="71"/>
        <v>0</v>
      </c>
    </row>
    <row r="2284" spans="1:12" x14ac:dyDescent="0.25">
      <c r="A2284">
        <v>4404</v>
      </c>
      <c r="B2284">
        <v>551.87002299999995</v>
      </c>
      <c r="C2284">
        <v>551.87002299999995</v>
      </c>
      <c r="D2284">
        <v>0</v>
      </c>
      <c r="E2284">
        <v>2700.1382659999999</v>
      </c>
      <c r="F2284" s="1">
        <v>0.32400000000000001</v>
      </c>
      <c r="H2284">
        <v>4404</v>
      </c>
      <c r="I2284" t="str">
        <f t="shared" si="70"/>
        <v>YES</v>
      </c>
      <c r="J2284" t="s">
        <v>2290</v>
      </c>
      <c r="K2284">
        <v>4144588.0727599999</v>
      </c>
      <c r="L2284">
        <f t="shared" si="71"/>
        <v>0</v>
      </c>
    </row>
    <row r="2285" spans="1:12" x14ac:dyDescent="0.25">
      <c r="A2285">
        <v>4405</v>
      </c>
      <c r="B2285">
        <v>657.67059300000005</v>
      </c>
      <c r="C2285">
        <v>657.67059300000005</v>
      </c>
      <c r="D2285">
        <v>0</v>
      </c>
      <c r="E2285">
        <v>1678.6733859999999</v>
      </c>
      <c r="F2285" s="1">
        <v>0.24</v>
      </c>
      <c r="H2285">
        <v>4405</v>
      </c>
      <c r="I2285" t="str">
        <f t="shared" si="70"/>
        <v>YES</v>
      </c>
      <c r="J2285" t="s">
        <v>2291</v>
      </c>
      <c r="K2285">
        <v>12617868.6471</v>
      </c>
      <c r="L2285">
        <f t="shared" si="71"/>
        <v>0</v>
      </c>
    </row>
    <row r="2286" spans="1:12" x14ac:dyDescent="0.25">
      <c r="A2286">
        <v>4406</v>
      </c>
      <c r="B2286">
        <v>2966.991974</v>
      </c>
      <c r="C2286">
        <v>2966.991974</v>
      </c>
      <c r="D2286">
        <v>0</v>
      </c>
      <c r="E2286">
        <v>93.462355419999994</v>
      </c>
      <c r="F2286" s="1">
        <v>6.0400000000000002E-2</v>
      </c>
      <c r="H2286">
        <v>4406</v>
      </c>
      <c r="I2286" t="str">
        <f t="shared" si="70"/>
        <v>YES</v>
      </c>
      <c r="J2286" t="s">
        <v>2292</v>
      </c>
      <c r="K2286">
        <v>4365116.4461000003</v>
      </c>
      <c r="L2286">
        <f t="shared" si="71"/>
        <v>0</v>
      </c>
    </row>
    <row r="2287" spans="1:12" x14ac:dyDescent="0.25">
      <c r="A2287">
        <v>4407</v>
      </c>
      <c r="B2287">
        <v>717.25656130000004</v>
      </c>
      <c r="C2287">
        <v>717.25656130000004</v>
      </c>
      <c r="D2287">
        <v>0</v>
      </c>
      <c r="E2287">
        <v>700.21706329999995</v>
      </c>
      <c r="F2287" s="1">
        <v>0.109</v>
      </c>
      <c r="H2287">
        <v>4407</v>
      </c>
      <c r="I2287" t="str">
        <f t="shared" si="70"/>
        <v>YES</v>
      </c>
      <c r="J2287" t="s">
        <v>2293</v>
      </c>
      <c r="K2287">
        <v>5259806.5700500002</v>
      </c>
      <c r="L2287">
        <f t="shared" si="71"/>
        <v>0</v>
      </c>
    </row>
    <row r="2288" spans="1:12" x14ac:dyDescent="0.25">
      <c r="A2288">
        <v>4408</v>
      </c>
      <c r="B2288">
        <v>135.84663509999999</v>
      </c>
      <c r="C2288">
        <v>135.84663509999999</v>
      </c>
      <c r="D2288">
        <v>0</v>
      </c>
      <c r="E2288">
        <v>332.93256550000001</v>
      </c>
      <c r="F2288" s="1">
        <v>9.8499999999999994E-3</v>
      </c>
      <c r="H2288">
        <v>4408</v>
      </c>
      <c r="I2288" t="str">
        <f t="shared" ref="I2288:I2351" si="72">IF(A2288=H2288,"YES","NO")</f>
        <v>YES</v>
      </c>
      <c r="J2288" t="s">
        <v>2294</v>
      </c>
      <c r="K2288">
        <v>2401761.98031</v>
      </c>
      <c r="L2288">
        <f t="shared" si="71"/>
        <v>0</v>
      </c>
    </row>
    <row r="2289" spans="1:12" x14ac:dyDescent="0.25">
      <c r="A2289">
        <v>4423</v>
      </c>
      <c r="B2289">
        <v>31.100348069999999</v>
      </c>
      <c r="C2289">
        <v>31.100348069999999</v>
      </c>
      <c r="D2289">
        <v>0</v>
      </c>
      <c r="E2289">
        <v>49.799214620000001</v>
      </c>
      <c r="F2289" s="1">
        <v>3.3700000000000001E-4</v>
      </c>
      <c r="H2289">
        <v>4423</v>
      </c>
      <c r="I2289" t="str">
        <f t="shared" si="72"/>
        <v>YES</v>
      </c>
      <c r="J2289" t="s">
        <v>2295</v>
      </c>
      <c r="K2289">
        <v>849980.95947799995</v>
      </c>
      <c r="L2289">
        <f t="shared" si="71"/>
        <v>0</v>
      </c>
    </row>
    <row r="2290" spans="1:12" x14ac:dyDescent="0.25">
      <c r="A2290">
        <v>4424</v>
      </c>
      <c r="B2290">
        <v>122.4085931</v>
      </c>
      <c r="C2290">
        <v>122.4085931</v>
      </c>
      <c r="D2290">
        <v>0</v>
      </c>
      <c r="E2290">
        <v>109.4689741</v>
      </c>
      <c r="F2290" s="1">
        <v>2.9199999999999999E-3</v>
      </c>
      <c r="H2290">
        <v>4424</v>
      </c>
      <c r="I2290" t="str">
        <f t="shared" si="72"/>
        <v>YES</v>
      </c>
      <c r="J2290" t="s">
        <v>2296</v>
      </c>
      <c r="K2290">
        <v>5047702.5577199999</v>
      </c>
      <c r="L2290">
        <f t="shared" si="71"/>
        <v>0</v>
      </c>
    </row>
    <row r="2291" spans="1:12" x14ac:dyDescent="0.25">
      <c r="A2291">
        <v>4425</v>
      </c>
      <c r="B2291">
        <v>35.096802869999998</v>
      </c>
      <c r="C2291">
        <v>35.096802869999998</v>
      </c>
      <c r="D2291">
        <v>0</v>
      </c>
      <c r="E2291">
        <v>53.7608484</v>
      </c>
      <c r="F2291" s="1">
        <v>4.1100000000000002E-4</v>
      </c>
      <c r="H2291">
        <v>4425</v>
      </c>
      <c r="I2291" t="str">
        <f t="shared" si="72"/>
        <v>YES</v>
      </c>
      <c r="J2291" t="s">
        <v>2297</v>
      </c>
      <c r="K2291">
        <v>1196015.3649500001</v>
      </c>
      <c r="L2291">
        <f t="shared" si="71"/>
        <v>0</v>
      </c>
    </row>
    <row r="2292" spans="1:12" x14ac:dyDescent="0.25">
      <c r="A2292">
        <v>4426</v>
      </c>
      <c r="B2292">
        <v>536.76447629999996</v>
      </c>
      <c r="C2292">
        <v>536.76447629999996</v>
      </c>
      <c r="D2292">
        <v>0</v>
      </c>
      <c r="E2292">
        <v>40.785626880000002</v>
      </c>
      <c r="F2292" s="1">
        <v>4.7699999999999999E-3</v>
      </c>
      <c r="H2292">
        <v>4426</v>
      </c>
      <c r="I2292" t="str">
        <f t="shared" si="72"/>
        <v>YES</v>
      </c>
      <c r="J2292" t="s">
        <v>2298</v>
      </c>
      <c r="K2292">
        <v>1842861.4970199999</v>
      </c>
      <c r="L2292">
        <f t="shared" si="71"/>
        <v>0</v>
      </c>
    </row>
    <row r="2293" spans="1:12" x14ac:dyDescent="0.25">
      <c r="A2293">
        <v>4427</v>
      </c>
      <c r="B2293">
        <v>169.2361903</v>
      </c>
      <c r="C2293">
        <v>169.2361903</v>
      </c>
      <c r="D2293">
        <v>0</v>
      </c>
      <c r="E2293">
        <v>470.0432998</v>
      </c>
      <c r="F2293" s="1">
        <v>1.7299999999999999E-2</v>
      </c>
      <c r="H2293">
        <v>4427</v>
      </c>
      <c r="I2293" t="str">
        <f t="shared" si="72"/>
        <v>YES</v>
      </c>
      <c r="J2293" t="s">
        <v>2299</v>
      </c>
      <c r="K2293">
        <v>4909195.8064200003</v>
      </c>
      <c r="L2293">
        <f t="shared" si="71"/>
        <v>0</v>
      </c>
    </row>
    <row r="2294" spans="1:12" x14ac:dyDescent="0.25">
      <c r="A2294">
        <v>4428</v>
      </c>
      <c r="B2294">
        <v>14.62905441</v>
      </c>
      <c r="C2294">
        <v>14.62905441</v>
      </c>
      <c r="D2294">
        <v>0</v>
      </c>
      <c r="E2294">
        <v>129.17104520000001</v>
      </c>
      <c r="F2294" s="1">
        <v>4.1100000000000002E-4</v>
      </c>
      <c r="H2294">
        <v>4428</v>
      </c>
      <c r="I2294" t="str">
        <f t="shared" si="72"/>
        <v>YES</v>
      </c>
      <c r="J2294" t="s">
        <v>2300</v>
      </c>
      <c r="K2294">
        <v>1266616.1285300001</v>
      </c>
      <c r="L2294">
        <f t="shared" si="71"/>
        <v>0</v>
      </c>
    </row>
    <row r="2295" spans="1:12" x14ac:dyDescent="0.25">
      <c r="A2295">
        <v>4429</v>
      </c>
      <c r="B2295">
        <v>429.06563979999999</v>
      </c>
      <c r="C2295">
        <v>429.06563979999999</v>
      </c>
      <c r="D2295">
        <v>0</v>
      </c>
      <c r="E2295">
        <v>108.9297929</v>
      </c>
      <c r="F2295" s="1">
        <v>1.0200000000000001E-2</v>
      </c>
      <c r="H2295">
        <v>4429</v>
      </c>
      <c r="I2295" t="str">
        <f t="shared" si="72"/>
        <v>YES</v>
      </c>
      <c r="J2295" t="s">
        <v>2301</v>
      </c>
      <c r="K2295">
        <v>1203442.1318699999</v>
      </c>
      <c r="L2295">
        <f t="shared" si="71"/>
        <v>0</v>
      </c>
    </row>
    <row r="2296" spans="1:12" x14ac:dyDescent="0.25">
      <c r="A2296">
        <v>4430</v>
      </c>
      <c r="B2296">
        <v>164.36965420000001</v>
      </c>
      <c r="C2296">
        <v>164.36965420000001</v>
      </c>
      <c r="D2296">
        <v>0</v>
      </c>
      <c r="E2296">
        <v>309.74805270000002</v>
      </c>
      <c r="F2296" s="1">
        <v>1.11E-2</v>
      </c>
      <c r="H2296">
        <v>4430</v>
      </c>
      <c r="I2296" t="str">
        <f t="shared" si="72"/>
        <v>YES</v>
      </c>
      <c r="J2296" t="s">
        <v>2302</v>
      </c>
      <c r="K2296">
        <v>1768906.9045500001</v>
      </c>
      <c r="L2296">
        <f t="shared" si="71"/>
        <v>0</v>
      </c>
    </row>
    <row r="2297" spans="1:12" x14ac:dyDescent="0.25">
      <c r="A2297">
        <v>4431</v>
      </c>
      <c r="B2297">
        <v>164.36965420000001</v>
      </c>
      <c r="C2297">
        <v>164.36965420000001</v>
      </c>
      <c r="D2297">
        <v>0</v>
      </c>
      <c r="E2297">
        <v>178.27006890000001</v>
      </c>
      <c r="F2297" s="1">
        <v>6.3800000000000003E-3</v>
      </c>
      <c r="H2297">
        <v>4431</v>
      </c>
      <c r="I2297" t="str">
        <f t="shared" si="72"/>
        <v>YES</v>
      </c>
      <c r="J2297" t="s">
        <v>2303</v>
      </c>
      <c r="K2297">
        <v>1900371.85873</v>
      </c>
      <c r="L2297">
        <f t="shared" si="71"/>
        <v>0</v>
      </c>
    </row>
    <row r="2298" spans="1:12" x14ac:dyDescent="0.25">
      <c r="A2298">
        <v>4432</v>
      </c>
      <c r="B2298">
        <v>2333.6609239999998</v>
      </c>
      <c r="C2298">
        <v>2333.6609239999998</v>
      </c>
      <c r="D2298">
        <v>0</v>
      </c>
      <c r="E2298">
        <v>2928.2693020000002</v>
      </c>
      <c r="F2298" s="1">
        <v>1.49</v>
      </c>
      <c r="H2298">
        <v>4432</v>
      </c>
      <c r="I2298" t="str">
        <f t="shared" si="72"/>
        <v>YES</v>
      </c>
      <c r="J2298" t="s">
        <v>2304</v>
      </c>
      <c r="K2298">
        <v>2568838.3190299999</v>
      </c>
      <c r="L2298">
        <f t="shared" si="71"/>
        <v>0</v>
      </c>
    </row>
    <row r="2299" spans="1:12" x14ac:dyDescent="0.25">
      <c r="A2299">
        <v>4433</v>
      </c>
      <c r="B2299">
        <v>5146.3908330000004</v>
      </c>
      <c r="C2299">
        <v>5146.3908330000004</v>
      </c>
      <c r="D2299">
        <v>0</v>
      </c>
      <c r="E2299">
        <v>3636.3343989999998</v>
      </c>
      <c r="F2299" s="1">
        <v>4.07</v>
      </c>
      <c r="H2299">
        <v>4433</v>
      </c>
      <c r="I2299" t="str">
        <f t="shared" si="72"/>
        <v>YES</v>
      </c>
      <c r="J2299" t="s">
        <v>2305</v>
      </c>
      <c r="K2299">
        <v>1701011.64118</v>
      </c>
      <c r="L2299">
        <f t="shared" si="71"/>
        <v>0</v>
      </c>
    </row>
    <row r="2300" spans="1:12" x14ac:dyDescent="0.25">
      <c r="A2300">
        <v>4434</v>
      </c>
      <c r="B2300">
        <v>217.98703950000001</v>
      </c>
      <c r="C2300">
        <v>217.98703950000001</v>
      </c>
      <c r="D2300">
        <v>0</v>
      </c>
      <c r="E2300">
        <v>363.38592219999998</v>
      </c>
      <c r="F2300" s="1">
        <v>1.72E-2</v>
      </c>
      <c r="H2300">
        <v>4434</v>
      </c>
      <c r="I2300" t="str">
        <f t="shared" si="72"/>
        <v>YES</v>
      </c>
      <c r="J2300" t="s">
        <v>2306</v>
      </c>
      <c r="K2300">
        <v>2276621.6642999998</v>
      </c>
      <c r="L2300">
        <f t="shared" si="71"/>
        <v>0</v>
      </c>
    </row>
    <row r="2301" spans="1:12" x14ac:dyDescent="0.25">
      <c r="A2301">
        <v>4435</v>
      </c>
      <c r="B2301">
        <v>5468.0686100000003</v>
      </c>
      <c r="C2301">
        <v>5468.0686100000003</v>
      </c>
      <c r="D2301">
        <v>0</v>
      </c>
      <c r="E2301">
        <v>1270.1168560000001</v>
      </c>
      <c r="F2301" s="1">
        <v>1.51</v>
      </c>
      <c r="H2301">
        <v>4435</v>
      </c>
      <c r="I2301" t="str">
        <f t="shared" si="72"/>
        <v>YES</v>
      </c>
      <c r="J2301" t="s">
        <v>2307</v>
      </c>
      <c r="K2301">
        <v>887310.43776300002</v>
      </c>
      <c r="L2301">
        <f t="shared" si="71"/>
        <v>0</v>
      </c>
    </row>
    <row r="2302" spans="1:12" x14ac:dyDescent="0.25">
      <c r="A2302">
        <v>4436</v>
      </c>
      <c r="B2302">
        <v>5608.8564329999999</v>
      </c>
      <c r="C2302">
        <v>5608.8564329999999</v>
      </c>
      <c r="D2302">
        <v>0</v>
      </c>
      <c r="E2302" s="1">
        <v>8.6399999999999999E-5</v>
      </c>
      <c r="F2302" s="1">
        <v>1.06E-7</v>
      </c>
      <c r="H2302">
        <v>4436</v>
      </c>
      <c r="I2302" t="str">
        <f t="shared" si="72"/>
        <v>YES</v>
      </c>
      <c r="J2302" t="s">
        <v>2308</v>
      </c>
      <c r="K2302">
        <v>292365.29661800002</v>
      </c>
      <c r="L2302">
        <f t="shared" si="71"/>
        <v>0</v>
      </c>
    </row>
    <row r="2303" spans="1:12" x14ac:dyDescent="0.25">
      <c r="A2303">
        <v>4437</v>
      </c>
      <c r="B2303">
        <v>5859.6182129999997</v>
      </c>
      <c r="C2303">
        <v>5859.6182129999997</v>
      </c>
      <c r="D2303">
        <v>0</v>
      </c>
      <c r="E2303">
        <v>2180.1539809999999</v>
      </c>
      <c r="F2303" s="1">
        <v>2.78</v>
      </c>
      <c r="H2303">
        <v>4437</v>
      </c>
      <c r="I2303" t="str">
        <f t="shared" si="72"/>
        <v>YES</v>
      </c>
      <c r="J2303" t="s">
        <v>2309</v>
      </c>
      <c r="K2303">
        <v>689843.04952799994</v>
      </c>
      <c r="L2303">
        <f t="shared" si="71"/>
        <v>0</v>
      </c>
    </row>
    <row r="2304" spans="1:12" x14ac:dyDescent="0.25">
      <c r="A2304">
        <v>4438</v>
      </c>
      <c r="B2304">
        <v>9770.3756659999999</v>
      </c>
      <c r="C2304">
        <v>9770.3756659999999</v>
      </c>
      <c r="D2304">
        <v>0</v>
      </c>
      <c r="E2304">
        <v>1547.948852</v>
      </c>
      <c r="F2304" s="1">
        <v>3.29</v>
      </c>
      <c r="H2304">
        <v>4438</v>
      </c>
      <c r="I2304" t="str">
        <f t="shared" si="72"/>
        <v>YES</v>
      </c>
      <c r="J2304" t="s">
        <v>2310</v>
      </c>
      <c r="K2304">
        <v>725800.48362299998</v>
      </c>
      <c r="L2304">
        <f t="shared" si="71"/>
        <v>0</v>
      </c>
    </row>
    <row r="2305" spans="1:12" x14ac:dyDescent="0.25">
      <c r="A2305">
        <v>4439</v>
      </c>
      <c r="B2305">
        <v>1388.0489070000001</v>
      </c>
      <c r="C2305">
        <v>1388.0489070000001</v>
      </c>
      <c r="D2305">
        <v>0</v>
      </c>
      <c r="E2305">
        <v>809.02954369999998</v>
      </c>
      <c r="F2305" s="1">
        <v>0.245</v>
      </c>
      <c r="H2305">
        <v>4439</v>
      </c>
      <c r="I2305" t="str">
        <f t="shared" si="72"/>
        <v>YES</v>
      </c>
      <c r="J2305" t="s">
        <v>2311</v>
      </c>
      <c r="K2305">
        <v>1527257.6367299999</v>
      </c>
      <c r="L2305">
        <f t="shared" si="71"/>
        <v>0</v>
      </c>
    </row>
    <row r="2306" spans="1:12" x14ac:dyDescent="0.25">
      <c r="A2306">
        <v>4440</v>
      </c>
      <c r="B2306">
        <v>4398.6289740000002</v>
      </c>
      <c r="C2306">
        <v>4398.6289740000002</v>
      </c>
      <c r="D2306">
        <v>0</v>
      </c>
      <c r="E2306">
        <v>3200.2943110000001</v>
      </c>
      <c r="F2306" s="1">
        <v>3.07</v>
      </c>
      <c r="H2306">
        <v>4440</v>
      </c>
      <c r="I2306" t="str">
        <f t="shared" si="72"/>
        <v>YES</v>
      </c>
      <c r="J2306" t="s">
        <v>2312</v>
      </c>
      <c r="K2306">
        <v>772353.71261299995</v>
      </c>
      <c r="L2306">
        <f t="shared" si="71"/>
        <v>0</v>
      </c>
    </row>
    <row r="2307" spans="1:12" x14ac:dyDescent="0.25">
      <c r="A2307">
        <v>4441</v>
      </c>
      <c r="B2307">
        <v>6494.6414009999999</v>
      </c>
      <c r="C2307">
        <v>6494.6414009999999</v>
      </c>
      <c r="D2307">
        <v>0</v>
      </c>
      <c r="E2307">
        <v>2572.2831139999998</v>
      </c>
      <c r="F2307" s="1">
        <v>3.64</v>
      </c>
      <c r="H2307">
        <v>4441</v>
      </c>
      <c r="I2307" t="str">
        <f t="shared" si="72"/>
        <v>YES</v>
      </c>
      <c r="J2307" t="s">
        <v>2313</v>
      </c>
      <c r="K2307">
        <v>640360.30068600003</v>
      </c>
      <c r="L2307">
        <f t="shared" ref="L2307:L2370" si="73">EXP(0.2052)*K2307*(D2307/C2307)</f>
        <v>0</v>
      </c>
    </row>
    <row r="2308" spans="1:12" x14ac:dyDescent="0.25">
      <c r="A2308">
        <v>4442</v>
      </c>
      <c r="B2308">
        <v>3835.3324590000002</v>
      </c>
      <c r="C2308">
        <v>3835.3324590000002</v>
      </c>
      <c r="D2308">
        <v>0</v>
      </c>
      <c r="E2308">
        <v>850.33034680000003</v>
      </c>
      <c r="F2308" s="1">
        <v>0.71</v>
      </c>
      <c r="H2308">
        <v>4442</v>
      </c>
      <c r="I2308" t="str">
        <f t="shared" si="72"/>
        <v>YES</v>
      </c>
      <c r="J2308" t="s">
        <v>2314</v>
      </c>
      <c r="K2308">
        <v>844196.23357200006</v>
      </c>
      <c r="L2308">
        <f t="shared" si="73"/>
        <v>0</v>
      </c>
    </row>
    <row r="2309" spans="1:12" x14ac:dyDescent="0.25">
      <c r="A2309">
        <v>4443</v>
      </c>
      <c r="B2309">
        <v>217.98703950000001</v>
      </c>
      <c r="C2309">
        <v>217.98703950000001</v>
      </c>
      <c r="D2309">
        <v>0</v>
      </c>
      <c r="E2309">
        <v>1085.288771</v>
      </c>
      <c r="F2309" s="1">
        <v>5.1499999999999997E-2</v>
      </c>
      <c r="H2309">
        <v>4443</v>
      </c>
      <c r="I2309" t="str">
        <f t="shared" si="72"/>
        <v>YES</v>
      </c>
      <c r="J2309" t="s">
        <v>2315</v>
      </c>
      <c r="K2309">
        <v>2105592.51566</v>
      </c>
      <c r="L2309">
        <f t="shared" si="73"/>
        <v>0</v>
      </c>
    </row>
    <row r="2310" spans="1:12" x14ac:dyDescent="0.25">
      <c r="A2310">
        <v>4444</v>
      </c>
      <c r="B2310">
        <v>29441.7333</v>
      </c>
      <c r="C2310">
        <v>29441.7333</v>
      </c>
      <c r="D2310">
        <v>0</v>
      </c>
      <c r="E2310">
        <v>170.95726529999999</v>
      </c>
      <c r="F2310" s="1">
        <v>1.1000000000000001</v>
      </c>
      <c r="H2310">
        <v>4444</v>
      </c>
      <c r="I2310" t="str">
        <f t="shared" si="72"/>
        <v>YES</v>
      </c>
      <c r="J2310" t="s">
        <v>2316</v>
      </c>
      <c r="K2310">
        <v>328447.88663399999</v>
      </c>
      <c r="L2310">
        <f t="shared" si="73"/>
        <v>0</v>
      </c>
    </row>
    <row r="2311" spans="1:12" x14ac:dyDescent="0.25">
      <c r="A2311">
        <v>4445</v>
      </c>
      <c r="B2311">
        <v>21153.774529999999</v>
      </c>
      <c r="C2311">
        <v>21153.774529999999</v>
      </c>
      <c r="D2311">
        <v>0</v>
      </c>
      <c r="E2311">
        <v>678.29407100000003</v>
      </c>
      <c r="F2311" s="1">
        <v>3.12</v>
      </c>
      <c r="H2311">
        <v>4445</v>
      </c>
      <c r="I2311" t="str">
        <f t="shared" si="72"/>
        <v>YES</v>
      </c>
      <c r="J2311" t="s">
        <v>2317</v>
      </c>
      <c r="K2311">
        <v>244677.407461</v>
      </c>
      <c r="L2311">
        <f t="shared" si="73"/>
        <v>0</v>
      </c>
    </row>
    <row r="2312" spans="1:12" x14ac:dyDescent="0.25">
      <c r="A2312">
        <v>4446</v>
      </c>
      <c r="B2312">
        <v>36473.144289999997</v>
      </c>
      <c r="C2312">
        <v>36473.144289999997</v>
      </c>
      <c r="D2312">
        <v>0</v>
      </c>
      <c r="E2312">
        <v>330.26072340000002</v>
      </c>
      <c r="F2312" s="1">
        <v>2.62</v>
      </c>
      <c r="H2312">
        <v>4446</v>
      </c>
      <c r="I2312" t="str">
        <f t="shared" si="72"/>
        <v>YES</v>
      </c>
      <c r="J2312" t="s">
        <v>2318</v>
      </c>
      <c r="K2312">
        <v>174809.50204600001</v>
      </c>
      <c r="L2312">
        <f t="shared" si="73"/>
        <v>0</v>
      </c>
    </row>
    <row r="2313" spans="1:12" x14ac:dyDescent="0.25">
      <c r="A2313">
        <v>4447</v>
      </c>
      <c r="B2313">
        <v>27789.54567</v>
      </c>
      <c r="C2313">
        <v>27789.54567</v>
      </c>
      <c r="D2313">
        <v>0</v>
      </c>
      <c r="E2313">
        <v>1.02555E-4</v>
      </c>
      <c r="F2313" s="1">
        <v>6.2099999999999996E-7</v>
      </c>
      <c r="H2313">
        <v>4447</v>
      </c>
      <c r="I2313" t="str">
        <f t="shared" si="72"/>
        <v>YES</v>
      </c>
      <c r="J2313" t="s">
        <v>2319</v>
      </c>
      <c r="K2313">
        <v>178242.50448900001</v>
      </c>
      <c r="L2313">
        <f t="shared" si="73"/>
        <v>0</v>
      </c>
    </row>
    <row r="2314" spans="1:12" x14ac:dyDescent="0.25">
      <c r="A2314">
        <v>4448</v>
      </c>
      <c r="B2314">
        <v>46756.038330000003</v>
      </c>
      <c r="C2314">
        <v>46756.038330000003</v>
      </c>
      <c r="D2314">
        <v>0</v>
      </c>
      <c r="E2314">
        <v>2565.929106</v>
      </c>
      <c r="F2314" s="1">
        <v>26.1</v>
      </c>
      <c r="H2314">
        <v>4448</v>
      </c>
      <c r="I2314" t="str">
        <f t="shared" si="72"/>
        <v>YES</v>
      </c>
      <c r="J2314" t="s">
        <v>2320</v>
      </c>
      <c r="K2314">
        <v>556043.84022899996</v>
      </c>
      <c r="L2314">
        <f t="shared" si="73"/>
        <v>0</v>
      </c>
    </row>
    <row r="2315" spans="1:12" x14ac:dyDescent="0.25">
      <c r="A2315">
        <v>4449</v>
      </c>
      <c r="B2315">
        <v>1078.7415149999999</v>
      </c>
      <c r="C2315">
        <v>1078.7415149999999</v>
      </c>
      <c r="D2315">
        <v>0</v>
      </c>
      <c r="E2315">
        <v>1377.630326</v>
      </c>
      <c r="F2315" s="1">
        <v>0.32400000000000001</v>
      </c>
      <c r="H2315">
        <v>4449</v>
      </c>
      <c r="I2315" t="str">
        <f t="shared" si="72"/>
        <v>YES</v>
      </c>
      <c r="J2315" t="s">
        <v>2321</v>
      </c>
      <c r="K2315">
        <v>1259756.8357899999</v>
      </c>
      <c r="L2315">
        <f t="shared" si="73"/>
        <v>0</v>
      </c>
    </row>
    <row r="2316" spans="1:12" x14ac:dyDescent="0.25">
      <c r="A2316">
        <v>4499</v>
      </c>
      <c r="B2316">
        <v>46914.095130000002</v>
      </c>
      <c r="C2316">
        <v>46914.095130000002</v>
      </c>
      <c r="D2316">
        <v>0</v>
      </c>
      <c r="E2316">
        <v>297.14193060000002</v>
      </c>
      <c r="F2316" s="1">
        <v>3.04</v>
      </c>
      <c r="H2316">
        <v>4499</v>
      </c>
      <c r="I2316" t="str">
        <f t="shared" si="72"/>
        <v>YES</v>
      </c>
      <c r="J2316" t="s">
        <v>2322</v>
      </c>
      <c r="K2316">
        <v>122032.393942</v>
      </c>
      <c r="L2316">
        <f t="shared" si="73"/>
        <v>0</v>
      </c>
    </row>
    <row r="2317" spans="1:12" x14ac:dyDescent="0.25">
      <c r="A2317">
        <v>4500</v>
      </c>
      <c r="B2317">
        <v>14185.6149</v>
      </c>
      <c r="C2317">
        <v>14185.6149</v>
      </c>
      <c r="D2317">
        <v>0</v>
      </c>
      <c r="E2317">
        <v>2743.4555660000001</v>
      </c>
      <c r="F2317" s="1">
        <v>8.4700000000000006</v>
      </c>
      <c r="H2317">
        <v>4500</v>
      </c>
      <c r="I2317" t="str">
        <f t="shared" si="72"/>
        <v>YES</v>
      </c>
      <c r="J2317" t="s">
        <v>2323</v>
      </c>
      <c r="K2317">
        <v>997990.09794799995</v>
      </c>
      <c r="L2317">
        <f t="shared" si="73"/>
        <v>0</v>
      </c>
    </row>
    <row r="2318" spans="1:12" x14ac:dyDescent="0.25">
      <c r="A2318">
        <v>4501</v>
      </c>
      <c r="B2318">
        <v>3232.23362</v>
      </c>
      <c r="C2318">
        <v>3232.23362</v>
      </c>
      <c r="D2318">
        <v>0</v>
      </c>
      <c r="E2318">
        <v>2372.696234</v>
      </c>
      <c r="F2318" s="1">
        <v>1.67</v>
      </c>
      <c r="H2318">
        <v>4501</v>
      </c>
      <c r="I2318" t="str">
        <f t="shared" si="72"/>
        <v>YES</v>
      </c>
      <c r="J2318" t="s">
        <v>2324</v>
      </c>
      <c r="K2318">
        <v>767249.08061900001</v>
      </c>
      <c r="L2318">
        <f t="shared" si="73"/>
        <v>0</v>
      </c>
    </row>
    <row r="2319" spans="1:12" x14ac:dyDescent="0.25">
      <c r="A2319">
        <v>4502</v>
      </c>
      <c r="B2319">
        <v>11644.998680000001</v>
      </c>
      <c r="C2319">
        <v>11644.998680000001</v>
      </c>
      <c r="D2319">
        <v>0</v>
      </c>
      <c r="E2319">
        <v>2269.8698979999999</v>
      </c>
      <c r="F2319" s="1">
        <v>5.76</v>
      </c>
      <c r="H2319">
        <v>4502</v>
      </c>
      <c r="I2319" t="str">
        <f t="shared" si="72"/>
        <v>YES</v>
      </c>
      <c r="J2319" t="s">
        <v>2325</v>
      </c>
      <c r="K2319">
        <v>451325.94851399999</v>
      </c>
      <c r="L2319">
        <f t="shared" si="73"/>
        <v>0</v>
      </c>
    </row>
    <row r="2320" spans="1:12" x14ac:dyDescent="0.25">
      <c r="A2320">
        <v>4503</v>
      </c>
      <c r="B2320">
        <v>4295.8318149999996</v>
      </c>
      <c r="C2320">
        <v>4295.8318149999996</v>
      </c>
      <c r="D2320">
        <v>0</v>
      </c>
      <c r="E2320">
        <v>3684.5916999999999</v>
      </c>
      <c r="F2320" s="1">
        <v>3.45</v>
      </c>
      <c r="H2320">
        <v>4503</v>
      </c>
      <c r="I2320" t="str">
        <f t="shared" si="72"/>
        <v>YES</v>
      </c>
      <c r="J2320" t="s">
        <v>2326</v>
      </c>
      <c r="K2320">
        <v>1009762.88431</v>
      </c>
      <c r="L2320">
        <f t="shared" si="73"/>
        <v>0</v>
      </c>
    </row>
    <row r="2321" spans="1:12" x14ac:dyDescent="0.25">
      <c r="A2321">
        <v>4504</v>
      </c>
      <c r="B2321">
        <v>11850.466920000001</v>
      </c>
      <c r="C2321">
        <v>11850.466920000001</v>
      </c>
      <c r="D2321">
        <v>0</v>
      </c>
      <c r="E2321">
        <v>1396.368144</v>
      </c>
      <c r="F2321" s="1">
        <v>3.6</v>
      </c>
      <c r="H2321">
        <v>4504</v>
      </c>
      <c r="I2321" t="str">
        <f t="shared" si="72"/>
        <v>YES</v>
      </c>
      <c r="J2321" t="s">
        <v>2327</v>
      </c>
      <c r="K2321">
        <v>522676.23150200001</v>
      </c>
      <c r="L2321">
        <f t="shared" si="73"/>
        <v>0</v>
      </c>
    </row>
    <row r="2322" spans="1:12" x14ac:dyDescent="0.25">
      <c r="A2322">
        <v>4505</v>
      </c>
      <c r="B2322">
        <v>21757.494170000002</v>
      </c>
      <c r="C2322">
        <v>21757.494170000002</v>
      </c>
      <c r="D2322">
        <v>0</v>
      </c>
      <c r="E2322">
        <v>147.86956799999999</v>
      </c>
      <c r="F2322" s="1">
        <v>0.70099999999999996</v>
      </c>
      <c r="H2322">
        <v>4505</v>
      </c>
      <c r="I2322" t="str">
        <f t="shared" si="72"/>
        <v>YES</v>
      </c>
      <c r="J2322" t="s">
        <v>2328</v>
      </c>
      <c r="K2322">
        <v>168494.38297599999</v>
      </c>
      <c r="L2322">
        <f t="shared" si="73"/>
        <v>0</v>
      </c>
    </row>
    <row r="2323" spans="1:12" x14ac:dyDescent="0.25">
      <c r="A2323">
        <v>4506</v>
      </c>
      <c r="B2323">
        <v>3380.8547509999999</v>
      </c>
      <c r="C2323">
        <v>3380.8547509999999</v>
      </c>
      <c r="D2323">
        <v>0</v>
      </c>
      <c r="E2323">
        <v>3243.2503649999999</v>
      </c>
      <c r="F2323" s="1">
        <v>2.39</v>
      </c>
      <c r="H2323">
        <v>4506</v>
      </c>
      <c r="I2323" t="str">
        <f t="shared" si="72"/>
        <v>YES</v>
      </c>
      <c r="J2323" t="s">
        <v>2329</v>
      </c>
      <c r="K2323">
        <v>1399029.90644</v>
      </c>
      <c r="L2323">
        <f t="shared" si="73"/>
        <v>0</v>
      </c>
    </row>
    <row r="2324" spans="1:12" x14ac:dyDescent="0.25">
      <c r="A2324">
        <v>4507</v>
      </c>
      <c r="B2324">
        <v>10661.122300000001</v>
      </c>
      <c r="C2324">
        <v>10661.122300000001</v>
      </c>
      <c r="D2324">
        <v>0</v>
      </c>
      <c r="E2324">
        <v>2613.6889970000002</v>
      </c>
      <c r="F2324" s="1">
        <v>6.07</v>
      </c>
      <c r="H2324">
        <v>4507</v>
      </c>
      <c r="I2324" t="str">
        <f t="shared" si="72"/>
        <v>YES</v>
      </c>
      <c r="J2324" t="s">
        <v>2330</v>
      </c>
      <c r="K2324">
        <v>909870.51543000003</v>
      </c>
      <c r="L2324">
        <f t="shared" si="73"/>
        <v>0</v>
      </c>
    </row>
    <row r="2325" spans="1:12" x14ac:dyDescent="0.25">
      <c r="A2325">
        <v>4508</v>
      </c>
      <c r="B2325">
        <v>4666.0012880000004</v>
      </c>
      <c r="C2325">
        <v>4666.0012880000004</v>
      </c>
      <c r="D2325">
        <v>0</v>
      </c>
      <c r="E2325">
        <v>2665.5310770000001</v>
      </c>
      <c r="F2325" s="1">
        <v>2.71</v>
      </c>
      <c r="H2325">
        <v>4508</v>
      </c>
      <c r="I2325" t="str">
        <f t="shared" si="72"/>
        <v>YES</v>
      </c>
      <c r="J2325" t="s">
        <v>2331</v>
      </c>
      <c r="K2325">
        <v>1065975.8023300001</v>
      </c>
      <c r="L2325">
        <f t="shared" si="73"/>
        <v>0</v>
      </c>
    </row>
    <row r="2326" spans="1:12" x14ac:dyDescent="0.25">
      <c r="A2326">
        <v>4509</v>
      </c>
      <c r="B2326">
        <v>11274.447389999999</v>
      </c>
      <c r="C2326">
        <v>11274.447389999999</v>
      </c>
      <c r="D2326">
        <v>0</v>
      </c>
      <c r="E2326">
        <v>2573.6784510000002</v>
      </c>
      <c r="F2326" s="1">
        <v>6.32</v>
      </c>
      <c r="H2326">
        <v>4509</v>
      </c>
      <c r="I2326" t="str">
        <f t="shared" si="72"/>
        <v>YES</v>
      </c>
      <c r="J2326" t="s">
        <v>2332</v>
      </c>
      <c r="K2326">
        <v>1001165.09795</v>
      </c>
      <c r="L2326">
        <f t="shared" si="73"/>
        <v>0</v>
      </c>
    </row>
    <row r="2327" spans="1:12" x14ac:dyDescent="0.25">
      <c r="A2327">
        <v>4511</v>
      </c>
      <c r="B2327">
        <v>22760.313300000002</v>
      </c>
      <c r="C2327">
        <v>22760.313300000002</v>
      </c>
      <c r="D2327">
        <v>0</v>
      </c>
      <c r="E2327">
        <v>1273.6736800000001</v>
      </c>
      <c r="F2327" s="1">
        <v>6.31</v>
      </c>
      <c r="H2327">
        <v>4511</v>
      </c>
      <c r="I2327" t="str">
        <f t="shared" si="72"/>
        <v>YES</v>
      </c>
      <c r="J2327" t="s">
        <v>2333</v>
      </c>
      <c r="K2327">
        <v>502531.71098899998</v>
      </c>
      <c r="L2327">
        <f t="shared" si="73"/>
        <v>0</v>
      </c>
    </row>
    <row r="2328" spans="1:12" x14ac:dyDescent="0.25">
      <c r="A2328">
        <v>4512</v>
      </c>
      <c r="B2328">
        <v>10702.75361</v>
      </c>
      <c r="C2328">
        <v>10702.75361</v>
      </c>
      <c r="D2328">
        <v>0</v>
      </c>
      <c r="E2328">
        <v>200.5166074</v>
      </c>
      <c r="F2328" s="1">
        <v>0.46700000000000003</v>
      </c>
      <c r="H2328">
        <v>4512</v>
      </c>
      <c r="I2328" t="str">
        <f t="shared" si="72"/>
        <v>YES</v>
      </c>
      <c r="J2328" t="s">
        <v>2334</v>
      </c>
      <c r="K2328">
        <v>966133.36038299999</v>
      </c>
      <c r="L2328">
        <f t="shared" si="73"/>
        <v>0</v>
      </c>
    </row>
    <row r="2329" spans="1:12" x14ac:dyDescent="0.25">
      <c r="A2329">
        <v>4513</v>
      </c>
      <c r="B2329">
        <v>25892.663980000001</v>
      </c>
      <c r="C2329">
        <v>25892.663980000001</v>
      </c>
      <c r="D2329">
        <v>0</v>
      </c>
      <c r="E2329">
        <v>1338.580236</v>
      </c>
      <c r="F2329" s="1">
        <v>7.55</v>
      </c>
      <c r="H2329">
        <v>4513</v>
      </c>
      <c r="I2329" t="str">
        <f t="shared" si="72"/>
        <v>YES</v>
      </c>
      <c r="J2329" t="s">
        <v>2335</v>
      </c>
      <c r="K2329">
        <v>481898.17536699999</v>
      </c>
      <c r="L2329">
        <f t="shared" si="73"/>
        <v>0</v>
      </c>
    </row>
    <row r="2330" spans="1:12" x14ac:dyDescent="0.25">
      <c r="A2330">
        <v>4514</v>
      </c>
      <c r="B2330">
        <v>56990.196550000001</v>
      </c>
      <c r="C2330">
        <v>56990.196550000001</v>
      </c>
      <c r="D2330">
        <v>0</v>
      </c>
      <c r="E2330">
        <v>1.02555E-4</v>
      </c>
      <c r="F2330" s="1">
        <v>1.2699999999999999E-6</v>
      </c>
      <c r="H2330">
        <v>4514</v>
      </c>
      <c r="I2330" t="str">
        <f t="shared" si="72"/>
        <v>YES</v>
      </c>
      <c r="J2330" t="s">
        <v>2336</v>
      </c>
      <c r="K2330">
        <v>260251.16615199999</v>
      </c>
      <c r="L2330">
        <f t="shared" si="73"/>
        <v>0</v>
      </c>
    </row>
    <row r="2331" spans="1:12" x14ac:dyDescent="0.25">
      <c r="A2331">
        <v>4515</v>
      </c>
      <c r="B2331">
        <v>54665.912179999999</v>
      </c>
      <c r="C2331">
        <v>54665.912179999999</v>
      </c>
      <c r="D2331">
        <v>0</v>
      </c>
      <c r="E2331">
        <v>0.13021632899999999</v>
      </c>
      <c r="F2331" s="1">
        <v>1.5499999999999999E-3</v>
      </c>
      <c r="H2331">
        <v>4515</v>
      </c>
      <c r="I2331" t="str">
        <f t="shared" si="72"/>
        <v>YES</v>
      </c>
      <c r="J2331" t="s">
        <v>2337</v>
      </c>
      <c r="K2331">
        <v>387182.35529400001</v>
      </c>
      <c r="L2331">
        <f t="shared" si="73"/>
        <v>0</v>
      </c>
    </row>
    <row r="2332" spans="1:12" x14ac:dyDescent="0.25">
      <c r="A2332">
        <v>4516</v>
      </c>
      <c r="B2332">
        <v>39225.024299999997</v>
      </c>
      <c r="C2332">
        <v>39225.024299999997</v>
      </c>
      <c r="D2332">
        <v>0</v>
      </c>
      <c r="E2332">
        <v>1.02555E-4</v>
      </c>
      <c r="F2332" s="1">
        <v>8.7599999999999996E-7</v>
      </c>
      <c r="H2332">
        <v>4516</v>
      </c>
      <c r="I2332" t="str">
        <f t="shared" si="72"/>
        <v>YES</v>
      </c>
      <c r="J2332" t="s">
        <v>2338</v>
      </c>
      <c r="K2332">
        <v>349588.155187</v>
      </c>
      <c r="L2332">
        <f t="shared" si="73"/>
        <v>0</v>
      </c>
    </row>
    <row r="2333" spans="1:12" x14ac:dyDescent="0.25">
      <c r="A2333">
        <v>4517</v>
      </c>
      <c r="B2333">
        <v>41646.515630000002</v>
      </c>
      <c r="C2333">
        <v>41646.515630000002</v>
      </c>
      <c r="D2333">
        <v>0</v>
      </c>
      <c r="E2333">
        <v>1.02555E-4</v>
      </c>
      <c r="F2333" s="1">
        <v>9.2999999999999999E-7</v>
      </c>
      <c r="H2333">
        <v>4517</v>
      </c>
      <c r="I2333" t="str">
        <f t="shared" si="72"/>
        <v>YES</v>
      </c>
      <c r="J2333" t="s">
        <v>2339</v>
      </c>
      <c r="K2333">
        <v>160555.879793</v>
      </c>
      <c r="L2333">
        <f t="shared" si="73"/>
        <v>0</v>
      </c>
    </row>
    <row r="2334" spans="1:12" x14ac:dyDescent="0.25">
      <c r="A2334">
        <v>4518</v>
      </c>
      <c r="B2334">
        <v>12234.49417</v>
      </c>
      <c r="C2334">
        <v>12234.49417</v>
      </c>
      <c r="D2334">
        <v>0</v>
      </c>
      <c r="E2334">
        <v>2133.924935</v>
      </c>
      <c r="F2334" s="1">
        <v>5.68</v>
      </c>
      <c r="H2334">
        <v>4518</v>
      </c>
      <c r="I2334" t="str">
        <f t="shared" si="72"/>
        <v>YES</v>
      </c>
      <c r="J2334" t="s">
        <v>2340</v>
      </c>
      <c r="K2334">
        <v>882828.39937700005</v>
      </c>
      <c r="L2334">
        <f t="shared" si="73"/>
        <v>0</v>
      </c>
    </row>
    <row r="2335" spans="1:12" x14ac:dyDescent="0.25">
      <c r="A2335">
        <v>4519</v>
      </c>
      <c r="B2335">
        <v>13038.735979999999</v>
      </c>
      <c r="C2335">
        <v>13038.735979999999</v>
      </c>
      <c r="D2335">
        <v>0</v>
      </c>
      <c r="E2335">
        <v>2092.1783569999998</v>
      </c>
      <c r="F2335" s="1">
        <v>5.94</v>
      </c>
      <c r="H2335">
        <v>4519</v>
      </c>
      <c r="I2335" t="str">
        <f t="shared" si="72"/>
        <v>YES</v>
      </c>
      <c r="J2335" t="s">
        <v>2341</v>
      </c>
      <c r="K2335">
        <v>969520.04281799996</v>
      </c>
      <c r="L2335">
        <f t="shared" si="73"/>
        <v>0</v>
      </c>
    </row>
    <row r="2336" spans="1:12" x14ac:dyDescent="0.25">
      <c r="A2336">
        <v>4520</v>
      </c>
      <c r="B2336">
        <v>17230.685150000001</v>
      </c>
      <c r="C2336">
        <v>17230.685150000001</v>
      </c>
      <c r="D2336">
        <v>0</v>
      </c>
      <c r="E2336">
        <v>1454.221685</v>
      </c>
      <c r="F2336" s="1">
        <v>5.46</v>
      </c>
      <c r="H2336">
        <v>4520</v>
      </c>
      <c r="I2336" t="str">
        <f t="shared" si="72"/>
        <v>YES</v>
      </c>
      <c r="J2336" t="s">
        <v>2342</v>
      </c>
      <c r="K2336">
        <v>399886.54827600002</v>
      </c>
      <c r="L2336">
        <f t="shared" si="73"/>
        <v>0</v>
      </c>
    </row>
    <row r="2337" spans="1:12" x14ac:dyDescent="0.25">
      <c r="A2337">
        <v>4521</v>
      </c>
      <c r="B2337">
        <v>26324.55257</v>
      </c>
      <c r="C2337">
        <v>26324.55257</v>
      </c>
      <c r="D2337">
        <v>0</v>
      </c>
      <c r="E2337">
        <v>238.8273891</v>
      </c>
      <c r="F2337" s="1">
        <v>1.37</v>
      </c>
      <c r="H2337">
        <v>4521</v>
      </c>
      <c r="I2337" t="str">
        <f t="shared" si="72"/>
        <v>YES</v>
      </c>
      <c r="J2337" t="s">
        <v>2343</v>
      </c>
      <c r="K2337">
        <v>773309.539277</v>
      </c>
      <c r="L2337">
        <f t="shared" si="73"/>
        <v>0</v>
      </c>
    </row>
    <row r="2338" spans="1:12" x14ac:dyDescent="0.25">
      <c r="A2338">
        <v>4522</v>
      </c>
      <c r="B2338">
        <v>9795.8042089999999</v>
      </c>
      <c r="C2338">
        <v>9795.8042089999999</v>
      </c>
      <c r="D2338">
        <v>0</v>
      </c>
      <c r="E2338">
        <v>3086.8794520000001</v>
      </c>
      <c r="F2338" s="1">
        <v>6.58</v>
      </c>
      <c r="H2338">
        <v>4522</v>
      </c>
      <c r="I2338" t="str">
        <f t="shared" si="72"/>
        <v>YES</v>
      </c>
      <c r="J2338" t="s">
        <v>2344</v>
      </c>
      <c r="K2338">
        <v>1046048.99994</v>
      </c>
      <c r="L2338">
        <f t="shared" si="73"/>
        <v>0</v>
      </c>
    </row>
    <row r="2339" spans="1:12" x14ac:dyDescent="0.25">
      <c r="A2339">
        <v>4523</v>
      </c>
      <c r="B2339">
        <v>7138.6205799999998</v>
      </c>
      <c r="C2339">
        <v>7138.6205799999998</v>
      </c>
      <c r="D2339">
        <v>0</v>
      </c>
      <c r="E2339">
        <v>2946.3996999999999</v>
      </c>
      <c r="F2339" s="1">
        <v>4.58</v>
      </c>
      <c r="H2339">
        <v>4523</v>
      </c>
      <c r="I2339" t="str">
        <f t="shared" si="72"/>
        <v>YES</v>
      </c>
      <c r="J2339" t="s">
        <v>2345</v>
      </c>
      <c r="K2339">
        <v>1431780.46095</v>
      </c>
      <c r="L2339">
        <f t="shared" si="73"/>
        <v>0</v>
      </c>
    </row>
    <row r="2340" spans="1:12" x14ac:dyDescent="0.25">
      <c r="A2340">
        <v>4524</v>
      </c>
      <c r="B2340">
        <v>1410.3430639999999</v>
      </c>
      <c r="C2340">
        <v>1410.3430639999999</v>
      </c>
      <c r="D2340">
        <v>0</v>
      </c>
      <c r="E2340">
        <v>1867.8096009999999</v>
      </c>
      <c r="F2340" s="1">
        <v>0.57399999999999995</v>
      </c>
      <c r="H2340">
        <v>4524</v>
      </c>
      <c r="I2340" t="str">
        <f t="shared" si="72"/>
        <v>YES</v>
      </c>
      <c r="J2340" t="s">
        <v>2346</v>
      </c>
      <c r="K2340">
        <v>726278.69739400002</v>
      </c>
      <c r="L2340">
        <f t="shared" si="73"/>
        <v>0</v>
      </c>
    </row>
    <row r="2341" spans="1:12" x14ac:dyDescent="0.25">
      <c r="A2341">
        <v>4525</v>
      </c>
      <c r="B2341">
        <v>7624.4114650000001</v>
      </c>
      <c r="C2341">
        <v>7624.4114650000001</v>
      </c>
      <c r="D2341">
        <v>0</v>
      </c>
      <c r="E2341">
        <v>1919.047515</v>
      </c>
      <c r="F2341" s="1">
        <v>3.19</v>
      </c>
      <c r="H2341">
        <v>4525</v>
      </c>
      <c r="I2341" t="str">
        <f t="shared" si="72"/>
        <v>YES</v>
      </c>
      <c r="J2341" t="s">
        <v>2347</v>
      </c>
      <c r="K2341">
        <v>953450.29184199998</v>
      </c>
      <c r="L2341">
        <f t="shared" si="73"/>
        <v>0</v>
      </c>
    </row>
    <row r="2342" spans="1:12" x14ac:dyDescent="0.25">
      <c r="A2342">
        <v>4526</v>
      </c>
      <c r="B2342">
        <v>27228.245080000001</v>
      </c>
      <c r="C2342">
        <v>27228.245080000001</v>
      </c>
      <c r="D2342">
        <v>0</v>
      </c>
      <c r="E2342">
        <v>287.25130489999998</v>
      </c>
      <c r="F2342" s="1">
        <v>1.7</v>
      </c>
      <c r="H2342">
        <v>4526</v>
      </c>
      <c r="I2342" t="str">
        <f t="shared" si="72"/>
        <v>YES</v>
      </c>
      <c r="J2342" t="s">
        <v>2348</v>
      </c>
      <c r="K2342">
        <v>147653.776568</v>
      </c>
      <c r="L2342">
        <f t="shared" si="73"/>
        <v>0</v>
      </c>
    </row>
    <row r="2343" spans="1:12" x14ac:dyDescent="0.25">
      <c r="A2343">
        <v>4527</v>
      </c>
      <c r="B2343">
        <v>25865.234479999999</v>
      </c>
      <c r="C2343">
        <v>25865.234479999999</v>
      </c>
      <c r="D2343">
        <v>0</v>
      </c>
      <c r="E2343">
        <v>1076.43543</v>
      </c>
      <c r="F2343" s="1">
        <v>6.06</v>
      </c>
      <c r="H2343">
        <v>4527</v>
      </c>
      <c r="I2343" t="str">
        <f t="shared" si="72"/>
        <v>YES</v>
      </c>
      <c r="J2343" t="s">
        <v>2349</v>
      </c>
      <c r="K2343">
        <v>127283.63452599999</v>
      </c>
      <c r="L2343">
        <f t="shared" si="73"/>
        <v>0</v>
      </c>
    </row>
    <row r="2344" spans="1:12" x14ac:dyDescent="0.25">
      <c r="A2344">
        <v>4528</v>
      </c>
      <c r="B2344">
        <v>1553.0884000000001</v>
      </c>
      <c r="C2344">
        <v>1553.0884000000001</v>
      </c>
      <c r="D2344">
        <v>0</v>
      </c>
      <c r="E2344">
        <v>2139.8717929999998</v>
      </c>
      <c r="F2344" s="1">
        <v>0.72399999999999998</v>
      </c>
      <c r="H2344">
        <v>4528</v>
      </c>
      <c r="I2344" t="str">
        <f t="shared" si="72"/>
        <v>YES</v>
      </c>
      <c r="J2344" t="s">
        <v>2350</v>
      </c>
      <c r="K2344">
        <v>1215167.2705999999</v>
      </c>
      <c r="L2344">
        <f t="shared" si="73"/>
        <v>0</v>
      </c>
    </row>
    <row r="2345" spans="1:12" x14ac:dyDescent="0.25">
      <c r="A2345">
        <v>4529</v>
      </c>
      <c r="B2345">
        <v>1988.7249119999999</v>
      </c>
      <c r="C2345">
        <v>1988.7249119999999</v>
      </c>
      <c r="D2345">
        <v>0</v>
      </c>
      <c r="E2345">
        <v>3089.1425690000001</v>
      </c>
      <c r="F2345" s="1">
        <v>1.34</v>
      </c>
      <c r="H2345">
        <v>4529</v>
      </c>
      <c r="I2345" t="str">
        <f t="shared" si="72"/>
        <v>YES</v>
      </c>
      <c r="J2345" t="s">
        <v>2351</v>
      </c>
      <c r="K2345">
        <v>1657529.1381600001</v>
      </c>
      <c r="L2345">
        <f t="shared" si="73"/>
        <v>0</v>
      </c>
    </row>
    <row r="2346" spans="1:12" x14ac:dyDescent="0.25">
      <c r="A2346">
        <v>4530</v>
      </c>
      <c r="B2346">
        <v>31328.79565</v>
      </c>
      <c r="C2346">
        <v>31328.79565</v>
      </c>
      <c r="D2346">
        <v>0</v>
      </c>
      <c r="E2346">
        <v>3181.1017390000002</v>
      </c>
      <c r="F2346" s="1">
        <v>21.7</v>
      </c>
      <c r="H2346">
        <v>4530</v>
      </c>
      <c r="I2346" t="str">
        <f t="shared" si="72"/>
        <v>YES</v>
      </c>
      <c r="J2346" t="s">
        <v>2352</v>
      </c>
      <c r="K2346">
        <v>2114989.3823000002</v>
      </c>
      <c r="L2346">
        <f t="shared" si="73"/>
        <v>0</v>
      </c>
    </row>
    <row r="2347" spans="1:12" x14ac:dyDescent="0.25">
      <c r="A2347">
        <v>4531</v>
      </c>
      <c r="B2347">
        <v>11714.363240000001</v>
      </c>
      <c r="C2347">
        <v>11714.363240000001</v>
      </c>
      <c r="D2347">
        <v>0</v>
      </c>
      <c r="E2347">
        <v>1625.421118</v>
      </c>
      <c r="F2347" s="1">
        <v>4.1500000000000004</v>
      </c>
      <c r="H2347">
        <v>4531</v>
      </c>
      <c r="I2347" t="str">
        <f t="shared" si="72"/>
        <v>YES</v>
      </c>
      <c r="J2347" t="s">
        <v>2353</v>
      </c>
      <c r="K2347">
        <v>724001.15602600004</v>
      </c>
      <c r="L2347">
        <f t="shared" si="73"/>
        <v>0</v>
      </c>
    </row>
    <row r="2348" spans="1:12" x14ac:dyDescent="0.25">
      <c r="A2348">
        <v>4532</v>
      </c>
      <c r="B2348">
        <v>44420.512300000002</v>
      </c>
      <c r="C2348">
        <v>44420.512300000002</v>
      </c>
      <c r="D2348">
        <v>0</v>
      </c>
      <c r="E2348">
        <v>4.0693635920000002</v>
      </c>
      <c r="F2348" s="1">
        <v>3.9399999999999998E-2</v>
      </c>
      <c r="H2348">
        <v>4532</v>
      </c>
      <c r="I2348" t="str">
        <f t="shared" si="72"/>
        <v>YES</v>
      </c>
      <c r="J2348" t="s">
        <v>2354</v>
      </c>
      <c r="K2348">
        <v>697097.06179099996</v>
      </c>
      <c r="L2348">
        <f t="shared" si="73"/>
        <v>0</v>
      </c>
    </row>
    <row r="2349" spans="1:12" x14ac:dyDescent="0.25">
      <c r="A2349">
        <v>4533</v>
      </c>
      <c r="B2349">
        <v>51025.22178</v>
      </c>
      <c r="C2349">
        <v>51025.22178</v>
      </c>
      <c r="D2349">
        <v>0</v>
      </c>
      <c r="E2349" s="1">
        <v>4.7200000000000002E-5</v>
      </c>
      <c r="F2349" s="1">
        <v>5.2399999999999998E-7</v>
      </c>
      <c r="H2349">
        <v>4533</v>
      </c>
      <c r="I2349" t="str">
        <f t="shared" si="72"/>
        <v>YES</v>
      </c>
      <c r="J2349" t="s">
        <v>2355</v>
      </c>
      <c r="K2349">
        <v>125067.793577</v>
      </c>
      <c r="L2349">
        <f t="shared" si="73"/>
        <v>0</v>
      </c>
    </row>
    <row r="2350" spans="1:12" x14ac:dyDescent="0.25">
      <c r="A2350">
        <v>4534</v>
      </c>
      <c r="B2350">
        <v>20771.74381</v>
      </c>
      <c r="C2350">
        <v>20771.74381</v>
      </c>
      <c r="D2350">
        <v>0</v>
      </c>
      <c r="E2350">
        <v>24.50167244</v>
      </c>
      <c r="F2350" s="1">
        <v>0.111</v>
      </c>
      <c r="H2350">
        <v>4534</v>
      </c>
      <c r="I2350" t="str">
        <f t="shared" si="72"/>
        <v>YES</v>
      </c>
      <c r="J2350" t="s">
        <v>2356</v>
      </c>
      <c r="K2350">
        <v>698413.17183300003</v>
      </c>
      <c r="L2350">
        <f t="shared" si="73"/>
        <v>0</v>
      </c>
    </row>
    <row r="2351" spans="1:12" x14ac:dyDescent="0.25">
      <c r="A2351">
        <v>4535</v>
      </c>
      <c r="B2351">
        <v>41829.46632</v>
      </c>
      <c r="C2351">
        <v>41829.46632</v>
      </c>
      <c r="D2351">
        <v>0</v>
      </c>
      <c r="E2351">
        <v>1355.401922</v>
      </c>
      <c r="F2351" s="1">
        <v>12.3</v>
      </c>
      <c r="H2351">
        <v>4535</v>
      </c>
      <c r="I2351" t="str">
        <f t="shared" si="72"/>
        <v>YES</v>
      </c>
      <c r="J2351" t="s">
        <v>2357</v>
      </c>
      <c r="K2351">
        <v>531231.49843599997</v>
      </c>
      <c r="L2351">
        <f t="shared" si="73"/>
        <v>0</v>
      </c>
    </row>
    <row r="2352" spans="1:12" x14ac:dyDescent="0.25">
      <c r="A2352">
        <v>4536</v>
      </c>
      <c r="B2352">
        <v>29726.974460000001</v>
      </c>
      <c r="C2352">
        <v>29726.974460000001</v>
      </c>
      <c r="D2352">
        <v>0</v>
      </c>
      <c r="E2352">
        <v>426.91175129999999</v>
      </c>
      <c r="F2352" s="1">
        <v>2.76</v>
      </c>
      <c r="H2352">
        <v>4536</v>
      </c>
      <c r="I2352" t="str">
        <f t="shared" ref="I2352:I2415" si="74">IF(A2352=H2352,"YES","NO")</f>
        <v>YES</v>
      </c>
      <c r="J2352" t="s">
        <v>2358</v>
      </c>
      <c r="K2352">
        <v>220941.72362199999</v>
      </c>
      <c r="L2352">
        <f t="shared" si="73"/>
        <v>0</v>
      </c>
    </row>
    <row r="2353" spans="1:12" x14ac:dyDescent="0.25">
      <c r="A2353">
        <v>4537</v>
      </c>
      <c r="B2353">
        <v>12498.28837</v>
      </c>
      <c r="C2353">
        <v>12498.28837</v>
      </c>
      <c r="D2353">
        <v>0</v>
      </c>
      <c r="E2353">
        <v>2815.610518</v>
      </c>
      <c r="F2353" s="1">
        <v>7.66</v>
      </c>
      <c r="H2353">
        <v>4537</v>
      </c>
      <c r="I2353" t="str">
        <f t="shared" si="74"/>
        <v>YES</v>
      </c>
      <c r="J2353" t="s">
        <v>2359</v>
      </c>
      <c r="K2353">
        <v>846679.02360800002</v>
      </c>
      <c r="L2353">
        <f t="shared" si="73"/>
        <v>0</v>
      </c>
    </row>
    <row r="2354" spans="1:12" x14ac:dyDescent="0.25">
      <c r="A2354">
        <v>4538</v>
      </c>
      <c r="B2354">
        <v>12303.95666</v>
      </c>
      <c r="C2354">
        <v>12303.95666</v>
      </c>
      <c r="D2354">
        <v>0</v>
      </c>
      <c r="E2354">
        <v>1059.229736</v>
      </c>
      <c r="F2354" s="1">
        <v>2.84</v>
      </c>
      <c r="H2354">
        <v>4538</v>
      </c>
      <c r="I2354" t="str">
        <f t="shared" si="74"/>
        <v>YES</v>
      </c>
      <c r="J2354" t="s">
        <v>2360</v>
      </c>
      <c r="K2354">
        <v>398749.65479399997</v>
      </c>
      <c r="L2354">
        <f t="shared" si="73"/>
        <v>0</v>
      </c>
    </row>
    <row r="2355" spans="1:12" x14ac:dyDescent="0.25">
      <c r="A2355">
        <v>4539</v>
      </c>
      <c r="B2355">
        <v>12623.65105</v>
      </c>
      <c r="C2355">
        <v>12623.65105</v>
      </c>
      <c r="D2355">
        <v>0</v>
      </c>
      <c r="E2355">
        <v>3895.8786129999999</v>
      </c>
      <c r="F2355" s="1">
        <v>10.7</v>
      </c>
      <c r="H2355">
        <v>4539</v>
      </c>
      <c r="I2355" t="str">
        <f t="shared" si="74"/>
        <v>YES</v>
      </c>
      <c r="J2355" t="s">
        <v>2361</v>
      </c>
      <c r="K2355">
        <v>1495791.51462</v>
      </c>
      <c r="L2355">
        <f t="shared" si="73"/>
        <v>0</v>
      </c>
    </row>
    <row r="2356" spans="1:12" x14ac:dyDescent="0.25">
      <c r="A2356">
        <v>4540</v>
      </c>
      <c r="B2356">
        <v>9063.8867699999992</v>
      </c>
      <c r="C2356">
        <v>9063.8867699999992</v>
      </c>
      <c r="D2356">
        <v>0</v>
      </c>
      <c r="E2356">
        <v>1981.429668</v>
      </c>
      <c r="F2356" s="1">
        <v>3.91</v>
      </c>
      <c r="H2356">
        <v>4540</v>
      </c>
      <c r="I2356" t="str">
        <f t="shared" si="74"/>
        <v>YES</v>
      </c>
      <c r="J2356" t="s">
        <v>2362</v>
      </c>
      <c r="K2356">
        <v>723601.00910699996</v>
      </c>
      <c r="L2356">
        <f t="shared" si="73"/>
        <v>0</v>
      </c>
    </row>
    <row r="2357" spans="1:12" x14ac:dyDescent="0.25">
      <c r="A2357">
        <v>4541</v>
      </c>
      <c r="B2357">
        <v>5419.3356329999997</v>
      </c>
      <c r="C2357">
        <v>5419.3356329999997</v>
      </c>
      <c r="D2357">
        <v>0</v>
      </c>
      <c r="E2357">
        <v>2145.758288</v>
      </c>
      <c r="F2357" s="1">
        <v>2.5299999999999998</v>
      </c>
      <c r="H2357">
        <v>4541</v>
      </c>
      <c r="I2357" t="str">
        <f t="shared" si="74"/>
        <v>YES</v>
      </c>
      <c r="J2357" t="s">
        <v>2363</v>
      </c>
      <c r="K2357">
        <v>980181.41260899999</v>
      </c>
      <c r="L2357">
        <f t="shared" si="73"/>
        <v>0</v>
      </c>
    </row>
    <row r="2358" spans="1:12" x14ac:dyDescent="0.25">
      <c r="A2358">
        <v>4542</v>
      </c>
      <c r="B2358">
        <v>8735.7975449999994</v>
      </c>
      <c r="C2358">
        <v>8735.7975449999994</v>
      </c>
      <c r="D2358">
        <v>0</v>
      </c>
      <c r="E2358">
        <v>1514.060039</v>
      </c>
      <c r="F2358" s="1">
        <v>2.88</v>
      </c>
      <c r="H2358">
        <v>4542</v>
      </c>
      <c r="I2358" t="str">
        <f t="shared" si="74"/>
        <v>YES</v>
      </c>
      <c r="J2358" t="s">
        <v>2364</v>
      </c>
      <c r="K2358">
        <v>950670.08287799999</v>
      </c>
      <c r="L2358">
        <f t="shared" si="73"/>
        <v>0</v>
      </c>
    </row>
    <row r="2359" spans="1:12" x14ac:dyDescent="0.25">
      <c r="A2359">
        <v>4543</v>
      </c>
      <c r="B2359">
        <v>61450.955540000003</v>
      </c>
      <c r="C2359">
        <v>61450.955540000003</v>
      </c>
      <c r="D2359">
        <v>0</v>
      </c>
      <c r="E2359">
        <v>0.84935220700000003</v>
      </c>
      <c r="F2359" s="1">
        <v>1.14E-2</v>
      </c>
      <c r="H2359">
        <v>4543</v>
      </c>
      <c r="I2359" t="str">
        <f t="shared" si="74"/>
        <v>YES</v>
      </c>
      <c r="J2359" t="s">
        <v>2365</v>
      </c>
      <c r="K2359">
        <v>278547.35534399998</v>
      </c>
      <c r="L2359">
        <f t="shared" si="73"/>
        <v>0</v>
      </c>
    </row>
    <row r="2360" spans="1:12" x14ac:dyDescent="0.25">
      <c r="A2360">
        <v>4544</v>
      </c>
      <c r="B2360">
        <v>27078.796979999999</v>
      </c>
      <c r="C2360">
        <v>27078.796979999999</v>
      </c>
      <c r="D2360">
        <v>0</v>
      </c>
      <c r="E2360">
        <v>418.39581879999997</v>
      </c>
      <c r="F2360" s="1">
        <v>2.4700000000000002</v>
      </c>
      <c r="H2360">
        <v>4544</v>
      </c>
      <c r="I2360" t="str">
        <f t="shared" si="74"/>
        <v>YES</v>
      </c>
      <c r="J2360" t="s">
        <v>2366</v>
      </c>
      <c r="K2360">
        <v>193468.647295</v>
      </c>
      <c r="L2360">
        <f t="shared" si="73"/>
        <v>0</v>
      </c>
    </row>
    <row r="2361" spans="1:12" x14ac:dyDescent="0.25">
      <c r="A2361">
        <v>4545</v>
      </c>
      <c r="B2361">
        <v>3405.052052</v>
      </c>
      <c r="C2361">
        <v>3405.052052</v>
      </c>
      <c r="D2361">
        <v>0</v>
      </c>
      <c r="E2361">
        <v>3780.9582879999998</v>
      </c>
      <c r="F2361" s="1">
        <v>2.8</v>
      </c>
      <c r="H2361">
        <v>4545</v>
      </c>
      <c r="I2361" t="str">
        <f t="shared" si="74"/>
        <v>YES</v>
      </c>
      <c r="J2361" t="s">
        <v>2367</v>
      </c>
      <c r="K2361">
        <v>2724073.9452599999</v>
      </c>
      <c r="L2361">
        <f t="shared" si="73"/>
        <v>0</v>
      </c>
    </row>
    <row r="2362" spans="1:12" x14ac:dyDescent="0.25">
      <c r="A2362">
        <v>4546</v>
      </c>
      <c r="B2362">
        <v>4188.8048570000001</v>
      </c>
      <c r="C2362">
        <v>4188.8048570000001</v>
      </c>
      <c r="D2362">
        <v>0</v>
      </c>
      <c r="E2362">
        <v>2436.4290679999999</v>
      </c>
      <c r="F2362" s="1">
        <v>2.2200000000000002</v>
      </c>
      <c r="H2362">
        <v>4546</v>
      </c>
      <c r="I2362" t="str">
        <f t="shared" si="74"/>
        <v>YES</v>
      </c>
      <c r="J2362" t="s">
        <v>2368</v>
      </c>
      <c r="K2362">
        <v>796294.92796300002</v>
      </c>
      <c r="L2362">
        <f t="shared" si="73"/>
        <v>0</v>
      </c>
    </row>
    <row r="2363" spans="1:12" x14ac:dyDescent="0.25">
      <c r="A2363">
        <v>4547</v>
      </c>
      <c r="B2363">
        <v>5178.9698500000004</v>
      </c>
      <c r="C2363">
        <v>5178.9698500000004</v>
      </c>
      <c r="D2363">
        <v>0</v>
      </c>
      <c r="E2363">
        <v>2518.432789</v>
      </c>
      <c r="F2363" s="1">
        <v>2.84</v>
      </c>
      <c r="H2363">
        <v>4547</v>
      </c>
      <c r="I2363" t="str">
        <f t="shared" si="74"/>
        <v>YES</v>
      </c>
      <c r="J2363" t="s">
        <v>2369</v>
      </c>
      <c r="K2363">
        <v>1044123.13453</v>
      </c>
      <c r="L2363">
        <f t="shared" si="73"/>
        <v>0</v>
      </c>
    </row>
    <row r="2364" spans="1:12" x14ac:dyDescent="0.25">
      <c r="A2364">
        <v>4548</v>
      </c>
      <c r="B2364">
        <v>9782.8340219999991</v>
      </c>
      <c r="C2364">
        <v>9782.8340219999991</v>
      </c>
      <c r="D2364">
        <v>0</v>
      </c>
      <c r="E2364">
        <v>1741.309563</v>
      </c>
      <c r="F2364" s="1">
        <v>3.71</v>
      </c>
      <c r="H2364">
        <v>4548</v>
      </c>
      <c r="I2364" t="str">
        <f t="shared" si="74"/>
        <v>YES</v>
      </c>
      <c r="J2364" t="s">
        <v>2370</v>
      </c>
      <c r="K2364">
        <v>794979.99577499996</v>
      </c>
      <c r="L2364">
        <f t="shared" si="73"/>
        <v>0</v>
      </c>
    </row>
    <row r="2365" spans="1:12" x14ac:dyDescent="0.25">
      <c r="A2365">
        <v>4549</v>
      </c>
      <c r="B2365">
        <v>9981.3161849999997</v>
      </c>
      <c r="C2365">
        <v>9981.3161849999997</v>
      </c>
      <c r="D2365">
        <v>0</v>
      </c>
      <c r="E2365">
        <v>3640.8920899999998</v>
      </c>
      <c r="F2365" s="1">
        <v>7.91</v>
      </c>
      <c r="H2365">
        <v>4549</v>
      </c>
      <c r="I2365" t="str">
        <f t="shared" si="74"/>
        <v>YES</v>
      </c>
      <c r="J2365" t="s">
        <v>2371</v>
      </c>
      <c r="K2365">
        <v>1554428.4231799999</v>
      </c>
      <c r="L2365">
        <f t="shared" si="73"/>
        <v>0</v>
      </c>
    </row>
    <row r="2366" spans="1:12" x14ac:dyDescent="0.25">
      <c r="A2366">
        <v>4550</v>
      </c>
      <c r="B2366">
        <v>15078.507540000001</v>
      </c>
      <c r="C2366">
        <v>15078.507540000001</v>
      </c>
      <c r="D2366">
        <v>0</v>
      </c>
      <c r="E2366">
        <v>3239.8299080000002</v>
      </c>
      <c r="F2366" s="1">
        <v>10.6</v>
      </c>
      <c r="H2366">
        <v>4550</v>
      </c>
      <c r="I2366" t="str">
        <f t="shared" si="74"/>
        <v>YES</v>
      </c>
      <c r="J2366" t="s">
        <v>2372</v>
      </c>
      <c r="K2366">
        <v>835671.99421200005</v>
      </c>
      <c r="L2366">
        <f t="shared" si="73"/>
        <v>0</v>
      </c>
    </row>
    <row r="2367" spans="1:12" x14ac:dyDescent="0.25">
      <c r="A2367">
        <v>4551</v>
      </c>
      <c r="B2367">
        <v>17443.756819999999</v>
      </c>
      <c r="C2367">
        <v>17443.756819999999</v>
      </c>
      <c r="D2367">
        <v>0</v>
      </c>
      <c r="E2367">
        <v>1576.2613690000001</v>
      </c>
      <c r="F2367" s="1">
        <v>5.99</v>
      </c>
      <c r="H2367">
        <v>4551</v>
      </c>
      <c r="I2367" t="str">
        <f t="shared" si="74"/>
        <v>YES</v>
      </c>
      <c r="J2367" t="s">
        <v>2373</v>
      </c>
      <c r="K2367">
        <v>476782.43271600001</v>
      </c>
      <c r="L2367">
        <f t="shared" si="73"/>
        <v>0</v>
      </c>
    </row>
    <row r="2368" spans="1:12" x14ac:dyDescent="0.25">
      <c r="A2368">
        <v>4552</v>
      </c>
      <c r="B2368">
        <v>7612.8579120000004</v>
      </c>
      <c r="C2368">
        <v>7612.8579120000004</v>
      </c>
      <c r="D2368">
        <v>0</v>
      </c>
      <c r="E2368">
        <v>2227.378044</v>
      </c>
      <c r="F2368" s="1">
        <v>3.69</v>
      </c>
      <c r="H2368">
        <v>4552</v>
      </c>
      <c r="I2368" t="str">
        <f t="shared" si="74"/>
        <v>YES</v>
      </c>
      <c r="J2368" t="s">
        <v>2374</v>
      </c>
      <c r="K2368">
        <v>747700.59702600003</v>
      </c>
      <c r="L2368">
        <f t="shared" si="73"/>
        <v>0</v>
      </c>
    </row>
    <row r="2369" spans="1:12" x14ac:dyDescent="0.25">
      <c r="A2369">
        <v>4553</v>
      </c>
      <c r="B2369">
        <v>16672.708320000002</v>
      </c>
      <c r="C2369">
        <v>16672.708320000002</v>
      </c>
      <c r="D2369">
        <v>0</v>
      </c>
      <c r="E2369">
        <v>1518.73126</v>
      </c>
      <c r="F2369" s="1">
        <v>5.51</v>
      </c>
      <c r="H2369">
        <v>4553</v>
      </c>
      <c r="I2369" t="str">
        <f t="shared" si="74"/>
        <v>YES</v>
      </c>
      <c r="J2369" t="s">
        <v>2375</v>
      </c>
      <c r="K2369">
        <v>565146.38476100005</v>
      </c>
      <c r="L2369">
        <f t="shared" si="73"/>
        <v>0</v>
      </c>
    </row>
    <row r="2370" spans="1:12" x14ac:dyDescent="0.25">
      <c r="A2370">
        <v>4554</v>
      </c>
      <c r="B2370">
        <v>23222.765200000002</v>
      </c>
      <c r="C2370">
        <v>23222.765200000002</v>
      </c>
      <c r="D2370">
        <v>0</v>
      </c>
      <c r="E2370">
        <v>1474.8636489999999</v>
      </c>
      <c r="F2370" s="1">
        <v>7.46</v>
      </c>
      <c r="H2370">
        <v>4554</v>
      </c>
      <c r="I2370" t="str">
        <f t="shared" si="74"/>
        <v>YES</v>
      </c>
      <c r="J2370" t="s">
        <v>2376</v>
      </c>
      <c r="K2370">
        <v>315337.024546</v>
      </c>
      <c r="L2370">
        <f t="shared" si="73"/>
        <v>0</v>
      </c>
    </row>
    <row r="2371" spans="1:12" x14ac:dyDescent="0.25">
      <c r="A2371">
        <v>4555</v>
      </c>
      <c r="B2371">
        <v>17327.19169</v>
      </c>
      <c r="C2371">
        <v>17327.19169</v>
      </c>
      <c r="D2371">
        <v>0</v>
      </c>
      <c r="E2371">
        <v>815.78151790000004</v>
      </c>
      <c r="F2371" s="1">
        <v>3.08</v>
      </c>
      <c r="H2371">
        <v>4555</v>
      </c>
      <c r="I2371" t="str">
        <f t="shared" si="74"/>
        <v>YES</v>
      </c>
      <c r="J2371" t="s">
        <v>2377</v>
      </c>
      <c r="K2371">
        <v>481213.55104799999</v>
      </c>
      <c r="L2371">
        <f t="shared" ref="L2371:L2434" si="75">EXP(0.2052)*K2371*(D2371/C2371)</f>
        <v>0</v>
      </c>
    </row>
    <row r="2372" spans="1:12" x14ac:dyDescent="0.25">
      <c r="A2372">
        <v>4556</v>
      </c>
      <c r="B2372">
        <v>229.11947520000001</v>
      </c>
      <c r="C2372">
        <v>229.11947520000001</v>
      </c>
      <c r="D2372">
        <v>0</v>
      </c>
      <c r="E2372">
        <v>1495.307065</v>
      </c>
      <c r="F2372" s="1">
        <v>7.46E-2</v>
      </c>
      <c r="H2372">
        <v>4556</v>
      </c>
      <c r="I2372" t="str">
        <f t="shared" si="74"/>
        <v>YES</v>
      </c>
      <c r="J2372" t="s">
        <v>2378</v>
      </c>
      <c r="K2372">
        <v>2775597.81464</v>
      </c>
      <c r="L2372">
        <f t="shared" si="75"/>
        <v>0</v>
      </c>
    </row>
    <row r="2373" spans="1:12" x14ac:dyDescent="0.25">
      <c r="A2373">
        <v>4557</v>
      </c>
      <c r="B2373">
        <v>783.48475499999995</v>
      </c>
      <c r="C2373">
        <v>783.48475499999995</v>
      </c>
      <c r="D2373">
        <v>0</v>
      </c>
      <c r="E2373">
        <v>2512.6622499999999</v>
      </c>
      <c r="F2373" s="1">
        <v>0.42899999999999999</v>
      </c>
      <c r="H2373">
        <v>4557</v>
      </c>
      <c r="I2373" t="str">
        <f t="shared" si="74"/>
        <v>YES</v>
      </c>
      <c r="J2373" t="s">
        <v>2379</v>
      </c>
      <c r="K2373">
        <v>3031859.02825</v>
      </c>
      <c r="L2373">
        <f t="shared" si="75"/>
        <v>0</v>
      </c>
    </row>
    <row r="2374" spans="1:12" x14ac:dyDescent="0.25">
      <c r="A2374">
        <v>4558</v>
      </c>
      <c r="B2374">
        <v>1380.445502</v>
      </c>
      <c r="C2374">
        <v>1380.445502</v>
      </c>
      <c r="D2374">
        <v>0</v>
      </c>
      <c r="E2374">
        <v>2493.0306850000002</v>
      </c>
      <c r="F2374" s="1">
        <v>0.749</v>
      </c>
      <c r="H2374">
        <v>4558</v>
      </c>
      <c r="I2374" t="str">
        <f t="shared" si="74"/>
        <v>YES</v>
      </c>
      <c r="J2374" t="s">
        <v>2380</v>
      </c>
      <c r="K2374">
        <v>1410551.9680999999</v>
      </c>
      <c r="L2374">
        <f t="shared" si="75"/>
        <v>0</v>
      </c>
    </row>
    <row r="2375" spans="1:12" x14ac:dyDescent="0.25">
      <c r="A2375">
        <v>4559</v>
      </c>
      <c r="B2375">
        <v>47350.430809999998</v>
      </c>
      <c r="C2375">
        <v>47350.430809999998</v>
      </c>
      <c r="D2375">
        <v>0</v>
      </c>
      <c r="E2375" s="1">
        <v>9.9999999999999995E-7</v>
      </c>
      <c r="F2375" s="1">
        <v>1.03E-8</v>
      </c>
      <c r="H2375">
        <v>4559</v>
      </c>
      <c r="I2375" t="str">
        <f t="shared" si="74"/>
        <v>YES</v>
      </c>
      <c r="J2375" t="s">
        <v>2381</v>
      </c>
      <c r="K2375">
        <v>195221.141431</v>
      </c>
      <c r="L2375">
        <f t="shared" si="75"/>
        <v>0</v>
      </c>
    </row>
    <row r="2376" spans="1:12" x14ac:dyDescent="0.25">
      <c r="A2376">
        <v>4560</v>
      </c>
      <c r="B2376">
        <v>30549.53946</v>
      </c>
      <c r="C2376">
        <v>30549.53946</v>
      </c>
      <c r="D2376">
        <v>0</v>
      </c>
      <c r="E2376">
        <v>13.70968077</v>
      </c>
      <c r="F2376" s="1">
        <v>9.1200000000000003E-2</v>
      </c>
      <c r="H2376">
        <v>4560</v>
      </c>
      <c r="I2376" t="str">
        <f t="shared" si="74"/>
        <v>YES</v>
      </c>
      <c r="J2376" t="s">
        <v>2382</v>
      </c>
      <c r="K2376">
        <v>273129.32504600001</v>
      </c>
      <c r="L2376">
        <f t="shared" si="75"/>
        <v>0</v>
      </c>
    </row>
    <row r="2377" spans="1:12" x14ac:dyDescent="0.25">
      <c r="A2377">
        <v>4561</v>
      </c>
      <c r="B2377">
        <v>7042.4637720000001</v>
      </c>
      <c r="C2377">
        <v>7042.4637720000001</v>
      </c>
      <c r="D2377">
        <v>0</v>
      </c>
      <c r="E2377">
        <v>3014.2406449999999</v>
      </c>
      <c r="F2377" s="1">
        <v>4.62</v>
      </c>
      <c r="H2377">
        <v>4561</v>
      </c>
      <c r="I2377" t="str">
        <f t="shared" si="74"/>
        <v>YES</v>
      </c>
      <c r="J2377" t="s">
        <v>2383</v>
      </c>
      <c r="K2377">
        <v>910244.62588299997</v>
      </c>
      <c r="L2377">
        <f t="shared" si="75"/>
        <v>0</v>
      </c>
    </row>
    <row r="2378" spans="1:12" x14ac:dyDescent="0.25">
      <c r="A2378">
        <v>4562</v>
      </c>
      <c r="B2378">
        <v>2567.1667360000001</v>
      </c>
      <c r="C2378">
        <v>2567.1667360000001</v>
      </c>
      <c r="D2378">
        <v>0</v>
      </c>
      <c r="E2378">
        <v>5016.98009</v>
      </c>
      <c r="F2378" s="1">
        <v>2.8</v>
      </c>
      <c r="H2378">
        <v>4562</v>
      </c>
      <c r="I2378" t="str">
        <f t="shared" si="74"/>
        <v>YES</v>
      </c>
      <c r="J2378" t="s">
        <v>2384</v>
      </c>
      <c r="K2378">
        <v>1745451.52963</v>
      </c>
      <c r="L2378">
        <f t="shared" si="75"/>
        <v>0</v>
      </c>
    </row>
    <row r="2379" spans="1:12" x14ac:dyDescent="0.25">
      <c r="A2379">
        <v>4563</v>
      </c>
      <c r="B2379">
        <v>3482.2269670000001</v>
      </c>
      <c r="C2379">
        <v>3482.2269670000001</v>
      </c>
      <c r="D2379">
        <v>0</v>
      </c>
      <c r="E2379">
        <v>4006.0768069999999</v>
      </c>
      <c r="F2379" s="1">
        <v>3.04</v>
      </c>
      <c r="H2379">
        <v>4563</v>
      </c>
      <c r="I2379" t="str">
        <f t="shared" si="74"/>
        <v>YES</v>
      </c>
      <c r="J2379" t="s">
        <v>2385</v>
      </c>
      <c r="K2379">
        <v>1164604.5067499999</v>
      </c>
      <c r="L2379">
        <f t="shared" si="75"/>
        <v>0</v>
      </c>
    </row>
    <row r="2380" spans="1:12" x14ac:dyDescent="0.25">
      <c r="A2380">
        <v>4564</v>
      </c>
      <c r="B2380">
        <v>13471.2659</v>
      </c>
      <c r="C2380">
        <v>13471.2659</v>
      </c>
      <c r="D2380">
        <v>0</v>
      </c>
      <c r="E2380">
        <v>2797.222561</v>
      </c>
      <c r="F2380" s="1">
        <v>8.1999999999999993</v>
      </c>
      <c r="H2380">
        <v>4564</v>
      </c>
      <c r="I2380" t="str">
        <f t="shared" si="74"/>
        <v>YES</v>
      </c>
      <c r="J2380" t="s">
        <v>2386</v>
      </c>
      <c r="K2380">
        <v>851808.03003599995</v>
      </c>
      <c r="L2380">
        <f t="shared" si="75"/>
        <v>0</v>
      </c>
    </row>
    <row r="2381" spans="1:12" x14ac:dyDescent="0.25">
      <c r="A2381">
        <v>4565</v>
      </c>
      <c r="B2381">
        <v>16072.769490000001</v>
      </c>
      <c r="C2381">
        <v>16072.769490000001</v>
      </c>
      <c r="D2381">
        <v>0</v>
      </c>
      <c r="E2381">
        <v>1816.110549</v>
      </c>
      <c r="F2381" s="1">
        <v>6.36</v>
      </c>
      <c r="H2381">
        <v>4565</v>
      </c>
      <c r="I2381" t="str">
        <f t="shared" si="74"/>
        <v>YES</v>
      </c>
      <c r="J2381" t="s">
        <v>2387</v>
      </c>
      <c r="K2381">
        <v>522006.40327900002</v>
      </c>
      <c r="L2381">
        <f t="shared" si="75"/>
        <v>0</v>
      </c>
    </row>
    <row r="2382" spans="1:12" x14ac:dyDescent="0.25">
      <c r="A2382">
        <v>4566</v>
      </c>
      <c r="B2382">
        <v>2754.6487940000002</v>
      </c>
      <c r="C2382">
        <v>2754.6487940000002</v>
      </c>
      <c r="D2382">
        <v>0</v>
      </c>
      <c r="E2382">
        <v>3171.3209430000002</v>
      </c>
      <c r="F2382" s="1">
        <v>1.9</v>
      </c>
      <c r="H2382">
        <v>4566</v>
      </c>
      <c r="I2382" t="str">
        <f t="shared" si="74"/>
        <v>YES</v>
      </c>
      <c r="J2382" t="s">
        <v>2388</v>
      </c>
      <c r="K2382">
        <v>1054874.20022</v>
      </c>
      <c r="L2382">
        <f t="shared" si="75"/>
        <v>0</v>
      </c>
    </row>
    <row r="2383" spans="1:12" x14ac:dyDescent="0.25">
      <c r="A2383">
        <v>4567</v>
      </c>
      <c r="B2383">
        <v>8626.4835750000002</v>
      </c>
      <c r="C2383">
        <v>8626.4835750000002</v>
      </c>
      <c r="D2383">
        <v>0</v>
      </c>
      <c r="E2383">
        <v>1667.8446630000001</v>
      </c>
      <c r="F2383" s="1">
        <v>3.13</v>
      </c>
      <c r="H2383">
        <v>4567</v>
      </c>
      <c r="I2383" t="str">
        <f t="shared" si="74"/>
        <v>YES</v>
      </c>
      <c r="J2383" t="s">
        <v>2389</v>
      </c>
      <c r="K2383">
        <v>919198.46842499997</v>
      </c>
      <c r="L2383">
        <f t="shared" si="75"/>
        <v>0</v>
      </c>
    </row>
    <row r="2384" spans="1:12" x14ac:dyDescent="0.25">
      <c r="A2384">
        <v>4568</v>
      </c>
      <c r="B2384">
        <v>1738.544682</v>
      </c>
      <c r="C2384">
        <v>1738.544682</v>
      </c>
      <c r="D2384">
        <v>0</v>
      </c>
      <c r="E2384">
        <v>796.52055510000002</v>
      </c>
      <c r="F2384" s="1">
        <v>0.30199999999999999</v>
      </c>
      <c r="H2384">
        <v>4568</v>
      </c>
      <c r="I2384" t="str">
        <f t="shared" si="74"/>
        <v>YES</v>
      </c>
      <c r="J2384" t="s">
        <v>2390</v>
      </c>
      <c r="K2384">
        <v>684623.96254099999</v>
      </c>
      <c r="L2384">
        <f t="shared" si="75"/>
        <v>0</v>
      </c>
    </row>
    <row r="2385" spans="1:12" x14ac:dyDescent="0.25">
      <c r="A2385">
        <v>4569</v>
      </c>
      <c r="B2385">
        <v>10792.03564</v>
      </c>
      <c r="C2385">
        <v>10792.03564</v>
      </c>
      <c r="D2385">
        <v>0</v>
      </c>
      <c r="E2385">
        <v>2750</v>
      </c>
      <c r="F2385" s="1">
        <v>6.46</v>
      </c>
      <c r="H2385">
        <v>4569</v>
      </c>
      <c r="I2385" t="str">
        <f t="shared" si="74"/>
        <v>YES</v>
      </c>
      <c r="J2385" t="s">
        <v>2391</v>
      </c>
      <c r="K2385">
        <v>790708.86609100003</v>
      </c>
      <c r="L2385">
        <f t="shared" si="75"/>
        <v>0</v>
      </c>
    </row>
    <row r="2386" spans="1:12" x14ac:dyDescent="0.25">
      <c r="A2386">
        <v>4570</v>
      </c>
      <c r="B2386">
        <v>13067.955889999999</v>
      </c>
      <c r="C2386">
        <v>13067.955889999999</v>
      </c>
      <c r="D2386">
        <v>0</v>
      </c>
      <c r="E2386">
        <v>2693</v>
      </c>
      <c r="F2386" s="1">
        <v>7.66</v>
      </c>
      <c r="H2386">
        <v>4570</v>
      </c>
      <c r="I2386" t="str">
        <f t="shared" si="74"/>
        <v>YES</v>
      </c>
      <c r="J2386" t="s">
        <v>2392</v>
      </c>
      <c r="K2386">
        <v>842500.49207100004</v>
      </c>
      <c r="L2386">
        <f t="shared" si="75"/>
        <v>0</v>
      </c>
    </row>
    <row r="2387" spans="1:12" x14ac:dyDescent="0.25">
      <c r="A2387">
        <v>4571</v>
      </c>
      <c r="B2387">
        <v>46219.118060000001</v>
      </c>
      <c r="C2387">
        <v>46219.118060000001</v>
      </c>
      <c r="D2387">
        <v>0</v>
      </c>
      <c r="E2387">
        <v>18.716718920000002</v>
      </c>
      <c r="F2387" s="1">
        <v>0.188</v>
      </c>
      <c r="H2387">
        <v>4571</v>
      </c>
      <c r="I2387" t="str">
        <f t="shared" si="74"/>
        <v>YES</v>
      </c>
      <c r="J2387" t="s">
        <v>2393</v>
      </c>
      <c r="K2387">
        <v>176958.82941100001</v>
      </c>
      <c r="L2387">
        <f t="shared" si="75"/>
        <v>0</v>
      </c>
    </row>
    <row r="2388" spans="1:12" x14ac:dyDescent="0.25">
      <c r="A2388">
        <v>4572</v>
      </c>
      <c r="B2388">
        <v>1075.908025</v>
      </c>
      <c r="C2388">
        <v>1075.908025</v>
      </c>
      <c r="D2388">
        <v>0</v>
      </c>
      <c r="E2388">
        <v>232.71530340000001</v>
      </c>
      <c r="F2388" s="1">
        <v>5.45E-2</v>
      </c>
      <c r="H2388">
        <v>4572</v>
      </c>
      <c r="I2388" t="str">
        <f t="shared" si="74"/>
        <v>YES</v>
      </c>
      <c r="J2388" t="s">
        <v>2394</v>
      </c>
      <c r="K2388">
        <v>384030.60157399997</v>
      </c>
      <c r="L2388">
        <f t="shared" si="75"/>
        <v>0</v>
      </c>
    </row>
    <row r="2389" spans="1:12" x14ac:dyDescent="0.25">
      <c r="A2389">
        <v>4573</v>
      </c>
      <c r="B2389">
        <v>33248.81854</v>
      </c>
      <c r="C2389">
        <v>33248.81854</v>
      </c>
      <c r="D2389">
        <v>0</v>
      </c>
      <c r="E2389">
        <v>881.31391989999997</v>
      </c>
      <c r="F2389" s="1">
        <v>6.38</v>
      </c>
      <c r="H2389">
        <v>4573</v>
      </c>
      <c r="I2389" t="str">
        <f t="shared" si="74"/>
        <v>YES</v>
      </c>
      <c r="J2389" t="s">
        <v>2395</v>
      </c>
      <c r="K2389">
        <v>224369.40310699999</v>
      </c>
      <c r="L2389">
        <f t="shared" si="75"/>
        <v>0</v>
      </c>
    </row>
    <row r="2390" spans="1:12" x14ac:dyDescent="0.25">
      <c r="A2390">
        <v>4574</v>
      </c>
      <c r="B2390">
        <v>36542.601340000001</v>
      </c>
      <c r="C2390">
        <v>36542.601340000001</v>
      </c>
      <c r="D2390">
        <v>0</v>
      </c>
      <c r="E2390">
        <v>539.80481099999997</v>
      </c>
      <c r="F2390" s="1">
        <v>4.29</v>
      </c>
      <c r="H2390">
        <v>4574</v>
      </c>
      <c r="I2390" t="str">
        <f t="shared" si="74"/>
        <v>YES</v>
      </c>
      <c r="J2390" t="s">
        <v>2396</v>
      </c>
      <c r="K2390">
        <v>281169.33024400001</v>
      </c>
      <c r="L2390">
        <f t="shared" si="75"/>
        <v>0</v>
      </c>
    </row>
    <row r="2391" spans="1:12" x14ac:dyDescent="0.25">
      <c r="A2391">
        <v>4575</v>
      </c>
      <c r="B2391">
        <v>27890.06177</v>
      </c>
      <c r="C2391">
        <v>27890.06177</v>
      </c>
      <c r="D2391">
        <v>0</v>
      </c>
      <c r="E2391">
        <v>1571.0991079999999</v>
      </c>
      <c r="F2391" s="1">
        <v>9.5399999999999991</v>
      </c>
      <c r="H2391">
        <v>4575</v>
      </c>
      <c r="I2391" t="str">
        <f t="shared" si="74"/>
        <v>YES</v>
      </c>
      <c r="J2391" t="s">
        <v>2397</v>
      </c>
      <c r="K2391">
        <v>752717.62114599999</v>
      </c>
      <c r="L2391">
        <f t="shared" si="75"/>
        <v>0</v>
      </c>
    </row>
    <row r="2392" spans="1:12" x14ac:dyDescent="0.25">
      <c r="A2392">
        <v>4576</v>
      </c>
      <c r="B2392">
        <v>3300.5372969999999</v>
      </c>
      <c r="C2392">
        <v>3300.5372969999999</v>
      </c>
      <c r="D2392">
        <v>0</v>
      </c>
      <c r="E2392">
        <v>2588.3619250000002</v>
      </c>
      <c r="F2392" s="1">
        <v>1.86</v>
      </c>
      <c r="H2392">
        <v>4576</v>
      </c>
      <c r="I2392" t="str">
        <f t="shared" si="74"/>
        <v>YES</v>
      </c>
      <c r="J2392" t="s">
        <v>2398</v>
      </c>
      <c r="K2392">
        <v>1675044.8417799999</v>
      </c>
      <c r="L2392">
        <f t="shared" si="75"/>
        <v>0</v>
      </c>
    </row>
    <row r="2393" spans="1:12" x14ac:dyDescent="0.25">
      <c r="A2393">
        <v>4577</v>
      </c>
      <c r="B2393">
        <v>3496.0328749999999</v>
      </c>
      <c r="C2393">
        <v>3496.0328749999999</v>
      </c>
      <c r="D2393">
        <v>0</v>
      </c>
      <c r="E2393">
        <v>2882.3839240000002</v>
      </c>
      <c r="F2393" s="1">
        <v>2.19</v>
      </c>
      <c r="H2393">
        <v>4577</v>
      </c>
      <c r="I2393" t="str">
        <f t="shared" si="74"/>
        <v>YES</v>
      </c>
      <c r="J2393" t="s">
        <v>2399</v>
      </c>
      <c r="K2393">
        <v>1826756.7946299999</v>
      </c>
      <c r="L2393">
        <f t="shared" si="75"/>
        <v>0</v>
      </c>
    </row>
    <row r="2394" spans="1:12" x14ac:dyDescent="0.25">
      <c r="A2394">
        <v>4578</v>
      </c>
      <c r="B2394">
        <v>3708.6332470000002</v>
      </c>
      <c r="C2394">
        <v>3708.6332470000002</v>
      </c>
      <c r="D2394">
        <v>0</v>
      </c>
      <c r="E2394">
        <v>2281.7715549999998</v>
      </c>
      <c r="F2394" s="1">
        <v>1.84</v>
      </c>
      <c r="H2394">
        <v>4578</v>
      </c>
      <c r="I2394" t="str">
        <f t="shared" si="74"/>
        <v>YES</v>
      </c>
      <c r="J2394" t="s">
        <v>2400</v>
      </c>
      <c r="K2394">
        <v>1614476.9160199999</v>
      </c>
      <c r="L2394">
        <f t="shared" si="75"/>
        <v>0</v>
      </c>
    </row>
    <row r="2395" spans="1:12" x14ac:dyDescent="0.25">
      <c r="A2395">
        <v>4579</v>
      </c>
      <c r="B2395">
        <v>3726.2697210000001</v>
      </c>
      <c r="C2395">
        <v>3726.2697210000001</v>
      </c>
      <c r="D2395">
        <v>0</v>
      </c>
      <c r="E2395">
        <v>3044.601971</v>
      </c>
      <c r="F2395" s="1">
        <v>2.4700000000000002</v>
      </c>
      <c r="H2395">
        <v>4579</v>
      </c>
      <c r="I2395" t="str">
        <f t="shared" si="74"/>
        <v>YES</v>
      </c>
      <c r="J2395" t="s">
        <v>2401</v>
      </c>
      <c r="K2395">
        <v>1464444.7862499999</v>
      </c>
      <c r="L2395">
        <f t="shared" si="75"/>
        <v>0</v>
      </c>
    </row>
    <row r="2396" spans="1:12" x14ac:dyDescent="0.25">
      <c r="A2396">
        <v>4580</v>
      </c>
      <c r="B2396">
        <v>1826.8390629999999</v>
      </c>
      <c r="C2396">
        <v>1826.8390629999999</v>
      </c>
      <c r="D2396">
        <v>0</v>
      </c>
      <c r="E2396">
        <v>683.49035400000002</v>
      </c>
      <c r="F2396" s="1">
        <v>0.27200000000000002</v>
      </c>
      <c r="H2396">
        <v>4580</v>
      </c>
      <c r="I2396" t="str">
        <f t="shared" si="74"/>
        <v>YES</v>
      </c>
      <c r="J2396" t="s">
        <v>2402</v>
      </c>
      <c r="K2396">
        <v>382587.272941</v>
      </c>
      <c r="L2396">
        <f t="shared" si="75"/>
        <v>0</v>
      </c>
    </row>
    <row r="2397" spans="1:12" x14ac:dyDescent="0.25">
      <c r="A2397">
        <v>4581</v>
      </c>
      <c r="B2397">
        <v>37948.127959999998</v>
      </c>
      <c r="C2397">
        <v>37948.127959999998</v>
      </c>
      <c r="D2397">
        <v>0</v>
      </c>
      <c r="E2397">
        <v>78.127087880000005</v>
      </c>
      <c r="F2397" s="1">
        <v>0.64600000000000002</v>
      </c>
      <c r="H2397">
        <v>4581</v>
      </c>
      <c r="I2397" t="str">
        <f t="shared" si="74"/>
        <v>YES</v>
      </c>
      <c r="J2397" t="s">
        <v>2403</v>
      </c>
      <c r="K2397">
        <v>202749.716097</v>
      </c>
      <c r="L2397">
        <f t="shared" si="75"/>
        <v>0</v>
      </c>
    </row>
    <row r="2398" spans="1:12" x14ac:dyDescent="0.25">
      <c r="A2398">
        <v>4582</v>
      </c>
      <c r="B2398">
        <v>18139.249769999999</v>
      </c>
      <c r="C2398">
        <v>18139.249769999999</v>
      </c>
      <c r="D2398">
        <v>0</v>
      </c>
      <c r="E2398">
        <v>647.96605369999997</v>
      </c>
      <c r="F2398" s="1">
        <v>2.56</v>
      </c>
      <c r="H2398">
        <v>4582</v>
      </c>
      <c r="I2398" t="str">
        <f t="shared" si="74"/>
        <v>YES</v>
      </c>
      <c r="J2398" t="s">
        <v>2404</v>
      </c>
      <c r="K2398">
        <v>147554.540977</v>
      </c>
      <c r="L2398">
        <f t="shared" si="75"/>
        <v>0</v>
      </c>
    </row>
    <row r="2399" spans="1:12" x14ac:dyDescent="0.25">
      <c r="A2399">
        <v>4583</v>
      </c>
      <c r="B2399">
        <v>9496.2286960000001</v>
      </c>
      <c r="C2399">
        <v>9496.2286960000001</v>
      </c>
      <c r="D2399">
        <v>0</v>
      </c>
      <c r="E2399">
        <v>42.141517970000002</v>
      </c>
      <c r="F2399" s="1">
        <v>8.7099999999999997E-2</v>
      </c>
      <c r="H2399">
        <v>4583</v>
      </c>
      <c r="I2399" t="str">
        <f t="shared" si="74"/>
        <v>YES</v>
      </c>
      <c r="J2399" t="s">
        <v>2405</v>
      </c>
      <c r="K2399">
        <v>410801.208338</v>
      </c>
      <c r="L2399">
        <f t="shared" si="75"/>
        <v>0</v>
      </c>
    </row>
    <row r="2400" spans="1:12" x14ac:dyDescent="0.25">
      <c r="A2400">
        <v>4584</v>
      </c>
      <c r="B2400">
        <v>16993.141810000001</v>
      </c>
      <c r="C2400">
        <v>16993.141810000001</v>
      </c>
      <c r="D2400">
        <v>0</v>
      </c>
      <c r="E2400">
        <v>464.69283710000002</v>
      </c>
      <c r="F2400" s="1">
        <v>1.72</v>
      </c>
      <c r="H2400">
        <v>4584</v>
      </c>
      <c r="I2400" t="str">
        <f t="shared" si="74"/>
        <v>YES</v>
      </c>
      <c r="J2400" t="s">
        <v>2406</v>
      </c>
      <c r="K2400">
        <v>111530.222075</v>
      </c>
      <c r="L2400">
        <f t="shared" si="75"/>
        <v>0</v>
      </c>
    </row>
    <row r="2401" spans="1:12" x14ac:dyDescent="0.25">
      <c r="A2401">
        <v>4585</v>
      </c>
      <c r="B2401">
        <v>10855.02061</v>
      </c>
      <c r="C2401">
        <v>10855.02061</v>
      </c>
      <c r="D2401">
        <v>0</v>
      </c>
      <c r="E2401">
        <v>709.78252550000002</v>
      </c>
      <c r="F2401" s="1">
        <v>1.68</v>
      </c>
      <c r="H2401">
        <v>4585</v>
      </c>
      <c r="I2401" t="str">
        <f t="shared" si="74"/>
        <v>YES</v>
      </c>
      <c r="J2401" t="s">
        <v>2407</v>
      </c>
      <c r="K2401">
        <v>743624.43213500001</v>
      </c>
      <c r="L2401">
        <f t="shared" si="75"/>
        <v>0</v>
      </c>
    </row>
    <row r="2402" spans="1:12" x14ac:dyDescent="0.25">
      <c r="A2402">
        <v>4600</v>
      </c>
      <c r="B2402">
        <v>11.63821448</v>
      </c>
      <c r="C2402">
        <v>11.63821448</v>
      </c>
      <c r="D2402">
        <v>0</v>
      </c>
      <c r="E2402">
        <v>47.975388469999999</v>
      </c>
      <c r="F2402" s="1">
        <v>1.22E-4</v>
      </c>
      <c r="H2402">
        <v>4600</v>
      </c>
      <c r="I2402" t="str">
        <f t="shared" si="74"/>
        <v>YES</v>
      </c>
      <c r="J2402" t="s">
        <v>2408</v>
      </c>
      <c r="K2402">
        <v>10884518.470799999</v>
      </c>
      <c r="L2402">
        <f t="shared" si="75"/>
        <v>0</v>
      </c>
    </row>
    <row r="2403" spans="1:12" x14ac:dyDescent="0.25">
      <c r="A2403">
        <v>4601</v>
      </c>
      <c r="B2403">
        <v>293.38189629999999</v>
      </c>
      <c r="C2403">
        <v>293.38189629999999</v>
      </c>
      <c r="D2403">
        <v>0</v>
      </c>
      <c r="E2403">
        <v>1056.431797</v>
      </c>
      <c r="F2403" s="1">
        <v>6.7500000000000004E-2</v>
      </c>
      <c r="H2403">
        <v>4601</v>
      </c>
      <c r="I2403" t="str">
        <f t="shared" si="74"/>
        <v>YES</v>
      </c>
      <c r="J2403" t="s">
        <v>2409</v>
      </c>
      <c r="K2403">
        <v>16493478.1371</v>
      </c>
      <c r="L2403">
        <f t="shared" si="75"/>
        <v>0</v>
      </c>
    </row>
    <row r="2404" spans="1:12" x14ac:dyDescent="0.25">
      <c r="A2404">
        <v>4602</v>
      </c>
      <c r="B2404">
        <v>231.41958120000001</v>
      </c>
      <c r="C2404">
        <v>231.41958120000001</v>
      </c>
      <c r="D2404">
        <v>0</v>
      </c>
      <c r="E2404">
        <v>1923.9670160000001</v>
      </c>
      <c r="F2404" s="1">
        <v>9.69E-2</v>
      </c>
      <c r="H2404">
        <v>4602</v>
      </c>
      <c r="I2404" t="str">
        <f t="shared" si="74"/>
        <v>YES</v>
      </c>
      <c r="J2404" t="s">
        <v>2410</v>
      </c>
      <c r="K2404">
        <v>11134347.3389</v>
      </c>
      <c r="L2404">
        <f t="shared" si="75"/>
        <v>0</v>
      </c>
    </row>
    <row r="2405" spans="1:12" x14ac:dyDescent="0.25">
      <c r="A2405">
        <v>4603</v>
      </c>
      <c r="B2405">
        <v>892.32195539999998</v>
      </c>
      <c r="C2405">
        <v>892.32195539999998</v>
      </c>
      <c r="D2405">
        <v>0</v>
      </c>
      <c r="F2405" s="1">
        <v>0</v>
      </c>
      <c r="H2405">
        <v>4603</v>
      </c>
      <c r="I2405" t="str">
        <f t="shared" si="74"/>
        <v>YES</v>
      </c>
      <c r="J2405" t="s">
        <v>2411</v>
      </c>
      <c r="K2405">
        <v>100447682.281</v>
      </c>
      <c r="L2405">
        <f t="shared" si="75"/>
        <v>0</v>
      </c>
    </row>
    <row r="2406" spans="1:12" x14ac:dyDescent="0.25">
      <c r="A2406">
        <v>4606</v>
      </c>
      <c r="B2406">
        <v>314.51787280000002</v>
      </c>
      <c r="C2406">
        <v>314.51787280000002</v>
      </c>
      <c r="D2406">
        <v>0</v>
      </c>
      <c r="E2406">
        <v>2513.4719599999999</v>
      </c>
      <c r="F2406" s="1">
        <v>0.17199999999999999</v>
      </c>
      <c r="H2406">
        <v>4606</v>
      </c>
      <c r="I2406" t="str">
        <f t="shared" si="74"/>
        <v>YES</v>
      </c>
      <c r="J2406" t="s">
        <v>2412</v>
      </c>
      <c r="K2406">
        <v>8781490.7189600002</v>
      </c>
      <c r="L2406">
        <f t="shared" si="75"/>
        <v>0</v>
      </c>
    </row>
    <row r="2407" spans="1:12" x14ac:dyDescent="0.25">
      <c r="A2407">
        <v>4607</v>
      </c>
      <c r="B2407">
        <v>198.09117620000001</v>
      </c>
      <c r="C2407">
        <v>198.09117620000001</v>
      </c>
      <c r="D2407">
        <v>0</v>
      </c>
      <c r="E2407">
        <v>3105.583122</v>
      </c>
      <c r="F2407" s="1">
        <v>0.13400000000000001</v>
      </c>
      <c r="H2407">
        <v>4607</v>
      </c>
      <c r="I2407" t="str">
        <f t="shared" si="74"/>
        <v>YES</v>
      </c>
      <c r="J2407" t="s">
        <v>2413</v>
      </c>
      <c r="K2407">
        <v>3004057.5137999998</v>
      </c>
      <c r="L2407">
        <f t="shared" si="75"/>
        <v>0</v>
      </c>
    </row>
    <row r="2408" spans="1:12" x14ac:dyDescent="0.25">
      <c r="A2408">
        <v>4608</v>
      </c>
      <c r="B2408">
        <v>354.27639290000002</v>
      </c>
      <c r="C2408">
        <v>354.27639290000002</v>
      </c>
      <c r="D2408">
        <v>0</v>
      </c>
      <c r="E2408">
        <v>2087.3919700000001</v>
      </c>
      <c r="F2408" s="1">
        <v>0.161</v>
      </c>
      <c r="H2408">
        <v>4608</v>
      </c>
      <c r="I2408" t="str">
        <f t="shared" si="74"/>
        <v>YES</v>
      </c>
      <c r="J2408" t="s">
        <v>2414</v>
      </c>
      <c r="K2408">
        <v>2688620.2951500001</v>
      </c>
      <c r="L2408">
        <f t="shared" si="75"/>
        <v>0</v>
      </c>
    </row>
    <row r="2409" spans="1:12" x14ac:dyDescent="0.25">
      <c r="A2409">
        <v>4609</v>
      </c>
      <c r="B2409">
        <v>260.35967590000001</v>
      </c>
      <c r="C2409">
        <v>260.35967590000001</v>
      </c>
      <c r="D2409">
        <v>0</v>
      </c>
      <c r="E2409">
        <v>2091.3927210000002</v>
      </c>
      <c r="F2409" s="1">
        <v>0.11899999999999999</v>
      </c>
      <c r="H2409">
        <v>4609</v>
      </c>
      <c r="I2409" t="str">
        <f t="shared" si="74"/>
        <v>YES</v>
      </c>
      <c r="J2409" t="s">
        <v>2415</v>
      </c>
      <c r="K2409">
        <v>2964231.1444600001</v>
      </c>
      <c r="L2409">
        <f t="shared" si="75"/>
        <v>0</v>
      </c>
    </row>
    <row r="2410" spans="1:12" x14ac:dyDescent="0.25">
      <c r="A2410">
        <v>4610</v>
      </c>
      <c r="B2410">
        <v>1264.19146</v>
      </c>
      <c r="C2410">
        <v>1264.19146</v>
      </c>
      <c r="D2410">
        <v>0</v>
      </c>
      <c r="E2410">
        <v>3573.6709970000002</v>
      </c>
      <c r="F2410" s="1">
        <v>0.98399999999999999</v>
      </c>
      <c r="H2410">
        <v>4610</v>
      </c>
      <c r="I2410" t="str">
        <f t="shared" si="74"/>
        <v>YES</v>
      </c>
      <c r="J2410" t="s">
        <v>2416</v>
      </c>
      <c r="K2410">
        <v>3852874.5106700002</v>
      </c>
      <c r="L2410">
        <f t="shared" si="75"/>
        <v>0</v>
      </c>
    </row>
    <row r="2411" spans="1:12" x14ac:dyDescent="0.25">
      <c r="A2411">
        <v>4611</v>
      </c>
      <c r="B2411">
        <v>1180.055523</v>
      </c>
      <c r="C2411">
        <v>1180.055523</v>
      </c>
      <c r="D2411">
        <v>0</v>
      </c>
      <c r="E2411">
        <v>2232.042715</v>
      </c>
      <c r="F2411" s="1">
        <v>0.57299999999999995</v>
      </c>
      <c r="H2411">
        <v>4611</v>
      </c>
      <c r="I2411" t="str">
        <f t="shared" si="74"/>
        <v>YES</v>
      </c>
      <c r="J2411" t="s">
        <v>2417</v>
      </c>
      <c r="K2411">
        <v>3870233.7149299998</v>
      </c>
      <c r="L2411">
        <f t="shared" si="75"/>
        <v>0</v>
      </c>
    </row>
    <row r="2412" spans="1:12" x14ac:dyDescent="0.25">
      <c r="A2412">
        <v>4612</v>
      </c>
      <c r="B2412">
        <v>1272.4149070000001</v>
      </c>
      <c r="C2412">
        <v>1272.4149070000001</v>
      </c>
      <c r="D2412">
        <v>0</v>
      </c>
      <c r="E2412">
        <v>2857.2610930000001</v>
      </c>
      <c r="F2412" s="1">
        <v>0.79200000000000004</v>
      </c>
      <c r="H2412">
        <v>4612</v>
      </c>
      <c r="I2412" t="str">
        <f t="shared" si="74"/>
        <v>YES</v>
      </c>
      <c r="J2412" t="s">
        <v>2418</v>
      </c>
      <c r="K2412">
        <v>3081864.8123400002</v>
      </c>
      <c r="L2412">
        <f t="shared" si="75"/>
        <v>0</v>
      </c>
    </row>
    <row r="2413" spans="1:12" x14ac:dyDescent="0.25">
      <c r="A2413">
        <v>4613</v>
      </c>
      <c r="B2413">
        <v>754.18639189999999</v>
      </c>
      <c r="C2413">
        <v>754.18639189999999</v>
      </c>
      <c r="D2413">
        <v>0</v>
      </c>
      <c r="E2413">
        <v>987.18542160000004</v>
      </c>
      <c r="F2413" s="1">
        <v>0.16200000000000001</v>
      </c>
      <c r="H2413">
        <v>4613</v>
      </c>
      <c r="I2413" t="str">
        <f t="shared" si="74"/>
        <v>YES</v>
      </c>
      <c r="J2413" t="s">
        <v>2419</v>
      </c>
      <c r="K2413">
        <v>1396650.4676099999</v>
      </c>
      <c r="L2413">
        <f t="shared" si="75"/>
        <v>0</v>
      </c>
    </row>
    <row r="2414" spans="1:12" x14ac:dyDescent="0.25">
      <c r="A2414">
        <v>4616</v>
      </c>
      <c r="B2414">
        <v>5.6067102980000003</v>
      </c>
      <c r="C2414">
        <v>5.6067102980000003</v>
      </c>
      <c r="D2414">
        <v>0</v>
      </c>
      <c r="F2414" s="1">
        <v>0</v>
      </c>
      <c r="H2414">
        <v>4616</v>
      </c>
      <c r="I2414" t="str">
        <f t="shared" si="74"/>
        <v>YES</v>
      </c>
      <c r="J2414" t="s">
        <v>2420</v>
      </c>
      <c r="K2414">
        <v>135885244.54499999</v>
      </c>
      <c r="L2414">
        <f t="shared" si="75"/>
        <v>0</v>
      </c>
    </row>
    <row r="2415" spans="1:12" x14ac:dyDescent="0.25">
      <c r="A2415">
        <v>4618</v>
      </c>
      <c r="B2415" s="1">
        <v>4.95E-6</v>
      </c>
      <c r="C2415" s="1">
        <v>4.95E-6</v>
      </c>
      <c r="D2415">
        <v>0</v>
      </c>
      <c r="E2415">
        <v>5.8138825999999998E-2</v>
      </c>
      <c r="F2415" s="1">
        <v>6.27E-14</v>
      </c>
      <c r="H2415">
        <v>4618</v>
      </c>
      <c r="I2415" t="str">
        <f t="shared" si="74"/>
        <v>YES</v>
      </c>
      <c r="J2415" t="s">
        <v>2421</v>
      </c>
      <c r="K2415">
        <v>6724464.5598799996</v>
      </c>
      <c r="L2415">
        <f t="shared" si="75"/>
        <v>0</v>
      </c>
    </row>
    <row r="2416" spans="1:12" x14ac:dyDescent="0.25">
      <c r="A2416">
        <v>4621</v>
      </c>
      <c r="B2416">
        <v>923.30925520000005</v>
      </c>
      <c r="C2416">
        <v>923.30925520000005</v>
      </c>
      <c r="D2416">
        <v>0</v>
      </c>
      <c r="E2416">
        <v>1798.917956</v>
      </c>
      <c r="F2416" s="1">
        <v>0.36199999999999999</v>
      </c>
      <c r="H2416">
        <v>4621</v>
      </c>
      <c r="I2416" t="str">
        <f t="shared" ref="I2416:I2479" si="76">IF(A2416=H2416,"YES","NO")</f>
        <v>YES</v>
      </c>
      <c r="J2416" t="s">
        <v>2422</v>
      </c>
      <c r="K2416">
        <v>10235810.2019</v>
      </c>
      <c r="L2416">
        <f t="shared" si="75"/>
        <v>0</v>
      </c>
    </row>
    <row r="2417" spans="1:12" x14ac:dyDescent="0.25">
      <c r="A2417">
        <v>4622</v>
      </c>
      <c r="B2417">
        <v>291.84165489999998</v>
      </c>
      <c r="C2417">
        <v>291.84165489999998</v>
      </c>
      <c r="D2417">
        <v>0</v>
      </c>
      <c r="E2417">
        <v>1748.086309</v>
      </c>
      <c r="F2417" s="1">
        <v>0.111</v>
      </c>
      <c r="H2417">
        <v>4622</v>
      </c>
      <c r="I2417" t="str">
        <f t="shared" si="76"/>
        <v>YES</v>
      </c>
      <c r="J2417" t="s">
        <v>2423</v>
      </c>
      <c r="K2417">
        <v>6650077.00899</v>
      </c>
      <c r="L2417">
        <f t="shared" si="75"/>
        <v>0</v>
      </c>
    </row>
    <row r="2418" spans="1:12" x14ac:dyDescent="0.25">
      <c r="A2418">
        <v>4623</v>
      </c>
      <c r="B2418">
        <v>1252.273312</v>
      </c>
      <c r="C2418">
        <v>1252.273312</v>
      </c>
      <c r="D2418">
        <v>0</v>
      </c>
      <c r="E2418">
        <v>3612.0687809999999</v>
      </c>
      <c r="F2418" s="1">
        <v>0.98499999999999999</v>
      </c>
      <c r="H2418">
        <v>4623</v>
      </c>
      <c r="I2418" t="str">
        <f t="shared" si="76"/>
        <v>YES</v>
      </c>
      <c r="J2418" t="s">
        <v>2424</v>
      </c>
      <c r="K2418">
        <v>15581714.275900001</v>
      </c>
      <c r="L2418">
        <f t="shared" si="75"/>
        <v>0</v>
      </c>
    </row>
    <row r="2419" spans="1:12" x14ac:dyDescent="0.25">
      <c r="A2419">
        <v>4624</v>
      </c>
      <c r="B2419">
        <v>3392.7574140000002</v>
      </c>
      <c r="C2419">
        <v>3392.7574140000002</v>
      </c>
      <c r="D2419">
        <v>0</v>
      </c>
      <c r="E2419">
        <v>1393.071447</v>
      </c>
      <c r="F2419" s="1">
        <v>1.03</v>
      </c>
      <c r="H2419">
        <v>4624</v>
      </c>
      <c r="I2419" t="str">
        <f t="shared" si="76"/>
        <v>YES</v>
      </c>
      <c r="J2419" t="s">
        <v>2425</v>
      </c>
      <c r="K2419">
        <v>1570383.7224699999</v>
      </c>
      <c r="L2419">
        <f t="shared" si="75"/>
        <v>0</v>
      </c>
    </row>
    <row r="2420" spans="1:12" x14ac:dyDescent="0.25">
      <c r="A2420">
        <v>4625</v>
      </c>
      <c r="B2420">
        <v>3392.7574140000002</v>
      </c>
      <c r="C2420">
        <v>3392.7574140000002</v>
      </c>
      <c r="D2420">
        <v>0</v>
      </c>
      <c r="E2420">
        <v>1990.216604</v>
      </c>
      <c r="F2420" s="1">
        <v>1.47</v>
      </c>
      <c r="H2420">
        <v>4625</v>
      </c>
      <c r="I2420" t="str">
        <f t="shared" si="76"/>
        <v>YES</v>
      </c>
      <c r="J2420" t="s">
        <v>2426</v>
      </c>
      <c r="K2420">
        <v>1765949.37249</v>
      </c>
      <c r="L2420">
        <f t="shared" si="75"/>
        <v>0</v>
      </c>
    </row>
    <row r="2421" spans="1:12" x14ac:dyDescent="0.25">
      <c r="A2421">
        <v>4626</v>
      </c>
      <c r="B2421">
        <v>1659.8611860000001</v>
      </c>
      <c r="C2421">
        <v>1659.8611860000001</v>
      </c>
      <c r="D2421">
        <v>0</v>
      </c>
      <c r="E2421">
        <v>3020.6389020000001</v>
      </c>
      <c r="F2421" s="1">
        <v>1.0900000000000001</v>
      </c>
      <c r="H2421">
        <v>4626</v>
      </c>
      <c r="I2421" t="str">
        <f t="shared" si="76"/>
        <v>YES</v>
      </c>
      <c r="J2421" t="s">
        <v>2427</v>
      </c>
      <c r="K2421">
        <v>4993684.33715</v>
      </c>
      <c r="L2421">
        <f t="shared" si="75"/>
        <v>0</v>
      </c>
    </row>
    <row r="2422" spans="1:12" x14ac:dyDescent="0.25">
      <c r="A2422">
        <v>4629</v>
      </c>
      <c r="B2422">
        <v>667.54228030000002</v>
      </c>
      <c r="C2422">
        <v>667.54228030000002</v>
      </c>
      <c r="D2422">
        <v>0</v>
      </c>
      <c r="E2422">
        <v>4881.0864879999999</v>
      </c>
      <c r="F2422" s="1">
        <v>0.70899999999999996</v>
      </c>
      <c r="H2422">
        <v>4629</v>
      </c>
      <c r="I2422" t="str">
        <f t="shared" si="76"/>
        <v>YES</v>
      </c>
      <c r="J2422" t="s">
        <v>2428</v>
      </c>
      <c r="K2422">
        <v>20080904.744100001</v>
      </c>
      <c r="L2422">
        <f t="shared" si="75"/>
        <v>0</v>
      </c>
    </row>
    <row r="2423" spans="1:12" x14ac:dyDescent="0.25">
      <c r="A2423">
        <v>4630</v>
      </c>
      <c r="B2423">
        <v>65.899089000000004</v>
      </c>
      <c r="C2423">
        <v>65.899089000000004</v>
      </c>
      <c r="D2423">
        <v>0</v>
      </c>
      <c r="E2423">
        <v>506.8619693</v>
      </c>
      <c r="F2423" s="1">
        <v>7.2700000000000004E-3</v>
      </c>
      <c r="H2423">
        <v>4630</v>
      </c>
      <c r="I2423" t="str">
        <f t="shared" si="76"/>
        <v>YES</v>
      </c>
      <c r="J2423" t="s">
        <v>2429</v>
      </c>
      <c r="K2423">
        <v>6181472.1971300002</v>
      </c>
      <c r="L2423">
        <f t="shared" si="75"/>
        <v>0</v>
      </c>
    </row>
    <row r="2424" spans="1:12" x14ac:dyDescent="0.25">
      <c r="A2424">
        <v>4631</v>
      </c>
      <c r="B2424">
        <v>881.37489100000005</v>
      </c>
      <c r="C2424">
        <v>881.37489100000005</v>
      </c>
      <c r="D2424">
        <v>0</v>
      </c>
      <c r="E2424">
        <v>2886.079303</v>
      </c>
      <c r="F2424" s="1">
        <v>0.55400000000000005</v>
      </c>
      <c r="H2424">
        <v>4631</v>
      </c>
      <c r="I2424" t="str">
        <f t="shared" si="76"/>
        <v>YES</v>
      </c>
      <c r="J2424" t="s">
        <v>2430</v>
      </c>
      <c r="K2424">
        <v>7502855.9572799997</v>
      </c>
      <c r="L2424">
        <f t="shared" si="75"/>
        <v>0</v>
      </c>
    </row>
    <row r="2425" spans="1:12" x14ac:dyDescent="0.25">
      <c r="A2425">
        <v>4632</v>
      </c>
      <c r="B2425">
        <v>84.966344950000007</v>
      </c>
      <c r="C2425">
        <v>84.966344950000007</v>
      </c>
      <c r="D2425">
        <v>0</v>
      </c>
      <c r="E2425">
        <v>1259.2803699999999</v>
      </c>
      <c r="F2425" s="1">
        <v>2.3300000000000001E-2</v>
      </c>
      <c r="H2425">
        <v>4632</v>
      </c>
      <c r="I2425" t="str">
        <f t="shared" si="76"/>
        <v>YES</v>
      </c>
      <c r="J2425" t="s">
        <v>2431</v>
      </c>
      <c r="K2425">
        <v>6127703.7968199998</v>
      </c>
      <c r="L2425">
        <f t="shared" si="75"/>
        <v>0</v>
      </c>
    </row>
    <row r="2426" spans="1:12" x14ac:dyDescent="0.25">
      <c r="A2426">
        <v>4633</v>
      </c>
      <c r="B2426">
        <v>131.59558609999999</v>
      </c>
      <c r="C2426">
        <v>131.59558609999999</v>
      </c>
      <c r="D2426">
        <v>0</v>
      </c>
      <c r="E2426">
        <v>1980.691869</v>
      </c>
      <c r="F2426" s="1">
        <v>5.6800000000000003E-2</v>
      </c>
      <c r="H2426">
        <v>4633</v>
      </c>
      <c r="I2426" t="str">
        <f t="shared" si="76"/>
        <v>YES</v>
      </c>
      <c r="J2426" t="s">
        <v>2432</v>
      </c>
      <c r="K2426">
        <v>6908510.12371</v>
      </c>
      <c r="L2426">
        <f t="shared" si="75"/>
        <v>0</v>
      </c>
    </row>
    <row r="2427" spans="1:12" x14ac:dyDescent="0.25">
      <c r="A2427">
        <v>4636</v>
      </c>
      <c r="B2427">
        <v>966.33070350000003</v>
      </c>
      <c r="C2427">
        <v>966.33070350000003</v>
      </c>
      <c r="D2427">
        <v>0</v>
      </c>
      <c r="E2427">
        <v>3291.4712920000002</v>
      </c>
      <c r="F2427" s="1">
        <v>0.69299999999999995</v>
      </c>
      <c r="H2427">
        <v>4636</v>
      </c>
      <c r="I2427" t="str">
        <f t="shared" si="76"/>
        <v>YES</v>
      </c>
      <c r="J2427" t="s">
        <v>2433</v>
      </c>
      <c r="K2427">
        <v>8856215.90845</v>
      </c>
      <c r="L2427">
        <f t="shared" si="75"/>
        <v>0</v>
      </c>
    </row>
    <row r="2428" spans="1:12" x14ac:dyDescent="0.25">
      <c r="A2428">
        <v>4637</v>
      </c>
      <c r="B2428">
        <v>462.00464010000002</v>
      </c>
      <c r="C2428">
        <v>462.00464010000002</v>
      </c>
      <c r="D2428">
        <v>0</v>
      </c>
      <c r="E2428">
        <v>3781.6904049999998</v>
      </c>
      <c r="F2428" s="1">
        <v>0.38</v>
      </c>
      <c r="H2428">
        <v>4637</v>
      </c>
      <c r="I2428" t="str">
        <f t="shared" si="76"/>
        <v>YES</v>
      </c>
      <c r="J2428" t="s">
        <v>2434</v>
      </c>
      <c r="K2428">
        <v>8607349.4934599996</v>
      </c>
      <c r="L2428">
        <f t="shared" si="75"/>
        <v>0</v>
      </c>
    </row>
    <row r="2429" spans="1:12" x14ac:dyDescent="0.25">
      <c r="A2429">
        <v>4638</v>
      </c>
      <c r="B2429">
        <v>206.0310202</v>
      </c>
      <c r="C2429">
        <v>206.0310202</v>
      </c>
      <c r="D2429">
        <v>0</v>
      </c>
      <c r="E2429">
        <v>1902.2792059999999</v>
      </c>
      <c r="F2429" s="1">
        <v>8.5300000000000001E-2</v>
      </c>
      <c r="H2429">
        <v>4638</v>
      </c>
      <c r="I2429" t="str">
        <f t="shared" si="76"/>
        <v>YES</v>
      </c>
      <c r="J2429" t="s">
        <v>2435</v>
      </c>
      <c r="K2429">
        <v>9759230.3991500009</v>
      </c>
      <c r="L2429">
        <f t="shared" si="75"/>
        <v>0</v>
      </c>
    </row>
    <row r="2430" spans="1:12" x14ac:dyDescent="0.25">
      <c r="A2430">
        <v>4639</v>
      </c>
      <c r="B2430">
        <v>323.8111409</v>
      </c>
      <c r="C2430">
        <v>323.8111409</v>
      </c>
      <c r="D2430">
        <v>0</v>
      </c>
      <c r="E2430">
        <v>1479.661464</v>
      </c>
      <c r="F2430" s="1">
        <v>0.104</v>
      </c>
      <c r="H2430">
        <v>4639</v>
      </c>
      <c r="I2430" t="str">
        <f t="shared" si="76"/>
        <v>YES</v>
      </c>
      <c r="J2430" t="s">
        <v>2436</v>
      </c>
      <c r="K2430">
        <v>19795841.0361</v>
      </c>
      <c r="L2430">
        <f t="shared" si="75"/>
        <v>0</v>
      </c>
    </row>
    <row r="2431" spans="1:12" x14ac:dyDescent="0.25">
      <c r="A2431">
        <v>4640</v>
      </c>
      <c r="B2431">
        <v>718.48084419999998</v>
      </c>
      <c r="C2431">
        <v>718.48084419999998</v>
      </c>
      <c r="D2431">
        <v>0</v>
      </c>
      <c r="E2431">
        <v>2623.8408770000001</v>
      </c>
      <c r="F2431" s="1">
        <v>0.41</v>
      </c>
      <c r="H2431">
        <v>4640</v>
      </c>
      <c r="I2431" t="str">
        <f t="shared" si="76"/>
        <v>YES</v>
      </c>
      <c r="J2431" t="s">
        <v>2437</v>
      </c>
      <c r="K2431">
        <v>3414913.4834599998</v>
      </c>
      <c r="L2431">
        <f t="shared" si="75"/>
        <v>0</v>
      </c>
    </row>
    <row r="2432" spans="1:12" x14ac:dyDescent="0.25">
      <c r="A2432">
        <v>4641</v>
      </c>
      <c r="B2432">
        <v>547.85094049999998</v>
      </c>
      <c r="C2432">
        <v>547.85094049999998</v>
      </c>
      <c r="D2432">
        <v>0</v>
      </c>
      <c r="E2432">
        <v>1757.4981789999999</v>
      </c>
      <c r="F2432" s="1">
        <v>0.21</v>
      </c>
      <c r="H2432">
        <v>4641</v>
      </c>
      <c r="I2432" t="str">
        <f t="shared" si="76"/>
        <v>YES</v>
      </c>
      <c r="J2432" t="s">
        <v>2438</v>
      </c>
      <c r="K2432">
        <v>1428603.0242699999</v>
      </c>
      <c r="L2432">
        <f t="shared" si="75"/>
        <v>0</v>
      </c>
    </row>
    <row r="2433" spans="1:12" x14ac:dyDescent="0.25">
      <c r="A2433">
        <v>4642</v>
      </c>
      <c r="B2433">
        <v>410.60608530000002</v>
      </c>
      <c r="C2433">
        <v>410.60608530000002</v>
      </c>
      <c r="D2433">
        <v>0</v>
      </c>
      <c r="E2433">
        <v>2223.4652860000001</v>
      </c>
      <c r="F2433" s="1">
        <v>0.19900000000000001</v>
      </c>
      <c r="H2433">
        <v>4642</v>
      </c>
      <c r="I2433" t="str">
        <f t="shared" si="76"/>
        <v>YES</v>
      </c>
      <c r="J2433" t="s">
        <v>2439</v>
      </c>
      <c r="K2433">
        <v>5433817.6361199999</v>
      </c>
      <c r="L2433">
        <f t="shared" si="75"/>
        <v>0</v>
      </c>
    </row>
    <row r="2434" spans="1:12" x14ac:dyDescent="0.25">
      <c r="A2434">
        <v>4643</v>
      </c>
      <c r="B2434">
        <v>328.7913734</v>
      </c>
      <c r="C2434">
        <v>328.7913734</v>
      </c>
      <c r="D2434">
        <v>0</v>
      </c>
      <c r="E2434">
        <v>1231.1100779999999</v>
      </c>
      <c r="F2434" s="1">
        <v>8.8099999999999998E-2</v>
      </c>
      <c r="H2434">
        <v>4643</v>
      </c>
      <c r="I2434" t="str">
        <f t="shared" si="76"/>
        <v>YES</v>
      </c>
      <c r="J2434" t="s">
        <v>2440</v>
      </c>
      <c r="K2434">
        <v>3994257.0657100002</v>
      </c>
      <c r="L2434">
        <f t="shared" si="75"/>
        <v>0</v>
      </c>
    </row>
    <row r="2435" spans="1:12" x14ac:dyDescent="0.25">
      <c r="A2435">
        <v>4644</v>
      </c>
      <c r="B2435">
        <v>1196.1309779999999</v>
      </c>
      <c r="C2435">
        <v>1196.1309779999999</v>
      </c>
      <c r="D2435">
        <v>0</v>
      </c>
      <c r="E2435">
        <v>1852.13121</v>
      </c>
      <c r="F2435" s="1">
        <v>0.48199999999999998</v>
      </c>
      <c r="H2435">
        <v>4644</v>
      </c>
      <c r="I2435" t="str">
        <f t="shared" si="76"/>
        <v>YES</v>
      </c>
      <c r="J2435" t="s">
        <v>2441</v>
      </c>
      <c r="K2435">
        <v>4178259.6342000002</v>
      </c>
      <c r="L2435">
        <f t="shared" ref="L2435:L2498" si="77">EXP(0.2052)*K2435*(D2435/C2435)</f>
        <v>0</v>
      </c>
    </row>
    <row r="2436" spans="1:12" x14ac:dyDescent="0.25">
      <c r="A2436">
        <v>4645</v>
      </c>
      <c r="B2436">
        <v>420.65294799999998</v>
      </c>
      <c r="C2436">
        <v>420.65294799999998</v>
      </c>
      <c r="D2436">
        <v>0</v>
      </c>
      <c r="E2436">
        <v>2000.8520040000001</v>
      </c>
      <c r="F2436" s="1">
        <v>0.183</v>
      </c>
      <c r="H2436">
        <v>4645</v>
      </c>
      <c r="I2436" t="str">
        <f t="shared" si="76"/>
        <v>YES</v>
      </c>
      <c r="J2436" t="s">
        <v>2442</v>
      </c>
      <c r="K2436">
        <v>4067674.1326000001</v>
      </c>
      <c r="L2436">
        <f t="shared" si="77"/>
        <v>0</v>
      </c>
    </row>
    <row r="2437" spans="1:12" x14ac:dyDescent="0.25">
      <c r="A2437">
        <v>4648</v>
      </c>
      <c r="B2437">
        <v>347.31798020000002</v>
      </c>
      <c r="C2437">
        <v>347.31798020000002</v>
      </c>
      <c r="D2437">
        <v>0</v>
      </c>
      <c r="E2437">
        <v>2921.8465190000002</v>
      </c>
      <c r="F2437" s="1">
        <v>0.221</v>
      </c>
      <c r="H2437">
        <v>4648</v>
      </c>
      <c r="I2437" t="str">
        <f t="shared" si="76"/>
        <v>YES</v>
      </c>
      <c r="J2437" t="s">
        <v>2443</v>
      </c>
      <c r="K2437">
        <v>7628148.9930199999</v>
      </c>
      <c r="L2437">
        <f t="shared" si="77"/>
        <v>0</v>
      </c>
    </row>
    <row r="2438" spans="1:12" x14ac:dyDescent="0.25">
      <c r="A2438">
        <v>4649</v>
      </c>
      <c r="B2438">
        <v>476.12147169999997</v>
      </c>
      <c r="C2438">
        <v>476.12147169999997</v>
      </c>
      <c r="D2438">
        <v>0</v>
      </c>
      <c r="E2438">
        <v>1516.8536549999999</v>
      </c>
      <c r="F2438" s="1">
        <v>0.157</v>
      </c>
      <c r="H2438">
        <v>4649</v>
      </c>
      <c r="I2438" t="str">
        <f t="shared" si="76"/>
        <v>YES</v>
      </c>
      <c r="J2438" t="s">
        <v>2444</v>
      </c>
      <c r="K2438">
        <v>2416933.0866999999</v>
      </c>
      <c r="L2438">
        <f t="shared" si="77"/>
        <v>0</v>
      </c>
    </row>
    <row r="2439" spans="1:12" x14ac:dyDescent="0.25">
      <c r="A2439">
        <v>4650</v>
      </c>
      <c r="B2439">
        <v>463.70437980000003</v>
      </c>
      <c r="C2439">
        <v>463.70437980000003</v>
      </c>
      <c r="D2439">
        <v>0</v>
      </c>
      <c r="E2439">
        <v>1756.2998259999999</v>
      </c>
      <c r="F2439" s="1">
        <v>0.17699999999999999</v>
      </c>
      <c r="H2439">
        <v>4650</v>
      </c>
      <c r="I2439" t="str">
        <f t="shared" si="76"/>
        <v>YES</v>
      </c>
      <c r="J2439" t="s">
        <v>2445</v>
      </c>
      <c r="K2439">
        <v>10951772.150900001</v>
      </c>
      <c r="L2439">
        <f t="shared" si="77"/>
        <v>0</v>
      </c>
    </row>
    <row r="2440" spans="1:12" x14ac:dyDescent="0.25">
      <c r="A2440">
        <v>4700</v>
      </c>
      <c r="B2440">
        <v>418.81271609999999</v>
      </c>
      <c r="C2440">
        <v>418.81271609999999</v>
      </c>
      <c r="D2440">
        <v>0</v>
      </c>
      <c r="E2440">
        <v>846.74995569999999</v>
      </c>
      <c r="F2440" s="1">
        <v>7.7200000000000005E-2</v>
      </c>
      <c r="H2440">
        <v>4700</v>
      </c>
      <c r="I2440" t="str">
        <f t="shared" si="76"/>
        <v>YES</v>
      </c>
      <c r="J2440" t="s">
        <v>2446</v>
      </c>
      <c r="K2440">
        <v>15121110.187899999</v>
      </c>
      <c r="L2440">
        <f t="shared" si="77"/>
        <v>0</v>
      </c>
    </row>
    <row r="2441" spans="1:12" x14ac:dyDescent="0.25">
      <c r="A2441">
        <v>4701</v>
      </c>
      <c r="B2441">
        <v>435.39802029999998</v>
      </c>
      <c r="C2441">
        <v>435.39802029999998</v>
      </c>
      <c r="D2441">
        <v>0</v>
      </c>
      <c r="F2441" s="1">
        <v>0</v>
      </c>
      <c r="H2441">
        <v>4701</v>
      </c>
      <c r="I2441" t="str">
        <f t="shared" si="76"/>
        <v>YES</v>
      </c>
      <c r="J2441" t="s">
        <v>2447</v>
      </c>
      <c r="K2441">
        <v>28850791.849199999</v>
      </c>
      <c r="L2441">
        <f t="shared" si="77"/>
        <v>0</v>
      </c>
    </row>
    <row r="2442" spans="1:12" x14ac:dyDescent="0.25">
      <c r="A2442">
        <v>4702</v>
      </c>
      <c r="B2442">
        <v>1985.2509660000001</v>
      </c>
      <c r="C2442">
        <v>1985.2509660000001</v>
      </c>
      <c r="D2442">
        <v>0</v>
      </c>
      <c r="E2442">
        <v>4263.3497870000001</v>
      </c>
      <c r="F2442" s="1">
        <v>1.84</v>
      </c>
      <c r="H2442">
        <v>4702</v>
      </c>
      <c r="I2442" t="str">
        <f t="shared" si="76"/>
        <v>YES</v>
      </c>
      <c r="J2442" t="s">
        <v>2448</v>
      </c>
      <c r="K2442">
        <v>6955517.0188100003</v>
      </c>
      <c r="L2442">
        <f t="shared" si="77"/>
        <v>0</v>
      </c>
    </row>
    <row r="2443" spans="1:12" x14ac:dyDescent="0.25">
      <c r="A2443">
        <v>4703</v>
      </c>
      <c r="B2443">
        <v>2882.7200549999998</v>
      </c>
      <c r="C2443">
        <v>2882.7200549999998</v>
      </c>
      <c r="D2443">
        <v>0</v>
      </c>
      <c r="E2443">
        <v>1931.6685660000001</v>
      </c>
      <c r="F2443" s="1">
        <v>1.21</v>
      </c>
      <c r="H2443">
        <v>4703</v>
      </c>
      <c r="I2443" t="str">
        <f t="shared" si="76"/>
        <v>YES</v>
      </c>
      <c r="J2443" t="s">
        <v>2449</v>
      </c>
      <c r="K2443">
        <v>1291825.6163999999</v>
      </c>
      <c r="L2443">
        <f t="shared" si="77"/>
        <v>0</v>
      </c>
    </row>
    <row r="2444" spans="1:12" x14ac:dyDescent="0.25">
      <c r="A2444">
        <v>4704</v>
      </c>
      <c r="B2444">
        <v>2721.385487</v>
      </c>
      <c r="C2444">
        <v>2721.385487</v>
      </c>
      <c r="D2444">
        <v>0</v>
      </c>
      <c r="E2444">
        <v>2590.6112269999999</v>
      </c>
      <c r="F2444" s="1">
        <v>1.54</v>
      </c>
      <c r="H2444">
        <v>4704</v>
      </c>
      <c r="I2444" t="str">
        <f t="shared" si="76"/>
        <v>YES</v>
      </c>
      <c r="J2444" t="s">
        <v>2450</v>
      </c>
      <c r="K2444">
        <v>4061880.1031900002</v>
      </c>
      <c r="L2444">
        <f t="shared" si="77"/>
        <v>0</v>
      </c>
    </row>
    <row r="2445" spans="1:12" x14ac:dyDescent="0.25">
      <c r="A2445">
        <v>4705</v>
      </c>
      <c r="B2445">
        <v>2882.7200549999998</v>
      </c>
      <c r="C2445">
        <v>2882.7200549999998</v>
      </c>
      <c r="D2445">
        <v>0</v>
      </c>
      <c r="E2445">
        <v>3586.5933180000002</v>
      </c>
      <c r="F2445" s="1">
        <v>2.25</v>
      </c>
      <c r="H2445">
        <v>4705</v>
      </c>
      <c r="I2445" t="str">
        <f t="shared" si="76"/>
        <v>YES</v>
      </c>
      <c r="J2445" t="s">
        <v>2451</v>
      </c>
      <c r="K2445">
        <v>1431993.78149</v>
      </c>
      <c r="L2445">
        <f t="shared" si="77"/>
        <v>0</v>
      </c>
    </row>
    <row r="2446" spans="1:12" x14ac:dyDescent="0.25">
      <c r="A2446">
        <v>4706</v>
      </c>
      <c r="B2446">
        <v>1078.3765370000001</v>
      </c>
      <c r="C2446">
        <v>1078.3765370000001</v>
      </c>
      <c r="D2446">
        <v>0</v>
      </c>
      <c r="E2446">
        <v>685.77210879999996</v>
      </c>
      <c r="F2446" s="1">
        <v>0.161</v>
      </c>
      <c r="H2446">
        <v>4706</v>
      </c>
      <c r="I2446" t="str">
        <f t="shared" si="76"/>
        <v>YES</v>
      </c>
      <c r="J2446" t="s">
        <v>2452</v>
      </c>
      <c r="K2446">
        <v>16820712.059999999</v>
      </c>
      <c r="L2446">
        <f t="shared" si="77"/>
        <v>0</v>
      </c>
    </row>
    <row r="2447" spans="1:12" x14ac:dyDescent="0.25">
      <c r="A2447">
        <v>4709</v>
      </c>
      <c r="B2447">
        <v>3160.5782279999999</v>
      </c>
      <c r="C2447">
        <v>3160.5782279999999</v>
      </c>
      <c r="D2447">
        <v>0</v>
      </c>
      <c r="E2447">
        <v>1194.28424</v>
      </c>
      <c r="F2447" s="1">
        <v>0.82199999999999995</v>
      </c>
      <c r="H2447">
        <v>4709</v>
      </c>
      <c r="I2447" t="str">
        <f t="shared" si="76"/>
        <v>YES</v>
      </c>
      <c r="J2447" t="s">
        <v>2453</v>
      </c>
      <c r="K2447">
        <v>2814343.39952</v>
      </c>
      <c r="L2447">
        <f t="shared" si="77"/>
        <v>0</v>
      </c>
    </row>
    <row r="2448" spans="1:12" x14ac:dyDescent="0.25">
      <c r="A2448">
        <v>4710</v>
      </c>
      <c r="B2448">
        <v>6399.3832549999997</v>
      </c>
      <c r="C2448">
        <v>6399.3832549999997</v>
      </c>
      <c r="D2448">
        <v>0</v>
      </c>
      <c r="E2448">
        <v>1854.649737</v>
      </c>
      <c r="F2448" s="1">
        <v>2.58</v>
      </c>
      <c r="H2448">
        <v>4710</v>
      </c>
      <c r="I2448" t="str">
        <f t="shared" si="76"/>
        <v>YES</v>
      </c>
      <c r="J2448" t="s">
        <v>2454</v>
      </c>
      <c r="K2448">
        <v>1389843.43835</v>
      </c>
      <c r="L2448">
        <f t="shared" si="77"/>
        <v>0</v>
      </c>
    </row>
    <row r="2449" spans="1:12" x14ac:dyDescent="0.25">
      <c r="A2449">
        <v>4711</v>
      </c>
      <c r="B2449">
        <v>3238.8050269999999</v>
      </c>
      <c r="C2449">
        <v>3238.8050269999999</v>
      </c>
      <c r="D2449">
        <v>0</v>
      </c>
      <c r="E2449">
        <v>1099.7562760000001</v>
      </c>
      <c r="F2449" s="1">
        <v>0.77600000000000002</v>
      </c>
      <c r="H2449">
        <v>4711</v>
      </c>
      <c r="I2449" t="str">
        <f t="shared" si="76"/>
        <v>YES</v>
      </c>
      <c r="J2449" t="s">
        <v>2455</v>
      </c>
      <c r="K2449">
        <v>2024811.2856000001</v>
      </c>
      <c r="L2449">
        <f t="shared" si="77"/>
        <v>0</v>
      </c>
    </row>
    <row r="2450" spans="1:12" x14ac:dyDescent="0.25">
      <c r="A2450">
        <v>4712</v>
      </c>
      <c r="B2450">
        <v>2053.4120269999999</v>
      </c>
      <c r="C2450">
        <v>2053.4120269999999</v>
      </c>
      <c r="D2450">
        <v>0</v>
      </c>
      <c r="E2450">
        <v>2650.9163560000002</v>
      </c>
      <c r="F2450" s="1">
        <v>1.19</v>
      </c>
      <c r="H2450">
        <v>4712</v>
      </c>
      <c r="I2450" t="str">
        <f t="shared" si="76"/>
        <v>YES</v>
      </c>
      <c r="J2450" t="s">
        <v>2456</v>
      </c>
      <c r="K2450">
        <v>2988967.7148899999</v>
      </c>
      <c r="L2450">
        <f t="shared" si="77"/>
        <v>0</v>
      </c>
    </row>
    <row r="2451" spans="1:12" x14ac:dyDescent="0.25">
      <c r="A2451">
        <v>4713</v>
      </c>
      <c r="B2451">
        <v>308.27009070000003</v>
      </c>
      <c r="C2451">
        <v>308.27009070000003</v>
      </c>
      <c r="D2451">
        <v>0</v>
      </c>
      <c r="E2451">
        <v>1178.7653230000001</v>
      </c>
      <c r="F2451" s="1">
        <v>7.9100000000000004E-2</v>
      </c>
      <c r="H2451">
        <v>4713</v>
      </c>
      <c r="I2451" t="str">
        <f t="shared" si="76"/>
        <v>YES</v>
      </c>
      <c r="J2451" t="s">
        <v>2457</v>
      </c>
      <c r="K2451">
        <v>3314838.3092999998</v>
      </c>
      <c r="L2451">
        <f t="shared" si="77"/>
        <v>0</v>
      </c>
    </row>
    <row r="2452" spans="1:12" x14ac:dyDescent="0.25">
      <c r="A2452">
        <v>4714</v>
      </c>
      <c r="B2452">
        <v>1112.1768669999999</v>
      </c>
      <c r="C2452">
        <v>1112.1768669999999</v>
      </c>
      <c r="D2452">
        <v>0</v>
      </c>
      <c r="E2452">
        <v>3248.865382</v>
      </c>
      <c r="F2452" s="1">
        <v>0.78700000000000003</v>
      </c>
      <c r="H2452">
        <v>4714</v>
      </c>
      <c r="I2452" t="str">
        <f t="shared" si="76"/>
        <v>YES</v>
      </c>
      <c r="J2452" t="s">
        <v>2458</v>
      </c>
      <c r="K2452">
        <v>1171711.69374</v>
      </c>
      <c r="L2452">
        <f t="shared" si="77"/>
        <v>0</v>
      </c>
    </row>
    <row r="2453" spans="1:12" x14ac:dyDescent="0.25">
      <c r="A2453">
        <v>4715</v>
      </c>
      <c r="B2453">
        <v>1112.1768669999999</v>
      </c>
      <c r="C2453">
        <v>1112.1768669999999</v>
      </c>
      <c r="D2453">
        <v>0</v>
      </c>
      <c r="E2453">
        <v>3303.94787</v>
      </c>
      <c r="F2453" s="1">
        <v>0.8</v>
      </c>
      <c r="H2453">
        <v>4715</v>
      </c>
      <c r="I2453" t="str">
        <f t="shared" si="76"/>
        <v>YES</v>
      </c>
      <c r="J2453" t="s">
        <v>2459</v>
      </c>
      <c r="K2453">
        <v>1421418.07378</v>
      </c>
      <c r="L2453">
        <f t="shared" si="77"/>
        <v>0</v>
      </c>
    </row>
    <row r="2454" spans="1:12" x14ac:dyDescent="0.25">
      <c r="A2454">
        <v>4716</v>
      </c>
      <c r="B2454">
        <v>170.95952610000001</v>
      </c>
      <c r="C2454">
        <v>170.95952610000001</v>
      </c>
      <c r="D2454">
        <v>0</v>
      </c>
      <c r="E2454">
        <v>1211.8148160000001</v>
      </c>
      <c r="F2454" s="1">
        <v>4.5100000000000001E-2</v>
      </c>
      <c r="H2454">
        <v>4716</v>
      </c>
      <c r="I2454" t="str">
        <f t="shared" si="76"/>
        <v>YES</v>
      </c>
      <c r="J2454" t="s">
        <v>2460</v>
      </c>
      <c r="K2454">
        <v>7561423.2416099999</v>
      </c>
      <c r="L2454">
        <f t="shared" si="77"/>
        <v>0</v>
      </c>
    </row>
    <row r="2455" spans="1:12" x14ac:dyDescent="0.25">
      <c r="A2455">
        <v>4719</v>
      </c>
      <c r="B2455">
        <v>436.96732659999998</v>
      </c>
      <c r="C2455">
        <v>436.96732659999998</v>
      </c>
      <c r="D2455">
        <v>0</v>
      </c>
      <c r="E2455">
        <v>1354.773465</v>
      </c>
      <c r="F2455" s="1">
        <v>0.129</v>
      </c>
      <c r="H2455">
        <v>4719</v>
      </c>
      <c r="I2455" t="str">
        <f t="shared" si="76"/>
        <v>YES</v>
      </c>
      <c r="J2455" t="s">
        <v>2461</v>
      </c>
      <c r="K2455">
        <v>25871960.988699999</v>
      </c>
      <c r="L2455">
        <f t="shared" si="77"/>
        <v>0</v>
      </c>
    </row>
    <row r="2456" spans="1:12" x14ac:dyDescent="0.25">
      <c r="A2456">
        <v>4720</v>
      </c>
      <c r="B2456">
        <v>356.9263838</v>
      </c>
      <c r="C2456">
        <v>356.9263838</v>
      </c>
      <c r="D2456">
        <v>0</v>
      </c>
      <c r="E2456">
        <v>1396.6135529999999</v>
      </c>
      <c r="F2456" s="1">
        <v>0.109</v>
      </c>
      <c r="H2456">
        <v>4720</v>
      </c>
      <c r="I2456" t="str">
        <f t="shared" si="76"/>
        <v>YES</v>
      </c>
      <c r="J2456" t="s">
        <v>2462</v>
      </c>
      <c r="K2456">
        <v>7517601.9345000004</v>
      </c>
      <c r="L2456">
        <f t="shared" si="77"/>
        <v>0</v>
      </c>
    </row>
    <row r="2457" spans="1:12" x14ac:dyDescent="0.25">
      <c r="A2457">
        <v>4721</v>
      </c>
      <c r="B2457">
        <v>258.52950850000002</v>
      </c>
      <c r="C2457">
        <v>258.52950850000002</v>
      </c>
      <c r="D2457">
        <v>0</v>
      </c>
      <c r="E2457">
        <v>1232.503606</v>
      </c>
      <c r="F2457" s="1">
        <v>6.9400000000000003E-2</v>
      </c>
      <c r="H2457">
        <v>4721</v>
      </c>
      <c r="I2457" t="str">
        <f t="shared" si="76"/>
        <v>YES</v>
      </c>
      <c r="J2457" t="s">
        <v>2463</v>
      </c>
      <c r="K2457">
        <v>18119058.7524</v>
      </c>
      <c r="L2457">
        <f t="shared" si="77"/>
        <v>0</v>
      </c>
    </row>
    <row r="2458" spans="1:12" x14ac:dyDescent="0.25">
      <c r="A2458">
        <v>4722</v>
      </c>
      <c r="B2458">
        <v>373.57040970000003</v>
      </c>
      <c r="C2458">
        <v>373.57040970000003</v>
      </c>
      <c r="D2458">
        <v>0</v>
      </c>
      <c r="E2458">
        <v>1314.5021529999999</v>
      </c>
      <c r="F2458" s="1">
        <v>0.107</v>
      </c>
      <c r="H2458">
        <v>4722</v>
      </c>
      <c r="I2458" t="str">
        <f t="shared" si="76"/>
        <v>YES</v>
      </c>
      <c r="J2458" t="s">
        <v>2464</v>
      </c>
      <c r="K2458">
        <v>10545824.420399999</v>
      </c>
      <c r="L2458">
        <f t="shared" si="77"/>
        <v>0</v>
      </c>
    </row>
    <row r="2459" spans="1:12" x14ac:dyDescent="0.25">
      <c r="A2459">
        <v>4723</v>
      </c>
      <c r="B2459">
        <v>929.86053979999997</v>
      </c>
      <c r="C2459">
        <v>929.86053979999997</v>
      </c>
      <c r="D2459">
        <v>0</v>
      </c>
      <c r="E2459">
        <v>2307.607223</v>
      </c>
      <c r="F2459" s="1">
        <v>0.46700000000000003</v>
      </c>
      <c r="H2459">
        <v>4723</v>
      </c>
      <c r="I2459" t="str">
        <f t="shared" si="76"/>
        <v>YES</v>
      </c>
      <c r="J2459" t="s">
        <v>2465</v>
      </c>
      <c r="K2459">
        <v>19231159.822299998</v>
      </c>
      <c r="L2459">
        <f t="shared" si="77"/>
        <v>0</v>
      </c>
    </row>
    <row r="2460" spans="1:12" x14ac:dyDescent="0.25">
      <c r="A2460">
        <v>4900</v>
      </c>
      <c r="B2460">
        <v>7998.0720659999997</v>
      </c>
      <c r="C2460">
        <v>7998.0720659999997</v>
      </c>
      <c r="D2460">
        <v>0</v>
      </c>
      <c r="E2460">
        <v>2066</v>
      </c>
      <c r="F2460" s="1">
        <v>3.6</v>
      </c>
      <c r="H2460">
        <v>4900</v>
      </c>
      <c r="I2460" t="str">
        <f t="shared" si="76"/>
        <v>YES</v>
      </c>
      <c r="J2460" t="s">
        <v>2466</v>
      </c>
      <c r="K2460">
        <v>771390.44387900003</v>
      </c>
      <c r="L2460">
        <f t="shared" si="77"/>
        <v>0</v>
      </c>
    </row>
    <row r="2461" spans="1:12" x14ac:dyDescent="0.25">
      <c r="A2461">
        <v>4901</v>
      </c>
      <c r="B2461">
        <v>1002.969141</v>
      </c>
      <c r="C2461">
        <v>1002.969141</v>
      </c>
      <c r="D2461">
        <v>0</v>
      </c>
      <c r="E2461">
        <v>3334.0000009999999</v>
      </c>
      <c r="F2461" s="1">
        <v>0.72799999999999998</v>
      </c>
      <c r="H2461">
        <v>4901</v>
      </c>
      <c r="I2461" t="str">
        <f t="shared" si="76"/>
        <v>YES</v>
      </c>
      <c r="J2461" t="s">
        <v>2467</v>
      </c>
      <c r="K2461">
        <v>1106916.0478099999</v>
      </c>
      <c r="L2461">
        <f t="shared" si="77"/>
        <v>0</v>
      </c>
    </row>
    <row r="2462" spans="1:12" x14ac:dyDescent="0.25">
      <c r="A2462">
        <v>4902</v>
      </c>
      <c r="B2462">
        <v>927.01237119999996</v>
      </c>
      <c r="C2462">
        <v>927.01237119999996</v>
      </c>
      <c r="D2462">
        <v>0</v>
      </c>
      <c r="E2462">
        <v>1961</v>
      </c>
      <c r="F2462" s="1">
        <v>0.39600000000000002</v>
      </c>
      <c r="H2462">
        <v>4902</v>
      </c>
      <c r="I2462" t="str">
        <f t="shared" si="76"/>
        <v>YES</v>
      </c>
      <c r="J2462" t="s">
        <v>2468</v>
      </c>
      <c r="K2462">
        <v>1126215.65836</v>
      </c>
      <c r="L2462">
        <f t="shared" si="77"/>
        <v>0</v>
      </c>
    </row>
    <row r="2463" spans="1:12" x14ac:dyDescent="0.25">
      <c r="A2463">
        <v>4903</v>
      </c>
      <c r="B2463">
        <v>9624.4028049999997</v>
      </c>
      <c r="C2463">
        <v>9624.4028049999997</v>
      </c>
      <c r="D2463">
        <v>0</v>
      </c>
      <c r="E2463">
        <v>2455.9999990000001</v>
      </c>
      <c r="F2463" s="1">
        <v>5.15</v>
      </c>
      <c r="H2463">
        <v>4903</v>
      </c>
      <c r="I2463" t="str">
        <f t="shared" si="76"/>
        <v>YES</v>
      </c>
      <c r="J2463" t="s">
        <v>2469</v>
      </c>
      <c r="K2463">
        <v>906884.39265000005</v>
      </c>
      <c r="L2463">
        <f t="shared" si="77"/>
        <v>0</v>
      </c>
    </row>
    <row r="2464" spans="1:12" x14ac:dyDescent="0.25">
      <c r="A2464">
        <v>4904</v>
      </c>
      <c r="B2464">
        <v>2744.7883980000001</v>
      </c>
      <c r="C2464">
        <v>2744.7883980000001</v>
      </c>
      <c r="D2464">
        <v>0</v>
      </c>
      <c r="E2464">
        <v>2402.0268139999998</v>
      </c>
      <c r="F2464" s="1">
        <v>1.44</v>
      </c>
      <c r="H2464">
        <v>4904</v>
      </c>
      <c r="I2464" t="str">
        <f t="shared" si="76"/>
        <v>YES</v>
      </c>
      <c r="J2464" t="s">
        <v>2470</v>
      </c>
      <c r="K2464">
        <v>894935.44019300002</v>
      </c>
      <c r="L2464">
        <f t="shared" si="77"/>
        <v>0</v>
      </c>
    </row>
    <row r="2465" spans="1:12" x14ac:dyDescent="0.25">
      <c r="A2465">
        <v>4905</v>
      </c>
      <c r="B2465">
        <v>1244.2457300000001</v>
      </c>
      <c r="C2465">
        <v>1244.2457300000001</v>
      </c>
      <c r="D2465">
        <v>0</v>
      </c>
      <c r="E2465">
        <v>1847</v>
      </c>
      <c r="F2465" s="1">
        <v>0.5</v>
      </c>
      <c r="H2465">
        <v>4905</v>
      </c>
      <c r="I2465" t="str">
        <f t="shared" si="76"/>
        <v>YES</v>
      </c>
      <c r="J2465" t="s">
        <v>2471</v>
      </c>
      <c r="K2465">
        <v>986169.13837199996</v>
      </c>
      <c r="L2465">
        <f t="shared" si="77"/>
        <v>0</v>
      </c>
    </row>
    <row r="2466" spans="1:12" x14ac:dyDescent="0.25">
      <c r="A2466">
        <v>4906</v>
      </c>
      <c r="B2466">
        <v>5369.4526329999999</v>
      </c>
      <c r="C2466">
        <v>5369.4526329999999</v>
      </c>
      <c r="D2466">
        <v>0</v>
      </c>
      <c r="E2466">
        <v>1958.9731859999999</v>
      </c>
      <c r="F2466" s="1">
        <v>2.29</v>
      </c>
      <c r="H2466">
        <v>4906</v>
      </c>
      <c r="I2466" t="str">
        <f t="shared" si="76"/>
        <v>YES</v>
      </c>
      <c r="J2466" t="s">
        <v>2472</v>
      </c>
      <c r="K2466">
        <v>782260.50812599994</v>
      </c>
      <c r="L2466">
        <f t="shared" si="77"/>
        <v>0</v>
      </c>
    </row>
    <row r="2467" spans="1:12" x14ac:dyDescent="0.25">
      <c r="A2467">
        <v>4907</v>
      </c>
      <c r="B2467">
        <v>120.9623172</v>
      </c>
      <c r="C2467">
        <v>120.9623172</v>
      </c>
      <c r="D2467">
        <v>0</v>
      </c>
      <c r="E2467">
        <v>7.6536663850000002</v>
      </c>
      <c r="F2467" s="1">
        <v>2.02E-4</v>
      </c>
      <c r="H2467">
        <v>4907</v>
      </c>
      <c r="I2467" t="str">
        <f t="shared" si="76"/>
        <v>YES</v>
      </c>
      <c r="J2467" t="s">
        <v>2473</v>
      </c>
      <c r="K2467">
        <v>8066664.7851600004</v>
      </c>
      <c r="L2467">
        <f t="shared" si="77"/>
        <v>0</v>
      </c>
    </row>
    <row r="2468" spans="1:12" x14ac:dyDescent="0.25">
      <c r="A2468">
        <v>4909</v>
      </c>
      <c r="B2468">
        <v>685.90646200000003</v>
      </c>
      <c r="C2468">
        <v>685.90646200000003</v>
      </c>
      <c r="D2468">
        <v>0</v>
      </c>
      <c r="E2468">
        <v>1695.481301</v>
      </c>
      <c r="F2468" s="1">
        <v>0.253</v>
      </c>
      <c r="H2468">
        <v>4909</v>
      </c>
      <c r="I2468" t="str">
        <f t="shared" si="76"/>
        <v>YES</v>
      </c>
      <c r="J2468" t="s">
        <v>2474</v>
      </c>
      <c r="K2468">
        <v>19756963.1785</v>
      </c>
      <c r="L2468">
        <f t="shared" si="77"/>
        <v>0</v>
      </c>
    </row>
    <row r="2469" spans="1:12" x14ac:dyDescent="0.25">
      <c r="A2469">
        <v>4910</v>
      </c>
      <c r="B2469">
        <v>580.8852809</v>
      </c>
      <c r="C2469">
        <v>580.8852809</v>
      </c>
      <c r="D2469">
        <v>0</v>
      </c>
      <c r="E2469">
        <v>2599.3158539999999</v>
      </c>
      <c r="F2469" s="1">
        <v>0.32900000000000001</v>
      </c>
      <c r="H2469">
        <v>4910</v>
      </c>
      <c r="I2469" t="str">
        <f t="shared" si="76"/>
        <v>YES</v>
      </c>
      <c r="J2469" t="s">
        <v>2475</v>
      </c>
      <c r="K2469">
        <v>2972179.17398</v>
      </c>
      <c r="L2469">
        <f t="shared" si="77"/>
        <v>0</v>
      </c>
    </row>
    <row r="2470" spans="1:12" x14ac:dyDescent="0.25">
      <c r="A2470">
        <v>4911</v>
      </c>
      <c r="B2470">
        <v>672.69970929999999</v>
      </c>
      <c r="C2470">
        <v>672.69970929999999</v>
      </c>
      <c r="D2470">
        <v>0</v>
      </c>
      <c r="E2470">
        <v>1682.9443550000001</v>
      </c>
      <c r="F2470" s="1">
        <v>0.246</v>
      </c>
      <c r="H2470">
        <v>4911</v>
      </c>
      <c r="I2470" t="str">
        <f t="shared" si="76"/>
        <v>YES</v>
      </c>
      <c r="J2470" t="s">
        <v>2476</v>
      </c>
      <c r="K2470">
        <v>12797303.561100001</v>
      </c>
      <c r="L2470">
        <f t="shared" si="77"/>
        <v>0</v>
      </c>
    </row>
    <row r="2471" spans="1:12" x14ac:dyDescent="0.25">
      <c r="A2471">
        <v>4912</v>
      </c>
      <c r="B2471">
        <v>161.32910910000001</v>
      </c>
      <c r="C2471">
        <v>161.32910910000001</v>
      </c>
      <c r="D2471">
        <v>0</v>
      </c>
      <c r="E2471">
        <v>658.4106481</v>
      </c>
      <c r="F2471" s="1">
        <v>2.3099999999999999E-2</v>
      </c>
      <c r="H2471">
        <v>4912</v>
      </c>
      <c r="I2471" t="str">
        <f t="shared" si="76"/>
        <v>YES</v>
      </c>
      <c r="J2471" t="s">
        <v>2477</v>
      </c>
      <c r="K2471">
        <v>1750028.7517500001</v>
      </c>
      <c r="L2471">
        <f t="shared" si="77"/>
        <v>0</v>
      </c>
    </row>
    <row r="2472" spans="1:12" x14ac:dyDescent="0.25">
      <c r="A2472">
        <v>4913</v>
      </c>
      <c r="B2472">
        <v>205.2920364</v>
      </c>
      <c r="C2472">
        <v>205.2920364</v>
      </c>
      <c r="D2472">
        <v>0</v>
      </c>
      <c r="E2472">
        <v>1729.495852</v>
      </c>
      <c r="F2472" s="1">
        <v>7.7299999999999994E-2</v>
      </c>
      <c r="H2472">
        <v>4913</v>
      </c>
      <c r="I2472" t="str">
        <f t="shared" si="76"/>
        <v>YES</v>
      </c>
      <c r="J2472" t="s">
        <v>2478</v>
      </c>
      <c r="K2472">
        <v>11890822.7809</v>
      </c>
      <c r="L2472">
        <f t="shared" si="77"/>
        <v>0</v>
      </c>
    </row>
    <row r="2473" spans="1:12" x14ac:dyDescent="0.25">
      <c r="A2473">
        <v>4914</v>
      </c>
      <c r="B2473">
        <v>444.16721239999998</v>
      </c>
      <c r="C2473">
        <v>444.16721239999998</v>
      </c>
      <c r="D2473">
        <v>0</v>
      </c>
      <c r="E2473">
        <v>3630.44103</v>
      </c>
      <c r="F2473" s="1">
        <v>0.35099999999999998</v>
      </c>
      <c r="H2473">
        <v>4914</v>
      </c>
      <c r="I2473" t="str">
        <f t="shared" si="76"/>
        <v>YES</v>
      </c>
      <c r="J2473" t="s">
        <v>2479</v>
      </c>
      <c r="K2473">
        <v>1094409.04427</v>
      </c>
      <c r="L2473">
        <f t="shared" si="77"/>
        <v>0</v>
      </c>
    </row>
    <row r="2474" spans="1:12" x14ac:dyDescent="0.25">
      <c r="A2474">
        <v>4915</v>
      </c>
      <c r="B2474">
        <v>453.74495810000002</v>
      </c>
      <c r="C2474">
        <v>453.74495810000002</v>
      </c>
      <c r="D2474">
        <v>0</v>
      </c>
      <c r="E2474">
        <v>2376.9310300000002</v>
      </c>
      <c r="F2474" s="1">
        <v>0.23499999999999999</v>
      </c>
      <c r="H2474">
        <v>4915</v>
      </c>
      <c r="I2474" t="str">
        <f t="shared" si="76"/>
        <v>YES</v>
      </c>
      <c r="J2474" t="s">
        <v>2480</v>
      </c>
      <c r="K2474">
        <v>1340729.49013</v>
      </c>
      <c r="L2474">
        <f t="shared" si="77"/>
        <v>0</v>
      </c>
    </row>
    <row r="2475" spans="1:12" x14ac:dyDescent="0.25">
      <c r="A2475">
        <v>4916</v>
      </c>
      <c r="B2475">
        <v>743.91963499999997</v>
      </c>
      <c r="C2475">
        <v>743.91963499999997</v>
      </c>
      <c r="D2475">
        <v>0</v>
      </c>
      <c r="E2475">
        <v>1264.240335</v>
      </c>
      <c r="F2475" s="1">
        <v>0.20499999999999999</v>
      </c>
      <c r="H2475">
        <v>4916</v>
      </c>
      <c r="I2475" t="str">
        <f t="shared" si="76"/>
        <v>YES</v>
      </c>
      <c r="J2475" t="s">
        <v>2481</v>
      </c>
      <c r="K2475">
        <v>693946.89340900001</v>
      </c>
      <c r="L2475">
        <f t="shared" si="77"/>
        <v>0</v>
      </c>
    </row>
    <row r="2476" spans="1:12" x14ac:dyDescent="0.25">
      <c r="A2476">
        <v>4917</v>
      </c>
      <c r="B2476">
        <v>546.18502469999999</v>
      </c>
      <c r="C2476">
        <v>546.18502469999999</v>
      </c>
      <c r="D2476">
        <v>0</v>
      </c>
      <c r="E2476">
        <v>4481.8496599999999</v>
      </c>
      <c r="F2476" s="1">
        <v>0.53300000000000003</v>
      </c>
      <c r="H2476">
        <v>4917</v>
      </c>
      <c r="I2476" t="str">
        <f t="shared" si="76"/>
        <v>YES</v>
      </c>
      <c r="J2476" t="s">
        <v>2482</v>
      </c>
      <c r="K2476">
        <v>3334335.8810000001</v>
      </c>
      <c r="L2476">
        <f t="shared" si="77"/>
        <v>0</v>
      </c>
    </row>
    <row r="2477" spans="1:12" x14ac:dyDescent="0.25">
      <c r="A2477">
        <v>4918</v>
      </c>
      <c r="B2477">
        <v>1130.3455530000001</v>
      </c>
      <c r="C2477">
        <v>1130.3455530000001</v>
      </c>
      <c r="D2477">
        <v>0</v>
      </c>
      <c r="E2477">
        <v>3425.4359119999999</v>
      </c>
      <c r="F2477" s="1">
        <v>0.84299999999999997</v>
      </c>
      <c r="H2477">
        <v>4918</v>
      </c>
      <c r="I2477" t="str">
        <f t="shared" si="76"/>
        <v>YES</v>
      </c>
      <c r="J2477" t="s">
        <v>2483</v>
      </c>
      <c r="K2477">
        <v>1246196.2871300001</v>
      </c>
      <c r="L2477">
        <f t="shared" si="77"/>
        <v>0</v>
      </c>
    </row>
    <row r="2478" spans="1:12" x14ac:dyDescent="0.25">
      <c r="A2478">
        <v>4919</v>
      </c>
      <c r="B2478">
        <v>10.9385376</v>
      </c>
      <c r="C2478">
        <v>10.9385376</v>
      </c>
      <c r="D2478">
        <v>0</v>
      </c>
      <c r="E2478">
        <v>1.0407399999999999E-4</v>
      </c>
      <c r="F2478" s="1">
        <v>2.4800000000000002E-10</v>
      </c>
      <c r="H2478">
        <v>4919</v>
      </c>
      <c r="I2478" t="str">
        <f t="shared" si="76"/>
        <v>YES</v>
      </c>
      <c r="J2478" t="s">
        <v>2484</v>
      </c>
      <c r="K2478">
        <v>4360592.3047900004</v>
      </c>
      <c r="L2478">
        <f t="shared" si="77"/>
        <v>0</v>
      </c>
    </row>
    <row r="2479" spans="1:12" x14ac:dyDescent="0.25">
      <c r="A2479">
        <v>4920</v>
      </c>
      <c r="B2479">
        <v>108.3957954</v>
      </c>
      <c r="C2479">
        <v>108.3957954</v>
      </c>
      <c r="D2479">
        <v>0</v>
      </c>
      <c r="E2479">
        <v>811.80025409999996</v>
      </c>
      <c r="F2479" s="1">
        <v>1.9199999999999998E-2</v>
      </c>
      <c r="H2479">
        <v>4920</v>
      </c>
      <c r="I2479" t="str">
        <f t="shared" si="76"/>
        <v>YES</v>
      </c>
      <c r="J2479" t="s">
        <v>2485</v>
      </c>
      <c r="K2479">
        <v>2082414.8086900001</v>
      </c>
      <c r="L2479">
        <f t="shared" si="77"/>
        <v>0</v>
      </c>
    </row>
    <row r="2480" spans="1:12" x14ac:dyDescent="0.25">
      <c r="A2480">
        <v>4922</v>
      </c>
      <c r="B2480">
        <v>490.04229290000001</v>
      </c>
      <c r="C2480">
        <v>490.04229290000001</v>
      </c>
      <c r="D2480">
        <v>0</v>
      </c>
      <c r="E2480">
        <v>3358.9236470000001</v>
      </c>
      <c r="F2480" s="1">
        <v>0.35799999999999998</v>
      </c>
      <c r="H2480">
        <v>4922</v>
      </c>
      <c r="I2480" t="str">
        <f t="shared" ref="I2480:I2543" si="78">IF(A2480=H2480,"YES","NO")</f>
        <v>YES</v>
      </c>
      <c r="J2480" t="s">
        <v>2486</v>
      </c>
      <c r="K2480">
        <v>3224482.9117700001</v>
      </c>
      <c r="L2480">
        <f t="shared" si="77"/>
        <v>0</v>
      </c>
    </row>
    <row r="2481" spans="1:12" x14ac:dyDescent="0.25">
      <c r="A2481">
        <v>4923</v>
      </c>
      <c r="B2481">
        <v>3752.3042999999998</v>
      </c>
      <c r="C2481">
        <v>3752.3042999999998</v>
      </c>
      <c r="D2481">
        <v>0</v>
      </c>
      <c r="E2481">
        <v>375.5909661</v>
      </c>
      <c r="F2481" s="1">
        <v>0.307</v>
      </c>
      <c r="H2481">
        <v>4923</v>
      </c>
      <c r="I2481" t="str">
        <f t="shared" si="78"/>
        <v>YES</v>
      </c>
      <c r="J2481" t="s">
        <v>2487</v>
      </c>
      <c r="K2481">
        <v>4025667.6409</v>
      </c>
      <c r="L2481">
        <f t="shared" si="77"/>
        <v>0</v>
      </c>
    </row>
    <row r="2482" spans="1:12" x14ac:dyDescent="0.25">
      <c r="A2482">
        <v>4924</v>
      </c>
      <c r="B2482">
        <v>13870.45722</v>
      </c>
      <c r="C2482">
        <v>13870.45722</v>
      </c>
      <c r="D2482">
        <v>0</v>
      </c>
      <c r="E2482">
        <v>2815.3915489999999</v>
      </c>
      <c r="F2482" s="1">
        <v>8.5</v>
      </c>
      <c r="H2482">
        <v>4924</v>
      </c>
      <c r="I2482" t="str">
        <f t="shared" si="78"/>
        <v>YES</v>
      </c>
      <c r="J2482" t="s">
        <v>2488</v>
      </c>
      <c r="K2482">
        <v>1903731.1033099999</v>
      </c>
      <c r="L2482">
        <f t="shared" si="77"/>
        <v>0</v>
      </c>
    </row>
    <row r="2483" spans="1:12" x14ac:dyDescent="0.25">
      <c r="A2483">
        <v>4925</v>
      </c>
      <c r="B2483">
        <v>1605.5168980000001</v>
      </c>
      <c r="C2483">
        <v>1605.5168980000001</v>
      </c>
      <c r="D2483">
        <v>0</v>
      </c>
      <c r="E2483">
        <v>2590.5769209999999</v>
      </c>
      <c r="F2483" s="1">
        <v>0.90600000000000003</v>
      </c>
      <c r="H2483">
        <v>4925</v>
      </c>
      <c r="I2483" t="str">
        <f t="shared" si="78"/>
        <v>YES</v>
      </c>
      <c r="J2483" t="s">
        <v>2489</v>
      </c>
      <c r="K2483">
        <v>1153296.15897</v>
      </c>
      <c r="L2483">
        <f t="shared" si="77"/>
        <v>0</v>
      </c>
    </row>
    <row r="2484" spans="1:12" x14ac:dyDescent="0.25">
      <c r="A2484">
        <v>4926</v>
      </c>
      <c r="B2484">
        <v>1878.9189530000001</v>
      </c>
      <c r="C2484">
        <v>1878.9189530000001</v>
      </c>
      <c r="D2484">
        <v>0</v>
      </c>
      <c r="E2484">
        <v>2850.945937</v>
      </c>
      <c r="F2484" s="1">
        <v>1.17</v>
      </c>
      <c r="H2484">
        <v>4926</v>
      </c>
      <c r="I2484" t="str">
        <f t="shared" si="78"/>
        <v>YES</v>
      </c>
      <c r="J2484" t="s">
        <v>2490</v>
      </c>
      <c r="K2484">
        <v>1351636.4042</v>
      </c>
      <c r="L2484">
        <f t="shared" si="77"/>
        <v>0</v>
      </c>
    </row>
    <row r="2485" spans="1:12" x14ac:dyDescent="0.25">
      <c r="A2485">
        <v>4927</v>
      </c>
      <c r="B2485">
        <v>1055.632523</v>
      </c>
      <c r="C2485">
        <v>1055.632523</v>
      </c>
      <c r="D2485">
        <v>0</v>
      </c>
      <c r="E2485">
        <v>2580.57098</v>
      </c>
      <c r="F2485" s="1">
        <v>0.59299999999999997</v>
      </c>
      <c r="H2485">
        <v>4927</v>
      </c>
      <c r="I2485" t="str">
        <f t="shared" si="78"/>
        <v>YES</v>
      </c>
      <c r="J2485" t="s">
        <v>2491</v>
      </c>
      <c r="K2485">
        <v>2110038.5044999998</v>
      </c>
      <c r="L2485">
        <f t="shared" si="77"/>
        <v>0</v>
      </c>
    </row>
    <row r="2486" spans="1:12" x14ac:dyDescent="0.25">
      <c r="A2486">
        <v>4930</v>
      </c>
      <c r="B2486">
        <v>154.52506399999999</v>
      </c>
      <c r="C2486">
        <v>154.52506399999999</v>
      </c>
      <c r="D2486">
        <v>0</v>
      </c>
      <c r="E2486">
        <v>642.99999990000003</v>
      </c>
      <c r="F2486" s="1">
        <v>2.1600000000000001E-2</v>
      </c>
      <c r="H2486">
        <v>4930</v>
      </c>
      <c r="I2486" t="str">
        <f t="shared" si="78"/>
        <v>YES</v>
      </c>
      <c r="J2486" t="s">
        <v>2492</v>
      </c>
      <c r="K2486">
        <v>1141545.7961599999</v>
      </c>
      <c r="L2486">
        <f t="shared" si="77"/>
        <v>0</v>
      </c>
    </row>
    <row r="2487" spans="1:12" x14ac:dyDescent="0.25">
      <c r="A2487">
        <v>4931</v>
      </c>
      <c r="B2487">
        <v>1248.2415800000001</v>
      </c>
      <c r="C2487">
        <v>1248.2415800000001</v>
      </c>
      <c r="D2487">
        <v>0</v>
      </c>
      <c r="E2487">
        <v>2158.546214</v>
      </c>
      <c r="F2487" s="1">
        <v>0.58699999999999997</v>
      </c>
      <c r="H2487">
        <v>4931</v>
      </c>
      <c r="I2487" t="str">
        <f t="shared" si="78"/>
        <v>YES</v>
      </c>
      <c r="J2487" t="s">
        <v>2493</v>
      </c>
      <c r="K2487">
        <v>804616.26225100004</v>
      </c>
      <c r="L2487">
        <f t="shared" si="77"/>
        <v>0</v>
      </c>
    </row>
    <row r="2488" spans="1:12" x14ac:dyDescent="0.25">
      <c r="A2488">
        <v>4932</v>
      </c>
      <c r="B2488">
        <v>1884.527167</v>
      </c>
      <c r="C2488">
        <v>1884.527167</v>
      </c>
      <c r="D2488">
        <v>0</v>
      </c>
      <c r="E2488">
        <v>3313.4537850000002</v>
      </c>
      <c r="F2488" s="1">
        <v>1.36</v>
      </c>
      <c r="H2488">
        <v>4932</v>
      </c>
      <c r="I2488" t="str">
        <f t="shared" si="78"/>
        <v>YES</v>
      </c>
      <c r="J2488" t="s">
        <v>2494</v>
      </c>
      <c r="K2488">
        <v>748734.07365000003</v>
      </c>
      <c r="L2488">
        <f t="shared" si="77"/>
        <v>0</v>
      </c>
    </row>
    <row r="2489" spans="1:12" x14ac:dyDescent="0.25">
      <c r="A2489">
        <v>4933</v>
      </c>
      <c r="B2489">
        <v>1838.1353630000001</v>
      </c>
      <c r="C2489">
        <v>1838.1353630000001</v>
      </c>
      <c r="D2489">
        <v>0</v>
      </c>
      <c r="E2489">
        <v>3819.0000009999999</v>
      </c>
      <c r="F2489" s="1">
        <v>1.53</v>
      </c>
      <c r="H2489">
        <v>4933</v>
      </c>
      <c r="I2489" t="str">
        <f t="shared" si="78"/>
        <v>YES</v>
      </c>
      <c r="J2489" t="s">
        <v>2495</v>
      </c>
      <c r="K2489">
        <v>1495337.5740700001</v>
      </c>
      <c r="L2489">
        <f t="shared" si="77"/>
        <v>0</v>
      </c>
    </row>
    <row r="2490" spans="1:12" x14ac:dyDescent="0.25">
      <c r="A2490">
        <v>4934</v>
      </c>
      <c r="B2490">
        <v>1238.528206</v>
      </c>
      <c r="C2490">
        <v>1238.528206</v>
      </c>
      <c r="D2490">
        <v>0</v>
      </c>
      <c r="E2490">
        <v>1847</v>
      </c>
      <c r="F2490" s="1">
        <v>0.498</v>
      </c>
      <c r="H2490">
        <v>4934</v>
      </c>
      <c r="I2490" t="str">
        <f t="shared" si="78"/>
        <v>YES</v>
      </c>
      <c r="J2490" t="s">
        <v>2496</v>
      </c>
      <c r="K2490">
        <v>1527706.70808</v>
      </c>
      <c r="L2490">
        <f t="shared" si="77"/>
        <v>0</v>
      </c>
    </row>
    <row r="2491" spans="1:12" x14ac:dyDescent="0.25">
      <c r="A2491">
        <v>4935</v>
      </c>
      <c r="B2491">
        <v>1970.96749</v>
      </c>
      <c r="C2491">
        <v>1970.96749</v>
      </c>
      <c r="D2491">
        <v>0</v>
      </c>
      <c r="E2491">
        <v>4213.9999989999997</v>
      </c>
      <c r="F2491" s="1">
        <v>1.81</v>
      </c>
      <c r="H2491">
        <v>4935</v>
      </c>
      <c r="I2491" t="str">
        <f t="shared" si="78"/>
        <v>YES</v>
      </c>
      <c r="J2491" t="s">
        <v>2497</v>
      </c>
      <c r="K2491">
        <v>1230522.39726</v>
      </c>
      <c r="L2491">
        <f t="shared" si="77"/>
        <v>0</v>
      </c>
    </row>
    <row r="2492" spans="1:12" x14ac:dyDescent="0.25">
      <c r="A2492">
        <v>4936</v>
      </c>
      <c r="B2492">
        <v>1735.295644</v>
      </c>
      <c r="C2492">
        <v>1735.295644</v>
      </c>
      <c r="D2492">
        <v>0</v>
      </c>
      <c r="E2492">
        <v>2682</v>
      </c>
      <c r="F2492" s="1">
        <v>1.01</v>
      </c>
      <c r="H2492">
        <v>4936</v>
      </c>
      <c r="I2492" t="str">
        <f t="shared" si="78"/>
        <v>YES</v>
      </c>
      <c r="J2492" t="s">
        <v>2498</v>
      </c>
      <c r="K2492">
        <v>788450.81043099996</v>
      </c>
      <c r="L2492">
        <f t="shared" si="77"/>
        <v>0</v>
      </c>
    </row>
    <row r="2493" spans="1:12" x14ac:dyDescent="0.25">
      <c r="A2493">
        <v>4937</v>
      </c>
      <c r="B2493">
        <v>676.59730200000001</v>
      </c>
      <c r="C2493">
        <v>676.59730200000001</v>
      </c>
      <c r="D2493">
        <v>0</v>
      </c>
      <c r="E2493">
        <v>3065</v>
      </c>
      <c r="F2493" s="1">
        <v>0.45200000000000001</v>
      </c>
      <c r="H2493">
        <v>4937</v>
      </c>
      <c r="I2493" t="str">
        <f t="shared" si="78"/>
        <v>YES</v>
      </c>
      <c r="J2493" t="s">
        <v>2499</v>
      </c>
      <c r="K2493">
        <v>1479632.0056100001</v>
      </c>
      <c r="L2493">
        <f t="shared" si="77"/>
        <v>0</v>
      </c>
    </row>
    <row r="2494" spans="1:12" x14ac:dyDescent="0.25">
      <c r="A2494">
        <v>4940</v>
      </c>
      <c r="B2494">
        <v>6555.7529340000001</v>
      </c>
      <c r="C2494">
        <v>6555.7529340000001</v>
      </c>
      <c r="D2494">
        <v>0</v>
      </c>
      <c r="E2494">
        <v>2717.7896049999999</v>
      </c>
      <c r="F2494" s="1">
        <v>3.88</v>
      </c>
      <c r="H2494">
        <v>4940</v>
      </c>
      <c r="I2494" t="str">
        <f t="shared" si="78"/>
        <v>YES</v>
      </c>
      <c r="J2494" t="s">
        <v>2500</v>
      </c>
      <c r="K2494">
        <v>2748009.0622200002</v>
      </c>
      <c r="L2494">
        <f t="shared" si="77"/>
        <v>0</v>
      </c>
    </row>
    <row r="2495" spans="1:12" x14ac:dyDescent="0.25">
      <c r="A2495">
        <v>4941</v>
      </c>
      <c r="B2495">
        <v>3256.2456480000001</v>
      </c>
      <c r="C2495">
        <v>3256.2456480000001</v>
      </c>
      <c r="D2495">
        <v>0</v>
      </c>
      <c r="E2495">
        <v>2219.80627</v>
      </c>
      <c r="F2495" s="1">
        <v>1.57</v>
      </c>
      <c r="H2495">
        <v>4941</v>
      </c>
      <c r="I2495" t="str">
        <f t="shared" si="78"/>
        <v>YES</v>
      </c>
      <c r="J2495" t="s">
        <v>2501</v>
      </c>
      <c r="K2495">
        <v>1179210.3182600001</v>
      </c>
      <c r="L2495">
        <f t="shared" si="77"/>
        <v>0</v>
      </c>
    </row>
    <row r="2496" spans="1:12" x14ac:dyDescent="0.25">
      <c r="A2496">
        <v>4942</v>
      </c>
      <c r="B2496">
        <v>5581.8128969999998</v>
      </c>
      <c r="C2496">
        <v>5581.8128969999998</v>
      </c>
      <c r="D2496">
        <v>0</v>
      </c>
      <c r="E2496">
        <v>3902.1017510000001</v>
      </c>
      <c r="F2496" s="1">
        <v>4.74</v>
      </c>
      <c r="H2496">
        <v>4942</v>
      </c>
      <c r="I2496" t="str">
        <f t="shared" si="78"/>
        <v>YES</v>
      </c>
      <c r="J2496" t="s">
        <v>2502</v>
      </c>
      <c r="K2496">
        <v>1402660.10198</v>
      </c>
      <c r="L2496">
        <f t="shared" si="77"/>
        <v>0</v>
      </c>
    </row>
    <row r="2497" spans="1:12" x14ac:dyDescent="0.25">
      <c r="A2497">
        <v>4943</v>
      </c>
      <c r="B2497">
        <v>5610.1399300000003</v>
      </c>
      <c r="C2497">
        <v>5610.1399300000003</v>
      </c>
      <c r="D2497">
        <v>0</v>
      </c>
      <c r="E2497">
        <v>2908.5666350000001</v>
      </c>
      <c r="F2497" s="1">
        <v>3.55</v>
      </c>
      <c r="H2497">
        <v>4943</v>
      </c>
      <c r="I2497" t="str">
        <f t="shared" si="78"/>
        <v>YES</v>
      </c>
      <c r="J2497" t="s">
        <v>2503</v>
      </c>
      <c r="K2497">
        <v>1202440.0561500001</v>
      </c>
      <c r="L2497">
        <f t="shared" si="77"/>
        <v>0</v>
      </c>
    </row>
    <row r="2498" spans="1:12" x14ac:dyDescent="0.25">
      <c r="A2498">
        <v>4944</v>
      </c>
      <c r="B2498">
        <v>1632.387477</v>
      </c>
      <c r="C2498">
        <v>1632.387477</v>
      </c>
      <c r="D2498">
        <v>0</v>
      </c>
      <c r="E2498">
        <v>2609.4055069999999</v>
      </c>
      <c r="F2498" s="1">
        <v>0.92700000000000005</v>
      </c>
      <c r="H2498">
        <v>4944</v>
      </c>
      <c r="I2498" t="str">
        <f t="shared" si="78"/>
        <v>YES</v>
      </c>
      <c r="J2498" t="s">
        <v>2504</v>
      </c>
      <c r="K2498">
        <v>1119128.7764000001</v>
      </c>
      <c r="L2498">
        <f t="shared" si="77"/>
        <v>0</v>
      </c>
    </row>
    <row r="2499" spans="1:12" x14ac:dyDescent="0.25">
      <c r="A2499">
        <v>4945</v>
      </c>
      <c r="B2499">
        <v>4888.6331250000003</v>
      </c>
      <c r="C2499">
        <v>4888.6331250000003</v>
      </c>
      <c r="D2499">
        <v>0</v>
      </c>
      <c r="E2499">
        <v>3380.3302319999998</v>
      </c>
      <c r="F2499" s="1">
        <v>3.6</v>
      </c>
      <c r="H2499">
        <v>4945</v>
      </c>
      <c r="I2499" t="str">
        <f t="shared" si="78"/>
        <v>YES</v>
      </c>
      <c r="J2499" t="s">
        <v>2505</v>
      </c>
      <c r="K2499">
        <v>1350227.04363</v>
      </c>
      <c r="L2499">
        <f t="shared" ref="L2499:L2562" si="79">EXP(0.2052)*K2499*(D2499/C2499)</f>
        <v>0</v>
      </c>
    </row>
    <row r="2500" spans="1:12" x14ac:dyDescent="0.25">
      <c r="A2500">
        <v>4948</v>
      </c>
      <c r="B2500">
        <v>2680.4896560000002</v>
      </c>
      <c r="C2500">
        <v>2680.4896560000002</v>
      </c>
      <c r="D2500">
        <v>0</v>
      </c>
      <c r="E2500">
        <v>2401.554752</v>
      </c>
      <c r="F2500" s="1">
        <v>1.4</v>
      </c>
      <c r="H2500">
        <v>4948</v>
      </c>
      <c r="I2500" t="str">
        <f t="shared" si="78"/>
        <v>YES</v>
      </c>
      <c r="J2500" t="s">
        <v>2506</v>
      </c>
      <c r="K2500">
        <v>1323008.5085100001</v>
      </c>
      <c r="L2500">
        <f t="shared" si="79"/>
        <v>0</v>
      </c>
    </row>
    <row r="2501" spans="1:12" x14ac:dyDescent="0.25">
      <c r="A2501">
        <v>4949</v>
      </c>
      <c r="B2501">
        <v>21103.427660000001</v>
      </c>
      <c r="C2501">
        <v>21103.427660000001</v>
      </c>
      <c r="D2501">
        <v>0</v>
      </c>
      <c r="E2501">
        <v>1703.289434</v>
      </c>
      <c r="F2501" s="1">
        <v>7.83</v>
      </c>
      <c r="H2501">
        <v>4949</v>
      </c>
      <c r="I2501" t="str">
        <f t="shared" si="78"/>
        <v>YES</v>
      </c>
      <c r="J2501" t="s">
        <v>2507</v>
      </c>
      <c r="K2501">
        <v>872648.94045800006</v>
      </c>
      <c r="L2501">
        <f t="shared" si="79"/>
        <v>0</v>
      </c>
    </row>
    <row r="2502" spans="1:12" x14ac:dyDescent="0.25">
      <c r="A2502">
        <v>4950</v>
      </c>
      <c r="B2502">
        <v>2256.251757</v>
      </c>
      <c r="C2502">
        <v>2256.251757</v>
      </c>
      <c r="D2502">
        <v>0</v>
      </c>
      <c r="E2502">
        <v>1043.6282289999999</v>
      </c>
      <c r="F2502" s="1">
        <v>0.51300000000000001</v>
      </c>
      <c r="H2502">
        <v>4950</v>
      </c>
      <c r="I2502" t="str">
        <f t="shared" si="78"/>
        <v>YES</v>
      </c>
      <c r="J2502" t="s">
        <v>2508</v>
      </c>
      <c r="K2502">
        <v>754755.75505399995</v>
      </c>
      <c r="L2502">
        <f t="shared" si="79"/>
        <v>0</v>
      </c>
    </row>
    <row r="2503" spans="1:12" x14ac:dyDescent="0.25">
      <c r="A2503">
        <v>4951</v>
      </c>
      <c r="B2503">
        <v>25849.438480000001</v>
      </c>
      <c r="C2503">
        <v>25849.438480000001</v>
      </c>
      <c r="D2503">
        <v>0</v>
      </c>
      <c r="E2503">
        <v>865.26974159999997</v>
      </c>
      <c r="F2503" s="1">
        <v>4.87</v>
      </c>
      <c r="H2503">
        <v>4951</v>
      </c>
      <c r="I2503" t="str">
        <f t="shared" si="78"/>
        <v>YES</v>
      </c>
      <c r="J2503" t="s">
        <v>2509</v>
      </c>
      <c r="K2503">
        <v>405744.09795000002</v>
      </c>
      <c r="L2503">
        <f t="shared" si="79"/>
        <v>0</v>
      </c>
    </row>
    <row r="2504" spans="1:12" x14ac:dyDescent="0.25">
      <c r="A2504">
        <v>4952</v>
      </c>
      <c r="B2504">
        <v>9298.428183</v>
      </c>
      <c r="C2504">
        <v>9298.428183</v>
      </c>
      <c r="D2504">
        <v>0</v>
      </c>
      <c r="E2504">
        <v>2168.966997</v>
      </c>
      <c r="F2504" s="1">
        <v>4.3899999999999997</v>
      </c>
      <c r="H2504">
        <v>4952</v>
      </c>
      <c r="I2504" t="str">
        <f t="shared" si="78"/>
        <v>YES</v>
      </c>
      <c r="J2504" t="s">
        <v>2510</v>
      </c>
      <c r="K2504">
        <v>1006129.12923</v>
      </c>
      <c r="L2504">
        <f t="shared" si="79"/>
        <v>0</v>
      </c>
    </row>
    <row r="2505" spans="1:12" x14ac:dyDescent="0.25">
      <c r="A2505">
        <v>4953</v>
      </c>
      <c r="B2505">
        <v>2937.2226249999999</v>
      </c>
      <c r="C2505">
        <v>2937.2226249999999</v>
      </c>
      <c r="D2505">
        <v>0</v>
      </c>
      <c r="E2505">
        <v>699.4513604</v>
      </c>
      <c r="F2505" s="1">
        <v>0.44700000000000001</v>
      </c>
      <c r="H2505">
        <v>4953</v>
      </c>
      <c r="I2505" t="str">
        <f t="shared" si="78"/>
        <v>YES</v>
      </c>
      <c r="J2505" t="s">
        <v>2511</v>
      </c>
      <c r="K2505">
        <v>2188953.0059000002</v>
      </c>
      <c r="L2505">
        <f t="shared" si="79"/>
        <v>0</v>
      </c>
    </row>
    <row r="2506" spans="1:12" x14ac:dyDescent="0.25">
      <c r="A2506">
        <v>4954</v>
      </c>
      <c r="B2506">
        <v>17524.36695</v>
      </c>
      <c r="C2506">
        <v>17524.36695</v>
      </c>
      <c r="D2506">
        <v>0</v>
      </c>
      <c r="E2506">
        <v>3834.6567930000001</v>
      </c>
      <c r="F2506" s="1">
        <v>14.6</v>
      </c>
      <c r="H2506">
        <v>4954</v>
      </c>
      <c r="I2506" t="str">
        <f t="shared" si="78"/>
        <v>YES</v>
      </c>
      <c r="J2506" t="s">
        <v>2512</v>
      </c>
      <c r="K2506">
        <v>1549581.5841099999</v>
      </c>
      <c r="L2506">
        <f t="shared" si="79"/>
        <v>0</v>
      </c>
    </row>
    <row r="2507" spans="1:12" x14ac:dyDescent="0.25">
      <c r="A2507">
        <v>4955</v>
      </c>
      <c r="B2507">
        <v>9078.1309829999991</v>
      </c>
      <c r="C2507">
        <v>9078.1309829999991</v>
      </c>
      <c r="D2507">
        <v>0</v>
      </c>
      <c r="E2507">
        <v>1490.4840389999999</v>
      </c>
      <c r="F2507" s="1">
        <v>2.95</v>
      </c>
      <c r="H2507">
        <v>4955</v>
      </c>
      <c r="I2507" t="str">
        <f t="shared" si="78"/>
        <v>YES</v>
      </c>
      <c r="J2507" t="s">
        <v>2513</v>
      </c>
      <c r="K2507">
        <v>2577142.3906100001</v>
      </c>
      <c r="L2507">
        <f t="shared" si="79"/>
        <v>0</v>
      </c>
    </row>
    <row r="2508" spans="1:12" x14ac:dyDescent="0.25">
      <c r="A2508">
        <v>4956</v>
      </c>
      <c r="B2508">
        <v>3572.1846409999998</v>
      </c>
      <c r="C2508">
        <v>3572.1846409999998</v>
      </c>
      <c r="D2508">
        <v>0</v>
      </c>
      <c r="E2508">
        <v>2173.4734840000001</v>
      </c>
      <c r="F2508" s="1">
        <v>1.69</v>
      </c>
      <c r="H2508">
        <v>4956</v>
      </c>
      <c r="I2508" t="str">
        <f t="shared" si="78"/>
        <v>YES</v>
      </c>
      <c r="J2508" t="s">
        <v>2514</v>
      </c>
      <c r="K2508">
        <v>673344.66746699996</v>
      </c>
      <c r="L2508">
        <f t="shared" si="79"/>
        <v>0</v>
      </c>
    </row>
    <row r="2509" spans="1:12" x14ac:dyDescent="0.25">
      <c r="A2509">
        <v>4957</v>
      </c>
      <c r="B2509">
        <v>1895.553095</v>
      </c>
      <c r="C2509">
        <v>1895.553095</v>
      </c>
      <c r="D2509">
        <v>0</v>
      </c>
      <c r="E2509">
        <v>2730.8771769999998</v>
      </c>
      <c r="F2509" s="1">
        <v>1.1299999999999999</v>
      </c>
      <c r="H2509">
        <v>4957</v>
      </c>
      <c r="I2509" t="str">
        <f t="shared" si="78"/>
        <v>YES</v>
      </c>
      <c r="J2509" t="s">
        <v>2515</v>
      </c>
      <c r="K2509">
        <v>2360880.0597399999</v>
      </c>
      <c r="L2509">
        <f t="shared" si="79"/>
        <v>0</v>
      </c>
    </row>
    <row r="2510" spans="1:12" x14ac:dyDescent="0.25">
      <c r="A2510">
        <v>4958</v>
      </c>
      <c r="B2510">
        <v>521.58403759999999</v>
      </c>
      <c r="C2510">
        <v>521.58403759999999</v>
      </c>
      <c r="D2510">
        <v>0</v>
      </c>
      <c r="E2510">
        <v>2687.4608619999999</v>
      </c>
      <c r="F2510" s="1">
        <v>0.30499999999999999</v>
      </c>
      <c r="H2510">
        <v>4958</v>
      </c>
      <c r="I2510" t="str">
        <f t="shared" si="78"/>
        <v>YES</v>
      </c>
      <c r="J2510" t="s">
        <v>2516</v>
      </c>
      <c r="K2510">
        <v>1797079.7163499999</v>
      </c>
      <c r="L2510">
        <f t="shared" si="79"/>
        <v>0</v>
      </c>
    </row>
    <row r="2511" spans="1:12" x14ac:dyDescent="0.25">
      <c r="A2511">
        <v>4959</v>
      </c>
      <c r="B2511">
        <v>18590.483090000002</v>
      </c>
      <c r="C2511">
        <v>18590.483090000002</v>
      </c>
      <c r="D2511">
        <v>0</v>
      </c>
      <c r="E2511">
        <v>932.3479949</v>
      </c>
      <c r="F2511" s="1">
        <v>3.77</v>
      </c>
      <c r="H2511">
        <v>4959</v>
      </c>
      <c r="I2511" t="str">
        <f t="shared" si="78"/>
        <v>YES</v>
      </c>
      <c r="J2511" t="s">
        <v>2517</v>
      </c>
      <c r="K2511">
        <v>285253.67368399998</v>
      </c>
      <c r="L2511">
        <f t="shared" si="79"/>
        <v>0</v>
      </c>
    </row>
    <row r="2512" spans="1:12" x14ac:dyDescent="0.25">
      <c r="A2512">
        <v>4960</v>
      </c>
      <c r="B2512">
        <v>616.4204297</v>
      </c>
      <c r="C2512">
        <v>616.4204297</v>
      </c>
      <c r="D2512">
        <v>0</v>
      </c>
      <c r="E2512">
        <v>497.54842919999999</v>
      </c>
      <c r="F2512" s="1">
        <v>6.6799999999999998E-2</v>
      </c>
      <c r="H2512">
        <v>4960</v>
      </c>
      <c r="I2512" t="str">
        <f t="shared" si="78"/>
        <v>YES</v>
      </c>
      <c r="J2512" t="s">
        <v>2518</v>
      </c>
      <c r="K2512">
        <v>2926387.7534699999</v>
      </c>
      <c r="L2512">
        <f t="shared" si="79"/>
        <v>0</v>
      </c>
    </row>
    <row r="2513" spans="1:12" x14ac:dyDescent="0.25">
      <c r="A2513">
        <v>4961</v>
      </c>
      <c r="B2513">
        <v>616.4204297</v>
      </c>
      <c r="C2513">
        <v>616.4204297</v>
      </c>
      <c r="D2513">
        <v>0</v>
      </c>
      <c r="E2513">
        <v>599.81543209999995</v>
      </c>
      <c r="F2513" s="1">
        <v>8.0500000000000002E-2</v>
      </c>
      <c r="H2513">
        <v>4961</v>
      </c>
      <c r="I2513" t="str">
        <f t="shared" si="78"/>
        <v>YES</v>
      </c>
      <c r="J2513" t="s">
        <v>2519</v>
      </c>
      <c r="K2513">
        <v>5144792.8063000003</v>
      </c>
      <c r="L2513">
        <f t="shared" si="79"/>
        <v>0</v>
      </c>
    </row>
    <row r="2514" spans="1:12" x14ac:dyDescent="0.25">
      <c r="A2514">
        <v>4962</v>
      </c>
      <c r="B2514">
        <v>78.120731539999994</v>
      </c>
      <c r="C2514">
        <v>78.120731539999994</v>
      </c>
      <c r="D2514">
        <v>0</v>
      </c>
      <c r="E2514">
        <v>177.03682979999999</v>
      </c>
      <c r="F2514" s="1">
        <v>3.0100000000000001E-3</v>
      </c>
      <c r="H2514">
        <v>4962</v>
      </c>
      <c r="I2514" t="str">
        <f t="shared" si="78"/>
        <v>YES</v>
      </c>
      <c r="J2514" t="s">
        <v>2520</v>
      </c>
      <c r="K2514">
        <v>13750287.6764</v>
      </c>
      <c r="L2514">
        <f t="shared" si="79"/>
        <v>0</v>
      </c>
    </row>
    <row r="2515" spans="1:12" x14ac:dyDescent="0.25">
      <c r="A2515">
        <v>4963</v>
      </c>
      <c r="B2515">
        <v>21.714880709999999</v>
      </c>
      <c r="C2515">
        <v>21.714880709999999</v>
      </c>
      <c r="D2515">
        <v>0</v>
      </c>
      <c r="E2515">
        <v>79.254944929999994</v>
      </c>
      <c r="F2515" s="1">
        <v>3.7500000000000001E-4</v>
      </c>
      <c r="H2515">
        <v>4963</v>
      </c>
      <c r="I2515" t="str">
        <f t="shared" si="78"/>
        <v>YES</v>
      </c>
      <c r="J2515" t="s">
        <v>2521</v>
      </c>
      <c r="K2515">
        <v>3571027.7234800002</v>
      </c>
      <c r="L2515">
        <f t="shared" si="79"/>
        <v>0</v>
      </c>
    </row>
    <row r="2516" spans="1:12" x14ac:dyDescent="0.25">
      <c r="A2516">
        <v>4964</v>
      </c>
      <c r="B2516">
        <v>448.00020569999998</v>
      </c>
      <c r="C2516">
        <v>448.00020569999998</v>
      </c>
      <c r="D2516">
        <v>0</v>
      </c>
      <c r="E2516">
        <v>119.59126209999999</v>
      </c>
      <c r="F2516" s="1">
        <v>1.17E-2</v>
      </c>
      <c r="H2516">
        <v>4964</v>
      </c>
      <c r="I2516" t="str">
        <f t="shared" si="78"/>
        <v>YES</v>
      </c>
      <c r="J2516" t="s">
        <v>2522</v>
      </c>
      <c r="K2516">
        <v>23591969.280999999</v>
      </c>
      <c r="L2516">
        <f t="shared" si="79"/>
        <v>0</v>
      </c>
    </row>
    <row r="2517" spans="1:12" x14ac:dyDescent="0.25">
      <c r="A2517">
        <v>4965</v>
      </c>
      <c r="B2517">
        <v>66.913437209999998</v>
      </c>
      <c r="C2517">
        <v>66.913437209999998</v>
      </c>
      <c r="D2517">
        <v>0</v>
      </c>
      <c r="E2517">
        <v>427.9636557</v>
      </c>
      <c r="F2517" s="1">
        <v>6.2399999999999999E-3</v>
      </c>
      <c r="H2517">
        <v>4965</v>
      </c>
      <c r="I2517" t="str">
        <f t="shared" si="78"/>
        <v>YES</v>
      </c>
      <c r="J2517" t="s">
        <v>2523</v>
      </c>
      <c r="K2517">
        <v>8938798.5002900008</v>
      </c>
      <c r="L2517">
        <f t="shared" si="79"/>
        <v>0</v>
      </c>
    </row>
    <row r="2518" spans="1:12" x14ac:dyDescent="0.25">
      <c r="A2518">
        <v>4966</v>
      </c>
      <c r="B2518">
        <v>337.57271270000001</v>
      </c>
      <c r="C2518">
        <v>337.57271270000001</v>
      </c>
      <c r="D2518">
        <v>0</v>
      </c>
      <c r="E2518">
        <v>1146.275353</v>
      </c>
      <c r="F2518" s="1">
        <v>8.43E-2</v>
      </c>
      <c r="H2518">
        <v>4966</v>
      </c>
      <c r="I2518" t="str">
        <f t="shared" si="78"/>
        <v>YES</v>
      </c>
      <c r="J2518" t="s">
        <v>2524</v>
      </c>
      <c r="K2518">
        <v>23489118.0887</v>
      </c>
      <c r="L2518">
        <f t="shared" si="79"/>
        <v>0</v>
      </c>
    </row>
    <row r="2519" spans="1:12" x14ac:dyDescent="0.25">
      <c r="A2519">
        <v>4967</v>
      </c>
      <c r="B2519">
        <v>94.477622890000006</v>
      </c>
      <c r="C2519">
        <v>94.477622890000006</v>
      </c>
      <c r="D2519">
        <v>0</v>
      </c>
      <c r="E2519">
        <v>314.96034309999999</v>
      </c>
      <c r="F2519" s="1">
        <v>6.4799999999999996E-3</v>
      </c>
      <c r="H2519">
        <v>4967</v>
      </c>
      <c r="I2519" t="str">
        <f t="shared" si="78"/>
        <v>YES</v>
      </c>
      <c r="J2519" t="s">
        <v>2525</v>
      </c>
      <c r="K2519">
        <v>12329451.465</v>
      </c>
      <c r="L2519">
        <f t="shared" si="79"/>
        <v>0</v>
      </c>
    </row>
    <row r="2520" spans="1:12" x14ac:dyDescent="0.25">
      <c r="A2520">
        <v>4968</v>
      </c>
      <c r="B2520">
        <v>58.200557080000003</v>
      </c>
      <c r="C2520">
        <v>58.200557080000003</v>
      </c>
      <c r="D2520">
        <v>0</v>
      </c>
      <c r="E2520">
        <v>591.17069309999999</v>
      </c>
      <c r="F2520" s="1">
        <v>7.4900000000000001E-3</v>
      </c>
      <c r="H2520">
        <v>4968</v>
      </c>
      <c r="I2520" t="str">
        <f t="shared" si="78"/>
        <v>YES</v>
      </c>
      <c r="J2520" t="s">
        <v>2526</v>
      </c>
      <c r="K2520">
        <v>3232931.4992999998</v>
      </c>
      <c r="L2520">
        <f t="shared" si="79"/>
        <v>0</v>
      </c>
    </row>
    <row r="2521" spans="1:12" x14ac:dyDescent="0.25">
      <c r="A2521">
        <v>4969</v>
      </c>
      <c r="B2521">
        <v>334.63750750000003</v>
      </c>
      <c r="C2521">
        <v>334.63750750000003</v>
      </c>
      <c r="D2521">
        <v>0</v>
      </c>
      <c r="E2521">
        <v>1561.8865960000001</v>
      </c>
      <c r="F2521" s="1">
        <v>0.114</v>
      </c>
      <c r="H2521">
        <v>4969</v>
      </c>
      <c r="I2521" t="str">
        <f t="shared" si="78"/>
        <v>YES</v>
      </c>
      <c r="J2521" t="s">
        <v>2527</v>
      </c>
      <c r="K2521">
        <v>16627219.0045</v>
      </c>
      <c r="L2521">
        <f t="shared" si="79"/>
        <v>0</v>
      </c>
    </row>
    <row r="2522" spans="1:12" x14ac:dyDescent="0.25">
      <c r="A2522">
        <v>4970</v>
      </c>
      <c r="B2522">
        <v>127.7167192</v>
      </c>
      <c r="C2522">
        <v>127.7167192</v>
      </c>
      <c r="D2522">
        <v>0</v>
      </c>
      <c r="E2522">
        <v>562.62014469999997</v>
      </c>
      <c r="F2522" s="1">
        <v>1.5599999999999999E-2</v>
      </c>
      <c r="H2522">
        <v>4970</v>
      </c>
      <c r="I2522" t="str">
        <f t="shared" si="78"/>
        <v>YES</v>
      </c>
      <c r="J2522" t="s">
        <v>2528</v>
      </c>
      <c r="K2522">
        <v>4969216.0931299999</v>
      </c>
      <c r="L2522">
        <f t="shared" si="79"/>
        <v>0</v>
      </c>
    </row>
    <row r="2523" spans="1:12" x14ac:dyDescent="0.25">
      <c r="A2523">
        <v>4971</v>
      </c>
      <c r="B2523">
        <v>79.221754860000004</v>
      </c>
      <c r="C2523">
        <v>79.221754860000004</v>
      </c>
      <c r="D2523">
        <v>0</v>
      </c>
      <c r="E2523">
        <v>252.2781167</v>
      </c>
      <c r="F2523" s="1">
        <v>4.3499999999999997E-3</v>
      </c>
      <c r="H2523">
        <v>4971</v>
      </c>
      <c r="I2523" t="str">
        <f t="shared" si="78"/>
        <v>YES</v>
      </c>
      <c r="J2523" t="s">
        <v>2529</v>
      </c>
      <c r="K2523">
        <v>10733443.0911</v>
      </c>
      <c r="L2523">
        <f t="shared" si="79"/>
        <v>0</v>
      </c>
    </row>
    <row r="2524" spans="1:12" x14ac:dyDescent="0.25">
      <c r="A2524">
        <v>4972</v>
      </c>
      <c r="B2524">
        <v>388.45459060000002</v>
      </c>
      <c r="C2524">
        <v>388.45459060000002</v>
      </c>
      <c r="D2524">
        <v>0</v>
      </c>
      <c r="E2524">
        <v>716.03621999999996</v>
      </c>
      <c r="F2524" s="1">
        <v>6.0600000000000001E-2</v>
      </c>
      <c r="H2524">
        <v>4972</v>
      </c>
      <c r="I2524" t="str">
        <f t="shared" si="78"/>
        <v>YES</v>
      </c>
      <c r="J2524" t="s">
        <v>2530</v>
      </c>
      <c r="K2524">
        <v>11332591.906500001</v>
      </c>
      <c r="L2524">
        <f t="shared" si="79"/>
        <v>0</v>
      </c>
    </row>
    <row r="2525" spans="1:12" x14ac:dyDescent="0.25">
      <c r="A2525">
        <v>4973</v>
      </c>
      <c r="B2525">
        <v>45.82700328</v>
      </c>
      <c r="C2525">
        <v>45.82700328</v>
      </c>
      <c r="D2525">
        <v>0</v>
      </c>
      <c r="E2525">
        <v>88.654635810000002</v>
      </c>
      <c r="F2525" s="1">
        <v>8.8500000000000004E-4</v>
      </c>
      <c r="H2525">
        <v>4973</v>
      </c>
      <c r="I2525" t="str">
        <f t="shared" si="78"/>
        <v>YES</v>
      </c>
      <c r="J2525" t="s">
        <v>2531</v>
      </c>
      <c r="K2525">
        <v>7133868.7964300001</v>
      </c>
      <c r="L2525">
        <f t="shared" si="79"/>
        <v>0</v>
      </c>
    </row>
    <row r="2526" spans="1:12" x14ac:dyDescent="0.25">
      <c r="A2526">
        <v>4974</v>
      </c>
      <c r="B2526">
        <v>5988.5151089999999</v>
      </c>
      <c r="C2526">
        <v>5988.5151089999999</v>
      </c>
      <c r="D2526">
        <v>0</v>
      </c>
      <c r="E2526">
        <v>6.0740287229999996</v>
      </c>
      <c r="F2526" s="1">
        <v>7.92E-3</v>
      </c>
      <c r="H2526">
        <v>4974</v>
      </c>
      <c r="I2526" t="str">
        <f t="shared" si="78"/>
        <v>YES</v>
      </c>
      <c r="J2526" t="s">
        <v>2532</v>
      </c>
      <c r="K2526">
        <v>1760560.8963599999</v>
      </c>
      <c r="L2526">
        <f t="shared" si="79"/>
        <v>0</v>
      </c>
    </row>
    <row r="2527" spans="1:12" x14ac:dyDescent="0.25">
      <c r="A2527">
        <v>4975</v>
      </c>
      <c r="B2527">
        <v>5988.5151089999999</v>
      </c>
      <c r="C2527">
        <v>5988.5151089999999</v>
      </c>
      <c r="D2527">
        <v>0</v>
      </c>
      <c r="E2527">
        <v>11.02991714</v>
      </c>
      <c r="F2527" s="1">
        <v>1.44E-2</v>
      </c>
      <c r="H2527">
        <v>4975</v>
      </c>
      <c r="I2527" t="str">
        <f t="shared" si="78"/>
        <v>YES</v>
      </c>
      <c r="J2527" t="s">
        <v>2533</v>
      </c>
      <c r="K2527">
        <v>1179227.2684200001</v>
      </c>
      <c r="L2527">
        <f t="shared" si="79"/>
        <v>0</v>
      </c>
    </row>
    <row r="2528" spans="1:12" x14ac:dyDescent="0.25">
      <c r="A2528">
        <v>4976</v>
      </c>
      <c r="B2528">
        <v>8362.0148480000007</v>
      </c>
      <c r="C2528">
        <v>8362.0148480000007</v>
      </c>
      <c r="D2528">
        <v>0</v>
      </c>
      <c r="E2528">
        <v>3509.04513</v>
      </c>
      <c r="F2528" s="1">
        <v>6.39</v>
      </c>
      <c r="H2528">
        <v>4976</v>
      </c>
      <c r="I2528" t="str">
        <f t="shared" si="78"/>
        <v>YES</v>
      </c>
      <c r="J2528" t="s">
        <v>2534</v>
      </c>
      <c r="K2528">
        <v>1537479.8692699999</v>
      </c>
      <c r="L2528">
        <f t="shared" si="79"/>
        <v>0</v>
      </c>
    </row>
    <row r="2529" spans="1:12" x14ac:dyDescent="0.25">
      <c r="A2529">
        <v>4977</v>
      </c>
      <c r="B2529">
        <v>21953.894990000001</v>
      </c>
      <c r="C2529">
        <v>21953.894990000001</v>
      </c>
      <c r="D2529">
        <v>0</v>
      </c>
      <c r="E2529">
        <v>779.78787950000003</v>
      </c>
      <c r="F2529" s="1">
        <v>3.73</v>
      </c>
      <c r="H2529">
        <v>4977</v>
      </c>
      <c r="I2529" t="str">
        <f t="shared" si="78"/>
        <v>YES</v>
      </c>
      <c r="J2529" t="s">
        <v>2535</v>
      </c>
      <c r="K2529">
        <v>744233.36540999997</v>
      </c>
      <c r="L2529">
        <f t="shared" si="79"/>
        <v>0</v>
      </c>
    </row>
    <row r="2530" spans="1:12" x14ac:dyDescent="0.25">
      <c r="A2530">
        <v>4978</v>
      </c>
      <c r="B2530">
        <v>12950.86124</v>
      </c>
      <c r="C2530">
        <v>12950.86124</v>
      </c>
      <c r="D2530">
        <v>0</v>
      </c>
      <c r="E2530">
        <v>2746.0093689999999</v>
      </c>
      <c r="F2530" s="1">
        <v>7.74</v>
      </c>
      <c r="H2530">
        <v>4978</v>
      </c>
      <c r="I2530" t="str">
        <f t="shared" si="78"/>
        <v>YES</v>
      </c>
      <c r="J2530" t="s">
        <v>2536</v>
      </c>
      <c r="K2530">
        <v>759510.07779600006</v>
      </c>
      <c r="L2530">
        <f t="shared" si="79"/>
        <v>0</v>
      </c>
    </row>
    <row r="2531" spans="1:12" x14ac:dyDescent="0.25">
      <c r="A2531">
        <v>4979</v>
      </c>
      <c r="B2531">
        <v>22263.033950000001</v>
      </c>
      <c r="C2531">
        <v>22263.033950000001</v>
      </c>
      <c r="D2531">
        <v>0</v>
      </c>
      <c r="E2531">
        <v>728.80175510000004</v>
      </c>
      <c r="F2531" s="1">
        <v>3.53</v>
      </c>
      <c r="H2531">
        <v>4979</v>
      </c>
      <c r="I2531" t="str">
        <f t="shared" si="78"/>
        <v>YES</v>
      </c>
      <c r="J2531" t="s">
        <v>2537</v>
      </c>
      <c r="K2531">
        <v>461286.19747999997</v>
      </c>
      <c r="L2531">
        <f t="shared" si="79"/>
        <v>0</v>
      </c>
    </row>
    <row r="2532" spans="1:12" x14ac:dyDescent="0.25">
      <c r="A2532">
        <v>4980</v>
      </c>
      <c r="B2532">
        <v>1379.9195589999999</v>
      </c>
      <c r="C2532">
        <v>1379.9195589999999</v>
      </c>
      <c r="D2532">
        <v>0</v>
      </c>
      <c r="E2532">
        <v>918.93049970000004</v>
      </c>
      <c r="F2532" s="1">
        <v>0.27600000000000002</v>
      </c>
      <c r="H2532">
        <v>4980</v>
      </c>
      <c r="I2532" t="str">
        <f t="shared" si="78"/>
        <v>YES</v>
      </c>
      <c r="J2532" t="s">
        <v>2538</v>
      </c>
      <c r="K2532">
        <v>1572875.60962</v>
      </c>
      <c r="L2532">
        <f t="shared" si="79"/>
        <v>0</v>
      </c>
    </row>
    <row r="2533" spans="1:12" x14ac:dyDescent="0.25">
      <c r="A2533">
        <v>4981</v>
      </c>
      <c r="B2533">
        <v>21808.321080000002</v>
      </c>
      <c r="C2533">
        <v>21808.321080000002</v>
      </c>
      <c r="D2533">
        <v>0</v>
      </c>
      <c r="E2533">
        <v>2528.165982</v>
      </c>
      <c r="F2533" s="1">
        <v>12</v>
      </c>
      <c r="H2533">
        <v>4981</v>
      </c>
      <c r="I2533" t="str">
        <f t="shared" si="78"/>
        <v>YES</v>
      </c>
      <c r="J2533" t="s">
        <v>2539</v>
      </c>
      <c r="K2533">
        <v>1029282.51927</v>
      </c>
      <c r="L2533">
        <f t="shared" si="79"/>
        <v>0</v>
      </c>
    </row>
    <row r="2534" spans="1:12" x14ac:dyDescent="0.25">
      <c r="A2534">
        <v>4982</v>
      </c>
      <c r="B2534">
        <v>22961.882809999999</v>
      </c>
      <c r="C2534">
        <v>22961.882809999999</v>
      </c>
      <c r="D2534">
        <v>0</v>
      </c>
      <c r="E2534">
        <v>2260.8417570000001</v>
      </c>
      <c r="F2534" s="1">
        <v>11.3</v>
      </c>
      <c r="H2534">
        <v>4982</v>
      </c>
      <c r="I2534" t="str">
        <f t="shared" si="78"/>
        <v>YES</v>
      </c>
      <c r="J2534" t="s">
        <v>2540</v>
      </c>
      <c r="K2534">
        <v>703655.56846099999</v>
      </c>
      <c r="L2534">
        <f t="shared" si="79"/>
        <v>0</v>
      </c>
    </row>
    <row r="2535" spans="1:12" x14ac:dyDescent="0.25">
      <c r="A2535">
        <v>4983</v>
      </c>
      <c r="B2535">
        <v>194.1680178</v>
      </c>
      <c r="C2535">
        <v>194.1680178</v>
      </c>
      <c r="D2535">
        <v>0</v>
      </c>
      <c r="F2535" s="1">
        <v>0</v>
      </c>
      <c r="H2535">
        <v>4983</v>
      </c>
      <c r="I2535" t="str">
        <f t="shared" si="78"/>
        <v>YES</v>
      </c>
      <c r="J2535" t="s">
        <v>2541</v>
      </c>
      <c r="K2535">
        <v>8824605.7731500007</v>
      </c>
      <c r="L2535">
        <f t="shared" si="79"/>
        <v>0</v>
      </c>
    </row>
    <row r="2536" spans="1:12" x14ac:dyDescent="0.25">
      <c r="A2536">
        <v>4985</v>
      </c>
      <c r="B2536">
        <v>694.82757479999998</v>
      </c>
      <c r="C2536">
        <v>694.82757479999998</v>
      </c>
      <c r="D2536">
        <v>0</v>
      </c>
      <c r="E2536">
        <v>1556.8821700000001</v>
      </c>
      <c r="F2536" s="1">
        <v>0.23599999999999999</v>
      </c>
      <c r="H2536">
        <v>4985</v>
      </c>
      <c r="I2536" t="str">
        <f t="shared" si="78"/>
        <v>YES</v>
      </c>
      <c r="J2536" t="s">
        <v>2542</v>
      </c>
      <c r="K2536">
        <v>12426721.569700001</v>
      </c>
      <c r="L2536">
        <f t="shared" si="79"/>
        <v>0</v>
      </c>
    </row>
    <row r="2537" spans="1:12" x14ac:dyDescent="0.25">
      <c r="A2537">
        <v>4986</v>
      </c>
      <c r="B2537">
        <v>406.63174029999999</v>
      </c>
      <c r="C2537">
        <v>406.63174029999999</v>
      </c>
      <c r="D2537">
        <v>0</v>
      </c>
      <c r="E2537">
        <v>3780.1178300000001</v>
      </c>
      <c r="F2537" s="1">
        <v>0.33500000000000002</v>
      </c>
      <c r="H2537">
        <v>4986</v>
      </c>
      <c r="I2537" t="str">
        <f t="shared" si="78"/>
        <v>YES</v>
      </c>
      <c r="J2537" t="s">
        <v>2543</v>
      </c>
      <c r="K2537">
        <v>51075581.131099999</v>
      </c>
      <c r="L2537">
        <f t="shared" si="79"/>
        <v>0</v>
      </c>
    </row>
    <row r="2538" spans="1:12" x14ac:dyDescent="0.25">
      <c r="A2538">
        <v>4987</v>
      </c>
      <c r="B2538">
        <v>22782.10889</v>
      </c>
      <c r="C2538">
        <v>22782.10889</v>
      </c>
      <c r="D2538">
        <v>0</v>
      </c>
      <c r="E2538">
        <v>268.19695639999998</v>
      </c>
      <c r="F2538" s="1">
        <v>1.33</v>
      </c>
      <c r="H2538">
        <v>4987</v>
      </c>
      <c r="I2538" t="str">
        <f t="shared" si="78"/>
        <v>YES</v>
      </c>
      <c r="J2538" t="s">
        <v>2544</v>
      </c>
      <c r="K2538">
        <v>378260.78045999998</v>
      </c>
      <c r="L2538">
        <f t="shared" si="79"/>
        <v>0</v>
      </c>
    </row>
    <row r="2539" spans="1:12" x14ac:dyDescent="0.25">
      <c r="A2539">
        <v>4988</v>
      </c>
      <c r="B2539">
        <v>23260.720700000002</v>
      </c>
      <c r="C2539">
        <v>23260.720700000002</v>
      </c>
      <c r="D2539">
        <v>0</v>
      </c>
      <c r="E2539">
        <v>27.116726060000001</v>
      </c>
      <c r="F2539" s="1">
        <v>0.13700000000000001</v>
      </c>
      <c r="H2539">
        <v>4988</v>
      </c>
      <c r="I2539" t="str">
        <f t="shared" si="78"/>
        <v>YES</v>
      </c>
      <c r="J2539" t="s">
        <v>2545</v>
      </c>
      <c r="K2539">
        <v>248611.487506</v>
      </c>
      <c r="L2539">
        <f t="shared" si="79"/>
        <v>0</v>
      </c>
    </row>
    <row r="2540" spans="1:12" x14ac:dyDescent="0.25">
      <c r="A2540">
        <v>5000</v>
      </c>
      <c r="B2540">
        <v>1007.514751</v>
      </c>
      <c r="C2540">
        <v>1007.514751</v>
      </c>
      <c r="D2540">
        <v>0</v>
      </c>
      <c r="E2540">
        <v>2952.2342920000001</v>
      </c>
      <c r="F2540" s="1">
        <v>0.64800000000000002</v>
      </c>
      <c r="H2540">
        <v>5000</v>
      </c>
      <c r="I2540" t="str">
        <f t="shared" si="78"/>
        <v>YES</v>
      </c>
      <c r="J2540" t="s">
        <v>2546</v>
      </c>
      <c r="K2540">
        <v>1584485.1069</v>
      </c>
      <c r="L2540">
        <f t="shared" si="79"/>
        <v>0</v>
      </c>
    </row>
    <row r="2541" spans="1:12" x14ac:dyDescent="0.25">
      <c r="A2541">
        <v>5001</v>
      </c>
      <c r="B2541">
        <v>771.72768910000002</v>
      </c>
      <c r="C2541">
        <v>771.72768910000002</v>
      </c>
      <c r="D2541">
        <v>0</v>
      </c>
      <c r="E2541">
        <v>3704.786454</v>
      </c>
      <c r="F2541" s="1">
        <v>0.623</v>
      </c>
      <c r="H2541">
        <v>5001</v>
      </c>
      <c r="I2541" t="str">
        <f t="shared" si="78"/>
        <v>YES</v>
      </c>
      <c r="J2541" t="s">
        <v>2547</v>
      </c>
      <c r="K2541">
        <v>1398442.5210599999</v>
      </c>
      <c r="L2541">
        <f t="shared" si="79"/>
        <v>0</v>
      </c>
    </row>
    <row r="2542" spans="1:12" x14ac:dyDescent="0.25">
      <c r="A2542">
        <v>5002</v>
      </c>
      <c r="B2542">
        <v>6380.7616749999997</v>
      </c>
      <c r="C2542">
        <v>6380.7616749999997</v>
      </c>
      <c r="D2542">
        <v>0</v>
      </c>
      <c r="E2542">
        <v>11.979253549999999</v>
      </c>
      <c r="F2542" s="1">
        <v>1.66E-2</v>
      </c>
      <c r="H2542">
        <v>5002</v>
      </c>
      <c r="I2542" t="str">
        <f t="shared" si="78"/>
        <v>YES</v>
      </c>
      <c r="J2542" t="s">
        <v>2548</v>
      </c>
      <c r="K2542">
        <v>5396323.3450499997</v>
      </c>
      <c r="L2542">
        <f t="shared" si="79"/>
        <v>0</v>
      </c>
    </row>
    <row r="2543" spans="1:12" x14ac:dyDescent="0.25">
      <c r="A2543">
        <v>5005</v>
      </c>
      <c r="B2543">
        <v>2330.7343700000001</v>
      </c>
      <c r="C2543">
        <v>2330.7343700000001</v>
      </c>
      <c r="D2543">
        <v>0</v>
      </c>
      <c r="E2543">
        <v>1910.390365</v>
      </c>
      <c r="F2543" s="1">
        <v>0.96899999999999997</v>
      </c>
      <c r="H2543">
        <v>5005</v>
      </c>
      <c r="I2543" t="str">
        <f t="shared" si="78"/>
        <v>YES</v>
      </c>
      <c r="J2543" t="s">
        <v>2549</v>
      </c>
      <c r="K2543">
        <v>769500.82241899997</v>
      </c>
      <c r="L2543">
        <f t="shared" si="79"/>
        <v>0</v>
      </c>
    </row>
    <row r="2544" spans="1:12" x14ac:dyDescent="0.25">
      <c r="A2544">
        <v>5006</v>
      </c>
      <c r="B2544">
        <v>469.23621220000001</v>
      </c>
      <c r="C2544">
        <v>469.23621220000001</v>
      </c>
      <c r="D2544">
        <v>0</v>
      </c>
      <c r="E2544">
        <v>4728.9859079999997</v>
      </c>
      <c r="F2544" s="1">
        <v>0.48299999999999998</v>
      </c>
      <c r="H2544">
        <v>5006</v>
      </c>
      <c r="I2544" t="str">
        <f t="shared" ref="I2544:I2563" si="80">IF(A2544=H2544,"YES","NO")</f>
        <v>YES</v>
      </c>
      <c r="J2544" t="s">
        <v>2550</v>
      </c>
      <c r="K2544">
        <v>1718682.4861099999</v>
      </c>
      <c r="L2544">
        <f t="shared" si="79"/>
        <v>0</v>
      </c>
    </row>
    <row r="2545" spans="1:12" x14ac:dyDescent="0.25">
      <c r="A2545">
        <v>5007</v>
      </c>
      <c r="B2545">
        <v>6841.0291399999996</v>
      </c>
      <c r="C2545">
        <v>6841.0291399999996</v>
      </c>
      <c r="D2545">
        <v>0</v>
      </c>
      <c r="E2545">
        <v>3597.2289390000001</v>
      </c>
      <c r="F2545" s="1">
        <v>5.36</v>
      </c>
      <c r="H2545">
        <v>5007</v>
      </c>
      <c r="I2545" t="str">
        <f t="shared" si="80"/>
        <v>YES</v>
      </c>
      <c r="J2545" t="s">
        <v>2551</v>
      </c>
      <c r="K2545">
        <v>1155029.2039999999</v>
      </c>
      <c r="L2545">
        <f t="shared" si="79"/>
        <v>0</v>
      </c>
    </row>
    <row r="2546" spans="1:12" x14ac:dyDescent="0.25">
      <c r="A2546">
        <v>5008</v>
      </c>
      <c r="B2546">
        <v>1861.4981580000001</v>
      </c>
      <c r="C2546">
        <v>1861.4981580000001</v>
      </c>
      <c r="D2546">
        <v>0</v>
      </c>
      <c r="E2546">
        <v>3094.4765170000001</v>
      </c>
      <c r="F2546" s="1">
        <v>1.25</v>
      </c>
      <c r="H2546">
        <v>5008</v>
      </c>
      <c r="I2546" t="str">
        <f t="shared" si="80"/>
        <v>YES</v>
      </c>
      <c r="J2546" t="s">
        <v>2552</v>
      </c>
      <c r="K2546">
        <v>1278572.8668800001</v>
      </c>
      <c r="L2546">
        <f t="shared" si="79"/>
        <v>0</v>
      </c>
    </row>
    <row r="2547" spans="1:12" x14ac:dyDescent="0.25">
      <c r="A2547">
        <v>5009</v>
      </c>
      <c r="B2547">
        <v>445.66613109999997</v>
      </c>
      <c r="C2547">
        <v>445.66613109999997</v>
      </c>
      <c r="D2547">
        <v>0</v>
      </c>
      <c r="E2547">
        <v>4342.3334670000004</v>
      </c>
      <c r="F2547" s="1">
        <v>0.42099999999999999</v>
      </c>
      <c r="H2547">
        <v>5009</v>
      </c>
      <c r="I2547" t="str">
        <f t="shared" si="80"/>
        <v>YES</v>
      </c>
      <c r="J2547" t="s">
        <v>2553</v>
      </c>
      <c r="K2547">
        <v>1374115.4160500001</v>
      </c>
      <c r="L2547">
        <f t="shared" si="79"/>
        <v>0</v>
      </c>
    </row>
    <row r="2548" spans="1:12" x14ac:dyDescent="0.25">
      <c r="A2548">
        <v>5010</v>
      </c>
      <c r="B2548">
        <v>2187.4521009999999</v>
      </c>
      <c r="C2548">
        <v>2187.4521009999999</v>
      </c>
      <c r="D2548">
        <v>0</v>
      </c>
      <c r="E2548">
        <v>2874.5848040000001</v>
      </c>
      <c r="F2548" s="1">
        <v>1.37</v>
      </c>
      <c r="H2548">
        <v>5010</v>
      </c>
      <c r="I2548" t="str">
        <f t="shared" si="80"/>
        <v>YES</v>
      </c>
      <c r="J2548" t="s">
        <v>2554</v>
      </c>
      <c r="K2548">
        <v>894575.80106900004</v>
      </c>
      <c r="L2548">
        <f t="shared" si="79"/>
        <v>0</v>
      </c>
    </row>
    <row r="2549" spans="1:12" x14ac:dyDescent="0.25">
      <c r="A2549">
        <v>5011</v>
      </c>
      <c r="B2549">
        <v>6678.764255</v>
      </c>
      <c r="C2549">
        <v>6678.764255</v>
      </c>
      <c r="D2549">
        <v>0</v>
      </c>
      <c r="E2549">
        <v>1133.0679110000001</v>
      </c>
      <c r="F2549" s="1">
        <v>1.65</v>
      </c>
      <c r="H2549">
        <v>5011</v>
      </c>
      <c r="I2549" t="str">
        <f t="shared" si="80"/>
        <v>YES</v>
      </c>
      <c r="J2549" t="s">
        <v>2555</v>
      </c>
      <c r="K2549">
        <v>515956.617027</v>
      </c>
      <c r="L2549">
        <f t="shared" si="79"/>
        <v>0</v>
      </c>
    </row>
    <row r="2550" spans="1:12" x14ac:dyDescent="0.25">
      <c r="A2550">
        <v>5012</v>
      </c>
      <c r="B2550">
        <v>4675.4146129999999</v>
      </c>
      <c r="C2550">
        <v>4675.4146129999999</v>
      </c>
      <c r="D2550">
        <v>0</v>
      </c>
      <c r="E2550">
        <v>2833.5989159999999</v>
      </c>
      <c r="F2550" s="1">
        <v>2.88</v>
      </c>
      <c r="H2550">
        <v>5012</v>
      </c>
      <c r="I2550" t="str">
        <f t="shared" si="80"/>
        <v>YES</v>
      </c>
      <c r="J2550" t="s">
        <v>2556</v>
      </c>
      <c r="K2550">
        <v>944931.52046499995</v>
      </c>
      <c r="L2550">
        <f t="shared" si="79"/>
        <v>0</v>
      </c>
    </row>
    <row r="2551" spans="1:12" x14ac:dyDescent="0.25">
      <c r="A2551">
        <v>5013</v>
      </c>
      <c r="B2551">
        <v>3925.0945660000002</v>
      </c>
      <c r="C2551">
        <v>3925.0945660000002</v>
      </c>
      <c r="D2551">
        <v>0</v>
      </c>
      <c r="E2551">
        <v>19.1823847</v>
      </c>
      <c r="F2551" s="1">
        <v>1.6400000000000001E-2</v>
      </c>
      <c r="H2551">
        <v>5013</v>
      </c>
      <c r="I2551" t="str">
        <f t="shared" si="80"/>
        <v>YES</v>
      </c>
      <c r="J2551" t="s">
        <v>2557</v>
      </c>
      <c r="K2551">
        <v>2609042.7542500002</v>
      </c>
      <c r="L2551">
        <f t="shared" si="79"/>
        <v>0</v>
      </c>
    </row>
    <row r="2552" spans="1:12" x14ac:dyDescent="0.25">
      <c r="A2552">
        <v>5014</v>
      </c>
      <c r="B2552">
        <v>5405.2822230000002</v>
      </c>
      <c r="C2552">
        <v>5405.2822230000002</v>
      </c>
      <c r="D2552">
        <v>0</v>
      </c>
      <c r="E2552">
        <v>2.383330993</v>
      </c>
      <c r="F2552" s="1">
        <v>2.8E-3</v>
      </c>
      <c r="H2552">
        <v>5014</v>
      </c>
      <c r="I2552" t="str">
        <f t="shared" si="80"/>
        <v>YES</v>
      </c>
      <c r="J2552" t="s">
        <v>2558</v>
      </c>
      <c r="K2552">
        <v>695042.90972600004</v>
      </c>
      <c r="L2552">
        <f t="shared" si="79"/>
        <v>0</v>
      </c>
    </row>
    <row r="2553" spans="1:12" x14ac:dyDescent="0.25">
      <c r="A2553">
        <v>5015</v>
      </c>
      <c r="B2553">
        <v>2025.1074060000001</v>
      </c>
      <c r="C2553">
        <v>2025.1074060000001</v>
      </c>
      <c r="D2553">
        <v>0</v>
      </c>
      <c r="E2553">
        <v>4019.425909</v>
      </c>
      <c r="F2553" s="1">
        <v>1.77</v>
      </c>
      <c r="H2553">
        <v>5015</v>
      </c>
      <c r="I2553" t="str">
        <f t="shared" si="80"/>
        <v>YES</v>
      </c>
      <c r="J2553" t="s">
        <v>2559</v>
      </c>
      <c r="K2553">
        <v>2429179.2755100001</v>
      </c>
      <c r="L2553">
        <f t="shared" si="79"/>
        <v>0</v>
      </c>
    </row>
    <row r="2554" spans="1:12" x14ac:dyDescent="0.25">
      <c r="A2554">
        <v>5016</v>
      </c>
      <c r="B2554">
        <v>3126.4843719999999</v>
      </c>
      <c r="C2554">
        <v>3126.4843719999999</v>
      </c>
      <c r="D2554">
        <v>0</v>
      </c>
      <c r="E2554">
        <v>6.4894847520000001</v>
      </c>
      <c r="F2554" s="1">
        <v>4.4200000000000003E-3</v>
      </c>
      <c r="H2554">
        <v>5016</v>
      </c>
      <c r="I2554" t="str">
        <f t="shared" si="80"/>
        <v>YES</v>
      </c>
      <c r="J2554" t="s">
        <v>2560</v>
      </c>
      <c r="K2554">
        <v>1342395.31015</v>
      </c>
      <c r="L2554">
        <f t="shared" si="79"/>
        <v>0</v>
      </c>
    </row>
    <row r="2555" spans="1:12" x14ac:dyDescent="0.25">
      <c r="A2555">
        <v>5017</v>
      </c>
      <c r="B2555">
        <v>3220.5478229999999</v>
      </c>
      <c r="C2555">
        <v>3220.5478229999999</v>
      </c>
      <c r="D2555">
        <v>0</v>
      </c>
      <c r="E2555" s="1">
        <v>8.5199999999999997E-5</v>
      </c>
      <c r="F2555" s="1">
        <v>5.9699999999999999E-8</v>
      </c>
      <c r="H2555">
        <v>5017</v>
      </c>
      <c r="I2555" t="str">
        <f t="shared" si="80"/>
        <v>YES</v>
      </c>
      <c r="J2555" t="s">
        <v>2561</v>
      </c>
      <c r="K2555">
        <v>429917.00412699999</v>
      </c>
      <c r="L2555">
        <f t="shared" si="79"/>
        <v>0</v>
      </c>
    </row>
    <row r="2556" spans="1:12" x14ac:dyDescent="0.25">
      <c r="A2556">
        <v>5018</v>
      </c>
      <c r="B2556">
        <v>12132.25203</v>
      </c>
      <c r="C2556">
        <v>12132.25203</v>
      </c>
      <c r="D2556">
        <v>0</v>
      </c>
      <c r="E2556">
        <v>364.02229449999999</v>
      </c>
      <c r="F2556" s="1">
        <v>0.96199999999999997</v>
      </c>
      <c r="H2556">
        <v>5018</v>
      </c>
      <c r="I2556" t="str">
        <f t="shared" si="80"/>
        <v>YES</v>
      </c>
      <c r="J2556" t="s">
        <v>2562</v>
      </c>
      <c r="K2556">
        <v>738352.97177599999</v>
      </c>
      <c r="L2556">
        <f t="shared" si="79"/>
        <v>0</v>
      </c>
    </row>
    <row r="2557" spans="1:12" x14ac:dyDescent="0.25">
      <c r="A2557">
        <v>5019</v>
      </c>
      <c r="B2557">
        <v>3748.2695610000001</v>
      </c>
      <c r="C2557">
        <v>3748.2695610000001</v>
      </c>
      <c r="D2557">
        <v>0</v>
      </c>
      <c r="E2557">
        <v>2753.0242830000002</v>
      </c>
      <c r="F2557" s="1">
        <v>2.25</v>
      </c>
      <c r="H2557">
        <v>5019</v>
      </c>
      <c r="I2557" t="str">
        <f t="shared" si="80"/>
        <v>YES</v>
      </c>
      <c r="J2557" t="s">
        <v>2563</v>
      </c>
      <c r="K2557">
        <v>780736.08045899996</v>
      </c>
      <c r="L2557">
        <f t="shared" si="79"/>
        <v>0</v>
      </c>
    </row>
    <row r="2558" spans="1:12" x14ac:dyDescent="0.25">
      <c r="A2558">
        <v>5020</v>
      </c>
      <c r="B2558">
        <v>670.14257450000002</v>
      </c>
      <c r="C2558">
        <v>670.14257450000002</v>
      </c>
      <c r="D2558">
        <v>0</v>
      </c>
      <c r="E2558">
        <v>3253</v>
      </c>
      <c r="F2558" s="1">
        <v>0.47499999999999998</v>
      </c>
      <c r="H2558">
        <v>5020</v>
      </c>
      <c r="I2558" t="str">
        <f t="shared" si="80"/>
        <v>YES</v>
      </c>
      <c r="J2558" t="s">
        <v>2564</v>
      </c>
      <c r="K2558">
        <v>1285193.30431</v>
      </c>
      <c r="L2558">
        <f t="shared" si="79"/>
        <v>0</v>
      </c>
    </row>
    <row r="2559" spans="1:12" x14ac:dyDescent="0.25">
      <c r="A2559">
        <v>5021</v>
      </c>
      <c r="B2559">
        <v>2939.5414970000002</v>
      </c>
      <c r="C2559">
        <v>2939.5414970000002</v>
      </c>
      <c r="D2559">
        <v>0</v>
      </c>
      <c r="E2559">
        <v>3360.4385849999999</v>
      </c>
      <c r="F2559" s="1">
        <v>2.15</v>
      </c>
      <c r="H2559">
        <v>5021</v>
      </c>
      <c r="I2559" t="str">
        <f t="shared" si="80"/>
        <v>YES</v>
      </c>
      <c r="J2559" t="s">
        <v>2565</v>
      </c>
      <c r="K2559">
        <v>1527374.8359600001</v>
      </c>
      <c r="L2559">
        <f t="shared" si="79"/>
        <v>0</v>
      </c>
    </row>
    <row r="2560" spans="1:12" x14ac:dyDescent="0.25">
      <c r="A2560">
        <v>5022</v>
      </c>
      <c r="B2560">
        <v>1864.1452180000001</v>
      </c>
      <c r="C2560">
        <v>1864.1452180000001</v>
      </c>
      <c r="D2560">
        <v>0</v>
      </c>
      <c r="E2560">
        <v>2005.3668170000001</v>
      </c>
      <c r="F2560" s="1">
        <v>0.81399999999999995</v>
      </c>
      <c r="H2560">
        <v>5022</v>
      </c>
      <c r="I2560" t="str">
        <f t="shared" si="80"/>
        <v>YES</v>
      </c>
      <c r="J2560" t="s">
        <v>2566</v>
      </c>
      <c r="K2560">
        <v>828110.13501600001</v>
      </c>
      <c r="L2560">
        <f t="shared" si="79"/>
        <v>0</v>
      </c>
    </row>
    <row r="2561" spans="1:12" x14ac:dyDescent="0.25">
      <c r="A2561">
        <v>5023</v>
      </c>
      <c r="B2561">
        <v>3443.2597810000002</v>
      </c>
      <c r="C2561">
        <v>3443.2597810000002</v>
      </c>
      <c r="D2561">
        <v>0</v>
      </c>
      <c r="E2561">
        <v>3002</v>
      </c>
      <c r="F2561" s="1">
        <v>2.25</v>
      </c>
      <c r="H2561">
        <v>5023</v>
      </c>
      <c r="I2561" t="str">
        <f t="shared" si="80"/>
        <v>YES</v>
      </c>
      <c r="J2561" t="s">
        <v>2567</v>
      </c>
      <c r="K2561">
        <v>953597.67731299996</v>
      </c>
      <c r="L2561">
        <f t="shared" si="79"/>
        <v>0</v>
      </c>
    </row>
    <row r="2562" spans="1:12" x14ac:dyDescent="0.25">
      <c r="A2562">
        <v>5024</v>
      </c>
      <c r="B2562">
        <v>941.91083760000004</v>
      </c>
      <c r="C2562">
        <v>941.91083760000004</v>
      </c>
      <c r="D2562">
        <v>0</v>
      </c>
      <c r="E2562">
        <v>3271.9999990000001</v>
      </c>
      <c r="F2562" s="1">
        <v>0.67100000000000004</v>
      </c>
      <c r="H2562">
        <v>5024</v>
      </c>
      <c r="I2562" t="str">
        <f t="shared" si="80"/>
        <v>YES</v>
      </c>
      <c r="J2562" t="s">
        <v>2568</v>
      </c>
      <c r="K2562">
        <v>1587113.9475799999</v>
      </c>
      <c r="L2562">
        <f t="shared" si="79"/>
        <v>0</v>
      </c>
    </row>
    <row r="2563" spans="1:12" x14ac:dyDescent="0.25">
      <c r="A2563">
        <v>5025</v>
      </c>
      <c r="B2563">
        <v>2575.4011639999999</v>
      </c>
      <c r="C2563">
        <v>2575.4011639999999</v>
      </c>
      <c r="D2563">
        <v>0</v>
      </c>
      <c r="E2563">
        <v>2400</v>
      </c>
      <c r="F2563" s="1">
        <v>1.35</v>
      </c>
      <c r="H2563">
        <v>5025</v>
      </c>
      <c r="I2563" t="str">
        <f t="shared" si="80"/>
        <v>YES</v>
      </c>
      <c r="J2563" t="s">
        <v>2569</v>
      </c>
      <c r="K2563">
        <v>817755.76250299998</v>
      </c>
      <c r="L2563">
        <f t="shared" ref="L2563" si="81">EXP(0.2052)*K2563*(D2563/C2563)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mins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Mills</dc:creator>
  <cp:lastModifiedBy>Stuart Mills</cp:lastModifiedBy>
  <dcterms:created xsi:type="dcterms:W3CDTF">2024-10-04T11:10:35Z</dcterms:created>
  <dcterms:modified xsi:type="dcterms:W3CDTF">2024-10-24T11:44:40Z</dcterms:modified>
</cp:coreProperties>
</file>