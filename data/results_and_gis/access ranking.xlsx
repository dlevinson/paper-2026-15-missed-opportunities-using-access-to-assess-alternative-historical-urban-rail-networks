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1llz\Documents\University\Year 5\Sem 2\Thesis\"/>
    </mc:Choice>
  </mc:AlternateContent>
  <xr:revisionPtr revIDLastSave="0" documentId="13_ncr:1_{EF54546B-92D9-4175-A521-F9F0D30B5FB5}" xr6:coauthVersionLast="47" xr6:coauthVersionMax="47" xr10:uidLastSave="{00000000-0000-0000-0000-000000000000}"/>
  <bookViews>
    <workbookView xWindow="-28920" yWindow="-2175" windowWidth="29040" windowHeight="15720" xr2:uid="{60E27733-E248-4690-A595-2C6F7FE1F0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28" i="1" l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27" i="1"/>
  <c r="R42" i="1"/>
  <c r="AF43" i="1"/>
  <c r="AF40" i="1"/>
  <c r="AE40" i="1" s="1"/>
  <c r="AF41" i="1"/>
  <c r="AF39" i="1"/>
  <c r="AD40" i="1"/>
  <c r="AD41" i="1"/>
  <c r="AD42" i="1"/>
  <c r="AD43" i="1"/>
  <c r="AD39" i="1"/>
  <c r="AD31" i="1"/>
  <c r="AE39" i="1"/>
  <c r="K19" i="1"/>
  <c r="R43" i="1"/>
  <c r="AE28" i="1"/>
  <c r="AE29" i="1"/>
  <c r="AE30" i="1"/>
  <c r="AE31" i="1"/>
  <c r="AE32" i="1"/>
  <c r="AE33" i="1"/>
  <c r="AE34" i="1"/>
  <c r="AE35" i="1"/>
  <c r="AE36" i="1"/>
  <c r="AE37" i="1"/>
  <c r="AE38" i="1"/>
  <c r="AE44" i="1"/>
  <c r="AE45" i="1"/>
  <c r="AE46" i="1"/>
  <c r="AE27" i="1"/>
  <c r="AF28" i="1"/>
  <c r="AF29" i="1"/>
  <c r="AF30" i="1"/>
  <c r="AF31" i="1"/>
  <c r="AF32" i="1"/>
  <c r="AF33" i="1"/>
  <c r="AF34" i="1"/>
  <c r="AF35" i="1"/>
  <c r="AF36" i="1"/>
  <c r="AF37" i="1"/>
  <c r="AF38" i="1"/>
  <c r="AF44" i="1"/>
  <c r="AF45" i="1"/>
  <c r="AF46" i="1"/>
  <c r="AF27" i="1"/>
  <c r="AD28" i="1"/>
  <c r="AD29" i="1"/>
  <c r="AD30" i="1"/>
  <c r="AD32" i="1"/>
  <c r="AD33" i="1"/>
  <c r="AD34" i="1"/>
  <c r="AD35" i="1"/>
  <c r="AD36" i="1"/>
  <c r="AD37" i="1"/>
  <c r="AD38" i="1"/>
  <c r="AD44" i="1"/>
  <c r="AD45" i="1"/>
  <c r="AD46" i="1"/>
  <c r="AD27" i="1"/>
  <c r="AE41" i="1" l="1"/>
  <c r="L39" i="1"/>
  <c r="M39" i="1"/>
  <c r="L40" i="1"/>
  <c r="M40" i="1"/>
  <c r="L41" i="1"/>
  <c r="M41" i="1"/>
  <c r="L42" i="1"/>
  <c r="M42" i="1"/>
  <c r="L43" i="1"/>
  <c r="M43" i="1"/>
  <c r="R28" i="1"/>
  <c r="S28" i="1"/>
  <c r="T28" i="1"/>
  <c r="U28" i="1"/>
  <c r="V28" i="1"/>
  <c r="W28" i="1"/>
  <c r="R29" i="1"/>
  <c r="S29" i="1"/>
  <c r="T29" i="1"/>
  <c r="U29" i="1"/>
  <c r="V29" i="1"/>
  <c r="W29" i="1"/>
  <c r="R30" i="1"/>
  <c r="S30" i="1"/>
  <c r="T30" i="1"/>
  <c r="U30" i="1"/>
  <c r="V30" i="1"/>
  <c r="W30" i="1"/>
  <c r="R32" i="1"/>
  <c r="S32" i="1"/>
  <c r="T32" i="1"/>
  <c r="U32" i="1"/>
  <c r="V32" i="1"/>
  <c r="W32" i="1"/>
  <c r="R34" i="1"/>
  <c r="S34" i="1"/>
  <c r="T34" i="1"/>
  <c r="U34" i="1"/>
  <c r="V34" i="1"/>
  <c r="W34" i="1"/>
  <c r="R35" i="1"/>
  <c r="S35" i="1"/>
  <c r="T35" i="1"/>
  <c r="U35" i="1"/>
  <c r="V35" i="1"/>
  <c r="W35" i="1"/>
  <c r="R36" i="1"/>
  <c r="S36" i="1"/>
  <c r="T36" i="1"/>
  <c r="U36" i="1"/>
  <c r="V36" i="1"/>
  <c r="W36" i="1"/>
  <c r="R37" i="1"/>
  <c r="S37" i="1"/>
  <c r="T37" i="1"/>
  <c r="U37" i="1"/>
  <c r="V37" i="1"/>
  <c r="W37" i="1"/>
  <c r="R39" i="1"/>
  <c r="S39" i="1"/>
  <c r="T39" i="1"/>
  <c r="U39" i="1"/>
  <c r="V39" i="1"/>
  <c r="W39" i="1"/>
  <c r="R40" i="1"/>
  <c r="S40" i="1"/>
  <c r="T40" i="1"/>
  <c r="U40" i="1"/>
  <c r="V40" i="1"/>
  <c r="W40" i="1"/>
  <c r="S42" i="1"/>
  <c r="T42" i="1"/>
  <c r="U42" i="1"/>
  <c r="V42" i="1"/>
  <c r="W42" i="1"/>
  <c r="R44" i="1"/>
  <c r="S44" i="1"/>
  <c r="T44" i="1"/>
  <c r="U44" i="1"/>
  <c r="V44" i="1"/>
  <c r="W44" i="1"/>
  <c r="R45" i="1"/>
  <c r="S45" i="1"/>
  <c r="T45" i="1"/>
  <c r="U45" i="1"/>
  <c r="V45" i="1"/>
  <c r="W45" i="1"/>
  <c r="R46" i="1"/>
  <c r="S46" i="1"/>
  <c r="T46" i="1"/>
  <c r="U46" i="1"/>
  <c r="V46" i="1"/>
  <c r="W46" i="1"/>
  <c r="S27" i="1"/>
  <c r="T27" i="1"/>
  <c r="U27" i="1"/>
  <c r="V27" i="1"/>
  <c r="W27" i="1"/>
  <c r="R27" i="1"/>
  <c r="S20" i="1" l="1"/>
  <c r="S43" i="1" s="1"/>
  <c r="T20" i="1"/>
  <c r="T43" i="1" s="1"/>
  <c r="U20" i="1"/>
  <c r="U43" i="1" s="1"/>
  <c r="V20" i="1"/>
  <c r="V43" i="1" s="1"/>
  <c r="W20" i="1"/>
  <c r="W43" i="1" s="1"/>
  <c r="R20" i="1"/>
  <c r="S18" i="1" l="1"/>
  <c r="S41" i="1" s="1"/>
  <c r="T18" i="1"/>
  <c r="T41" i="1" s="1"/>
  <c r="U18" i="1"/>
  <c r="U41" i="1" s="1"/>
  <c r="V18" i="1"/>
  <c r="V41" i="1" s="1"/>
  <c r="W18" i="1"/>
  <c r="W41" i="1" s="1"/>
  <c r="R18" i="1"/>
  <c r="R41" i="1" s="1"/>
  <c r="S15" i="1" l="1"/>
  <c r="S38" i="1" s="1"/>
  <c r="T15" i="1"/>
  <c r="T38" i="1" s="1"/>
  <c r="U15" i="1"/>
  <c r="U38" i="1" s="1"/>
  <c r="V15" i="1"/>
  <c r="V38" i="1" s="1"/>
  <c r="W15" i="1"/>
  <c r="W38" i="1" s="1"/>
  <c r="R15" i="1"/>
  <c r="R38" i="1" s="1"/>
  <c r="S10" i="1" l="1"/>
  <c r="S33" i="1" s="1"/>
  <c r="T10" i="1"/>
  <c r="T33" i="1" s="1"/>
  <c r="U10" i="1"/>
  <c r="U33" i="1" s="1"/>
  <c r="V10" i="1"/>
  <c r="V33" i="1" s="1"/>
  <c r="W10" i="1"/>
  <c r="W33" i="1" s="1"/>
  <c r="R10" i="1"/>
  <c r="R33" i="1" s="1"/>
  <c r="R8" i="1" l="1"/>
  <c r="R31" i="1" s="1"/>
  <c r="S8" i="1"/>
  <c r="S31" i="1" s="1"/>
  <c r="T8" i="1"/>
  <c r="T31" i="1" s="1"/>
  <c r="U8" i="1"/>
  <c r="U31" i="1" s="1"/>
  <c r="V8" i="1"/>
  <c r="V31" i="1" s="1"/>
  <c r="W8" i="1"/>
  <c r="W31" i="1" s="1"/>
  <c r="M22" i="1" l="1"/>
  <c r="M23" i="1"/>
  <c r="M21" i="1"/>
  <c r="M5" i="1"/>
  <c r="M6" i="1"/>
  <c r="M11" i="1"/>
  <c r="M34" i="1" s="1"/>
  <c r="M12" i="1"/>
  <c r="M13" i="1"/>
  <c r="M14" i="1"/>
  <c r="M4" i="1"/>
  <c r="L22" i="1"/>
  <c r="L23" i="1"/>
  <c r="L21" i="1"/>
  <c r="L5" i="1"/>
  <c r="L6" i="1"/>
  <c r="L7" i="1"/>
  <c r="L11" i="1"/>
  <c r="L34" i="1" s="1"/>
  <c r="L12" i="1"/>
  <c r="L13" i="1"/>
  <c r="L4" i="1"/>
  <c r="K11" i="1"/>
  <c r="K34" i="1" s="1"/>
  <c r="Y11" i="1"/>
  <c r="X11" i="1"/>
  <c r="I23" i="1"/>
  <c r="G23" i="1"/>
  <c r="H23" i="1"/>
  <c r="K23" i="1"/>
  <c r="D20" i="1"/>
  <c r="G20" i="1" s="1"/>
  <c r="K22" i="1"/>
  <c r="K21" i="1"/>
  <c r="K5" i="1"/>
  <c r="K6" i="1"/>
  <c r="K12" i="1"/>
  <c r="K13" i="1"/>
  <c r="K4" i="1"/>
  <c r="I22" i="1"/>
  <c r="H22" i="1"/>
  <c r="G22" i="1"/>
  <c r="E10" i="1"/>
  <c r="H10" i="1" s="1"/>
  <c r="F10" i="1"/>
  <c r="I10" i="1" s="1"/>
  <c r="D10" i="1"/>
  <c r="G10" i="1" s="1"/>
  <c r="E8" i="1"/>
  <c r="H8" i="1" s="1"/>
  <c r="F8" i="1"/>
  <c r="I8" i="1" s="1"/>
  <c r="D8" i="1"/>
  <c r="G8" i="1" s="1"/>
  <c r="K17" i="1"/>
  <c r="J19" i="1"/>
  <c r="E20" i="1"/>
  <c r="H20" i="1" s="1"/>
  <c r="F20" i="1"/>
  <c r="I20" i="1" s="1"/>
  <c r="H19" i="1"/>
  <c r="I19" i="1"/>
  <c r="G19" i="1"/>
  <c r="D18" i="1"/>
  <c r="G18" i="1" s="1"/>
  <c r="D15" i="1"/>
  <c r="G15" i="1" s="1"/>
  <c r="H21" i="1"/>
  <c r="G21" i="1"/>
  <c r="G5" i="1"/>
  <c r="H5" i="1"/>
  <c r="G6" i="1"/>
  <c r="H6" i="1"/>
  <c r="G7" i="1"/>
  <c r="H7" i="1"/>
  <c r="G9" i="1"/>
  <c r="H9" i="1"/>
  <c r="G11" i="1"/>
  <c r="H11" i="1"/>
  <c r="G12" i="1"/>
  <c r="H12" i="1"/>
  <c r="G13" i="1"/>
  <c r="H13" i="1"/>
  <c r="G14" i="1"/>
  <c r="H14" i="1"/>
  <c r="G16" i="1"/>
  <c r="H16" i="1"/>
  <c r="G17" i="1"/>
  <c r="H17" i="1"/>
  <c r="G4" i="1"/>
  <c r="I21" i="1"/>
  <c r="E15" i="1"/>
  <c r="H15" i="1" s="1"/>
  <c r="F15" i="1"/>
  <c r="I15" i="1" s="1"/>
  <c r="E18" i="1"/>
  <c r="H18" i="1" s="1"/>
  <c r="F18" i="1"/>
  <c r="I18" i="1" s="1"/>
  <c r="J18" i="1"/>
  <c r="K16" i="1"/>
  <c r="I17" i="1"/>
  <c r="I16" i="1"/>
  <c r="J14" i="1"/>
  <c r="K14" i="1" s="1"/>
  <c r="J7" i="1"/>
  <c r="K7" i="1" s="1"/>
  <c r="I5" i="1"/>
  <c r="I6" i="1"/>
  <c r="N6" i="1" s="1"/>
  <c r="I7" i="1"/>
  <c r="I9" i="1"/>
  <c r="I11" i="1"/>
  <c r="I12" i="1"/>
  <c r="I13" i="1"/>
  <c r="I14" i="1"/>
  <c r="I4" i="1"/>
  <c r="H4" i="1"/>
  <c r="Z11" i="1" l="1"/>
  <c r="AA11" i="1"/>
  <c r="L28" i="1"/>
  <c r="Z5" i="1"/>
  <c r="AA5" i="1"/>
  <c r="L45" i="1"/>
  <c r="Z22" i="1"/>
  <c r="AA22" i="1"/>
  <c r="K27" i="1"/>
  <c r="X4" i="1"/>
  <c r="Y4" i="1"/>
  <c r="K35" i="1"/>
  <c r="X12" i="1"/>
  <c r="Y12" i="1"/>
  <c r="K30" i="1"/>
  <c r="X7" i="1"/>
  <c r="Y7" i="1"/>
  <c r="M37" i="1"/>
  <c r="AB14" i="1"/>
  <c r="AC14" i="1"/>
  <c r="M35" i="1"/>
  <c r="AC12" i="1"/>
  <c r="AB12" i="1"/>
  <c r="K46" i="1"/>
  <c r="X23" i="1"/>
  <c r="Y23" i="1"/>
  <c r="L30" i="1"/>
  <c r="Z7" i="1"/>
  <c r="AA7" i="1"/>
  <c r="L29" i="1"/>
  <c r="AA6" i="1"/>
  <c r="Z6" i="1"/>
  <c r="L44" i="1"/>
  <c r="AA21" i="1"/>
  <c r="Z21" i="1"/>
  <c r="K36" i="1"/>
  <c r="Y13" i="1"/>
  <c r="X13" i="1"/>
  <c r="K28" i="1"/>
  <c r="X5" i="1"/>
  <c r="Y5" i="1"/>
  <c r="K37" i="1"/>
  <c r="Y14" i="1"/>
  <c r="X14" i="1"/>
  <c r="K44" i="1"/>
  <c r="X21" i="1"/>
  <c r="Y21" i="1"/>
  <c r="AC34" i="1"/>
  <c r="AB34" i="1"/>
  <c r="M7" i="1"/>
  <c r="M29" i="1"/>
  <c r="AC6" i="1"/>
  <c r="AB6" i="1"/>
  <c r="M28" i="1"/>
  <c r="AB5" i="1"/>
  <c r="AC5" i="1"/>
  <c r="Y34" i="1"/>
  <c r="X34" i="1"/>
  <c r="L27" i="1"/>
  <c r="Z4" i="1"/>
  <c r="AA4" i="1"/>
  <c r="K42" i="1"/>
  <c r="X19" i="1"/>
  <c r="Y19" i="1"/>
  <c r="L14" i="1"/>
  <c r="Z34" i="1"/>
  <c r="AA34" i="1"/>
  <c r="AC11" i="1"/>
  <c r="L46" i="1"/>
  <c r="Z23" i="1"/>
  <c r="AA23" i="1"/>
  <c r="M27" i="1"/>
  <c r="AB4" i="1"/>
  <c r="AC4" i="1"/>
  <c r="K29" i="1"/>
  <c r="X6" i="1"/>
  <c r="Y6" i="1"/>
  <c r="M36" i="1"/>
  <c r="AB13" i="1"/>
  <c r="AC13" i="1"/>
  <c r="K45" i="1"/>
  <c r="X22" i="1"/>
  <c r="Y22" i="1"/>
  <c r="K39" i="1"/>
  <c r="Y16" i="1"/>
  <c r="X16" i="1"/>
  <c r="M44" i="1"/>
  <c r="AB21" i="1"/>
  <c r="AC21" i="1"/>
  <c r="M46" i="1"/>
  <c r="AB23" i="1"/>
  <c r="AC23" i="1"/>
  <c r="M45" i="1"/>
  <c r="AB22" i="1"/>
  <c r="AC22" i="1"/>
  <c r="K40" i="1"/>
  <c r="X17" i="1"/>
  <c r="Y17" i="1"/>
  <c r="L36" i="1"/>
  <c r="Z13" i="1"/>
  <c r="AA13" i="1"/>
  <c r="L35" i="1"/>
  <c r="Z12" i="1"/>
  <c r="AA12" i="1"/>
  <c r="AB11" i="1"/>
  <c r="AD11" i="1" s="1"/>
  <c r="J8" i="1"/>
  <c r="N7" i="1"/>
  <c r="N5" i="1"/>
  <c r="N16" i="1"/>
  <c r="N23" i="1"/>
  <c r="N22" i="1"/>
  <c r="N13" i="1"/>
  <c r="N12" i="1"/>
  <c r="N11" i="1"/>
  <c r="N17" i="1"/>
  <c r="N14" i="1"/>
  <c r="N21" i="1"/>
  <c r="N4" i="1"/>
  <c r="K20" i="1"/>
  <c r="J20" i="1"/>
  <c r="N19" i="1"/>
  <c r="J9" i="1"/>
  <c r="K18" i="1"/>
  <c r="J15" i="1"/>
  <c r="Z30" i="1" l="1"/>
  <c r="AA30" i="1"/>
  <c r="AB28" i="1"/>
  <c r="AC28" i="1"/>
  <c r="X45" i="1"/>
  <c r="Y45" i="1"/>
  <c r="AD23" i="1"/>
  <c r="Y46" i="1"/>
  <c r="X46" i="1"/>
  <c r="AC29" i="1"/>
  <c r="AB29" i="1"/>
  <c r="AC36" i="1"/>
  <c r="AB36" i="1"/>
  <c r="AC35" i="1"/>
  <c r="AB35" i="1"/>
  <c r="AD6" i="1"/>
  <c r="AA35" i="1"/>
  <c r="Z35" i="1"/>
  <c r="AD21" i="1"/>
  <c r="AB37" i="1"/>
  <c r="AC37" i="1"/>
  <c r="Y44" i="1"/>
  <c r="X44" i="1"/>
  <c r="AB27" i="1"/>
  <c r="AC27" i="1"/>
  <c r="AD17" i="1"/>
  <c r="Z46" i="1"/>
  <c r="AA46" i="1"/>
  <c r="AD12" i="1"/>
  <c r="K15" i="1"/>
  <c r="L15" i="1"/>
  <c r="M15" i="1"/>
  <c r="X40" i="1"/>
  <c r="Y40" i="1"/>
  <c r="AD5" i="1"/>
  <c r="Y35" i="1"/>
  <c r="X35" i="1"/>
  <c r="N18" i="1"/>
  <c r="K41" i="1"/>
  <c r="X18" i="1"/>
  <c r="Y18" i="1"/>
  <c r="X28" i="1"/>
  <c r="Y28" i="1"/>
  <c r="M9" i="1"/>
  <c r="L9" i="1"/>
  <c r="AD22" i="1"/>
  <c r="AD13" i="1"/>
  <c r="AD4" i="1"/>
  <c r="Y36" i="1"/>
  <c r="X36" i="1"/>
  <c r="N20" i="1"/>
  <c r="K43" i="1"/>
  <c r="X20" i="1"/>
  <c r="Y20" i="1"/>
  <c r="Y39" i="1"/>
  <c r="X39" i="1"/>
  <c r="M30" i="1"/>
  <c r="AB7" i="1"/>
  <c r="AC7" i="1"/>
  <c r="X29" i="1"/>
  <c r="Y29" i="1"/>
  <c r="AA36" i="1"/>
  <c r="Z36" i="1"/>
  <c r="Y30" i="1"/>
  <c r="X30" i="1"/>
  <c r="X37" i="1"/>
  <c r="Y37" i="1"/>
  <c r="L37" i="1"/>
  <c r="Z14" i="1"/>
  <c r="AA14" i="1"/>
  <c r="Y27" i="1"/>
  <c r="X27" i="1"/>
  <c r="AD19" i="1"/>
  <c r="X42" i="1"/>
  <c r="Y42" i="1"/>
  <c r="AA45" i="1"/>
  <c r="Z45" i="1"/>
  <c r="AB44" i="1"/>
  <c r="AC44" i="1"/>
  <c r="Z27" i="1"/>
  <c r="AA27" i="1"/>
  <c r="Z28" i="1"/>
  <c r="AA28" i="1"/>
  <c r="K8" i="1"/>
  <c r="L8" i="1"/>
  <c r="M8" i="1"/>
  <c r="AC45" i="1"/>
  <c r="AB45" i="1"/>
  <c r="AB46" i="1"/>
  <c r="AC46" i="1"/>
  <c r="AA44" i="1"/>
  <c r="Z44" i="1"/>
  <c r="AD16" i="1"/>
  <c r="AA29" i="1"/>
  <c r="Z29" i="1"/>
  <c r="K9" i="1"/>
  <c r="J10" i="1"/>
  <c r="AF42" i="1" l="1"/>
  <c r="AE42" i="1" s="1"/>
  <c r="AD7" i="1"/>
  <c r="L32" i="1"/>
  <c r="Z9" i="1"/>
  <c r="AA9" i="1"/>
  <c r="X43" i="1"/>
  <c r="AE43" i="1" s="1"/>
  <c r="Y43" i="1"/>
  <c r="N9" i="1"/>
  <c r="K32" i="1"/>
  <c r="Y9" i="1"/>
  <c r="X9" i="1"/>
  <c r="AD18" i="1"/>
  <c r="X41" i="1"/>
  <c r="Y41" i="1"/>
  <c r="AD20" i="1"/>
  <c r="M32" i="1"/>
  <c r="AB9" i="1"/>
  <c r="AC9" i="1"/>
  <c r="K10" i="1"/>
  <c r="L10" i="1"/>
  <c r="M10" i="1"/>
  <c r="AD14" i="1"/>
  <c r="AA37" i="1"/>
  <c r="Z37" i="1"/>
  <c r="M38" i="1"/>
  <c r="AB15" i="1"/>
  <c r="AC15" i="1"/>
  <c r="M31" i="1"/>
  <c r="AB8" i="1"/>
  <c r="AC8" i="1"/>
  <c r="L38" i="1"/>
  <c r="Z15" i="1"/>
  <c r="AA15" i="1"/>
  <c r="L31" i="1"/>
  <c r="Z8" i="1"/>
  <c r="AA8" i="1"/>
  <c r="N15" i="1"/>
  <c r="K38" i="1"/>
  <c r="Y15" i="1"/>
  <c r="X15" i="1"/>
  <c r="N8" i="1"/>
  <c r="K31" i="1"/>
  <c r="X8" i="1"/>
  <c r="Y8" i="1"/>
  <c r="AC30" i="1"/>
  <c r="AB30" i="1"/>
  <c r="Y32" i="1" l="1"/>
  <c r="X32" i="1"/>
  <c r="M33" i="1"/>
  <c r="AC10" i="1"/>
  <c r="AB10" i="1"/>
  <c r="AC38" i="1"/>
  <c r="AB38" i="1"/>
  <c r="AD8" i="1"/>
  <c r="L33" i="1"/>
  <c r="Z10" i="1"/>
  <c r="AA10" i="1"/>
  <c r="AC32" i="1"/>
  <c r="AB32" i="1"/>
  <c r="N10" i="1"/>
  <c r="O20" i="1" s="1"/>
  <c r="K33" i="1"/>
  <c r="Y10" i="1"/>
  <c r="X10" i="1"/>
  <c r="AD10" i="1" s="1"/>
  <c r="AD15" i="1"/>
  <c r="Z31" i="1"/>
  <c r="AA31" i="1"/>
  <c r="AA38" i="1"/>
  <c r="Z38" i="1"/>
  <c r="AC31" i="1"/>
  <c r="AB31" i="1"/>
  <c r="AD9" i="1"/>
  <c r="X31" i="1"/>
  <c r="Y31" i="1"/>
  <c r="Y38" i="1"/>
  <c r="X38" i="1"/>
  <c r="AA32" i="1"/>
  <c r="Z32" i="1"/>
  <c r="AG10" i="1" l="1"/>
  <c r="O9" i="1"/>
  <c r="AG18" i="1"/>
  <c r="AG8" i="1"/>
  <c r="AG7" i="1"/>
  <c r="AG4" i="1"/>
  <c r="AG22" i="1"/>
  <c r="AG5" i="1"/>
  <c r="AG17" i="1"/>
  <c r="AG21" i="1"/>
  <c r="AG19" i="1"/>
  <c r="AG11" i="1"/>
  <c r="AG16" i="1"/>
  <c r="AG6" i="1"/>
  <c r="AG12" i="1"/>
  <c r="AG13" i="1"/>
  <c r="AG23" i="1"/>
  <c r="O7" i="1"/>
  <c r="O23" i="1"/>
  <c r="O12" i="1"/>
  <c r="O8" i="1"/>
  <c r="O17" i="1"/>
  <c r="O22" i="1"/>
  <c r="O10" i="1"/>
  <c r="O16" i="1"/>
  <c r="O11" i="1"/>
  <c r="O13" i="1"/>
  <c r="O19" i="1"/>
  <c r="O5" i="1"/>
  <c r="O14" i="1"/>
  <c r="O4" i="1"/>
  <c r="Z33" i="1"/>
  <c r="AA33" i="1"/>
  <c r="AG14" i="1"/>
  <c r="AG20" i="1"/>
  <c r="X33" i="1"/>
  <c r="Y33" i="1"/>
  <c r="O6" i="1"/>
  <c r="AG9" i="1"/>
  <c r="AB33" i="1"/>
  <c r="AC33" i="1"/>
  <c r="O18" i="1"/>
  <c r="AG15" i="1"/>
  <c r="O15" i="1"/>
  <c r="O21" i="1"/>
</calcChain>
</file>

<file path=xl/sharedStrings.xml><?xml version="1.0" encoding="utf-8"?>
<sst xmlns="http://schemas.openxmlformats.org/spreadsheetml/2006/main" count="141" uniqueCount="52">
  <si>
    <t>60 Min APW</t>
  </si>
  <si>
    <t>45 Min APW</t>
  </si>
  <si>
    <t>30 Min APW</t>
  </si>
  <si>
    <t>KM Track</t>
  </si>
  <si>
    <t>Base</t>
  </si>
  <si>
    <t>Bradfield Vaucluse</t>
  </si>
  <si>
    <t>Bradfield Sydenham</t>
  </si>
  <si>
    <t>Bradfield Malabar</t>
  </si>
  <si>
    <t>Bradfield Sydenham &amp; Malabar</t>
  </si>
  <si>
    <t>Bradfield Full</t>
  </si>
  <si>
    <t>2056 Stage 1</t>
  </si>
  <si>
    <t>Net 30</t>
  </si>
  <si>
    <t>Net 45</t>
  </si>
  <si>
    <t>Net 60</t>
  </si>
  <si>
    <t>Cost $B</t>
  </si>
  <si>
    <t xml:space="preserve">Rank </t>
  </si>
  <si>
    <t>Light Rail Extension</t>
  </si>
  <si>
    <t>2056 Stage 1 and 2</t>
  </si>
  <si>
    <t>Light Rail with Oxford Street Rail</t>
  </si>
  <si>
    <t>Marginal Oxford Street</t>
  </si>
  <si>
    <t>Marginal Stage 2 Metro</t>
  </si>
  <si>
    <t>Mills Proposal</t>
  </si>
  <si>
    <t>Extensive Eastern Suburbs Lightrail</t>
  </si>
  <si>
    <t>Marginal Extensive Lightrail</t>
  </si>
  <si>
    <t>Avg Access/Cost</t>
  </si>
  <si>
    <t>Marginal Malabar</t>
  </si>
  <si>
    <t>Marginal Full</t>
  </si>
  <si>
    <t>Mills Proposal Metro</t>
  </si>
  <si>
    <t>Alternative 2056 Metro</t>
  </si>
  <si>
    <t>Accessibility Results</t>
  </si>
  <si>
    <t>Land Value Uplift Results</t>
  </si>
  <si>
    <t>30 Min Lin.</t>
  </si>
  <si>
    <t>45 Min Lin.</t>
  </si>
  <si>
    <t>60 Min Lin.</t>
  </si>
  <si>
    <t>30 Min Log</t>
  </si>
  <si>
    <t>45 Min Log</t>
  </si>
  <si>
    <t>60 Min Log</t>
  </si>
  <si>
    <t>BCR Lin</t>
  </si>
  <si>
    <t>BCR LOG</t>
  </si>
  <si>
    <t>BCR LIN Cheap</t>
  </si>
  <si>
    <t>BCR LOG Cheap</t>
  </si>
  <si>
    <t>BCR LIN Exp</t>
  </si>
  <si>
    <t>BCR LOG Exp</t>
  </si>
  <si>
    <t>BCR Average</t>
  </si>
  <si>
    <t>Cost $B Cheap</t>
  </si>
  <si>
    <t>-</t>
  </si>
  <si>
    <t>Scenario</t>
  </si>
  <si>
    <t>BCR Average Lin</t>
  </si>
  <si>
    <t>BCR Average Log</t>
  </si>
  <si>
    <t>Combination Proposal</t>
  </si>
  <si>
    <t>Combination Proposal Metro</t>
  </si>
  <si>
    <t>Cost Expensive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</si>
</sst>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;[Red]\-&quot;$&quot;#,##0.00"/>
    <numFmt numFmtId="44" formatCode="_-&quot;$&quot;* #,##0.00_-;\-&quot;$&quot;* #,##0.00_-;_-&quot;$&quot;* &quot;-&quot;??_-;_-@_-"/>
    <numFmt numFmtId="164" formatCode="&quot;$&quot;#,##0.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8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3" fontId="0" fillId="0" borderId="1" xfId="0" applyNumberFormat="1" applyBorder="1"/>
    <xf numFmtId="4" fontId="0" fillId="0" borderId="1" xfId="0" applyNumberFormat="1" applyBorder="1"/>
    <xf numFmtId="164" fontId="0" fillId="0" borderId="1" xfId="0" applyNumberFormat="1" applyBorder="1"/>
    <xf numFmtId="0" fontId="0" fillId="0" borderId="2" xfId="0" applyBorder="1" applyAlignment="1">
      <alignment horizontal="right"/>
    </xf>
    <xf numFmtId="0" fontId="0" fillId="0" borderId="1" xfId="0" applyBorder="1" applyAlignment="1">
      <alignment horizontal="right"/>
    </xf>
    <xf numFmtId="164" fontId="0" fillId="0" borderId="1" xfId="0" applyNumberFormat="1" applyBorder="1" applyAlignment="1">
      <alignment horizontal="right"/>
    </xf>
    <xf numFmtId="164" fontId="0" fillId="0" borderId="1" xfId="1" applyNumberFormat="1" applyFont="1" applyBorder="1" applyAlignment="1">
      <alignment horizontal="right"/>
    </xf>
    <xf numFmtId="0" fontId="1" fillId="0" borderId="1" xfId="0" applyFont="1" applyBorder="1" applyAlignment="1">
      <alignment horizontal="left"/>
    </xf>
    <xf numFmtId="164" fontId="0" fillId="0" borderId="1" xfId="1" applyNumberFormat="1" applyFont="1" applyBorder="1"/>
    <xf numFmtId="0" fontId="1" fillId="0" borderId="1" xfId="0" applyFont="1" applyBorder="1" applyAlignment="1">
      <alignment horizontal="right"/>
    </xf>
    <xf numFmtId="44" fontId="0" fillId="0" borderId="1" xfId="1" applyFont="1" applyBorder="1"/>
    <xf numFmtId="0" fontId="1" fillId="0" borderId="1" xfId="0" applyFont="1" applyBorder="1"/>
    <xf numFmtId="4" fontId="0" fillId="0" borderId="1" xfId="0" applyNumberFormat="1" applyBorder="1" applyAlignment="1">
      <alignment horizontal="center"/>
    </xf>
    <xf numFmtId="8" fontId="0" fillId="0" borderId="1" xfId="1" applyNumberFormat="1" applyFont="1" applyBorder="1"/>
    <xf numFmtId="8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96198967653675E-2"/>
          <c:y val="1.9308123872003525E-2"/>
          <c:w val="0.94259211882929839"/>
          <c:h val="0.88131230375141811"/>
        </c:manualLayout>
      </c:layout>
      <c:barChart>
        <c:barDir val="bar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dLbls>
            <c:dLbl>
              <c:idx val="4"/>
              <c:layout>
                <c:manualLayout>
                  <c:x val="2.6216446079468572E-2"/>
                  <c:y val="-2.1451781719210214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F46E-4F64-B351-F983B36811F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Sheet1!$Q$27:$Q$46</c:f>
              <c:strCache>
                <c:ptCount val="20"/>
                <c:pt idx="0">
                  <c:v>Bradfield Vaucluse</c:v>
                </c:pt>
                <c:pt idx="1">
                  <c:v>Bradfield Sydenham</c:v>
                </c:pt>
                <c:pt idx="2">
                  <c:v>Bradfield Malabar</c:v>
                </c:pt>
                <c:pt idx="3">
                  <c:v>Bradfield Sydenham &amp; Malabar</c:v>
                </c:pt>
                <c:pt idx="4">
                  <c:v>Marginal Malabar</c:v>
                </c:pt>
                <c:pt idx="5">
                  <c:v>Bradfield Full</c:v>
                </c:pt>
                <c:pt idx="6">
                  <c:v>Marginal Full</c:v>
                </c:pt>
                <c:pt idx="7">
                  <c:v>1974</c:v>
                </c:pt>
                <c:pt idx="8">
                  <c:v>2001</c:v>
                </c:pt>
                <c:pt idx="9">
                  <c:v>2056 Stage 1</c:v>
                </c:pt>
                <c:pt idx="10">
                  <c:v>2056 Stage 1 and 2</c:v>
                </c:pt>
                <c:pt idx="11">
                  <c:v>Marginal Stage 2 Metro</c:v>
                </c:pt>
                <c:pt idx="12">
                  <c:v>Light Rail Extension</c:v>
                </c:pt>
                <c:pt idx="13">
                  <c:v>Light Rail with Oxford Street Rail</c:v>
                </c:pt>
                <c:pt idx="14">
                  <c:v>Marginal Oxford Street</c:v>
                </c:pt>
                <c:pt idx="15">
                  <c:v>Extensive Eastern Suburbs Lightrail</c:v>
                </c:pt>
                <c:pt idx="16">
                  <c:v>Marginal Extensive Lightrail</c:v>
                </c:pt>
                <c:pt idx="17">
                  <c:v>Combination Proposal</c:v>
                </c:pt>
                <c:pt idx="18">
                  <c:v>Combination Proposal Metro</c:v>
                </c:pt>
                <c:pt idx="19">
                  <c:v>Alternative 2056 Metro</c:v>
                </c:pt>
              </c:strCache>
            </c:strRef>
          </c:cat>
          <c:val>
            <c:numRef>
              <c:f>Sheet1!$AD$27:$AD$46</c:f>
              <c:numCache>
                <c:formatCode>#,##0.00</c:formatCode>
                <c:ptCount val="20"/>
                <c:pt idx="0">
                  <c:v>0.38325404199509361</c:v>
                </c:pt>
                <c:pt idx="1">
                  <c:v>0.4795801787143435</c:v>
                </c:pt>
                <c:pt idx="2">
                  <c:v>0.45696120378369737</c:v>
                </c:pt>
                <c:pt idx="3">
                  <c:v>0.20806239755797595</c:v>
                </c:pt>
                <c:pt idx="4">
                  <c:v>-4.8778746779128461E-2</c:v>
                </c:pt>
                <c:pt idx="5">
                  <c:v>9.5341674711415692E-2</c:v>
                </c:pt>
                <c:pt idx="6">
                  <c:v>-1.7379048135144508E-2</c:v>
                </c:pt>
                <c:pt idx="7">
                  <c:v>0.51532961142742806</c:v>
                </c:pt>
                <c:pt idx="8">
                  <c:v>0.48919061384067875</c:v>
                </c:pt>
                <c:pt idx="9">
                  <c:v>0.77857843364310841</c:v>
                </c:pt>
                <c:pt idx="10">
                  <c:v>0.51502753640457544</c:v>
                </c:pt>
                <c:pt idx="11">
                  <c:v>0.15351966851101231</c:v>
                </c:pt>
                <c:pt idx="12">
                  <c:v>0.11650903196429103</c:v>
                </c:pt>
                <c:pt idx="13">
                  <c:v>0.20914200496030072</c:v>
                </c:pt>
                <c:pt idx="14">
                  <c:v>0.31440674700122095</c:v>
                </c:pt>
                <c:pt idx="15">
                  <c:v>0.63632120441085693</c:v>
                </c:pt>
                <c:pt idx="16">
                  <c:v>0.80058729051579558</c:v>
                </c:pt>
                <c:pt idx="17">
                  <c:v>0.59912806931202567</c:v>
                </c:pt>
                <c:pt idx="18">
                  <c:v>0.60887999604021947</c:v>
                </c:pt>
                <c:pt idx="19">
                  <c:v>1.0222195622209231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6E-4F64-B351-F983B36811F1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Sheet1!$Q$27:$Q$46</c:f>
              <c:strCache>
                <c:ptCount val="20"/>
                <c:pt idx="0">
                  <c:v>Bradfield Vaucluse</c:v>
                </c:pt>
                <c:pt idx="1">
                  <c:v>Bradfield Sydenham</c:v>
                </c:pt>
                <c:pt idx="2">
                  <c:v>Bradfield Malabar</c:v>
                </c:pt>
                <c:pt idx="3">
                  <c:v>Bradfield Sydenham &amp; Malabar</c:v>
                </c:pt>
                <c:pt idx="4">
                  <c:v>Marginal Malabar</c:v>
                </c:pt>
                <c:pt idx="5">
                  <c:v>Bradfield Full</c:v>
                </c:pt>
                <c:pt idx="6">
                  <c:v>Marginal Full</c:v>
                </c:pt>
                <c:pt idx="7">
                  <c:v>1974</c:v>
                </c:pt>
                <c:pt idx="8">
                  <c:v>2001</c:v>
                </c:pt>
                <c:pt idx="9">
                  <c:v>2056 Stage 1</c:v>
                </c:pt>
                <c:pt idx="10">
                  <c:v>2056 Stage 1 and 2</c:v>
                </c:pt>
                <c:pt idx="11">
                  <c:v>Marginal Stage 2 Metro</c:v>
                </c:pt>
                <c:pt idx="12">
                  <c:v>Light Rail Extension</c:v>
                </c:pt>
                <c:pt idx="13">
                  <c:v>Light Rail with Oxford Street Rail</c:v>
                </c:pt>
                <c:pt idx="14">
                  <c:v>Marginal Oxford Street</c:v>
                </c:pt>
                <c:pt idx="15">
                  <c:v>Extensive Eastern Suburbs Lightrail</c:v>
                </c:pt>
                <c:pt idx="16">
                  <c:v>Marginal Extensive Lightrail</c:v>
                </c:pt>
                <c:pt idx="17">
                  <c:v>Combination Proposal</c:v>
                </c:pt>
                <c:pt idx="18">
                  <c:v>Combination Proposal Metro</c:v>
                </c:pt>
                <c:pt idx="19">
                  <c:v>Alternative 2056 Metro</c:v>
                </c:pt>
              </c:strCache>
            </c:strRef>
          </c:cat>
          <c:val>
            <c:numRef>
              <c:f>Sheet1!$AE$27:$AE$46</c:f>
              <c:numCache>
                <c:formatCode>#,##0.00</c:formatCode>
                <c:ptCount val="20"/>
                <c:pt idx="0">
                  <c:v>1.3812323902004267</c:v>
                </c:pt>
                <c:pt idx="1">
                  <c:v>1.3967482574994978</c:v>
                </c:pt>
                <c:pt idx="2">
                  <c:v>1.4708553972075085</c:v>
                </c:pt>
                <c:pt idx="3">
                  <c:v>0.61384112973445981</c:v>
                </c:pt>
                <c:pt idx="4">
                  <c:v>-0.12674669382706255</c:v>
                </c:pt>
                <c:pt idx="5">
                  <c:v>0.3015181361126909</c:v>
                </c:pt>
                <c:pt idx="6">
                  <c:v>-1.0804857509077937E-2</c:v>
                </c:pt>
                <c:pt idx="7">
                  <c:v>1.0172008772511916</c:v>
                </c:pt>
                <c:pt idx="8">
                  <c:v>1.2793135455789657</c:v>
                </c:pt>
                <c:pt idx="9">
                  <c:v>2.1126826088467161</c:v>
                </c:pt>
                <c:pt idx="10">
                  <c:v>1.656726347975142</c:v>
                </c:pt>
                <c:pt idx="11">
                  <c:v>1.0312996184610359</c:v>
                </c:pt>
                <c:pt idx="12">
                  <c:v>0.49147853968318106</c:v>
                </c:pt>
                <c:pt idx="13">
                  <c:v>0.49473569879550822</c:v>
                </c:pt>
                <c:pt idx="14">
                  <c:v>0.49843701596860712</c:v>
                </c:pt>
                <c:pt idx="15">
                  <c:v>1.58876554417989</c:v>
                </c:pt>
                <c:pt idx="16">
                  <c:v>2.0094601871176345</c:v>
                </c:pt>
                <c:pt idx="17">
                  <c:v>1.917570551141544</c:v>
                </c:pt>
                <c:pt idx="18">
                  <c:v>1.7925844374741695</c:v>
                </c:pt>
                <c:pt idx="19">
                  <c:v>2.3615842997991265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6E-4F64-B351-F983B36811F1}"/>
            </c:ext>
          </c:extLst>
        </c:ser>
        <c:ser>
          <c:idx val="2"/>
          <c:order val="2"/>
          <c:spPr>
            <a:noFill/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3.5399481889238929E-2"/>
                  <c:y val="-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F46E-4F64-B351-F983B36811F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Sheet1!$Q$27:$Q$46</c:f>
              <c:strCache>
                <c:ptCount val="20"/>
                <c:pt idx="0">
                  <c:v>Bradfield Vaucluse</c:v>
                </c:pt>
                <c:pt idx="1">
                  <c:v>Bradfield Sydenham</c:v>
                </c:pt>
                <c:pt idx="2">
                  <c:v>Bradfield Malabar</c:v>
                </c:pt>
                <c:pt idx="3">
                  <c:v>Bradfield Sydenham &amp; Malabar</c:v>
                </c:pt>
                <c:pt idx="4">
                  <c:v>Marginal Malabar</c:v>
                </c:pt>
                <c:pt idx="5">
                  <c:v>Bradfield Full</c:v>
                </c:pt>
                <c:pt idx="6">
                  <c:v>Marginal Full</c:v>
                </c:pt>
                <c:pt idx="7">
                  <c:v>1974</c:v>
                </c:pt>
                <c:pt idx="8">
                  <c:v>2001</c:v>
                </c:pt>
                <c:pt idx="9">
                  <c:v>2056 Stage 1</c:v>
                </c:pt>
                <c:pt idx="10">
                  <c:v>2056 Stage 1 and 2</c:v>
                </c:pt>
                <c:pt idx="11">
                  <c:v>Marginal Stage 2 Metro</c:v>
                </c:pt>
                <c:pt idx="12">
                  <c:v>Light Rail Extension</c:v>
                </c:pt>
                <c:pt idx="13">
                  <c:v>Light Rail with Oxford Street Rail</c:v>
                </c:pt>
                <c:pt idx="14">
                  <c:v>Marginal Oxford Street</c:v>
                </c:pt>
                <c:pt idx="15">
                  <c:v>Extensive Eastern Suburbs Lightrail</c:v>
                </c:pt>
                <c:pt idx="16">
                  <c:v>Marginal Extensive Lightrail</c:v>
                </c:pt>
                <c:pt idx="17">
                  <c:v>Combination Proposal</c:v>
                </c:pt>
                <c:pt idx="18">
                  <c:v>Combination Proposal Metro</c:v>
                </c:pt>
                <c:pt idx="19">
                  <c:v>Alternative 2056 Metro</c:v>
                </c:pt>
              </c:strCache>
            </c:strRef>
          </c:cat>
          <c:val>
            <c:numRef>
              <c:f>Sheet1!$AF$27:$AF$46</c:f>
              <c:numCache>
                <c:formatCode>#,##0.00</c:formatCode>
                <c:ptCount val="20"/>
                <c:pt idx="0">
                  <c:v>1.7644864321955203</c:v>
                </c:pt>
                <c:pt idx="1">
                  <c:v>1.8763284362138413</c:v>
                </c:pt>
                <c:pt idx="2">
                  <c:v>1.9278166009912059</c:v>
                </c:pt>
                <c:pt idx="3">
                  <c:v>0.82190352729243576</c:v>
                </c:pt>
                <c:pt idx="4">
                  <c:v>-0.17552544060619102</c:v>
                </c:pt>
                <c:pt idx="5">
                  <c:v>0.3968598108241066</c:v>
                </c:pt>
                <c:pt idx="6">
                  <c:v>-2.8183905644222445E-2</c:v>
                </c:pt>
                <c:pt idx="7">
                  <c:v>1.5325304886786195</c:v>
                </c:pt>
                <c:pt idx="8">
                  <c:v>1.7685041594196445</c:v>
                </c:pt>
                <c:pt idx="9">
                  <c:v>2.8912610424898246</c:v>
                </c:pt>
                <c:pt idx="10">
                  <c:v>2.1717538843797173</c:v>
                </c:pt>
                <c:pt idx="11">
                  <c:v>1.1848192869720482</c:v>
                </c:pt>
                <c:pt idx="12">
                  <c:v>0.60798757164747208</c:v>
                </c:pt>
                <c:pt idx="13">
                  <c:v>0.70387770375580894</c:v>
                </c:pt>
                <c:pt idx="14">
                  <c:v>0.81284376296982808</c:v>
                </c:pt>
                <c:pt idx="15">
                  <c:v>2.2250867485907468</c:v>
                </c:pt>
                <c:pt idx="16">
                  <c:v>2.8100474776334301</c:v>
                </c:pt>
                <c:pt idx="17">
                  <c:v>2.5166986204535697</c:v>
                </c:pt>
                <c:pt idx="18">
                  <c:v>2.4014644335143891</c:v>
                </c:pt>
                <c:pt idx="19">
                  <c:v>3.3838038620200499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46E-4F64-B351-F983B36811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90484975"/>
        <c:axId val="1390482095"/>
      </c:barChart>
      <c:catAx>
        <c:axId val="139048497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Railway Options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0482095"/>
        <c:crosses val="autoZero"/>
        <c:auto val="1"/>
        <c:lblAlgn val="ctr"/>
        <c:lblOffset val="100"/>
        <c:noMultiLvlLbl val="0"/>
      </c:catAx>
      <c:valAx>
        <c:axId val="1390482095"/>
        <c:scaling>
          <c:orientation val="minMax"/>
          <c:max val="3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Benefit Cost Ratios</a:t>
                </a:r>
              </a:p>
            </c:rich>
          </c:tx>
          <c:layout>
            <c:manualLayout>
              <c:xMode val="edge"/>
              <c:yMode val="edge"/>
              <c:x val="0.47737084837502652"/>
              <c:y val="0.9502171361542002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04849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15968</xdr:colOff>
      <xdr:row>48</xdr:row>
      <xdr:rowOff>40059</xdr:rowOff>
    </xdr:from>
    <xdr:to>
      <xdr:col>29</xdr:col>
      <xdr:colOff>721448</xdr:colOff>
      <xdr:row>88</xdr:row>
      <xdr:rowOff>136070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10DAE18-7FD8-BBEA-DADB-5F004FA608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9FE23-7D6C-409E-843F-3EB063F816AE}">
  <dimension ref="C2:AG47"/>
  <sheetViews>
    <sheetView tabSelected="1" topLeftCell="N44" zoomScale="85" zoomScaleNormal="85" workbookViewId="0">
      <selection activeCell="AF62" sqref="AF62"/>
    </sheetView>
  </sheetViews>
  <sheetFormatPr defaultRowHeight="15" x14ac:dyDescent="0.25"/>
  <cols>
    <col min="3" max="3" width="32.140625" customWidth="1"/>
    <col min="4" max="6" width="11.140625" bestFit="1" customWidth="1"/>
    <col min="7" max="7" width="9" bestFit="1" customWidth="1"/>
    <col min="9" max="9" width="12.28515625" bestFit="1" customWidth="1"/>
    <col min="14" max="14" width="18.7109375" bestFit="1" customWidth="1"/>
    <col min="15" max="15" width="9.140625" customWidth="1"/>
    <col min="17" max="17" width="33.42578125" bestFit="1" customWidth="1"/>
    <col min="18" max="18" width="11.85546875" bestFit="1" customWidth="1"/>
    <col min="19" max="19" width="12.5703125" bestFit="1" customWidth="1"/>
    <col min="20" max="20" width="12" bestFit="1" customWidth="1"/>
    <col min="21" max="21" width="11.7109375" bestFit="1" customWidth="1"/>
    <col min="22" max="22" width="11.85546875" bestFit="1" customWidth="1"/>
    <col min="23" max="23" width="11.7109375" bestFit="1" customWidth="1"/>
    <col min="26" max="26" width="14.7109375" bestFit="1" customWidth="1"/>
    <col min="27" max="27" width="15.5703125" bestFit="1" customWidth="1"/>
    <col min="29" max="29" width="12.85546875" bestFit="1" customWidth="1"/>
    <col min="30" max="30" width="16.85546875" customWidth="1"/>
    <col min="31" max="31" width="10.42578125" customWidth="1"/>
    <col min="32" max="32" width="15.7109375" bestFit="1" customWidth="1"/>
  </cols>
  <sheetData>
    <row r="2" spans="3:33" x14ac:dyDescent="0.25">
      <c r="C2" s="14" t="s">
        <v>29</v>
      </c>
      <c r="D2" s="2" t="s">
        <v>2</v>
      </c>
      <c r="E2" s="2" t="s">
        <v>1</v>
      </c>
      <c r="F2" s="2" t="s">
        <v>0</v>
      </c>
      <c r="G2" s="2" t="s">
        <v>11</v>
      </c>
      <c r="H2" s="2" t="s">
        <v>12</v>
      </c>
      <c r="I2" s="2" t="s">
        <v>13</v>
      </c>
      <c r="J2" s="2" t="s">
        <v>3</v>
      </c>
      <c r="K2" s="2" t="s">
        <v>14</v>
      </c>
      <c r="L2" s="2" t="s">
        <v>44</v>
      </c>
      <c r="M2" s="2" t="s">
        <v>51</v>
      </c>
      <c r="N2" s="2" t="s">
        <v>24</v>
      </c>
      <c r="O2" s="2" t="s">
        <v>15</v>
      </c>
      <c r="Q2" s="14" t="s">
        <v>30</v>
      </c>
      <c r="R2" s="2" t="s">
        <v>31</v>
      </c>
      <c r="S2" s="2" t="s">
        <v>32</v>
      </c>
      <c r="T2" s="2" t="s">
        <v>33</v>
      </c>
      <c r="U2" s="2" t="s">
        <v>34</v>
      </c>
      <c r="V2" s="2" t="s">
        <v>35</v>
      </c>
      <c r="W2" s="2" t="s">
        <v>36</v>
      </c>
      <c r="X2" s="2" t="s">
        <v>37</v>
      </c>
      <c r="Y2" s="2" t="s">
        <v>38</v>
      </c>
      <c r="Z2" s="2" t="s">
        <v>39</v>
      </c>
      <c r="AA2" s="2" t="s">
        <v>40</v>
      </c>
      <c r="AB2" s="2" t="s">
        <v>41</v>
      </c>
      <c r="AC2" s="2" t="s">
        <v>42</v>
      </c>
      <c r="AD2" s="2" t="s">
        <v>43</v>
      </c>
      <c r="AE2" s="2"/>
      <c r="AF2" s="2"/>
      <c r="AG2" s="2" t="s">
        <v>15</v>
      </c>
    </row>
    <row r="3" spans="3:33" x14ac:dyDescent="0.25">
      <c r="C3" s="10" t="s">
        <v>4</v>
      </c>
      <c r="D3" s="3">
        <v>42229</v>
      </c>
      <c r="E3" s="3">
        <v>175828</v>
      </c>
      <c r="F3" s="3">
        <v>441170</v>
      </c>
      <c r="G3" s="1"/>
      <c r="H3" s="1"/>
      <c r="I3" s="1"/>
      <c r="J3" s="3"/>
      <c r="K3" s="3"/>
      <c r="L3" s="3"/>
      <c r="M3" s="3"/>
      <c r="N3" s="3"/>
      <c r="O3" s="1"/>
      <c r="Q3" s="10" t="s">
        <v>4</v>
      </c>
      <c r="R3" s="3">
        <v>42229</v>
      </c>
      <c r="S3" s="3">
        <v>175828</v>
      </c>
      <c r="T3" s="3">
        <v>441170</v>
      </c>
      <c r="U3" s="1"/>
      <c r="V3" s="1"/>
      <c r="W3" s="1"/>
      <c r="X3" s="3"/>
      <c r="Y3" s="3"/>
      <c r="Z3" s="3"/>
      <c r="AA3" s="3"/>
      <c r="AB3" s="3"/>
      <c r="AC3" s="3"/>
      <c r="AD3" s="3"/>
      <c r="AE3" s="3"/>
      <c r="AF3" s="3"/>
      <c r="AG3" s="1"/>
    </row>
    <row r="4" spans="3:33" x14ac:dyDescent="0.25">
      <c r="C4" s="10" t="s">
        <v>5</v>
      </c>
      <c r="D4" s="3">
        <v>42583</v>
      </c>
      <c r="E4" s="3">
        <v>178426</v>
      </c>
      <c r="F4" s="3">
        <v>444122</v>
      </c>
      <c r="G4" s="3">
        <f>D4-$D$3</f>
        <v>354</v>
      </c>
      <c r="H4" s="3">
        <f>E4-$E$3</f>
        <v>2598</v>
      </c>
      <c r="I4" s="3">
        <f>F4-$F$3</f>
        <v>2952</v>
      </c>
      <c r="J4" s="4">
        <v>4.5</v>
      </c>
      <c r="K4" s="5">
        <f>J4*1.19</f>
        <v>5.3549999999999995</v>
      </c>
      <c r="L4" s="5">
        <f>J4*0.61</f>
        <v>2.7450000000000001</v>
      </c>
      <c r="M4" s="5">
        <f>J4*1.3</f>
        <v>5.8500000000000005</v>
      </c>
      <c r="N4" s="3">
        <f>AVERAGE(G4:I4)/K4</f>
        <v>367.50700280112051</v>
      </c>
      <c r="O4" s="2">
        <f>RANK(N4,$N$4:$N$23)</f>
        <v>10</v>
      </c>
      <c r="Q4" s="10" t="s">
        <v>5</v>
      </c>
      <c r="R4" s="13">
        <v>6153.7661335320336</v>
      </c>
      <c r="S4" s="13">
        <v>21000.88501792667</v>
      </c>
      <c r="T4" s="13">
        <v>13283.334042582364</v>
      </c>
      <c r="U4" s="13">
        <v>2015.2448640594109</v>
      </c>
      <c r="V4" s="13">
        <v>4255.4880491567064</v>
      </c>
      <c r="W4" s="13">
        <v>2512.5713916348236</v>
      </c>
      <c r="X4" s="4">
        <f t="shared" ref="X4:X10" si="0">AVERAGE(R4:T4)/(K4*1000)</f>
        <v>2.5171481602266463</v>
      </c>
      <c r="Y4" s="4">
        <f t="shared" ref="Y4:Y10" si="1">AVERAGE(U4:W4)/(K4*1000)</f>
        <v>0.5467354064644222</v>
      </c>
      <c r="Z4" s="4">
        <f t="shared" ref="Z4:Z10" si="2">AVERAGE(R4:T4)/(L4*1000)</f>
        <v>4.9105021486388667</v>
      </c>
      <c r="AA4" s="4">
        <f t="shared" ref="AA4:AA10" si="3">AVERAGE(U4:W4)/(L4*1000)</f>
        <v>1.0665821863814136</v>
      </c>
      <c r="AB4" s="4">
        <f t="shared" ref="AB4:AB10" si="4">AVERAGE(R4:T4)/(M4*1000)</f>
        <v>2.3041587005151603</v>
      </c>
      <c r="AC4" s="4">
        <f t="shared" ref="AC4:AC10" si="5">AVERAGE(U4:W4)/(M4*1000)</f>
        <v>0.5004731797635863</v>
      </c>
      <c r="AD4" s="4">
        <f t="shared" ref="AD4:AD10" si="6">AVERAGE(X4:AC4)</f>
        <v>1.9742666303316827</v>
      </c>
      <c r="AE4" s="4"/>
      <c r="AF4" s="4"/>
      <c r="AG4" s="2">
        <f>RANK(AD4,$AD$4:$AD$23)</f>
        <v>11</v>
      </c>
    </row>
    <row r="5" spans="3:33" x14ac:dyDescent="0.25">
      <c r="C5" s="10" t="s">
        <v>6</v>
      </c>
      <c r="D5" s="3">
        <v>43468</v>
      </c>
      <c r="E5" s="3">
        <v>181495</v>
      </c>
      <c r="F5" s="3">
        <v>448502</v>
      </c>
      <c r="G5" s="3">
        <f t="shared" ref="G5:G17" si="7">D5-$D$3</f>
        <v>1239</v>
      </c>
      <c r="H5" s="3">
        <f t="shared" ref="H5:H17" si="8">E5-$E$3</f>
        <v>5667</v>
      </c>
      <c r="I5" s="3">
        <f t="shared" ref="I5:I14" si="9">F5-$F$3</f>
        <v>7332</v>
      </c>
      <c r="J5" s="4">
        <v>10.5</v>
      </c>
      <c r="K5" s="5">
        <f t="shared" ref="K5:K15" si="10">J5*1.19</f>
        <v>12.494999999999999</v>
      </c>
      <c r="L5" s="5">
        <f t="shared" ref="L5:L15" si="11">J5*0.61</f>
        <v>6.4050000000000002</v>
      </c>
      <c r="M5" s="5">
        <f t="shared" ref="M5:M15" si="12">J5*1.3</f>
        <v>13.65</v>
      </c>
      <c r="N5" s="3">
        <f t="shared" ref="N5:N19" si="13">AVERAGE(G5:I5)/K5</f>
        <v>379.83193277310926</v>
      </c>
      <c r="O5" s="2">
        <f t="shared" ref="O5:O23" si="14">RANK(N5,$N$4:$N$23)</f>
        <v>9</v>
      </c>
      <c r="Q5" s="10" t="s">
        <v>6</v>
      </c>
      <c r="R5" s="13">
        <v>24276.918826691763</v>
      </c>
      <c r="S5" s="13">
        <v>45490.0727352916</v>
      </c>
      <c r="T5" s="13">
        <v>30569.019522848379</v>
      </c>
      <c r="U5" s="13">
        <v>9933.4977904484931</v>
      </c>
      <c r="V5" s="13">
        <v>10310.080370265607</v>
      </c>
      <c r="W5" s="13">
        <v>5401.8052374320396</v>
      </c>
      <c r="X5" s="4">
        <f t="shared" si="0"/>
        <v>2.6766976413187069</v>
      </c>
      <c r="Y5" s="4">
        <f t="shared" si="1"/>
        <v>0.68415055083756537</v>
      </c>
      <c r="Z5" s="4">
        <f t="shared" si="2"/>
        <v>5.221754415031576</v>
      </c>
      <c r="AA5" s="4">
        <f t="shared" si="3"/>
        <v>1.3346543532732833</v>
      </c>
      <c r="AB5" s="4">
        <f t="shared" si="4"/>
        <v>2.4502078408994317</v>
      </c>
      <c r="AC5" s="4">
        <f t="shared" si="5"/>
        <v>0.62626088884361752</v>
      </c>
      <c r="AD5" s="4">
        <f t="shared" si="6"/>
        <v>2.1656209483673634</v>
      </c>
      <c r="AE5" s="4"/>
      <c r="AF5" s="4"/>
      <c r="AG5" s="2">
        <f t="shared" ref="AG5:AG23" si="15">RANK(AD5,$AD$4:$AD$23)</f>
        <v>9</v>
      </c>
    </row>
    <row r="6" spans="3:33" x14ac:dyDescent="0.25">
      <c r="C6" s="10" t="s">
        <v>7</v>
      </c>
      <c r="D6" s="3">
        <v>43288</v>
      </c>
      <c r="E6" s="3">
        <v>182143</v>
      </c>
      <c r="F6" s="3">
        <v>449317</v>
      </c>
      <c r="G6" s="3">
        <f t="shared" si="7"/>
        <v>1059</v>
      </c>
      <c r="H6" s="3">
        <f t="shared" si="8"/>
        <v>6315</v>
      </c>
      <c r="I6" s="3">
        <f t="shared" si="9"/>
        <v>8147</v>
      </c>
      <c r="J6" s="4">
        <v>11.1</v>
      </c>
      <c r="K6" s="5">
        <f t="shared" si="10"/>
        <v>13.209</v>
      </c>
      <c r="L6" s="5">
        <f t="shared" si="11"/>
        <v>6.7709999999999999</v>
      </c>
      <c r="M6" s="5">
        <f t="shared" si="12"/>
        <v>14.43</v>
      </c>
      <c r="N6" s="3">
        <f t="shared" si="13"/>
        <v>391.67739167739171</v>
      </c>
      <c r="O6" s="2">
        <f t="shared" si="14"/>
        <v>8</v>
      </c>
      <c r="Q6" s="10" t="s">
        <v>7</v>
      </c>
      <c r="R6" s="13">
        <v>20618.220504676367</v>
      </c>
      <c r="S6" s="13">
        <v>50745.720086375681</v>
      </c>
      <c r="T6" s="13">
        <v>37616.20065855448</v>
      </c>
      <c r="U6" s="13">
        <v>9164.4846182495512</v>
      </c>
      <c r="V6" s="13">
        <v>10845.475316345679</v>
      </c>
      <c r="W6" s="13">
        <v>5822.2154436708197</v>
      </c>
      <c r="X6" s="4">
        <f t="shared" si="0"/>
        <v>2.7501486675652091</v>
      </c>
      <c r="Y6" s="4">
        <f t="shared" si="1"/>
        <v>0.65188319525237959</v>
      </c>
      <c r="Z6" s="4">
        <f t="shared" si="2"/>
        <v>5.3650441219714731</v>
      </c>
      <c r="AA6" s="4">
        <f t="shared" si="3"/>
        <v>1.271706561230052</v>
      </c>
      <c r="AB6" s="4">
        <f t="shared" si="4"/>
        <v>2.5174437803096912</v>
      </c>
      <c r="AC6" s="4">
        <f t="shared" si="5"/>
        <v>0.59672384796179367</v>
      </c>
      <c r="AD6" s="4">
        <f t="shared" si="6"/>
        <v>2.1921583623817669</v>
      </c>
      <c r="AE6" s="4"/>
      <c r="AF6" s="4"/>
      <c r="AG6" s="2">
        <f t="shared" si="15"/>
        <v>8</v>
      </c>
    </row>
    <row r="7" spans="3:33" x14ac:dyDescent="0.25">
      <c r="C7" s="10" t="s">
        <v>8</v>
      </c>
      <c r="D7" s="3">
        <v>43249</v>
      </c>
      <c r="E7" s="3">
        <v>181016</v>
      </c>
      <c r="F7" s="3">
        <v>448195.25901975494</v>
      </c>
      <c r="G7" s="3">
        <f t="shared" si="7"/>
        <v>1020</v>
      </c>
      <c r="H7" s="3">
        <f t="shared" si="8"/>
        <v>5188</v>
      </c>
      <c r="I7" s="3">
        <f t="shared" si="9"/>
        <v>7025.2590197549434</v>
      </c>
      <c r="J7" s="4">
        <f>J6+J5</f>
        <v>21.6</v>
      </c>
      <c r="K7" s="5">
        <f t="shared" si="10"/>
        <v>25.704000000000001</v>
      </c>
      <c r="L7" s="5">
        <f t="shared" si="11"/>
        <v>13.176</v>
      </c>
      <c r="M7" s="5">
        <f t="shared" si="12"/>
        <v>28.080000000000002</v>
      </c>
      <c r="N7" s="3">
        <f t="shared" si="13"/>
        <v>171.61089090874239</v>
      </c>
      <c r="O7" s="2">
        <f t="shared" si="14"/>
        <v>17</v>
      </c>
      <c r="Q7" s="10" t="s">
        <v>8</v>
      </c>
      <c r="R7" s="13">
        <v>19433.659560799526</v>
      </c>
      <c r="S7" s="13">
        <v>40899.073190238283</v>
      </c>
      <c r="T7" s="13">
        <v>30080.764283273322</v>
      </c>
      <c r="U7" s="13">
        <v>8176.3959390464743</v>
      </c>
      <c r="V7" s="13">
        <v>9496.194662081718</v>
      </c>
      <c r="W7" s="13">
        <v>5215.3133193357962</v>
      </c>
      <c r="X7" s="4">
        <f t="shared" si="0"/>
        <v>1.1724958117324298</v>
      </c>
      <c r="Y7" s="4">
        <f t="shared" si="1"/>
        <v>0.29681377633136202</v>
      </c>
      <c r="Z7" s="4">
        <f t="shared" si="2"/>
        <v>2.2873278950190024</v>
      </c>
      <c r="AA7" s="4">
        <f t="shared" si="3"/>
        <v>0.57903015382675538</v>
      </c>
      <c r="AB7" s="4">
        <f t="shared" si="4"/>
        <v>1.0732846276627626</v>
      </c>
      <c r="AC7" s="4">
        <f t="shared" si="5"/>
        <v>0.27169876448793906</v>
      </c>
      <c r="AD7" s="4">
        <f t="shared" si="6"/>
        <v>0.94677517151004198</v>
      </c>
      <c r="AE7" s="4"/>
      <c r="AF7" s="4"/>
      <c r="AG7" s="2">
        <f t="shared" si="15"/>
        <v>15</v>
      </c>
    </row>
    <row r="8" spans="3:33" x14ac:dyDescent="0.25">
      <c r="C8" s="7" t="s">
        <v>25</v>
      </c>
      <c r="D8" s="3">
        <f>D7-D5</f>
        <v>-219</v>
      </c>
      <c r="E8" s="3">
        <f t="shared" ref="E8:F8" si="16">E7-E5</f>
        <v>-479</v>
      </c>
      <c r="F8" s="3">
        <f t="shared" si="16"/>
        <v>-306.74098024505656</v>
      </c>
      <c r="G8" s="3">
        <f>D8</f>
        <v>-219</v>
      </c>
      <c r="H8" s="3">
        <f t="shared" ref="H8:I8" si="17">E8</f>
        <v>-479</v>
      </c>
      <c r="I8" s="3">
        <f t="shared" si="17"/>
        <v>-306.74098024505656</v>
      </c>
      <c r="J8" s="4">
        <f>J7-J5</f>
        <v>11.100000000000001</v>
      </c>
      <c r="K8" s="5">
        <f t="shared" si="10"/>
        <v>13.209000000000001</v>
      </c>
      <c r="L8" s="5">
        <f t="shared" si="11"/>
        <v>6.7710000000000008</v>
      </c>
      <c r="M8" s="5">
        <f t="shared" si="12"/>
        <v>14.430000000000001</v>
      </c>
      <c r="N8" s="3">
        <f>AVERAGE(G8:I8)/K8</f>
        <v>-25.354959503496517</v>
      </c>
      <c r="O8" s="2">
        <f t="shared" si="14"/>
        <v>20</v>
      </c>
      <c r="Q8" s="7" t="s">
        <v>25</v>
      </c>
      <c r="R8" s="3">
        <f>R7-R5</f>
        <v>-4843.2592658922367</v>
      </c>
      <c r="S8" s="3">
        <f t="shared" ref="S8:W8" si="18">S7-S5</f>
        <v>-4590.999545053317</v>
      </c>
      <c r="T8" s="3">
        <f t="shared" si="18"/>
        <v>-488.2552395750572</v>
      </c>
      <c r="U8" s="3">
        <f t="shared" si="18"/>
        <v>-1757.1018514020188</v>
      </c>
      <c r="V8" s="3">
        <f t="shared" si="18"/>
        <v>-813.88570818388871</v>
      </c>
      <c r="W8" s="3">
        <f t="shared" si="18"/>
        <v>-186.49191809624335</v>
      </c>
      <c r="X8" s="4">
        <f t="shared" si="0"/>
        <v>-0.25039781084918389</v>
      </c>
      <c r="Y8" s="4">
        <f t="shared" si="1"/>
        <v>-6.9585875228560079E-2</v>
      </c>
      <c r="Z8" s="4">
        <f t="shared" si="2"/>
        <v>-0.48848097526316198</v>
      </c>
      <c r="AA8" s="4">
        <f t="shared" si="3"/>
        <v>-0.13574949429833852</v>
      </c>
      <c r="AB8" s="4">
        <f t="shared" si="4"/>
        <v>-0.22921030377732984</v>
      </c>
      <c r="AC8" s="4">
        <f t="shared" si="5"/>
        <v>-6.3697839632297304E-2</v>
      </c>
      <c r="AD8" s="4">
        <f t="shared" si="6"/>
        <v>-0.20618704984147859</v>
      </c>
      <c r="AE8" s="4"/>
      <c r="AF8" s="4"/>
      <c r="AG8" s="2">
        <f t="shared" si="15"/>
        <v>20</v>
      </c>
    </row>
    <row r="9" spans="3:33" x14ac:dyDescent="0.25">
      <c r="C9" s="10" t="s">
        <v>9</v>
      </c>
      <c r="D9" s="3">
        <v>42938</v>
      </c>
      <c r="E9" s="3">
        <v>181332</v>
      </c>
      <c r="F9" s="3">
        <v>448770</v>
      </c>
      <c r="G9" s="3">
        <f t="shared" si="7"/>
        <v>709</v>
      </c>
      <c r="H9" s="3">
        <f t="shared" si="8"/>
        <v>5504</v>
      </c>
      <c r="I9" s="3">
        <f t="shared" si="9"/>
        <v>7600</v>
      </c>
      <c r="J9" s="4">
        <f>J7+J6+J5</f>
        <v>43.2</v>
      </c>
      <c r="K9" s="5">
        <f t="shared" si="10"/>
        <v>51.408000000000001</v>
      </c>
      <c r="L9" s="5">
        <f t="shared" si="11"/>
        <v>26.352</v>
      </c>
      <c r="M9" s="5">
        <f t="shared" si="12"/>
        <v>56.160000000000004</v>
      </c>
      <c r="N9" s="3">
        <f>AVERAGE(G9:I9)/K9</f>
        <v>89.564529515509903</v>
      </c>
      <c r="O9" s="2">
        <f t="shared" si="14"/>
        <v>18</v>
      </c>
      <c r="Q9" s="10" t="s">
        <v>9</v>
      </c>
      <c r="R9" s="3">
        <v>12477.21309912248</v>
      </c>
      <c r="S9" s="3">
        <v>41367.859044011188</v>
      </c>
      <c r="T9" s="3">
        <v>33468.054367432829</v>
      </c>
      <c r="U9" s="3">
        <v>5536.5695162820202</v>
      </c>
      <c r="V9" s="3">
        <v>9506.9129251405084</v>
      </c>
      <c r="W9" s="3">
        <v>5932.6392992005831</v>
      </c>
      <c r="X9" s="4">
        <f t="shared" si="0"/>
        <v>0.56614487051669327</v>
      </c>
      <c r="Y9" s="4">
        <f t="shared" si="1"/>
        <v>0.13601074891471568</v>
      </c>
      <c r="Z9" s="4">
        <f t="shared" si="2"/>
        <v>1.1044465506801067</v>
      </c>
      <c r="AA9" s="4">
        <f t="shared" si="3"/>
        <v>0.26533244460411748</v>
      </c>
      <c r="AB9" s="4">
        <f t="shared" si="4"/>
        <v>0.51824030454989611</v>
      </c>
      <c r="AC9" s="4">
        <f t="shared" si="5"/>
        <v>0.12450214708347049</v>
      </c>
      <c r="AD9" s="4">
        <f t="shared" si="6"/>
        <v>0.45244617772483325</v>
      </c>
      <c r="AE9" s="4"/>
      <c r="AF9" s="4"/>
      <c r="AG9" s="2">
        <f t="shared" si="15"/>
        <v>18</v>
      </c>
    </row>
    <row r="10" spans="3:33" x14ac:dyDescent="0.25">
      <c r="C10" s="7" t="s">
        <v>26</v>
      </c>
      <c r="D10" s="3">
        <f>D9-D7</f>
        <v>-311</v>
      </c>
      <c r="E10" s="3">
        <f t="shared" ref="E10:F10" si="19">E9-E7</f>
        <v>316</v>
      </c>
      <c r="F10" s="3">
        <f t="shared" si="19"/>
        <v>574.74098024505656</v>
      </c>
      <c r="G10" s="3">
        <f>D10</f>
        <v>-311</v>
      </c>
      <c r="H10" s="3">
        <f t="shared" ref="H10:I10" si="20">E10</f>
        <v>316</v>
      </c>
      <c r="I10" s="3">
        <f t="shared" si="20"/>
        <v>574.74098024505656</v>
      </c>
      <c r="J10" s="4">
        <f>J9-J7</f>
        <v>21.6</v>
      </c>
      <c r="K10" s="5">
        <f t="shared" si="10"/>
        <v>25.704000000000001</v>
      </c>
      <c r="L10" s="5">
        <f t="shared" si="11"/>
        <v>13.176</v>
      </c>
      <c r="M10" s="5">
        <f t="shared" si="12"/>
        <v>28.080000000000002</v>
      </c>
      <c r="N10" s="3">
        <f>AVERAGE(G10:I10)/K10</f>
        <v>7.5181681222774221</v>
      </c>
      <c r="O10" s="2">
        <f t="shared" si="14"/>
        <v>19</v>
      </c>
      <c r="Q10" s="7" t="s">
        <v>26</v>
      </c>
      <c r="R10" s="3">
        <f>R9-R7</f>
        <v>-6956.4464616770456</v>
      </c>
      <c r="S10" s="3">
        <f t="shared" ref="S10:W10" si="21">S9-S7</f>
        <v>468.78585377290437</v>
      </c>
      <c r="T10" s="3">
        <f t="shared" si="21"/>
        <v>3387.2900841595074</v>
      </c>
      <c r="U10" s="3">
        <f t="shared" si="21"/>
        <v>-2639.826422764454</v>
      </c>
      <c r="V10" s="3">
        <f t="shared" si="21"/>
        <v>10.718263058790399</v>
      </c>
      <c r="W10" s="3">
        <f t="shared" si="21"/>
        <v>717.32597986478686</v>
      </c>
      <c r="X10" s="4">
        <f t="shared" si="0"/>
        <v>-4.0206070699043389E-2</v>
      </c>
      <c r="Y10" s="4">
        <f t="shared" si="1"/>
        <v>-2.4792278501930658E-2</v>
      </c>
      <c r="Z10" s="4">
        <f t="shared" si="2"/>
        <v>-7.8434793658789567E-2</v>
      </c>
      <c r="AA10" s="4">
        <f t="shared" si="3"/>
        <v>-4.8365264618520462E-2</v>
      </c>
      <c r="AB10" s="4">
        <f t="shared" si="4"/>
        <v>-3.6804018562970484E-2</v>
      </c>
      <c r="AC10" s="4">
        <f t="shared" si="5"/>
        <v>-2.2694470320998059E-2</v>
      </c>
      <c r="AD10" s="4">
        <f t="shared" si="6"/>
        <v>-4.1882816060375444E-2</v>
      </c>
      <c r="AE10" s="4"/>
      <c r="AF10" s="4"/>
      <c r="AG10" s="2">
        <f t="shared" si="15"/>
        <v>19</v>
      </c>
    </row>
    <row r="11" spans="3:33" x14ac:dyDescent="0.25">
      <c r="C11" s="10">
        <v>1974</v>
      </c>
      <c r="D11" s="3">
        <v>42726</v>
      </c>
      <c r="E11" s="3">
        <v>178109</v>
      </c>
      <c r="F11" s="3">
        <v>443829</v>
      </c>
      <c r="G11" s="3">
        <f t="shared" si="7"/>
        <v>497</v>
      </c>
      <c r="H11" s="3">
        <f t="shared" si="8"/>
        <v>2281</v>
      </c>
      <c r="I11" s="3">
        <f t="shared" si="9"/>
        <v>2659</v>
      </c>
      <c r="J11" s="4">
        <v>4.53</v>
      </c>
      <c r="K11" s="5">
        <f>J11*1.19</f>
        <v>5.3906999999999998</v>
      </c>
      <c r="L11" s="5">
        <f t="shared" si="11"/>
        <v>2.7633000000000001</v>
      </c>
      <c r="M11" s="5">
        <f t="shared" si="12"/>
        <v>5.8890000000000002</v>
      </c>
      <c r="N11" s="3">
        <f t="shared" si="13"/>
        <v>336.19628866999341</v>
      </c>
      <c r="O11" s="2">
        <f t="shared" si="14"/>
        <v>12</v>
      </c>
      <c r="Q11" s="10">
        <v>1974</v>
      </c>
      <c r="R11" s="13">
        <v>8534.4852041002669</v>
      </c>
      <c r="S11" s="13">
        <v>15926.179047017089</v>
      </c>
      <c r="T11" s="13">
        <v>10895.569555517564</v>
      </c>
      <c r="U11" s="13">
        <v>5062.4171297750045</v>
      </c>
      <c r="V11" s="13">
        <v>4762.1220123122721</v>
      </c>
      <c r="W11" s="13">
        <v>2064.3690158314876</v>
      </c>
      <c r="X11" s="4">
        <f>AVERAGE(R11:T11)/(K11*1000)</f>
        <v>2.1862487745336052</v>
      </c>
      <c r="Y11" s="4">
        <f>AVERAGE(U11:W11)/(K11*1000)</f>
        <v>0.73514931010312601</v>
      </c>
      <c r="Z11" s="4">
        <f>AVERAGE(R11:T11)/(L11*1000)</f>
        <v>4.2649771175327711</v>
      </c>
      <c r="AA11" s="4">
        <f>AVERAGE(U11:W11)/(L11*1000)</f>
        <v>1.4341437361028195</v>
      </c>
      <c r="AB11" s="4">
        <f>AVERAGE(R11:T11)/(M11*1000)</f>
        <v>2.0012584936115312</v>
      </c>
      <c r="AC11" s="4">
        <f>AVERAGE(U11:W11)/(M11*1000)</f>
        <v>0.6729443684790154</v>
      </c>
      <c r="AD11" s="4">
        <f>AVERAGE(X11:AC11)</f>
        <v>1.8824536333938113</v>
      </c>
      <c r="AE11" s="4"/>
      <c r="AF11" s="4"/>
      <c r="AG11" s="2">
        <f t="shared" si="15"/>
        <v>12</v>
      </c>
    </row>
    <row r="12" spans="3:33" x14ac:dyDescent="0.25">
      <c r="C12" s="10">
        <v>2001</v>
      </c>
      <c r="D12" s="3">
        <v>42515</v>
      </c>
      <c r="E12" s="3">
        <v>177614</v>
      </c>
      <c r="F12" s="3">
        <v>443145</v>
      </c>
      <c r="G12" s="3">
        <f t="shared" si="7"/>
        <v>286</v>
      </c>
      <c r="H12" s="3">
        <f t="shared" si="8"/>
        <v>1786</v>
      </c>
      <c r="I12" s="3">
        <f t="shared" si="9"/>
        <v>1975</v>
      </c>
      <c r="J12" s="4">
        <v>2.7</v>
      </c>
      <c r="K12" s="5">
        <f t="shared" si="10"/>
        <v>3.2130000000000001</v>
      </c>
      <c r="L12" s="5">
        <f t="shared" si="11"/>
        <v>1.647</v>
      </c>
      <c r="M12" s="5">
        <f t="shared" si="12"/>
        <v>3.5100000000000002</v>
      </c>
      <c r="N12" s="3">
        <f>AVERAGE(G12:I12)/K12</f>
        <v>419.85683162153748</v>
      </c>
      <c r="O12" s="2">
        <f t="shared" si="14"/>
        <v>6</v>
      </c>
      <c r="Q12" s="10">
        <v>2001</v>
      </c>
      <c r="R12" s="13">
        <v>5876.7118267912674</v>
      </c>
      <c r="S12" s="13">
        <v>11284.873959703566</v>
      </c>
      <c r="T12" s="13">
        <v>7156.4515900443757</v>
      </c>
      <c r="U12" s="13">
        <v>2440.2264659349812</v>
      </c>
      <c r="V12" s="13">
        <v>2801.2007193585991</v>
      </c>
      <c r="W12" s="13">
        <v>1485.2494630291744</v>
      </c>
      <c r="X12" s="4">
        <f>AVERAGE(R12:T12)/(K12*1000)</f>
        <v>2.5228796946300664</v>
      </c>
      <c r="Y12" s="4">
        <f>AVERAGE(U12:W12)/(K12*1000)</f>
        <v>0.6978604262187732</v>
      </c>
      <c r="Z12" s="4">
        <f>AVERAGE(R12:T12)/(L12*1000)</f>
        <v>4.9216833387045558</v>
      </c>
      <c r="AA12" s="4">
        <f>AVERAGE(U12:W12)/(L12*1000)</f>
        <v>1.36139984786941</v>
      </c>
      <c r="AB12" s="4">
        <f>AVERAGE(R12:T12)/(M12*1000)</f>
        <v>2.3094052589305991</v>
      </c>
      <c r="AC12" s="4">
        <f>AVERAGE(U12:W12)/(M12*1000)</f>
        <v>0.63881069784641542</v>
      </c>
      <c r="AD12" s="4">
        <f>AVERAGE(X12:AC12)</f>
        <v>2.0753398773666367</v>
      </c>
      <c r="AE12" s="4"/>
      <c r="AF12" s="4"/>
      <c r="AG12" s="2">
        <f t="shared" si="15"/>
        <v>10</v>
      </c>
    </row>
    <row r="13" spans="3:33" x14ac:dyDescent="0.25">
      <c r="C13" s="10" t="s">
        <v>10</v>
      </c>
      <c r="D13" s="3">
        <v>45857</v>
      </c>
      <c r="E13" s="3">
        <v>185390</v>
      </c>
      <c r="F13" s="3">
        <v>453167</v>
      </c>
      <c r="G13" s="3">
        <f t="shared" si="7"/>
        <v>3628</v>
      </c>
      <c r="H13" s="3">
        <f t="shared" si="8"/>
        <v>9562</v>
      </c>
      <c r="I13" s="3">
        <f t="shared" si="9"/>
        <v>11997</v>
      </c>
      <c r="J13" s="4">
        <v>15.5</v>
      </c>
      <c r="K13" s="5">
        <f t="shared" si="10"/>
        <v>18.445</v>
      </c>
      <c r="L13" s="5">
        <f t="shared" si="11"/>
        <v>9.4550000000000001</v>
      </c>
      <c r="M13" s="5">
        <f t="shared" si="12"/>
        <v>20.150000000000002</v>
      </c>
      <c r="N13" s="3">
        <f t="shared" si="13"/>
        <v>455.17303695671814</v>
      </c>
      <c r="O13" s="2">
        <f t="shared" si="14"/>
        <v>5</v>
      </c>
      <c r="Q13" s="10" t="s">
        <v>10</v>
      </c>
      <c r="R13" s="13">
        <v>73276.14072505878</v>
      </c>
      <c r="S13" s="13">
        <v>92748.20812522489</v>
      </c>
      <c r="T13" s="13">
        <v>62208.249469358532</v>
      </c>
      <c r="U13" s="13">
        <v>31110.687936100934</v>
      </c>
      <c r="V13" s="13">
        <v>19951.600783534243</v>
      </c>
      <c r="W13" s="13">
        <v>10397.737301736839</v>
      </c>
      <c r="X13" s="4">
        <f t="shared" ref="X13:X23" si="22">AVERAGE(R13:T13)/(K13*1000)</f>
        <v>4.1245612780273273</v>
      </c>
      <c r="Y13" s="4">
        <f t="shared" ref="Y13:Y23" si="23">AVERAGE(U13:W13)/(K13*1000)</f>
        <v>1.1106899073167438</v>
      </c>
      <c r="Z13" s="4">
        <f t="shared" ref="Z13:Z23" si="24">AVERAGE(R13:T13)/(L13*1000)</f>
        <v>8.0462752800860979</v>
      </c>
      <c r="AA13" s="4">
        <f t="shared" ref="AA13:AA23" si="25">AVERAGE(U13:W13)/(L13*1000)</f>
        <v>2.1667557208310249</v>
      </c>
      <c r="AB13" s="4">
        <f t="shared" ref="AB13:AB23" si="26">AVERAGE(R13:T13)/(M13*1000)</f>
        <v>3.7755599391173225</v>
      </c>
      <c r="AC13" s="4">
        <f t="shared" ref="AC13:AC23" si="27">AVERAGE(U13:W13)/(M13*1000)</f>
        <v>1.0167084536207114</v>
      </c>
      <c r="AD13" s="4">
        <f t="shared" ref="AD13:AD23" si="28">AVERAGE(X13:AC13)</f>
        <v>3.3734250964998718</v>
      </c>
      <c r="AE13" s="4"/>
      <c r="AF13" s="4"/>
      <c r="AG13" s="2">
        <f t="shared" si="15"/>
        <v>2</v>
      </c>
    </row>
    <row r="14" spans="3:33" x14ac:dyDescent="0.25">
      <c r="C14" s="10" t="s">
        <v>17</v>
      </c>
      <c r="D14" s="3">
        <v>46330</v>
      </c>
      <c r="E14" s="3">
        <v>188361</v>
      </c>
      <c r="F14" s="3">
        <v>457073</v>
      </c>
      <c r="G14" s="3">
        <f t="shared" si="7"/>
        <v>4101</v>
      </c>
      <c r="H14" s="3">
        <f t="shared" si="8"/>
        <v>12533</v>
      </c>
      <c r="I14" s="3">
        <f t="shared" si="9"/>
        <v>15903</v>
      </c>
      <c r="J14" s="4">
        <f>J13+11.3</f>
        <v>26.8</v>
      </c>
      <c r="K14" s="5">
        <f t="shared" si="10"/>
        <v>31.891999999999999</v>
      </c>
      <c r="L14" s="5">
        <f t="shared" si="11"/>
        <v>16.347999999999999</v>
      </c>
      <c r="M14" s="5">
        <f t="shared" si="12"/>
        <v>34.840000000000003</v>
      </c>
      <c r="N14" s="3">
        <f t="shared" si="13"/>
        <v>340.07483590451102</v>
      </c>
      <c r="O14" s="2">
        <f t="shared" si="14"/>
        <v>11</v>
      </c>
      <c r="Q14" s="10" t="s">
        <v>17</v>
      </c>
      <c r="R14" s="13">
        <v>86829.89421266818</v>
      </c>
      <c r="S14" s="13">
        <v>127518.71484672502</v>
      </c>
      <c r="T14" s="13">
        <v>82069.049819855107</v>
      </c>
      <c r="U14" s="13">
        <v>32630.875842184083</v>
      </c>
      <c r="V14" s="13">
        <v>24612.587116722367</v>
      </c>
      <c r="W14" s="13">
        <v>13051.4529141202</v>
      </c>
      <c r="X14" s="4">
        <f t="shared" si="22"/>
        <v>3.098140169731681</v>
      </c>
      <c r="Y14" s="4">
        <f t="shared" si="23"/>
        <v>0.73471838154842017</v>
      </c>
      <c r="Z14" s="4">
        <f t="shared" si="24"/>
        <v>6.0439127901322962</v>
      </c>
      <c r="AA14" s="4">
        <f t="shared" si="25"/>
        <v>1.4333030722010165</v>
      </c>
      <c r="AB14" s="4">
        <f t="shared" si="26"/>
        <v>2.8359898476774621</v>
      </c>
      <c r="AC14" s="4">
        <f t="shared" si="27"/>
        <v>0.67254990310970775</v>
      </c>
      <c r="AD14" s="4">
        <f t="shared" si="28"/>
        <v>2.4697690274000972</v>
      </c>
      <c r="AE14" s="4"/>
      <c r="AF14" s="4"/>
      <c r="AG14" s="2">
        <f t="shared" si="15"/>
        <v>7</v>
      </c>
    </row>
    <row r="15" spans="3:33" x14ac:dyDescent="0.25">
      <c r="C15" s="6" t="s">
        <v>20</v>
      </c>
      <c r="D15" s="3">
        <f>D14-D13</f>
        <v>473</v>
      </c>
      <c r="E15" s="3">
        <f t="shared" ref="E15:J15" si="29">E14-E13</f>
        <v>2971</v>
      </c>
      <c r="F15" s="3">
        <f t="shared" si="29"/>
        <v>3906</v>
      </c>
      <c r="G15" s="3">
        <f>D15</f>
        <v>473</v>
      </c>
      <c r="H15" s="3">
        <f t="shared" ref="H15:I15" si="30">E15</f>
        <v>2971</v>
      </c>
      <c r="I15" s="3">
        <f t="shared" si="30"/>
        <v>3906</v>
      </c>
      <c r="J15" s="4">
        <f t="shared" si="29"/>
        <v>11.3</v>
      </c>
      <c r="K15" s="5">
        <f t="shared" si="10"/>
        <v>13.447000000000001</v>
      </c>
      <c r="L15" s="5">
        <f t="shared" si="11"/>
        <v>6.8930000000000007</v>
      </c>
      <c r="M15" s="5">
        <f t="shared" si="12"/>
        <v>14.690000000000001</v>
      </c>
      <c r="N15" s="3">
        <f t="shared" si="13"/>
        <v>182.19677251431546</v>
      </c>
      <c r="O15" s="2">
        <f t="shared" si="14"/>
        <v>16</v>
      </c>
      <c r="Q15" s="6" t="s">
        <v>20</v>
      </c>
      <c r="R15" s="13">
        <f>R14-R13</f>
        <v>13553.7534876094</v>
      </c>
      <c r="S15" s="13">
        <f t="shared" ref="S15:W15" si="31">S14-S13</f>
        <v>34770.506721500133</v>
      </c>
      <c r="T15" s="13">
        <f t="shared" si="31"/>
        <v>19860.800350496575</v>
      </c>
      <c r="U15" s="13">
        <f t="shared" si="31"/>
        <v>1520.1879060831488</v>
      </c>
      <c r="V15" s="13">
        <f t="shared" si="31"/>
        <v>4660.9863331881243</v>
      </c>
      <c r="W15" s="13">
        <f t="shared" si="31"/>
        <v>2653.7156123833611</v>
      </c>
      <c r="X15" s="4">
        <f t="shared" si="22"/>
        <v>1.6902174105650851</v>
      </c>
      <c r="Y15" s="4">
        <f t="shared" si="23"/>
        <v>0.21900522673346304</v>
      </c>
      <c r="Z15" s="4">
        <f t="shared" si="24"/>
        <v>3.2973093747089366</v>
      </c>
      <c r="AA15" s="4">
        <f t="shared" si="25"/>
        <v>0.42723970461118199</v>
      </c>
      <c r="AB15" s="4">
        <f t="shared" si="26"/>
        <v>1.5471990142865011</v>
      </c>
      <c r="AC15" s="4">
        <f t="shared" si="27"/>
        <v>0.20047401524063155</v>
      </c>
      <c r="AD15" s="4">
        <f t="shared" si="28"/>
        <v>1.2302407910242998</v>
      </c>
      <c r="AE15" s="4"/>
      <c r="AF15" s="4"/>
      <c r="AG15" s="2">
        <f t="shared" si="15"/>
        <v>13</v>
      </c>
    </row>
    <row r="16" spans="3:33" x14ac:dyDescent="0.25">
      <c r="C16" s="10" t="s">
        <v>16</v>
      </c>
      <c r="D16" s="3">
        <v>42253.30549875064</v>
      </c>
      <c r="E16" s="3">
        <v>176295.35502428113</v>
      </c>
      <c r="F16" s="3">
        <v>442053.3992106918</v>
      </c>
      <c r="G16" s="3">
        <f t="shared" si="7"/>
        <v>24.305498750640254</v>
      </c>
      <c r="H16" s="3">
        <f t="shared" si="8"/>
        <v>467.3550242811325</v>
      </c>
      <c r="I16" s="3">
        <f t="shared" ref="I16:I17" si="32">F16-F$3</f>
        <v>883.39921069180127</v>
      </c>
      <c r="J16" s="4">
        <v>10</v>
      </c>
      <c r="K16" s="8">
        <f>J16*0.25</f>
        <v>2.5</v>
      </c>
      <c r="L16" s="8"/>
      <c r="M16" s="8"/>
      <c r="N16" s="3">
        <f t="shared" si="13"/>
        <v>183.34129782980989</v>
      </c>
      <c r="O16" s="2">
        <f t="shared" si="14"/>
        <v>15</v>
      </c>
      <c r="Q16" s="10" t="s">
        <v>16</v>
      </c>
      <c r="R16" s="13">
        <v>552.7470898163815</v>
      </c>
      <c r="S16" s="13">
        <v>3204.1361999528003</v>
      </c>
      <c r="T16" s="13">
        <v>4626.3193512227217</v>
      </c>
      <c r="U16" s="13">
        <v>245.55769507169146</v>
      </c>
      <c r="V16" s="13">
        <v>730.80112899261621</v>
      </c>
      <c r="W16" s="13">
        <v>630.11944952248075</v>
      </c>
      <c r="X16" s="4">
        <f t="shared" si="22"/>
        <v>1.1177603521322539</v>
      </c>
      <c r="Y16" s="4">
        <f t="shared" si="23"/>
        <v>0.21419710314490512</v>
      </c>
      <c r="Z16" s="15" t="s">
        <v>45</v>
      </c>
      <c r="AA16" s="15" t="s">
        <v>45</v>
      </c>
      <c r="AB16" s="15" t="s">
        <v>45</v>
      </c>
      <c r="AC16" s="15" t="s">
        <v>45</v>
      </c>
      <c r="AD16" s="4">
        <f>AVERAGE(X16:Y16)</f>
        <v>0.66597872763857946</v>
      </c>
      <c r="AE16" s="4"/>
      <c r="AF16" s="4"/>
      <c r="AG16" s="2">
        <f t="shared" si="15"/>
        <v>17</v>
      </c>
    </row>
    <row r="17" spans="3:33" x14ac:dyDescent="0.25">
      <c r="C17" s="10" t="s">
        <v>18</v>
      </c>
      <c r="D17" s="3">
        <v>42458.684941866108</v>
      </c>
      <c r="E17" s="3">
        <v>177020.41741354938</v>
      </c>
      <c r="F17" s="3">
        <v>442606.46401005448</v>
      </c>
      <c r="G17" s="3">
        <f t="shared" si="7"/>
        <v>229.68494186610769</v>
      </c>
      <c r="H17" s="3">
        <f t="shared" si="8"/>
        <v>1192.4174135493813</v>
      </c>
      <c r="I17" s="3">
        <f t="shared" si="32"/>
        <v>1436.4640100544784</v>
      </c>
      <c r="J17" s="4">
        <v>18.8</v>
      </c>
      <c r="K17" s="8">
        <f>J17*0.25</f>
        <v>4.7</v>
      </c>
      <c r="L17" s="8"/>
      <c r="M17" s="8"/>
      <c r="N17" s="3">
        <f t="shared" si="13"/>
        <v>202.73520322482037</v>
      </c>
      <c r="O17" s="2">
        <f t="shared" si="14"/>
        <v>14</v>
      </c>
      <c r="Q17" s="10" t="s">
        <v>18</v>
      </c>
      <c r="R17" s="13">
        <v>3798.2551921289205</v>
      </c>
      <c r="S17" s="13">
        <v>7766.6968860555262</v>
      </c>
      <c r="T17" s="13">
        <v>6681.1592511224135</v>
      </c>
      <c r="U17" s="13">
        <v>2379.6931474718285</v>
      </c>
      <c r="V17" s="13">
        <v>1945.7099385578856</v>
      </c>
      <c r="W17" s="13">
        <v>1096.0334586686272</v>
      </c>
      <c r="X17" s="4">
        <f t="shared" si="22"/>
        <v>1.2940504488870115</v>
      </c>
      <c r="Y17" s="4">
        <f t="shared" si="23"/>
        <v>0.38449904572328664</v>
      </c>
      <c r="Z17" s="15" t="s">
        <v>45</v>
      </c>
      <c r="AA17" s="15" t="s">
        <v>45</v>
      </c>
      <c r="AB17" s="15" t="s">
        <v>45</v>
      </c>
      <c r="AC17" s="15" t="s">
        <v>45</v>
      </c>
      <c r="AD17" s="4">
        <f t="shared" ref="AD17:AD20" si="33">AVERAGE(X17:Y17)</f>
        <v>0.83927474730514906</v>
      </c>
      <c r="AE17" s="4"/>
      <c r="AF17" s="4"/>
      <c r="AG17" s="2">
        <f t="shared" si="15"/>
        <v>16</v>
      </c>
    </row>
    <row r="18" spans="3:33" x14ac:dyDescent="0.25">
      <c r="C18" s="7" t="s">
        <v>19</v>
      </c>
      <c r="D18" s="3">
        <f>D17-D16</f>
        <v>205.37944311546744</v>
      </c>
      <c r="E18" s="3">
        <f t="shared" ref="E18:J18" si="34">E17-E16</f>
        <v>725.06238926824881</v>
      </c>
      <c r="F18" s="3">
        <f t="shared" si="34"/>
        <v>553.06479936267715</v>
      </c>
      <c r="G18" s="3">
        <f>D18</f>
        <v>205.37944311546744</v>
      </c>
      <c r="H18" s="3">
        <f t="shared" ref="H18:I18" si="35">E18</f>
        <v>725.06238926824881</v>
      </c>
      <c r="I18" s="3">
        <f t="shared" si="35"/>
        <v>553.06479936267715</v>
      </c>
      <c r="J18" s="4">
        <f t="shared" si="34"/>
        <v>8.8000000000000007</v>
      </c>
      <c r="K18" s="9">
        <f>K17-K16</f>
        <v>2.2000000000000002</v>
      </c>
      <c r="L18" s="9"/>
      <c r="M18" s="9"/>
      <c r="N18" s="3">
        <f t="shared" si="13"/>
        <v>224.77373208278686</v>
      </c>
      <c r="O18" s="2">
        <f t="shared" si="14"/>
        <v>13</v>
      </c>
      <c r="Q18" s="7" t="s">
        <v>19</v>
      </c>
      <c r="R18" s="13">
        <f>R17-R16</f>
        <v>3245.508102312539</v>
      </c>
      <c r="S18" s="13">
        <f t="shared" ref="S18:W18" si="36">S17-S16</f>
        <v>4562.5606861027263</v>
      </c>
      <c r="T18" s="13">
        <f t="shared" si="36"/>
        <v>2054.8398998996918</v>
      </c>
      <c r="U18" s="13">
        <f t="shared" si="36"/>
        <v>2134.1354524001372</v>
      </c>
      <c r="V18" s="13">
        <f t="shared" si="36"/>
        <v>1214.9088095652694</v>
      </c>
      <c r="W18" s="13">
        <f t="shared" si="36"/>
        <v>465.91400914614644</v>
      </c>
      <c r="X18" s="4">
        <f t="shared" si="22"/>
        <v>1.4943801042901452</v>
      </c>
      <c r="Y18" s="4">
        <f t="shared" si="23"/>
        <v>0.57802398047144743</v>
      </c>
      <c r="Z18" s="15" t="s">
        <v>45</v>
      </c>
      <c r="AA18" s="15" t="s">
        <v>45</v>
      </c>
      <c r="AB18" s="15" t="s">
        <v>45</v>
      </c>
      <c r="AC18" s="15" t="s">
        <v>45</v>
      </c>
      <c r="AD18" s="4">
        <f t="shared" si="33"/>
        <v>1.0362020423807963</v>
      </c>
      <c r="AE18" s="4"/>
      <c r="AF18" s="4"/>
      <c r="AG18" s="2">
        <f t="shared" si="15"/>
        <v>14</v>
      </c>
    </row>
    <row r="19" spans="3:33" x14ac:dyDescent="0.25">
      <c r="C19" s="12" t="s">
        <v>22</v>
      </c>
      <c r="D19" s="3">
        <v>46954.926823352776</v>
      </c>
      <c r="E19" s="3">
        <v>183765.38543085352</v>
      </c>
      <c r="F19" s="3">
        <v>449459.53301365511</v>
      </c>
      <c r="G19" s="3">
        <f>D19-D3</f>
        <v>4725.9268233527764</v>
      </c>
      <c r="H19" s="3">
        <f t="shared" ref="H19:I19" si="37">E19-E3</f>
        <v>7937.3854308535228</v>
      </c>
      <c r="I19" s="3">
        <f t="shared" si="37"/>
        <v>8289.5330136551056</v>
      </c>
      <c r="J19" s="4">
        <f>11.57+J17+7.59+3.31+1.16+3.72+1.14+15.37+5.03</f>
        <v>67.69</v>
      </c>
      <c r="K19" s="9">
        <f>J19*0.25</f>
        <v>16.922499999999999</v>
      </c>
      <c r="L19" s="9"/>
      <c r="M19" s="9"/>
      <c r="N19" s="3">
        <f t="shared" si="13"/>
        <v>412.72162836187334</v>
      </c>
      <c r="O19" s="2">
        <f t="shared" si="14"/>
        <v>7</v>
      </c>
      <c r="Q19" s="12" t="s">
        <v>22</v>
      </c>
      <c r="R19" s="13">
        <v>89837.102438803573</v>
      </c>
      <c r="S19" s="13">
        <v>72242.334700557883</v>
      </c>
      <c r="T19" s="13">
        <v>45596.760649756521</v>
      </c>
      <c r="U19" s="13">
        <v>36038.16872667757</v>
      </c>
      <c r="V19" s="13">
        <v>15541.061198426707</v>
      </c>
      <c r="W19" s="13">
        <v>7811.1594106530865</v>
      </c>
      <c r="X19" s="4">
        <f t="shared" si="22"/>
        <v>4.0907312313806665</v>
      </c>
      <c r="Y19" s="4">
        <f t="shared" si="23"/>
        <v>1.1698505803074284</v>
      </c>
      <c r="Z19" s="15" t="s">
        <v>45</v>
      </c>
      <c r="AA19" s="15" t="s">
        <v>45</v>
      </c>
      <c r="AB19" s="15" t="s">
        <v>45</v>
      </c>
      <c r="AC19" s="15" t="s">
        <v>45</v>
      </c>
      <c r="AD19" s="4">
        <f t="shared" si="33"/>
        <v>2.6302909058440473</v>
      </c>
      <c r="AE19" s="4"/>
      <c r="AF19" s="4"/>
      <c r="AG19" s="2">
        <f t="shared" si="15"/>
        <v>6</v>
      </c>
    </row>
    <row r="20" spans="3:33" x14ac:dyDescent="0.25">
      <c r="C20" s="7" t="s">
        <v>23</v>
      </c>
      <c r="D20" s="3">
        <f>D19-D17</f>
        <v>4496.2418814866687</v>
      </c>
      <c r="E20" s="3">
        <f t="shared" ref="E20:F20" si="38">E19-E17</f>
        <v>6744.9680173041415</v>
      </c>
      <c r="F20" s="3">
        <f t="shared" si="38"/>
        <v>6853.0690036006272</v>
      </c>
      <c r="G20" s="3">
        <f>D20</f>
        <v>4496.2418814866687</v>
      </c>
      <c r="H20" s="3">
        <f t="shared" ref="H20" si="39">E20</f>
        <v>6744.9680173041415</v>
      </c>
      <c r="I20" s="3">
        <f>F20</f>
        <v>6853.0690036006272</v>
      </c>
      <c r="J20" s="4">
        <f>J19-J17</f>
        <v>48.89</v>
      </c>
      <c r="K20" s="9">
        <f>K19-K17</f>
        <v>12.2225</v>
      </c>
      <c r="L20" s="9"/>
      <c r="M20" s="9"/>
      <c r="N20" s="3">
        <f>AVERAGE(G20:I20)/K20</f>
        <v>493.46911849434616</v>
      </c>
      <c r="O20" s="2">
        <f t="shared" si="14"/>
        <v>4</v>
      </c>
      <c r="Q20" s="7" t="s">
        <v>23</v>
      </c>
      <c r="R20" s="13">
        <f>R19-R17</f>
        <v>86038.847246674646</v>
      </c>
      <c r="S20" s="13">
        <f t="shared" ref="S20:W20" si="40">S19-S17</f>
        <v>64475.637814502355</v>
      </c>
      <c r="T20" s="13">
        <f t="shared" si="40"/>
        <v>38915.601398634106</v>
      </c>
      <c r="U20" s="13">
        <f t="shared" si="40"/>
        <v>33658.47557920574</v>
      </c>
      <c r="V20" s="13">
        <f t="shared" si="40"/>
        <v>13595.351259868821</v>
      </c>
      <c r="W20" s="13">
        <f t="shared" si="40"/>
        <v>6715.1259519844589</v>
      </c>
      <c r="X20" s="4">
        <f t="shared" si="22"/>
        <v>5.1661576725931981</v>
      </c>
      <c r="Y20" s="4">
        <f t="shared" si="23"/>
        <v>1.4718470795952552</v>
      </c>
      <c r="Z20" s="15" t="s">
        <v>45</v>
      </c>
      <c r="AA20" s="15" t="s">
        <v>45</v>
      </c>
      <c r="AB20" s="15" t="s">
        <v>45</v>
      </c>
      <c r="AC20" s="15" t="s">
        <v>45</v>
      </c>
      <c r="AD20" s="4">
        <f t="shared" si="33"/>
        <v>3.3190023760942267</v>
      </c>
      <c r="AE20" s="4"/>
      <c r="AF20" s="4"/>
      <c r="AG20" s="2">
        <f t="shared" si="15"/>
        <v>3</v>
      </c>
    </row>
    <row r="21" spans="3:33" x14ac:dyDescent="0.25">
      <c r="C21" s="10" t="s">
        <v>21</v>
      </c>
      <c r="D21" s="3">
        <v>43316</v>
      </c>
      <c r="E21" s="3">
        <v>182522</v>
      </c>
      <c r="F21" s="3">
        <v>449841</v>
      </c>
      <c r="G21" s="3">
        <f>D21-$D$3</f>
        <v>1087</v>
      </c>
      <c r="H21" s="3">
        <f>E21-$E$3</f>
        <v>6694</v>
      </c>
      <c r="I21" s="3">
        <f>F21-F3</f>
        <v>8671</v>
      </c>
      <c r="J21" s="1">
        <v>8.9700000000000006</v>
      </c>
      <c r="K21" s="11">
        <f>J21*1.19</f>
        <v>10.674300000000001</v>
      </c>
      <c r="L21" s="11">
        <f>J21*0.61</f>
        <v>5.4717000000000002</v>
      </c>
      <c r="M21" s="11">
        <f>J21*1.3</f>
        <v>11.661000000000001</v>
      </c>
      <c r="N21" s="3">
        <f>AVERAGE(G21:I21)/K21</f>
        <v>513.75734240184363</v>
      </c>
      <c r="O21" s="2">
        <f t="shared" si="14"/>
        <v>2</v>
      </c>
      <c r="Q21" s="10" t="s">
        <v>21</v>
      </c>
      <c r="R21" s="13">
        <v>21150.246279716121</v>
      </c>
      <c r="S21" s="13">
        <v>53231.181354016859</v>
      </c>
      <c r="T21" s="13">
        <v>40587.988542187384</v>
      </c>
      <c r="U21" s="13">
        <v>9453.1410335577948</v>
      </c>
      <c r="V21" s="13">
        <v>11538.310857288581</v>
      </c>
      <c r="W21" s="13">
        <v>6378.2950401531943</v>
      </c>
      <c r="X21" s="4">
        <f t="shared" si="22"/>
        <v>3.5902250007313627</v>
      </c>
      <c r="Y21" s="4">
        <f t="shared" si="23"/>
        <v>0.85469295194999728</v>
      </c>
      <c r="Z21" s="4">
        <f t="shared" si="24"/>
        <v>7.0038815588038066</v>
      </c>
      <c r="AA21" s="4">
        <f t="shared" si="25"/>
        <v>1.6673518242958967</v>
      </c>
      <c r="AB21" s="4">
        <f t="shared" si="26"/>
        <v>3.2864367314387088</v>
      </c>
      <c r="AC21" s="4">
        <f t="shared" si="27"/>
        <v>0.78237277909268987</v>
      </c>
      <c r="AD21" s="4">
        <f t="shared" si="28"/>
        <v>2.8641601410520772</v>
      </c>
      <c r="AE21" s="4"/>
      <c r="AF21" s="4"/>
      <c r="AG21" s="2">
        <f t="shared" si="15"/>
        <v>4</v>
      </c>
    </row>
    <row r="22" spans="3:33" x14ac:dyDescent="0.25">
      <c r="C22" s="10" t="s">
        <v>27</v>
      </c>
      <c r="D22" s="3">
        <v>43719</v>
      </c>
      <c r="E22" s="3">
        <v>183170</v>
      </c>
      <c r="F22" s="3">
        <v>449184.50256943272</v>
      </c>
      <c r="G22" s="3">
        <f>D22-$D$3</f>
        <v>1490</v>
      </c>
      <c r="H22" s="3">
        <f>E22-$E$3</f>
        <v>7342</v>
      </c>
      <c r="I22" s="3">
        <f>F22-F3</f>
        <v>8014.5025694327196</v>
      </c>
      <c r="J22" s="1">
        <v>8.9700000000000006</v>
      </c>
      <c r="K22" s="11">
        <f>J22*1.19+0.08*6.83</f>
        <v>11.220700000000001</v>
      </c>
      <c r="L22" s="11">
        <f>J22*0.61+0.08*6.83</f>
        <v>6.0181000000000004</v>
      </c>
      <c r="M22" s="11">
        <f>J22*1.3+0.08*6.83</f>
        <v>12.207400000000002</v>
      </c>
      <c r="N22" s="3">
        <f>AVERAGE(G22:I22)/K22</f>
        <v>500.45904947798027</v>
      </c>
      <c r="O22" s="2">
        <f t="shared" si="14"/>
        <v>3</v>
      </c>
      <c r="Q22" s="10" t="s">
        <v>27</v>
      </c>
      <c r="R22" s="13">
        <v>26244.97559836748</v>
      </c>
      <c r="S22" s="13">
        <v>55328.642553246049</v>
      </c>
      <c r="T22" s="13">
        <v>36262.938986103145</v>
      </c>
      <c r="U22" s="13">
        <v>11438.411792493109</v>
      </c>
      <c r="V22" s="13">
        <v>12329.420120403529</v>
      </c>
      <c r="W22" s="13">
        <v>6109.0721303612372</v>
      </c>
      <c r="X22" s="4">
        <f t="shared" si="22"/>
        <v>3.5005705864374677</v>
      </c>
      <c r="Y22" s="4">
        <f t="shared" si="23"/>
        <v>0.88755318424156171</v>
      </c>
      <c r="Z22" s="4">
        <f t="shared" si="24"/>
        <v>6.5267862579948641</v>
      </c>
      <c r="AA22" s="4">
        <f t="shared" si="25"/>
        <v>1.65483591406246</v>
      </c>
      <c r="AB22" s="4">
        <f t="shared" si="26"/>
        <v>3.2176263888492955</v>
      </c>
      <c r="AC22" s="4">
        <f t="shared" si="27"/>
        <v>0.81581401563144407</v>
      </c>
      <c r="AD22" s="4">
        <f t="shared" si="28"/>
        <v>2.7671977245361821</v>
      </c>
      <c r="AE22" s="4"/>
      <c r="AF22" s="4"/>
      <c r="AG22" s="2">
        <f t="shared" si="15"/>
        <v>5</v>
      </c>
    </row>
    <row r="23" spans="3:33" x14ac:dyDescent="0.25">
      <c r="C23" s="10" t="s">
        <v>28</v>
      </c>
      <c r="D23" s="3">
        <v>46138.936761177138</v>
      </c>
      <c r="E23" s="3">
        <v>185488</v>
      </c>
      <c r="F23" s="3">
        <v>453575</v>
      </c>
      <c r="G23" s="3">
        <f>D23-$D$3</f>
        <v>3909.9367611771377</v>
      </c>
      <c r="H23" s="3">
        <f>E23-$E$3</f>
        <v>9660</v>
      </c>
      <c r="I23" s="3">
        <f>F23-F3</f>
        <v>12405</v>
      </c>
      <c r="J23" s="1">
        <v>12.2</v>
      </c>
      <c r="K23" s="11">
        <f>J23*1.19+0.08*6.83</f>
        <v>15.064399999999999</v>
      </c>
      <c r="L23" s="11">
        <f t="shared" ref="L23" si="41">J23*0.61</f>
        <v>7.4419999999999993</v>
      </c>
      <c r="M23" s="11">
        <f t="shared" ref="M23" si="42">J23*1.3</f>
        <v>15.86</v>
      </c>
      <c r="N23" s="3">
        <f>AVERAGE(G23:I23)/K23</f>
        <v>574.75320980096876</v>
      </c>
      <c r="O23" s="2">
        <f t="shared" si="14"/>
        <v>1</v>
      </c>
      <c r="Q23" s="10" t="s">
        <v>28</v>
      </c>
      <c r="R23" s="13">
        <v>73573.365214201884</v>
      </c>
      <c r="S23" s="13">
        <v>82392.854565621819</v>
      </c>
      <c r="T23" s="13">
        <v>56268.90785912524</v>
      </c>
      <c r="U23" s="13">
        <v>33938.986678007612</v>
      </c>
      <c r="V23" s="13">
        <v>19540.940476206495</v>
      </c>
      <c r="W23" s="13">
        <v>10634.574781921652</v>
      </c>
      <c r="X23" s="4">
        <f t="shared" si="22"/>
        <v>4.6961739296829821</v>
      </c>
      <c r="Y23" s="4">
        <f t="shared" si="23"/>
        <v>1.4186758613272741</v>
      </c>
      <c r="Z23" s="4">
        <f t="shared" si="24"/>
        <v>9.5061868511577963</v>
      </c>
      <c r="AA23" s="4">
        <f t="shared" si="25"/>
        <v>2.8717415540686093</v>
      </c>
      <c r="AB23" s="4">
        <f t="shared" si="26"/>
        <v>4.4605953686201962</v>
      </c>
      <c r="AC23" s="4">
        <f t="shared" si="27"/>
        <v>1.3475094984475779</v>
      </c>
      <c r="AD23" s="4">
        <f t="shared" si="28"/>
        <v>4.050147177217406</v>
      </c>
      <c r="AE23" s="4"/>
      <c r="AF23" s="4"/>
      <c r="AG23" s="2">
        <f t="shared" si="15"/>
        <v>1</v>
      </c>
    </row>
    <row r="25" spans="3:33" x14ac:dyDescent="0.25">
      <c r="Q25" s="14" t="s">
        <v>46</v>
      </c>
      <c r="R25" s="2" t="s">
        <v>31</v>
      </c>
      <c r="S25" s="2" t="s">
        <v>32</v>
      </c>
      <c r="T25" s="2" t="s">
        <v>33</v>
      </c>
      <c r="U25" s="2" t="s">
        <v>34</v>
      </c>
      <c r="V25" s="2" t="s">
        <v>35</v>
      </c>
      <c r="W25" s="2" t="s">
        <v>36</v>
      </c>
      <c r="X25" s="2" t="s">
        <v>37</v>
      </c>
      <c r="Y25" s="2" t="s">
        <v>38</v>
      </c>
      <c r="Z25" s="2" t="s">
        <v>39</v>
      </c>
      <c r="AA25" s="2" t="s">
        <v>40</v>
      </c>
      <c r="AB25" s="2" t="s">
        <v>41</v>
      </c>
      <c r="AC25" s="2" t="s">
        <v>42</v>
      </c>
      <c r="AD25" s="2" t="s">
        <v>48</v>
      </c>
      <c r="AE25" s="1"/>
      <c r="AF25" s="2" t="s">
        <v>47</v>
      </c>
      <c r="AG25" s="2" t="s">
        <v>15</v>
      </c>
    </row>
    <row r="26" spans="3:33" x14ac:dyDescent="0.25">
      <c r="Q26" s="10" t="s">
        <v>4</v>
      </c>
      <c r="R26" s="3">
        <v>42229</v>
      </c>
      <c r="S26" s="3">
        <v>175828</v>
      </c>
      <c r="T26" s="3">
        <v>441170</v>
      </c>
      <c r="U26" s="1"/>
      <c r="V26" s="1"/>
      <c r="W26" s="1"/>
      <c r="X26" s="3"/>
      <c r="Y26" s="3"/>
      <c r="Z26" s="3"/>
      <c r="AA26" s="3"/>
      <c r="AB26" s="3"/>
      <c r="AC26" s="3"/>
      <c r="AD26" s="3"/>
      <c r="AE26" s="3"/>
      <c r="AF26" s="3"/>
      <c r="AG26" s="1"/>
    </row>
    <row r="27" spans="3:33" x14ac:dyDescent="0.25">
      <c r="K27" s="17">
        <f>PV(0.07,8,0,-K4,0)</f>
        <v>3.1166587549457807</v>
      </c>
      <c r="L27" s="17">
        <f t="shared" ref="L27:M27" si="43">PV(0.07,8,0,-L4,0)</f>
        <v>1.5976149920310305</v>
      </c>
      <c r="M27" s="17">
        <f t="shared" si="43"/>
        <v>3.404753261705475</v>
      </c>
      <c r="Q27" s="10" t="s">
        <v>5</v>
      </c>
      <c r="R27" s="16">
        <f>PV(0.07,17,0,-R4,0)</f>
        <v>1948.1247627815874</v>
      </c>
      <c r="S27" s="16">
        <f t="shared" ref="S27:W27" si="44">PV(0.07,17,0,-S4,0)</f>
        <v>6648.3423737569983</v>
      </c>
      <c r="T27" s="16">
        <f t="shared" si="44"/>
        <v>4205.1633778616761</v>
      </c>
      <c r="U27" s="16">
        <f t="shared" si="44"/>
        <v>637.97491447553659</v>
      </c>
      <c r="V27" s="16">
        <f t="shared" si="44"/>
        <v>1347.1785352890895</v>
      </c>
      <c r="W27" s="16">
        <f t="shared" si="44"/>
        <v>795.41575680435528</v>
      </c>
      <c r="X27" s="4">
        <f>AVERAGE(R27:T27)/(K27*1000)</f>
        <v>1.3691618194308826</v>
      </c>
      <c r="Y27" s="4">
        <f>AVERAGE(U27:W27)/(K27*1000)</f>
        <v>0.29738783584145856</v>
      </c>
      <c r="Z27" s="4">
        <f>AVERAGE(R27:T27)/(L27*1000)</f>
        <v>2.6709878116766395</v>
      </c>
      <c r="AA27" s="4">
        <f>AVERAGE(U27:W27)/(L27*1000)</f>
        <v>0.58015004041202567</v>
      </c>
      <c r="AB27" s="4">
        <f>AVERAGE(R27:T27)/(M27*1000)</f>
        <v>1.2533096654790385</v>
      </c>
      <c r="AC27" s="4">
        <f>AVERAGE(U27:W27)/(M27*1000)</f>
        <v>0.27222424973179665</v>
      </c>
      <c r="AD27" s="4">
        <f>AVERAGE(Y27,AA27,AC27)</f>
        <v>0.38325404199509361</v>
      </c>
      <c r="AE27" s="4">
        <f>AF27-AD27</f>
        <v>1.3812323902004267</v>
      </c>
      <c r="AF27" s="4">
        <f>AVERAGE(X27,Z27,AB27)</f>
        <v>1.7644864321955203</v>
      </c>
      <c r="AG27" s="2">
        <f>RANK(AF27,$AF$27:$AF$46)</f>
        <v>11</v>
      </c>
    </row>
    <row r="28" spans="3:33" x14ac:dyDescent="0.25">
      <c r="K28" s="17">
        <f t="shared" ref="K28:M28" si="45">PV(0.07,8,0,-K5,0)</f>
        <v>7.2722037615401547</v>
      </c>
      <c r="L28" s="17">
        <f t="shared" si="45"/>
        <v>3.7277683147390714</v>
      </c>
      <c r="M28" s="17">
        <f t="shared" si="45"/>
        <v>7.9444242773127751</v>
      </c>
      <c r="Q28" s="10" t="s">
        <v>6</v>
      </c>
      <c r="R28" s="16">
        <f t="shared" ref="R28:W28" si="46">PV(0.07,17,0,-R5,0)</f>
        <v>7685.450779906625</v>
      </c>
      <c r="S28" s="16">
        <f t="shared" si="46"/>
        <v>14400.992048342974</v>
      </c>
      <c r="T28" s="16">
        <f t="shared" si="46"/>
        <v>9677.3687225312096</v>
      </c>
      <c r="U28" s="16">
        <f t="shared" si="46"/>
        <v>3144.6910081878168</v>
      </c>
      <c r="V28" s="16">
        <f t="shared" si="46"/>
        <v>3263.9074088528214</v>
      </c>
      <c r="W28" s="16">
        <f t="shared" si="46"/>
        <v>1710.0732004458857</v>
      </c>
      <c r="X28" s="4">
        <f t="shared" ref="X28:X46" si="47">AVERAGE(R28:T28)/(K28*1000)</f>
        <v>1.4559461658086463</v>
      </c>
      <c r="Y28" s="4">
        <f t="shared" ref="Y28:Y46" si="48">AVERAGE(U28:W28)/(K28*1000)</f>
        <v>0.3721325696080835</v>
      </c>
      <c r="Z28" s="4">
        <f t="shared" ref="Z28:Z46" si="49">AVERAGE(R28:T28)/(L28*1000)</f>
        <v>2.8402884218234243</v>
      </c>
      <c r="AA28" s="4">
        <f t="shared" ref="AA28:AA46" si="50">AVERAGE(U28:W28)/(L28*1000)</f>
        <v>0.7259635374321628</v>
      </c>
      <c r="AB28" s="4">
        <f t="shared" ref="AB28:AB46" si="51">AVERAGE(R28:T28)/(M28*1000)</f>
        <v>1.3327507210094529</v>
      </c>
      <c r="AC28" s="4">
        <f t="shared" ref="AC28:AC46" si="52">AVERAGE(U28:W28)/(M28*1000)</f>
        <v>0.34064442910278409</v>
      </c>
      <c r="AD28" s="4">
        <f t="shared" ref="AD28:AD46" si="53">AVERAGE(Y28,AA28,AC28)</f>
        <v>0.4795801787143435</v>
      </c>
      <c r="AE28" s="4">
        <f t="shared" ref="AE28:AE46" si="54">AF28-AD28</f>
        <v>1.3967482574994978</v>
      </c>
      <c r="AF28" s="4">
        <f t="shared" ref="AF28:AF46" si="55">AVERAGE(X28,Z28,AB28)</f>
        <v>1.8763284362138413</v>
      </c>
      <c r="AG28" s="2">
        <f t="shared" ref="AG28:AG46" si="56">RANK(AF28,$AF$27:$AF$46)</f>
        <v>9</v>
      </c>
    </row>
    <row r="29" spans="3:33" x14ac:dyDescent="0.25">
      <c r="K29" s="17">
        <f t="shared" ref="K29:M29" si="57">PV(0.07,8,0,-K6,0)</f>
        <v>7.6877582621995924</v>
      </c>
      <c r="L29" s="17">
        <f t="shared" si="57"/>
        <v>3.9407836470098752</v>
      </c>
      <c r="M29" s="17">
        <f t="shared" si="57"/>
        <v>8.3983913788735052</v>
      </c>
      <c r="Q29" s="10" t="s">
        <v>7</v>
      </c>
      <c r="R29" s="16">
        <f t="shared" ref="R29:W29" si="58">PV(0.07,17,0,-R6,0)</f>
        <v>6527.2005887225387</v>
      </c>
      <c r="S29" s="16">
        <f t="shared" si="58"/>
        <v>16064.795405006733</v>
      </c>
      <c r="T29" s="16">
        <f t="shared" si="58"/>
        <v>11908.325795057544</v>
      </c>
      <c r="U29" s="16">
        <f t="shared" si="58"/>
        <v>2901.2411319400649</v>
      </c>
      <c r="V29" s="16">
        <f t="shared" si="58"/>
        <v>3433.3997375656854</v>
      </c>
      <c r="W29" s="16">
        <f t="shared" si="58"/>
        <v>1843.1643052308184</v>
      </c>
      <c r="X29" s="4">
        <f t="shared" si="47"/>
        <v>1.4958986574115523</v>
      </c>
      <c r="Y29" s="4">
        <f t="shared" si="48"/>
        <v>0.35458126612133989</v>
      </c>
      <c r="Z29" s="4">
        <f t="shared" si="49"/>
        <v>2.9182285283930285</v>
      </c>
      <c r="AA29" s="4">
        <f t="shared" si="50"/>
        <v>0.69172410931867945</v>
      </c>
      <c r="AB29" s="4">
        <f t="shared" si="51"/>
        <v>1.3693226171690365</v>
      </c>
      <c r="AC29" s="4">
        <f t="shared" si="52"/>
        <v>0.32457823591107265</v>
      </c>
      <c r="AD29" s="4">
        <f t="shared" si="53"/>
        <v>0.45696120378369737</v>
      </c>
      <c r="AE29" s="4">
        <f t="shared" si="54"/>
        <v>1.4708553972075085</v>
      </c>
      <c r="AF29" s="4">
        <f t="shared" si="55"/>
        <v>1.9278166009912059</v>
      </c>
      <c r="AG29" s="2">
        <f t="shared" si="56"/>
        <v>8</v>
      </c>
    </row>
    <row r="30" spans="3:33" x14ac:dyDescent="0.25">
      <c r="K30" s="17">
        <f t="shared" ref="K30:M30" si="59">PV(0.07,8,0,-K7,0)</f>
        <v>14.959962023739749</v>
      </c>
      <c r="L30" s="17">
        <f t="shared" si="59"/>
        <v>7.6685519617489462</v>
      </c>
      <c r="M30" s="17">
        <f t="shared" si="59"/>
        <v>16.342815656186282</v>
      </c>
      <c r="Q30" s="10" t="s">
        <v>8</v>
      </c>
      <c r="R30" s="16">
        <f t="shared" ref="R30:W30" si="60">PV(0.07,17,0,-R7,0)</f>
        <v>6152.198929947137</v>
      </c>
      <c r="S30" s="16">
        <f t="shared" si="60"/>
        <v>12947.599165746713</v>
      </c>
      <c r="T30" s="16">
        <f t="shared" si="60"/>
        <v>9522.7996176718279</v>
      </c>
      <c r="U30" s="16">
        <f t="shared" si="60"/>
        <v>2588.437560596863</v>
      </c>
      <c r="V30" s="16">
        <f t="shared" si="60"/>
        <v>3006.2520368770565</v>
      </c>
      <c r="W30" s="16">
        <f t="shared" si="60"/>
        <v>1651.0346351480848</v>
      </c>
      <c r="X30" s="4">
        <f t="shared" si="47"/>
        <v>0.63776003503985923</v>
      </c>
      <c r="Y30" s="4">
        <f t="shared" si="48"/>
        <v>0.16144702821045201</v>
      </c>
      <c r="Z30" s="4">
        <f t="shared" si="49"/>
        <v>1.2441548224548076</v>
      </c>
      <c r="AA30" s="4">
        <f t="shared" si="50"/>
        <v>0.31495403864006211</v>
      </c>
      <c r="AB30" s="4">
        <f t="shared" si="51"/>
        <v>0.58379572438264038</v>
      </c>
      <c r="AC30" s="4">
        <f t="shared" si="52"/>
        <v>0.14778612582341374</v>
      </c>
      <c r="AD30" s="4">
        <f t="shared" si="53"/>
        <v>0.20806239755797595</v>
      </c>
      <c r="AE30" s="4">
        <f t="shared" si="54"/>
        <v>0.61384112973445981</v>
      </c>
      <c r="AF30" s="4">
        <f t="shared" si="55"/>
        <v>0.82190352729243576</v>
      </c>
      <c r="AG30" s="2">
        <f t="shared" si="56"/>
        <v>14</v>
      </c>
    </row>
    <row r="31" spans="3:33" x14ac:dyDescent="0.25">
      <c r="K31" s="17">
        <f t="shared" ref="K31:M31" si="61">PV(0.07,8,0,-K8,0)</f>
        <v>7.6877582621995932</v>
      </c>
      <c r="L31" s="17">
        <f t="shared" si="61"/>
        <v>3.9407836470098756</v>
      </c>
      <c r="M31" s="17">
        <f t="shared" si="61"/>
        <v>8.3983913788735052</v>
      </c>
      <c r="Q31" s="7" t="s">
        <v>25</v>
      </c>
      <c r="R31" s="16">
        <f t="shared" ref="R31:W31" si="62">PV(0.07,17,0,-R8,0)</f>
        <v>-1533.2518499594885</v>
      </c>
      <c r="S31" s="16">
        <f t="shared" si="62"/>
        <v>-1453.392882596261</v>
      </c>
      <c r="T31" s="16">
        <f t="shared" si="62"/>
        <v>-154.56910485938181</v>
      </c>
      <c r="U31" s="16">
        <f t="shared" si="62"/>
        <v>-556.25344759095356</v>
      </c>
      <c r="V31" s="16">
        <f t="shared" si="62"/>
        <v>-257.65537197576521</v>
      </c>
      <c r="W31" s="16">
        <f t="shared" si="62"/>
        <v>-59.038565297800993</v>
      </c>
      <c r="X31" s="4">
        <f t="shared" si="47"/>
        <v>-0.13619981839007417</v>
      </c>
      <c r="Y31" s="4">
        <f t="shared" si="48"/>
        <v>-3.7850105544064254E-2</v>
      </c>
      <c r="Z31" s="4">
        <f t="shared" si="49"/>
        <v>-0.26570128505604634</v>
      </c>
      <c r="AA31" s="4">
        <f t="shared" si="50"/>
        <v>-7.3838730487600757E-2</v>
      </c>
      <c r="AB31" s="4">
        <f t="shared" si="51"/>
        <v>-0.12467521837245253</v>
      </c>
      <c r="AC31" s="4">
        <f t="shared" si="52"/>
        <v>-3.4647404305720358E-2</v>
      </c>
      <c r="AD31" s="4">
        <f>AVERAGE(Y31,AA31,AC31)</f>
        <v>-4.8778746779128461E-2</v>
      </c>
      <c r="AE31" s="4">
        <f t="shared" si="54"/>
        <v>-0.12674669382706255</v>
      </c>
      <c r="AF31" s="4">
        <f t="shared" si="55"/>
        <v>-0.17552544060619102</v>
      </c>
      <c r="AG31" s="2">
        <f t="shared" si="56"/>
        <v>20</v>
      </c>
    </row>
    <row r="32" spans="3:33" x14ac:dyDescent="0.25">
      <c r="K32" s="17">
        <f t="shared" ref="K32:M32" si="63">PV(0.07,8,0,-K9,0)</f>
        <v>29.919924047479498</v>
      </c>
      <c r="L32" s="17">
        <f t="shared" si="63"/>
        <v>15.337103923497892</v>
      </c>
      <c r="M32" s="17">
        <f t="shared" si="63"/>
        <v>32.685631312372564</v>
      </c>
      <c r="Q32" s="10" t="s">
        <v>9</v>
      </c>
      <c r="R32" s="16">
        <f t="shared" ref="R32:W32" si="64">PV(0.07,17,0,-R9,0)</f>
        <v>3949.9661315455101</v>
      </c>
      <c r="S32" s="16">
        <f t="shared" si="64"/>
        <v>13096.004761663069</v>
      </c>
      <c r="T32" s="16">
        <f t="shared" si="64"/>
        <v>10595.128911389747</v>
      </c>
      <c r="U32" s="16">
        <f t="shared" si="64"/>
        <v>1752.7361198791539</v>
      </c>
      <c r="V32" s="16">
        <f t="shared" si="64"/>
        <v>3009.6451644717267</v>
      </c>
      <c r="W32" s="16">
        <f t="shared" si="64"/>
        <v>1878.1216699878503</v>
      </c>
      <c r="X32" s="4">
        <f t="shared" si="47"/>
        <v>0.30794529826496286</v>
      </c>
      <c r="Y32" s="4">
        <f t="shared" si="48"/>
        <v>7.3980835688854149E-2</v>
      </c>
      <c r="Z32" s="4">
        <f t="shared" si="49"/>
        <v>0.60074574579558326</v>
      </c>
      <c r="AA32" s="4">
        <f t="shared" si="50"/>
        <v>0.14432326962251876</v>
      </c>
      <c r="AB32" s="4">
        <f t="shared" si="51"/>
        <v>0.28188838841177366</v>
      </c>
      <c r="AC32" s="4">
        <f t="shared" si="52"/>
        <v>6.7720918822874177E-2</v>
      </c>
      <c r="AD32" s="4">
        <f t="shared" si="53"/>
        <v>9.5341674711415692E-2</v>
      </c>
      <c r="AE32" s="4">
        <f t="shared" si="54"/>
        <v>0.3015181361126909</v>
      </c>
      <c r="AF32" s="4">
        <f t="shared" si="55"/>
        <v>0.3968598108241066</v>
      </c>
      <c r="AG32" s="2">
        <f t="shared" si="56"/>
        <v>18</v>
      </c>
    </row>
    <row r="33" spans="11:33" x14ac:dyDescent="0.25">
      <c r="K33" s="17">
        <f t="shared" ref="K33:M33" si="65">PV(0.07,8,0,-K10,0)</f>
        <v>14.959962023739749</v>
      </c>
      <c r="L33" s="17">
        <f t="shared" si="65"/>
        <v>7.6685519617489462</v>
      </c>
      <c r="M33" s="17">
        <f t="shared" si="65"/>
        <v>16.342815656186282</v>
      </c>
      <c r="Q33" s="7" t="s">
        <v>26</v>
      </c>
      <c r="R33" s="16">
        <f t="shared" ref="R33:W33" si="66">PV(0.07,17,0,-R10,0)</f>
        <v>-2202.2327984016265</v>
      </c>
      <c r="S33" s="16">
        <f t="shared" si="66"/>
        <v>148.40559591635468</v>
      </c>
      <c r="T33" s="16">
        <f t="shared" si="66"/>
        <v>1072.3292937179203</v>
      </c>
      <c r="U33" s="16">
        <f t="shared" si="66"/>
        <v>-835.70144071770937</v>
      </c>
      <c r="V33" s="16">
        <f t="shared" si="66"/>
        <v>3.3931275946705592</v>
      </c>
      <c r="W33" s="16">
        <f t="shared" si="66"/>
        <v>227.08703483976547</v>
      </c>
      <c r="X33" s="4">
        <f t="shared" si="47"/>
        <v>-2.1869438509933527E-2</v>
      </c>
      <c r="Y33" s="4">
        <f t="shared" si="48"/>
        <v>-1.3485356832743659E-2</v>
      </c>
      <c r="Z33" s="4">
        <f t="shared" si="49"/>
        <v>-4.2663330863640818E-2</v>
      </c>
      <c r="AA33" s="4">
        <f t="shared" si="50"/>
        <v>-2.6307499395024515E-2</v>
      </c>
      <c r="AB33" s="4">
        <f t="shared" si="51"/>
        <v>-2.0018947559092996E-2</v>
      </c>
      <c r="AC33" s="4">
        <f t="shared" si="52"/>
        <v>-1.2344288177665348E-2</v>
      </c>
      <c r="AD33" s="4">
        <f t="shared" si="53"/>
        <v>-1.7379048135144508E-2</v>
      </c>
      <c r="AE33" s="4">
        <f t="shared" si="54"/>
        <v>-1.0804857509077937E-2</v>
      </c>
      <c r="AF33" s="4">
        <f t="shared" si="55"/>
        <v>-2.8183905644222445E-2</v>
      </c>
      <c r="AG33" s="2">
        <f t="shared" si="56"/>
        <v>19</v>
      </c>
    </row>
    <row r="34" spans="11:33" x14ac:dyDescent="0.25">
      <c r="K34" s="17">
        <f t="shared" ref="K34:M34" si="67">PV(0.07,8,0,-K11,0)</f>
        <v>3.1374364799787524</v>
      </c>
      <c r="L34" s="17">
        <f t="shared" si="67"/>
        <v>1.6082657586445708</v>
      </c>
      <c r="M34" s="17">
        <f t="shared" si="67"/>
        <v>3.4274516167835114</v>
      </c>
      <c r="Q34" s="10">
        <v>1974</v>
      </c>
      <c r="R34" s="16">
        <f t="shared" ref="R34:W34" si="68">PV(0.07,17,0,-R11,0)</f>
        <v>2701.7994514130087</v>
      </c>
      <c r="S34" s="16">
        <f t="shared" si="68"/>
        <v>5041.8204242317179</v>
      </c>
      <c r="T34" s="16">
        <f t="shared" si="68"/>
        <v>3449.2582907972887</v>
      </c>
      <c r="U34" s="16">
        <f t="shared" si="68"/>
        <v>1602.631617133592</v>
      </c>
      <c r="V34" s="16">
        <f t="shared" si="68"/>
        <v>1507.5658733634791</v>
      </c>
      <c r="W34" s="16">
        <f t="shared" si="68"/>
        <v>653.52636287984819</v>
      </c>
      <c r="X34" s="4">
        <f t="shared" si="47"/>
        <v>1.1891744781520714</v>
      </c>
      <c r="Y34" s="4">
        <f t="shared" si="48"/>
        <v>0.39987251560254788</v>
      </c>
      <c r="Z34" s="4">
        <f t="shared" si="49"/>
        <v>2.319864965575352</v>
      </c>
      <c r="AA34" s="4">
        <f t="shared" si="50"/>
        <v>0.78007916978201952</v>
      </c>
      <c r="AB34" s="4">
        <f t="shared" si="51"/>
        <v>1.0885520223084346</v>
      </c>
      <c r="AC34" s="4">
        <f t="shared" si="52"/>
        <v>0.36603714889771688</v>
      </c>
      <c r="AD34" s="4">
        <f t="shared" si="53"/>
        <v>0.51532961142742806</v>
      </c>
      <c r="AE34" s="4">
        <f t="shared" si="54"/>
        <v>1.0172008772511916</v>
      </c>
      <c r="AF34" s="4">
        <f t="shared" si="55"/>
        <v>1.5325304886786195</v>
      </c>
      <c r="AG34" s="2">
        <f t="shared" si="56"/>
        <v>12</v>
      </c>
    </row>
    <row r="35" spans="11:33" x14ac:dyDescent="0.25">
      <c r="K35" s="17">
        <f t="shared" ref="K35:M35" si="69">PV(0.07,8,0,-K12,0)</f>
        <v>1.8699952529674686</v>
      </c>
      <c r="L35" s="17">
        <f t="shared" si="69"/>
        <v>0.95856899521861827</v>
      </c>
      <c r="M35" s="17">
        <f t="shared" si="69"/>
        <v>2.0428519570232853</v>
      </c>
      <c r="Q35" s="10">
        <v>2001</v>
      </c>
      <c r="R35" s="16">
        <f t="shared" ref="R35:W35" si="70">PV(0.07,17,0,-R12,0)</f>
        <v>1860.4164644996729</v>
      </c>
      <c r="S35" s="16">
        <f t="shared" si="70"/>
        <v>3572.5020952574655</v>
      </c>
      <c r="T35" s="16">
        <f t="shared" si="70"/>
        <v>2265.5493000042102</v>
      </c>
      <c r="U35" s="16">
        <f t="shared" si="70"/>
        <v>772.5132060477564</v>
      </c>
      <c r="V35" s="16">
        <f t="shared" si="70"/>
        <v>886.7884102985754</v>
      </c>
      <c r="W35" s="16">
        <f t="shared" si="70"/>
        <v>470.19194344560782</v>
      </c>
      <c r="X35" s="4">
        <f t="shared" si="47"/>
        <v>1.3722793943896847</v>
      </c>
      <c r="Y35" s="4">
        <f t="shared" si="48"/>
        <v>0.379589833434546</v>
      </c>
      <c r="Z35" s="4">
        <f t="shared" si="49"/>
        <v>2.6770696382356145</v>
      </c>
      <c r="AA35" s="4">
        <f t="shared" si="50"/>
        <v>0.74051131440509799</v>
      </c>
      <c r="AB35" s="4">
        <f t="shared" si="51"/>
        <v>1.2561634456336344</v>
      </c>
      <c r="AC35" s="4">
        <f t="shared" si="52"/>
        <v>0.34747069368239208</v>
      </c>
      <c r="AD35" s="4">
        <f t="shared" si="53"/>
        <v>0.48919061384067875</v>
      </c>
      <c r="AE35" s="4">
        <f t="shared" si="54"/>
        <v>1.2793135455789657</v>
      </c>
      <c r="AF35" s="4">
        <f t="shared" si="55"/>
        <v>1.7685041594196445</v>
      </c>
      <c r="AG35" s="2">
        <f t="shared" si="56"/>
        <v>10</v>
      </c>
    </row>
    <row r="36" spans="11:33" x14ac:dyDescent="0.25">
      <c r="K36" s="17">
        <f t="shared" ref="K36:M36" si="71">PV(0.07,8,0,-K13,0)</f>
        <v>10.735157933702133</v>
      </c>
      <c r="L36" s="17">
        <f t="shared" si="71"/>
        <v>5.5028960836624385</v>
      </c>
      <c r="M36" s="17">
        <f t="shared" si="71"/>
        <v>11.727483456985526</v>
      </c>
      <c r="Q36" s="10" t="s">
        <v>10</v>
      </c>
      <c r="R36" s="16">
        <f t="shared" ref="R36:W36" si="72">PV(0.07,17,0,-R13,0)</f>
        <v>23197.349585597844</v>
      </c>
      <c r="S36" s="16">
        <f t="shared" si="72"/>
        <v>29361.7074538815</v>
      </c>
      <c r="T36" s="16">
        <f t="shared" si="72"/>
        <v>19693.538657601483</v>
      </c>
      <c r="U36" s="16">
        <f t="shared" si="72"/>
        <v>9848.8470702902978</v>
      </c>
      <c r="V36" s="16">
        <f t="shared" si="72"/>
        <v>6316.1658568306157</v>
      </c>
      <c r="W36" s="16">
        <f t="shared" si="72"/>
        <v>3291.6573485032814</v>
      </c>
      <c r="X36" s="4">
        <f t="shared" si="47"/>
        <v>2.2434880524750622</v>
      </c>
      <c r="Y36" s="4">
        <f t="shared" si="48"/>
        <v>0.60414171813723705</v>
      </c>
      <c r="Z36" s="4">
        <f t="shared" si="49"/>
        <v>4.3766406269595475</v>
      </c>
      <c r="AA36" s="4">
        <f t="shared" si="50"/>
        <v>1.1785715484972328</v>
      </c>
      <c r="AB36" s="4">
        <f t="shared" si="51"/>
        <v>2.0536544480348642</v>
      </c>
      <c r="AC36" s="4">
        <f t="shared" si="52"/>
        <v>0.5530220342948553</v>
      </c>
      <c r="AD36" s="4">
        <f t="shared" si="53"/>
        <v>0.77857843364310841</v>
      </c>
      <c r="AE36" s="4">
        <f t="shared" si="54"/>
        <v>2.1126826088467161</v>
      </c>
      <c r="AF36" s="4">
        <f t="shared" si="55"/>
        <v>2.8912610424898246</v>
      </c>
      <c r="AG36" s="2">
        <f t="shared" si="56"/>
        <v>2</v>
      </c>
    </row>
    <row r="37" spans="11:33" x14ac:dyDescent="0.25">
      <c r="K37" s="17">
        <f t="shared" ref="K37:M37" si="73">PV(0.07,8,0,-K14,0)</f>
        <v>18.561434362788205</v>
      </c>
      <c r="L37" s="17">
        <f t="shared" si="73"/>
        <v>9.5146848414292471</v>
      </c>
      <c r="M37" s="17">
        <f t="shared" si="73"/>
        <v>20.27719720304594</v>
      </c>
      <c r="Q37" s="10" t="s">
        <v>17</v>
      </c>
      <c r="R37" s="16">
        <f t="shared" ref="R37:W37" si="74">PV(0.07,17,0,-R14,0)</f>
        <v>27488.120834438596</v>
      </c>
      <c r="S37" s="16">
        <f t="shared" si="74"/>
        <v>40369.159425368649</v>
      </c>
      <c r="T37" s="16">
        <f t="shared" si="74"/>
        <v>25980.95942268932</v>
      </c>
      <c r="U37" s="16">
        <f t="shared" si="74"/>
        <v>10330.099630049483</v>
      </c>
      <c r="V37" s="16">
        <f t="shared" si="74"/>
        <v>7791.7147642211939</v>
      </c>
      <c r="W37" s="16">
        <f t="shared" si="74"/>
        <v>4131.7557509586368</v>
      </c>
      <c r="X37" s="4">
        <f t="shared" si="47"/>
        <v>1.6851829775724412</v>
      </c>
      <c r="Y37" s="4">
        <f t="shared" si="48"/>
        <v>0.39963811902100038</v>
      </c>
      <c r="Z37" s="4">
        <f t="shared" si="49"/>
        <v>3.2874881037888608</v>
      </c>
      <c r="AA37" s="4">
        <f t="shared" si="50"/>
        <v>0.7796219043196565</v>
      </c>
      <c r="AB37" s="4">
        <f t="shared" si="51"/>
        <v>1.5425905717778499</v>
      </c>
      <c r="AC37" s="4">
        <f t="shared" si="52"/>
        <v>0.36582258587306954</v>
      </c>
      <c r="AD37" s="4">
        <f t="shared" si="53"/>
        <v>0.51502753640457544</v>
      </c>
      <c r="AE37" s="4">
        <f t="shared" si="54"/>
        <v>1.656726347975142</v>
      </c>
      <c r="AF37" s="4">
        <f t="shared" si="55"/>
        <v>2.1717538843797173</v>
      </c>
      <c r="AG37" s="2">
        <f t="shared" si="56"/>
        <v>7</v>
      </c>
    </row>
    <row r="38" spans="11:33" x14ac:dyDescent="0.25">
      <c r="K38" s="17">
        <f t="shared" ref="K38:M38" si="75">PV(0.07,8,0,-K15,0)</f>
        <v>7.8262764290860725</v>
      </c>
      <c r="L38" s="17">
        <f t="shared" si="75"/>
        <v>4.0117887577668103</v>
      </c>
      <c r="M38" s="17">
        <f t="shared" si="75"/>
        <v>8.5497137460604158</v>
      </c>
      <c r="Q38" s="6" t="s">
        <v>20</v>
      </c>
      <c r="R38" s="16">
        <f t="shared" ref="R38:W38" si="76">PV(0.07,17,0,-R15,0)</f>
        <v>4290.7712488407533</v>
      </c>
      <c r="S38" s="16">
        <f t="shared" si="76"/>
        <v>11007.451971487149</v>
      </c>
      <c r="T38" s="16">
        <f t="shared" si="76"/>
        <v>6287.4207650878388</v>
      </c>
      <c r="U38" s="16">
        <f t="shared" si="76"/>
        <v>481.25255975918481</v>
      </c>
      <c r="V38" s="16">
        <f t="shared" si="76"/>
        <v>1475.5489073905783</v>
      </c>
      <c r="W38" s="16">
        <f t="shared" si="76"/>
        <v>840.09840245535531</v>
      </c>
      <c r="X38" s="4">
        <f t="shared" si="47"/>
        <v>0.91936628190955438</v>
      </c>
      <c r="Y38" s="4">
        <f t="shared" si="48"/>
        <v>0.11912433262262249</v>
      </c>
      <c r="Z38" s="4">
        <f t="shared" si="49"/>
        <v>1.793517828643229</v>
      </c>
      <c r="AA38" s="4">
        <f t="shared" si="50"/>
        <v>0.23239009150970619</v>
      </c>
      <c r="AB38" s="4">
        <f t="shared" si="51"/>
        <v>0.84157375036336135</v>
      </c>
      <c r="AC38" s="4">
        <f t="shared" si="52"/>
        <v>0.10904458140070829</v>
      </c>
      <c r="AD38" s="4">
        <f t="shared" si="53"/>
        <v>0.15351966851101231</v>
      </c>
      <c r="AE38" s="4">
        <f t="shared" si="54"/>
        <v>1.0312996184610359</v>
      </c>
      <c r="AF38" s="4">
        <f t="shared" si="55"/>
        <v>1.1848192869720482</v>
      </c>
      <c r="AG38" s="2">
        <f t="shared" si="56"/>
        <v>13</v>
      </c>
    </row>
    <row r="39" spans="11:33" x14ac:dyDescent="0.25">
      <c r="K39" s="17">
        <f t="shared" ref="K39:M39" si="77">PV(0.07,8,0,-K16,0)</f>
        <v>1.4550227614125961</v>
      </c>
      <c r="L39" s="17">
        <f t="shared" si="77"/>
        <v>0</v>
      </c>
      <c r="M39" s="17">
        <f t="shared" si="77"/>
        <v>0</v>
      </c>
      <c r="Q39" s="10" t="s">
        <v>16</v>
      </c>
      <c r="R39" s="16">
        <f t="shared" ref="R39:W39" si="78">PV(0.07,17,0,-R16,0)</f>
        <v>174.98557303943173</v>
      </c>
      <c r="S39" s="16">
        <f t="shared" si="78"/>
        <v>1014.3474644640479</v>
      </c>
      <c r="T39" s="16">
        <f t="shared" si="78"/>
        <v>1464.5742287056507</v>
      </c>
      <c r="U39" s="16">
        <f t="shared" si="78"/>
        <v>77.737277641092547</v>
      </c>
      <c r="V39" s="16">
        <f t="shared" si="78"/>
        <v>231.35292196132102</v>
      </c>
      <c r="W39" s="16">
        <f t="shared" si="78"/>
        <v>199.47968065215997</v>
      </c>
      <c r="X39" s="4">
        <f t="shared" si="47"/>
        <v>0.60798757164747208</v>
      </c>
      <c r="Y39" s="4">
        <f t="shared" si="48"/>
        <v>0.11650903196429103</v>
      </c>
      <c r="Z39" s="15" t="s">
        <v>45</v>
      </c>
      <c r="AA39" s="15" t="s">
        <v>45</v>
      </c>
      <c r="AB39" s="15" t="s">
        <v>45</v>
      </c>
      <c r="AC39" s="15" t="s">
        <v>45</v>
      </c>
      <c r="AD39" s="4">
        <f>AVERAGE(Y39)</f>
        <v>0.11650903196429103</v>
      </c>
      <c r="AE39" s="4">
        <f>AF39-AD39</f>
        <v>0.49147853968318106</v>
      </c>
      <c r="AF39" s="4">
        <f>AVERAGE(X39)</f>
        <v>0.60798757164747208</v>
      </c>
      <c r="AG39" s="2">
        <f t="shared" si="56"/>
        <v>17</v>
      </c>
    </row>
    <row r="40" spans="11:33" x14ac:dyDescent="0.25">
      <c r="K40" s="17">
        <f t="shared" ref="K40:M40" si="79">PV(0.07,8,0,-K17,0)</f>
        <v>2.7354427914556809</v>
      </c>
      <c r="L40" s="17">
        <f t="shared" si="79"/>
        <v>0</v>
      </c>
      <c r="M40" s="17">
        <f t="shared" si="79"/>
        <v>0</v>
      </c>
      <c r="Q40" s="10" t="s">
        <v>18</v>
      </c>
      <c r="R40" s="16">
        <f t="shared" ref="R40:W40" si="80">PV(0.07,17,0,-R17,0)</f>
        <v>1202.4303222753547</v>
      </c>
      <c r="S40" s="16">
        <f t="shared" si="80"/>
        <v>2458.7373326225306</v>
      </c>
      <c r="T40" s="16">
        <f t="shared" si="80"/>
        <v>2115.0839175177289</v>
      </c>
      <c r="U40" s="16">
        <f t="shared" si="80"/>
        <v>753.34990765251393</v>
      </c>
      <c r="V40" s="16">
        <f t="shared" si="80"/>
        <v>615.96193781892384</v>
      </c>
      <c r="W40" s="16">
        <f t="shared" si="80"/>
        <v>346.97612410629114</v>
      </c>
      <c r="X40" s="4">
        <f t="shared" si="47"/>
        <v>0.70387770375580894</v>
      </c>
      <c r="Y40" s="4">
        <f t="shared" si="48"/>
        <v>0.20914200496030072</v>
      </c>
      <c r="Z40" s="15" t="s">
        <v>45</v>
      </c>
      <c r="AA40" s="15" t="s">
        <v>45</v>
      </c>
      <c r="AB40" s="15" t="s">
        <v>45</v>
      </c>
      <c r="AC40" s="15" t="s">
        <v>45</v>
      </c>
      <c r="AD40" s="4">
        <f t="shared" ref="AD40:AD43" si="81">AVERAGE(Y40)</f>
        <v>0.20914200496030072</v>
      </c>
      <c r="AE40" s="4">
        <f t="shared" si="54"/>
        <v>0.49473569879550822</v>
      </c>
      <c r="AF40" s="4">
        <f t="shared" ref="AF40:AF42" si="82">AVERAGE(X40)</f>
        <v>0.70387770375580894</v>
      </c>
      <c r="AG40" s="2">
        <f t="shared" si="56"/>
        <v>16</v>
      </c>
    </row>
    <row r="41" spans="11:33" x14ac:dyDescent="0.25">
      <c r="K41" s="17">
        <f t="shared" ref="K41:M41" si="83">PV(0.07,8,0,-K18,0)</f>
        <v>1.2804200300430846</v>
      </c>
      <c r="L41" s="17">
        <f t="shared" si="83"/>
        <v>0</v>
      </c>
      <c r="M41" s="17">
        <f t="shared" si="83"/>
        <v>0</v>
      </c>
      <c r="Q41" s="7" t="s">
        <v>19</v>
      </c>
      <c r="R41" s="16">
        <f t="shared" ref="R41:W41" si="84">PV(0.07,17,0,-R18,0)</f>
        <v>1027.4447492359229</v>
      </c>
      <c r="S41" s="16">
        <f t="shared" si="84"/>
        <v>1444.3898681584828</v>
      </c>
      <c r="T41" s="16">
        <f t="shared" si="84"/>
        <v>650.50968881207802</v>
      </c>
      <c r="U41" s="16">
        <f t="shared" si="84"/>
        <v>675.6126300114214</v>
      </c>
      <c r="V41" s="16">
        <f t="shared" si="84"/>
        <v>384.60901585760286</v>
      </c>
      <c r="W41" s="16">
        <f t="shared" si="84"/>
        <v>147.49644345413117</v>
      </c>
      <c r="X41" s="4">
        <f t="shared" si="47"/>
        <v>0.81284376296982808</v>
      </c>
      <c r="Y41" s="4">
        <f t="shared" si="48"/>
        <v>0.31440674700122095</v>
      </c>
      <c r="Z41" s="15" t="s">
        <v>45</v>
      </c>
      <c r="AA41" s="15" t="s">
        <v>45</v>
      </c>
      <c r="AB41" s="15" t="s">
        <v>45</v>
      </c>
      <c r="AC41" s="15" t="s">
        <v>45</v>
      </c>
      <c r="AD41" s="4">
        <f t="shared" si="81"/>
        <v>0.31440674700122095</v>
      </c>
      <c r="AE41" s="4">
        <f t="shared" si="54"/>
        <v>0.49843701596860712</v>
      </c>
      <c r="AF41" s="4">
        <f t="shared" si="82"/>
        <v>0.81284376296982808</v>
      </c>
      <c r="AG41" s="2">
        <f t="shared" si="56"/>
        <v>15</v>
      </c>
    </row>
    <row r="42" spans="11:33" x14ac:dyDescent="0.25">
      <c r="K42" s="17">
        <f t="shared" ref="K42:M42" si="85">PV(0.07,8,0,-K19,0)</f>
        <v>9.8490490720018631</v>
      </c>
      <c r="L42" s="17">
        <f t="shared" si="85"/>
        <v>0</v>
      </c>
      <c r="M42" s="17">
        <f t="shared" si="85"/>
        <v>0</v>
      </c>
      <c r="Q42" s="12" t="s">
        <v>22</v>
      </c>
      <c r="R42" s="16">
        <f>PV(0.07,17,0,-R19,0)</f>
        <v>28440.125945626067</v>
      </c>
      <c r="S42" s="16">
        <f t="shared" ref="S42:W42" si="86">PV(0.07,17,0,-S19,0)</f>
        <v>22870.073073533345</v>
      </c>
      <c r="T42" s="16">
        <f t="shared" si="86"/>
        <v>14434.766709834594</v>
      </c>
      <c r="U42" s="16">
        <f t="shared" si="86"/>
        <v>11408.761298090709</v>
      </c>
      <c r="V42" s="16">
        <f t="shared" si="86"/>
        <v>4919.9019760573683</v>
      </c>
      <c r="W42" s="16">
        <f t="shared" si="86"/>
        <v>2472.8130292454989</v>
      </c>
      <c r="X42" s="4">
        <f t="shared" si="47"/>
        <v>2.2250867485907468</v>
      </c>
      <c r="Y42" s="4">
        <f t="shared" si="48"/>
        <v>0.63632120441085693</v>
      </c>
      <c r="Z42" s="15" t="s">
        <v>45</v>
      </c>
      <c r="AA42" s="15" t="s">
        <v>45</v>
      </c>
      <c r="AB42" s="15" t="s">
        <v>45</v>
      </c>
      <c r="AC42" s="15" t="s">
        <v>45</v>
      </c>
      <c r="AD42" s="4">
        <f t="shared" si="81"/>
        <v>0.63632120441085693</v>
      </c>
      <c r="AE42" s="4">
        <f t="shared" si="54"/>
        <v>1.58876554417989</v>
      </c>
      <c r="AF42" s="4">
        <f t="shared" si="82"/>
        <v>2.2250867485907468</v>
      </c>
      <c r="AG42" s="2">
        <f t="shared" si="56"/>
        <v>6</v>
      </c>
    </row>
    <row r="43" spans="11:33" x14ac:dyDescent="0.25">
      <c r="K43" s="17">
        <f t="shared" ref="K43:M43" si="87">PV(0.07,8,0,-K20,0)</f>
        <v>7.1136062805461826</v>
      </c>
      <c r="L43" s="17">
        <f t="shared" si="87"/>
        <v>0</v>
      </c>
      <c r="M43" s="17">
        <f t="shared" si="87"/>
        <v>0</v>
      </c>
      <c r="Q43" s="7" t="s">
        <v>23</v>
      </c>
      <c r="R43" s="16">
        <f>PV(0.07,17,0,-R20,0)</f>
        <v>27237.695623350708</v>
      </c>
      <c r="S43" s="16">
        <f t="shared" ref="S43:W43" si="88">PV(0.07,17,0,-S20,0)</f>
        <v>20411.335740910814</v>
      </c>
      <c r="T43" s="16">
        <f t="shared" si="88"/>
        <v>12319.682792316864</v>
      </c>
      <c r="U43" s="16">
        <f t="shared" si="88"/>
        <v>10655.411390438194</v>
      </c>
      <c r="V43" s="16">
        <f t="shared" si="88"/>
        <v>4303.9400382384438</v>
      </c>
      <c r="W43" s="16">
        <f t="shared" si="88"/>
        <v>2125.8369051392074</v>
      </c>
      <c r="X43" s="4">
        <f t="shared" si="47"/>
        <v>2.8100474776334301</v>
      </c>
      <c r="Y43" s="4">
        <f t="shared" si="48"/>
        <v>0.80058729051579558</v>
      </c>
      <c r="Z43" s="15" t="s">
        <v>45</v>
      </c>
      <c r="AA43" s="15" t="s">
        <v>45</v>
      </c>
      <c r="AB43" s="15" t="s">
        <v>45</v>
      </c>
      <c r="AC43" s="15" t="s">
        <v>45</v>
      </c>
      <c r="AD43" s="4">
        <f t="shared" si="81"/>
        <v>0.80058729051579558</v>
      </c>
      <c r="AE43" s="4">
        <f t="shared" si="54"/>
        <v>2.0094601871176345</v>
      </c>
      <c r="AF43" s="4">
        <f>AVERAGE(X43)</f>
        <v>2.8100474776334301</v>
      </c>
      <c r="AG43" s="2">
        <f t="shared" si="56"/>
        <v>3</v>
      </c>
    </row>
    <row r="44" spans="11:33" x14ac:dyDescent="0.25">
      <c r="K44" s="17">
        <f t="shared" ref="K44:M44" si="89">PV(0.07,8,0,-K21,0)</f>
        <v>6.2125397848585902</v>
      </c>
      <c r="L44" s="17">
        <f t="shared" si="89"/>
        <v>3.1845792174485208</v>
      </c>
      <c r="M44" s="17">
        <f t="shared" si="89"/>
        <v>6.7868081683329144</v>
      </c>
      <c r="Q44" s="10" t="s">
        <v>49</v>
      </c>
      <c r="R44" s="16">
        <f t="shared" ref="R44:W44" si="90">PV(0.07,17,0,-R21,0)</f>
        <v>6695.626324166944</v>
      </c>
      <c r="S44" s="16">
        <f t="shared" si="90"/>
        <v>16851.628790832394</v>
      </c>
      <c r="T44" s="16">
        <f t="shared" si="90"/>
        <v>12849.117732907258</v>
      </c>
      <c r="U44" s="16">
        <f t="shared" si="90"/>
        <v>2992.6223606698272</v>
      </c>
      <c r="V44" s="16">
        <f t="shared" si="90"/>
        <v>3652.7337266315567</v>
      </c>
      <c r="W44" s="16">
        <f t="shared" si="90"/>
        <v>2019.2048645367545</v>
      </c>
      <c r="X44" s="4">
        <f t="shared" si="47"/>
        <v>1.9528445213669861</v>
      </c>
      <c r="Y44" s="4">
        <f t="shared" si="48"/>
        <v>0.46489633611445558</v>
      </c>
      <c r="Z44" s="4">
        <f t="shared" si="49"/>
        <v>3.8096475088962514</v>
      </c>
      <c r="AA44" s="4">
        <f t="shared" si="50"/>
        <v>0.90692891799377395</v>
      </c>
      <c r="AB44" s="4">
        <f t="shared" si="51"/>
        <v>1.7876038310974716</v>
      </c>
      <c r="AC44" s="4">
        <f t="shared" si="52"/>
        <v>0.4255589538278477</v>
      </c>
      <c r="AD44" s="4">
        <f t="shared" si="53"/>
        <v>0.59912806931202567</v>
      </c>
      <c r="AE44" s="4">
        <f t="shared" si="54"/>
        <v>1.917570551141544</v>
      </c>
      <c r="AF44" s="4">
        <f t="shared" si="55"/>
        <v>2.5166986204535697</v>
      </c>
      <c r="AG44" s="2">
        <f t="shared" si="56"/>
        <v>4</v>
      </c>
    </row>
    <row r="45" spans="11:33" x14ac:dyDescent="0.25">
      <c r="K45" s="17">
        <f t="shared" ref="K45:M45" si="91">PV(0.07,8,0,-K22,0)</f>
        <v>6.5305495595929273</v>
      </c>
      <c r="L45" s="17">
        <f t="shared" si="91"/>
        <v>3.5025889921828579</v>
      </c>
      <c r="M45" s="17">
        <f t="shared" si="91"/>
        <v>7.1048179430672516</v>
      </c>
      <c r="Q45" s="10" t="s">
        <v>50</v>
      </c>
      <c r="R45" s="16">
        <f t="shared" ref="R45:W45" si="92">PV(0.07,17,0,-R22,0)</f>
        <v>8308.4871527986306</v>
      </c>
      <c r="S45" s="16">
        <f t="shared" si="92"/>
        <v>17515.631291500496</v>
      </c>
      <c r="T45" s="16">
        <f t="shared" si="92"/>
        <v>11479.917805962819</v>
      </c>
      <c r="U45" s="16">
        <f t="shared" si="92"/>
        <v>3621.1082410859954</v>
      </c>
      <c r="V45" s="16">
        <f t="shared" si="92"/>
        <v>3903.1786593926827</v>
      </c>
      <c r="W45" s="16">
        <f t="shared" si="92"/>
        <v>1933.9757859703916</v>
      </c>
      <c r="X45" s="4">
        <f t="shared" si="47"/>
        <v>1.904078460260918</v>
      </c>
      <c r="Y45" s="4">
        <f t="shared" si="48"/>
        <v>0.48277012524699064</v>
      </c>
      <c r="Z45" s="4">
        <f t="shared" si="49"/>
        <v>3.550139276357934</v>
      </c>
      <c r="AA45" s="4">
        <f t="shared" si="50"/>
        <v>0.90012109209865365</v>
      </c>
      <c r="AB45" s="4">
        <f t="shared" si="51"/>
        <v>1.7501755639243146</v>
      </c>
      <c r="AC45" s="4">
        <f t="shared" si="52"/>
        <v>0.44374877077501407</v>
      </c>
      <c r="AD45" s="4">
        <f t="shared" si="53"/>
        <v>0.60887999604021947</v>
      </c>
      <c r="AE45" s="4">
        <f t="shared" si="54"/>
        <v>1.7925844374741695</v>
      </c>
      <c r="AF45" s="4">
        <f t="shared" si="55"/>
        <v>2.4014644335143891</v>
      </c>
      <c r="AG45" s="2">
        <f t="shared" si="56"/>
        <v>5</v>
      </c>
    </row>
    <row r="46" spans="11:33" x14ac:dyDescent="0.25">
      <c r="K46" s="17">
        <f t="shared" ref="K46:M46" si="93">PV(0.07,8,0,-K23,0)</f>
        <v>8.7676179548095643</v>
      </c>
      <c r="L46" s="17">
        <f t="shared" si="93"/>
        <v>4.3313117561730152</v>
      </c>
      <c r="M46" s="17">
        <f t="shared" si="93"/>
        <v>9.23066439840151</v>
      </c>
      <c r="Q46" s="10" t="s">
        <v>28</v>
      </c>
      <c r="R46" s="16">
        <f t="shared" ref="R46:W46" si="94">PV(0.07,17,0,-R23,0)</f>
        <v>23291.443247079325</v>
      </c>
      <c r="S46" s="16">
        <f t="shared" si="94"/>
        <v>26083.467712709804</v>
      </c>
      <c r="T46" s="16">
        <f t="shared" si="94"/>
        <v>17813.295207583749</v>
      </c>
      <c r="U46" s="16">
        <f t="shared" si="94"/>
        <v>10744.214020559815</v>
      </c>
      <c r="V46" s="16">
        <f t="shared" si="94"/>
        <v>6186.1613203505294</v>
      </c>
      <c r="W46" s="16">
        <f t="shared" si="94"/>
        <v>3366.6340294318443</v>
      </c>
      <c r="X46" s="4">
        <f t="shared" si="47"/>
        <v>2.5544074613985703</v>
      </c>
      <c r="Y46" s="4">
        <f t="shared" si="48"/>
        <v>0.77166567076553405</v>
      </c>
      <c r="Z46" s="4">
        <f t="shared" si="49"/>
        <v>5.1707357916544785</v>
      </c>
      <c r="AA46" s="4">
        <f t="shared" si="50"/>
        <v>1.5620371312389563</v>
      </c>
      <c r="AB46" s="4">
        <f t="shared" si="51"/>
        <v>2.4262683330071009</v>
      </c>
      <c r="AC46" s="4">
        <f t="shared" si="52"/>
        <v>0.73295588465827932</v>
      </c>
      <c r="AD46" s="4">
        <f t="shared" si="53"/>
        <v>1.0222195622209231</v>
      </c>
      <c r="AE46" s="4">
        <f t="shared" si="54"/>
        <v>2.3615842997991265</v>
      </c>
      <c r="AF46" s="4">
        <f t="shared" si="55"/>
        <v>3.3838038620200499</v>
      </c>
      <c r="AG46" s="2">
        <f t="shared" si="56"/>
        <v>1</v>
      </c>
    </row>
    <row r="47" spans="11:33" x14ac:dyDescent="0.25">
      <c r="K47" s="17"/>
      <c r="L47" s="17"/>
      <c r="M47" s="17"/>
    </row>
  </sheetData>
  <conditionalFormatting sqref="O4:O23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4:AG2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27:AG4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Stuart Mills</dc:creator>
  <cp:lastModifiedBy>Stuart Mills</cp:lastModifiedBy>
  <dcterms:created xsi:type="dcterms:W3CDTF">2024-09-19T16:24:32Z</dcterms:created>
  <dcterms:modified xsi:type="dcterms:W3CDTF">2024-10-24T15:59:24Z</dcterms:modified>
</cp:coreProperties>
</file>