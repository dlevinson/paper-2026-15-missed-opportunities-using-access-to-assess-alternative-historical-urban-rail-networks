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Bradfield Proposal\Stage 3\"/>
    </mc:Choice>
  </mc:AlternateContent>
  <xr:revisionPtr revIDLastSave="0" documentId="13_ncr:1_{E3ED4E8F-1E8B-444F-8275-51F6B6A3D20F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U12" i="1" l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T16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<sst xmlns="http://schemas.openxmlformats.org/spreadsheetml/2006/main" count="2595" uniqueCount="2587">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</sst>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U22" sqref="U22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0</v>
      </c>
      <c r="F2">
        <v>1099931.1640000001</v>
      </c>
      <c r="G2">
        <v>4824.2378879999997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3.54267329394342E-2</v>
      </c>
      <c r="M2" s="1">
        <f>$U$3*$K2*E2</f>
        <v>0</v>
      </c>
      <c r="N2" s="1">
        <f>$U$4*$K2*G2</f>
        <v>1596383.9472560952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-4.5099999999999998E-5</v>
      </c>
      <c r="D3">
        <v>754544.03890000004</v>
      </c>
      <c r="E3">
        <v>867.95666930000004</v>
      </c>
      <c r="F3">
        <v>1188749.6769999999</v>
      </c>
      <c r="G3">
        <v>4754.1790689999998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-0.109181732745514</v>
      </c>
      <c r="M3" s="1">
        <f t="shared" ref="M3:M66" si="2">$U$3*$K3*E3</f>
        <v>704716.79537026782</v>
      </c>
      <c r="N3" s="1">
        <f t="shared" ref="N3:N66" si="3">$U$4*$K3*G3</f>
        <v>1806075.0424922127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 s="1">
        <v>2.9E-5</v>
      </c>
      <c r="D4">
        <v>912192.62890000001</v>
      </c>
      <c r="E4">
        <v>3779.800021</v>
      </c>
      <c r="F4">
        <v>1336597.4709999999</v>
      </c>
      <c r="G4">
        <v>2222.6543630000001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2.9024074489156504E-2</v>
      </c>
      <c r="M4" s="1">
        <f t="shared" si="2"/>
        <v>1268739.152534165</v>
      </c>
      <c r="N4" s="1">
        <f t="shared" si="3"/>
        <v>349075.30775208445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1.5799999999999999E-6</v>
      </c>
      <c r="D5">
        <v>1001489.622</v>
      </c>
      <c r="E5">
        <v>5289.1012730000002</v>
      </c>
      <c r="F5">
        <v>1434338.5179999999</v>
      </c>
      <c r="G5">
        <v>2222.6543630000001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7.1707451425252495E-4</v>
      </c>
      <c r="M5" s="1">
        <f t="shared" si="2"/>
        <v>805067.36154315225</v>
      </c>
      <c r="N5" s="1">
        <f t="shared" si="3"/>
        <v>158294.54465953945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3.6399999999999997E-5</v>
      </c>
      <c r="D6">
        <v>987289.85869999998</v>
      </c>
      <c r="E6">
        <v>4095.9265</v>
      </c>
      <c r="F6">
        <v>1425828.1129999999</v>
      </c>
      <c r="G6">
        <v>2222.6543630000001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3.9990239927574299E-2</v>
      </c>
      <c r="M6" s="1">
        <f t="shared" si="2"/>
        <v>1509203.8966371387</v>
      </c>
      <c r="N6" s="1">
        <f t="shared" si="3"/>
        <v>383187.53540781327</v>
      </c>
      <c r="O6" s="1"/>
    </row>
    <row r="7" spans="1:25" x14ac:dyDescent="0.25">
      <c r="A7">
        <v>6</v>
      </c>
      <c r="B7">
        <v>342568.37469999999</v>
      </c>
      <c r="C7" s="1">
        <v>-1.2E-5</v>
      </c>
      <c r="D7">
        <v>676491.53819999995</v>
      </c>
      <c r="E7" s="1">
        <v>-1.6799999999999998E-5</v>
      </c>
      <c r="F7">
        <v>1144015.318</v>
      </c>
      <c r="G7">
        <v>5034.3916810000001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-9.1281250476390012E-3</v>
      </c>
      <c r="M7" s="1">
        <f t="shared" si="2"/>
        <v>-4.2860057915991116E-3</v>
      </c>
      <c r="N7" s="1">
        <f t="shared" si="3"/>
        <v>600944.20434641989</v>
      </c>
      <c r="O7" s="1"/>
    </row>
    <row r="8" spans="1:25" x14ac:dyDescent="0.25">
      <c r="A8">
        <v>7</v>
      </c>
      <c r="B8">
        <v>447450.14120000001</v>
      </c>
      <c r="C8" s="1">
        <v>6.6800000000000004E-6</v>
      </c>
      <c r="D8">
        <v>797901.67200000002</v>
      </c>
      <c r="E8">
        <v>2389.7067539999998</v>
      </c>
      <c r="F8">
        <v>1224440.2320000001</v>
      </c>
      <c r="G8">
        <v>2973.8966049999999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5.8019893025645208E-3</v>
      </c>
      <c r="M8" s="1">
        <f t="shared" si="2"/>
        <v>696126.56817327766</v>
      </c>
      <c r="N8" s="1">
        <f t="shared" si="3"/>
        <v>405334.09983707516</v>
      </c>
      <c r="O8" s="1"/>
    </row>
    <row r="9" spans="1:25" x14ac:dyDescent="0.25">
      <c r="A9">
        <v>8</v>
      </c>
      <c r="B9">
        <v>395243.76449999999</v>
      </c>
      <c r="C9" s="1">
        <v>-3.01E-5</v>
      </c>
      <c r="D9">
        <v>770947.84470000002</v>
      </c>
      <c r="E9">
        <v>867.95674840000004</v>
      </c>
      <c r="F9">
        <v>1203647.425</v>
      </c>
      <c r="G9">
        <v>4352.602331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-2.4814690830486374E-2</v>
      </c>
      <c r="M9" s="1">
        <f t="shared" si="2"/>
        <v>239984.72188807023</v>
      </c>
      <c r="N9" s="1">
        <f t="shared" si="3"/>
        <v>563090.47163228062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6940.3854719999999</v>
      </c>
      <c r="F10">
        <v>1089044.08</v>
      </c>
      <c r="G10">
        <v>4599.9850690000003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1.6511368906021603E-3</v>
      </c>
      <c r="M10" s="1">
        <f t="shared" si="2"/>
        <v>5057038.0047458094</v>
      </c>
      <c r="N10" s="1">
        <f t="shared" si="3"/>
        <v>1568240.7175137498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7.9400000000000002E-6</v>
      </c>
      <c r="D11">
        <v>718636.73510000005</v>
      </c>
      <c r="E11">
        <v>520.77399720000005</v>
      </c>
      <c r="F11">
        <v>1177436.6510000001</v>
      </c>
      <c r="G11">
        <v>4232.2429060000004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8.460134621006055E-3</v>
      </c>
      <c r="M11" s="1">
        <f t="shared" si="2"/>
        <v>186101.21118156402</v>
      </c>
      <c r="N11" s="1">
        <f t="shared" si="3"/>
        <v>707642.93021176208</v>
      </c>
      <c r="O11" s="1"/>
      <c r="S11" s="2" t="str" cm="1">
        <f t="array" ref="S11:S16">TRANSPOSE(L1:Q1)</f>
        <v xml:space="preserve">30 Min Lin </v>
      </c>
      <c r="T11" s="6">
        <f>SUM(L2:L2563)/1000000</f>
        <v>6153.7661335320336</v>
      </c>
      <c r="U11" s="3">
        <f>SUM(L$374:L$390,L$395:L$399,L$409:L$418)/1000000</f>
        <v>1510.325261277789</v>
      </c>
      <c r="V11" s="3">
        <f>SUM(L$352:L$377,L$391:L$394)/1000000</f>
        <v>4462.249488330036</v>
      </c>
      <c r="W11" s="3">
        <f>SUM(L$419:L$479)/1000000</f>
        <v>1.0970899861049548E-7</v>
      </c>
      <c r="X11" s="3">
        <f>T11-W11-U11-V11</f>
        <v>181.19138381450011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-2.6E-7</v>
      </c>
      <c r="D12">
        <v>675140.07010000001</v>
      </c>
      <c r="E12" s="1">
        <v>4.6100000000000002E-5</v>
      </c>
      <c r="F12">
        <v>1103143.1740000001</v>
      </c>
      <c r="G12">
        <v>3483.3158389999999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-3.5276936759200502E-4</v>
      </c>
      <c r="M12" s="1">
        <f t="shared" si="2"/>
        <v>2.0977879233290721E-2</v>
      </c>
      <c r="N12" s="1">
        <f t="shared" si="3"/>
        <v>741646.90423679829</v>
      </c>
      <c r="O12" s="1"/>
      <c r="S12" s="2" t="str">
        <v>45 Min Lin</v>
      </c>
      <c r="T12" s="6">
        <f>SUM(M2:M2563)/1000000</f>
        <v>21000.88501792667</v>
      </c>
      <c r="U12" s="3">
        <f>SUM(M$374:M$390,M$395:M$399,M$409:M$418)/1000000</f>
        <v>7985.9340551722262</v>
      </c>
      <c r="V12" s="3">
        <f>SUM(M$352:M$377,M$391:M$394)/1000000</f>
        <v>12372.471077803571</v>
      </c>
      <c r="W12" s="3">
        <f>SUM(M$419:M$479)/1000000</f>
        <v>73.939413553840836</v>
      </c>
      <c r="X12" s="3">
        <f t="shared" ref="X12:X13" si="4">T12-W12-U12-V12</f>
        <v>568.54047139702925</v>
      </c>
      <c r="Y12" s="3"/>
    </row>
    <row r="13" spans="1:25" x14ac:dyDescent="0.25">
      <c r="A13">
        <v>12</v>
      </c>
      <c r="B13">
        <v>357991.37280000001</v>
      </c>
      <c r="C13" s="1">
        <v>-1.9400000000000001E-5</v>
      </c>
      <c r="D13">
        <v>692904.25670000003</v>
      </c>
      <c r="E13" s="1">
        <v>-2.4399999999999999E-6</v>
      </c>
      <c r="F13">
        <v>1139271.5209999999</v>
      </c>
      <c r="G13">
        <v>4824.2378879999997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-1.9188891281911001E-2</v>
      </c>
      <c r="M13" s="1">
        <f t="shared" si="2"/>
        <v>-8.0943339021999187E-4</v>
      </c>
      <c r="N13" s="1">
        <f t="shared" si="3"/>
        <v>748796.28769172158</v>
      </c>
      <c r="O13" s="1"/>
      <c r="S13" s="2" t="str">
        <v>60 Min Lin</v>
      </c>
      <c r="T13" s="6">
        <f>SUM(N2:N2563)/1000000</f>
        <v>13283.334042582364</v>
      </c>
      <c r="U13" s="3">
        <f>SUM(N$374:N$390,N$395:N$399,N$409:N$418)/1000000</f>
        <v>5883.2201269486977</v>
      </c>
      <c r="V13" s="3">
        <f>SUM(N$352:N$377,N$391:N$394)/1000000</f>
        <v>5686.9085378098871</v>
      </c>
      <c r="W13" s="3">
        <f>SUM(N$419:N$479)/1000000</f>
        <v>205.85658025712365</v>
      </c>
      <c r="X13" s="3">
        <f t="shared" si="4"/>
        <v>1507.3487975666567</v>
      </c>
      <c r="Y13" s="4"/>
    </row>
    <row r="14" spans="1:25" x14ac:dyDescent="0.25">
      <c r="A14">
        <v>13</v>
      </c>
      <c r="B14">
        <v>436547.72960000002</v>
      </c>
      <c r="C14" s="1">
        <v>-6.6200000000000001E-6</v>
      </c>
      <c r="D14">
        <v>839867.22930000001</v>
      </c>
      <c r="E14">
        <v>1316.930799</v>
      </c>
      <c r="F14">
        <v>1260453.6569999999</v>
      </c>
      <c r="G14">
        <v>3753.7099410000001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-2.7495970807245203E-3</v>
      </c>
      <c r="M14" s="1">
        <f t="shared" si="2"/>
        <v>183449.76517252173</v>
      </c>
      <c r="N14" s="1">
        <f t="shared" si="3"/>
        <v>244657.53412905915</v>
      </c>
      <c r="O14" s="1"/>
      <c r="S14" s="2" t="str">
        <v>30 Min Log</v>
      </c>
      <c r="T14" s="6">
        <f>SUM(U14:X14)</f>
        <v>2015.2448640594109</v>
      </c>
      <c r="U14" s="7">
        <f>$V2*$Y$2*(SUM(C$374:C$390,C$395:C$399,C$409:C$418))/(SUM(B$374:B$390,B$395:B$399,B$409:B$418))</f>
        <v>313.46592026429113</v>
      </c>
      <c r="V14" s="7">
        <f>$V2*$Y$3*(SUM(C$352:C$377,C$391:C$394))/(SUM(B$352:B$377,B$391:B$394))</f>
        <v>1412.2785800874406</v>
      </c>
      <c r="W14" s="8">
        <f>V2*$Y$4*(SUM(C$419:C$479))/(SUM(B$419:B$479))</f>
        <v>1.6070725196991368E-7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289.50036354697204</v>
      </c>
    </row>
    <row r="15" spans="1:25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2784.661247</v>
      </c>
      <c r="F15">
        <v>1280429.3540000001</v>
      </c>
      <c r="G15">
        <v>2222.6543630000001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-3.0201985256563904E-3</v>
      </c>
      <c r="M15" s="1">
        <f t="shared" si="2"/>
        <v>624040.19564190984</v>
      </c>
      <c r="N15" s="1">
        <f t="shared" si="3"/>
        <v>233053.59355955996</v>
      </c>
      <c r="O15" s="1"/>
      <c r="S15" s="2" t="str">
        <v>45 Min Log</v>
      </c>
      <c r="T15" s="6">
        <f>SUM(U15:X15)</f>
        <v>4255.4880491567064</v>
      </c>
      <c r="U15" s="7">
        <f>$V3*$Y$2*(SUM(E$374:E$390,E$395:E$399,E$409:E$418))/(SUM(D$374:D$390,D$395:D$399,D$409:D$418))</f>
        <v>1185.2609851420248</v>
      </c>
      <c r="V15" s="7">
        <f>$V3*$Y$3*(SUM(E$352:E$377,E$391:E$394))/(SUM(D$352:D$377,D$391:D$394))</f>
        <v>2411.1606136823802</v>
      </c>
      <c r="W15" s="8">
        <f>V3*$Y$4*(SUM(E$419:E$479))/(SUM(D$419:D$479))</f>
        <v>15.837121223099539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643.2293291092019</v>
      </c>
    </row>
    <row r="16" spans="1:25" x14ac:dyDescent="0.25">
      <c r="A16">
        <v>15</v>
      </c>
      <c r="B16">
        <v>380423.7929</v>
      </c>
      <c r="C16" s="1">
        <v>-3.9999999999999998E-6</v>
      </c>
      <c r="D16">
        <v>729459.53590000002</v>
      </c>
      <c r="E16">
        <v>520.77401540000005</v>
      </c>
      <c r="F16">
        <v>1190614.932</v>
      </c>
      <c r="G16">
        <v>3998.4202059999998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-2.6744599076129996E-3</v>
      </c>
      <c r="M16" s="1">
        <f t="shared" si="2"/>
        <v>116780.01964416839</v>
      </c>
      <c r="N16" s="1">
        <f t="shared" si="3"/>
        <v>419518.72405505559</v>
      </c>
      <c r="O16" s="1"/>
      <c r="S16" s="2" t="str">
        <v>60 Min Log</v>
      </c>
      <c r="T16" s="6">
        <f>SUM(U16:X16)</f>
        <v>2512.5713916348236</v>
      </c>
      <c r="U16" s="7">
        <f>$V4*$Y$2*(SUM(G$374:G$390,G$395:G$399,G$409:G$418))/(SUM(F$374:F$390,F$395:F$399,F$409:F$418))</f>
        <v>937.64914491340551</v>
      </c>
      <c r="V16" s="7">
        <f>$V4*$Y$3*(SUM(G$352:G$377,G$391:G$394))/(SUM(F$352:F$377,F$391:F$394))</f>
        <v>1137.5137434708181</v>
      </c>
      <c r="W16" s="8">
        <f>V4*$Y$4*(SUM(G$419:G$479))/(SUM(F$419:F$479))</f>
        <v>35.657356523364989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401.75114672723504</v>
      </c>
    </row>
    <row r="17" spans="1:25" x14ac:dyDescent="0.25">
      <c r="A17">
        <v>16</v>
      </c>
      <c r="B17">
        <v>500344.1017</v>
      </c>
      <c r="C17" s="1">
        <v>-4.0199999999999996E-6</v>
      </c>
      <c r="D17">
        <v>888591.84479999996</v>
      </c>
      <c r="E17">
        <v>3802.7211430000002</v>
      </c>
      <c r="F17">
        <v>1299324.5079999999</v>
      </c>
      <c r="G17">
        <v>1286.671642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-3.4397928521574146E-3</v>
      </c>
      <c r="M17" s="1">
        <f t="shared" si="2"/>
        <v>1091299.2404912983</v>
      </c>
      <c r="N17" s="1">
        <f t="shared" si="3"/>
        <v>172766.99562073287</v>
      </c>
      <c r="O17" s="1"/>
    </row>
    <row r="18" spans="1:25" x14ac:dyDescent="0.25">
      <c r="A18">
        <v>17</v>
      </c>
      <c r="B18">
        <v>405817.66460000002</v>
      </c>
      <c r="C18" s="1">
        <v>3.4499999999999998E-5</v>
      </c>
      <c r="D18">
        <v>779015.06539999996</v>
      </c>
      <c r="E18">
        <v>3802.7211390000002</v>
      </c>
      <c r="F18">
        <v>1207419.095</v>
      </c>
      <c r="G18">
        <v>2222.6543630000001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4.5774605661846747E-2</v>
      </c>
      <c r="M18" s="1">
        <f t="shared" si="2"/>
        <v>1692166.6535729424</v>
      </c>
      <c r="N18" s="1">
        <f t="shared" si="3"/>
        <v>462769.00570205733</v>
      </c>
      <c r="O18" s="1"/>
      <c r="T18" cm="1">
        <f t="array" ref="T18:Y18">TRANSPOSE(T11:T16)</f>
        <v>6153.7661335320336</v>
      </c>
      <c r="U18">
        <v>21000.88501792667</v>
      </c>
      <c r="V18">
        <v>13283.334042582364</v>
      </c>
      <c r="W18">
        <v>2015.2448640594109</v>
      </c>
      <c r="X18">
        <v>4255.4880491567064</v>
      </c>
      <c r="Y18">
        <v>2512.5713916348236</v>
      </c>
    </row>
    <row r="19" spans="1:25" x14ac:dyDescent="0.25">
      <c r="A19">
        <v>18</v>
      </c>
      <c r="B19">
        <v>445777.7329</v>
      </c>
      <c r="C19" s="1">
        <v>-3.0499999999999999E-5</v>
      </c>
      <c r="D19">
        <v>828799.30909999995</v>
      </c>
      <c r="E19">
        <v>1316.9308470000001</v>
      </c>
      <c r="F19">
        <v>1258727.352</v>
      </c>
      <c r="G19">
        <v>4329.268419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-3.1323020621884877E-2</v>
      </c>
      <c r="M19" s="1">
        <f t="shared" si="2"/>
        <v>453596.71894288296</v>
      </c>
      <c r="N19" s="1">
        <f t="shared" si="3"/>
        <v>697694.22065741324</v>
      </c>
      <c r="O19" s="1"/>
    </row>
    <row r="20" spans="1:25" x14ac:dyDescent="0.25">
      <c r="A20">
        <v>19</v>
      </c>
      <c r="B20">
        <v>450878.02289999998</v>
      </c>
      <c r="C20" s="1">
        <v>4.0799999999999999E-6</v>
      </c>
      <c r="D20">
        <v>832070.60530000005</v>
      </c>
      <c r="E20">
        <v>1316.9307550000001</v>
      </c>
      <c r="F20">
        <v>1261316.0549999999</v>
      </c>
      <c r="G20">
        <v>5265.2511400000003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1.5688763405920798E-2</v>
      </c>
      <c r="M20" s="1">
        <f t="shared" si="2"/>
        <v>1698379.0641418898</v>
      </c>
      <c r="N20" s="1">
        <f t="shared" si="3"/>
        <v>3177126.1310851844</v>
      </c>
      <c r="O20" s="1"/>
    </row>
    <row r="21" spans="1:25" x14ac:dyDescent="0.25">
      <c r="A21">
        <v>20</v>
      </c>
      <c r="B21">
        <v>502288.82179999998</v>
      </c>
      <c r="C21">
        <v>0</v>
      </c>
      <c r="D21">
        <v>932607.06099999999</v>
      </c>
      <c r="E21">
        <v>3802.721223</v>
      </c>
      <c r="F21">
        <v>1315359.115</v>
      </c>
      <c r="G21">
        <v>2222.6543630000001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0</v>
      </c>
      <c r="M21" s="1">
        <f t="shared" si="2"/>
        <v>1151044.6238996419</v>
      </c>
      <c r="N21" s="1">
        <f t="shared" si="3"/>
        <v>314784.4588650259</v>
      </c>
      <c r="O21" s="1"/>
    </row>
    <row r="22" spans="1:25" x14ac:dyDescent="0.25">
      <c r="A22">
        <v>21</v>
      </c>
      <c r="B22">
        <v>541738.39029999997</v>
      </c>
      <c r="C22">
        <v>0</v>
      </c>
      <c r="D22">
        <v>967780.33840000001</v>
      </c>
      <c r="E22">
        <v>3157.228705</v>
      </c>
      <c r="F22">
        <v>1346300.28</v>
      </c>
      <c r="G22">
        <v>685.6113411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0</v>
      </c>
      <c r="M22" s="1">
        <f t="shared" si="2"/>
        <v>550037.17425616761</v>
      </c>
      <c r="N22" s="1">
        <f t="shared" si="3"/>
        <v>55886.597632748359</v>
      </c>
      <c r="O22" s="1"/>
    </row>
    <row r="23" spans="1:25" x14ac:dyDescent="0.25">
      <c r="A23">
        <v>22</v>
      </c>
      <c r="B23">
        <v>562585.60560000001</v>
      </c>
      <c r="C23" s="1">
        <v>-1.4399999999999999E-5</v>
      </c>
      <c r="D23">
        <v>1004964.159</v>
      </c>
      <c r="E23">
        <v>4489.7943329999998</v>
      </c>
      <c r="F23">
        <v>1408220.392</v>
      </c>
      <c r="G23">
        <v>0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-9.6029278549308004E-3</v>
      </c>
      <c r="M23" s="1">
        <f t="shared" si="2"/>
        <v>1004178.1294651923</v>
      </c>
      <c r="N23" s="1">
        <f t="shared" si="3"/>
        <v>0</v>
      </c>
      <c r="O23" s="1"/>
    </row>
    <row r="24" spans="1:25" x14ac:dyDescent="0.25">
      <c r="A24">
        <v>23</v>
      </c>
      <c r="B24">
        <v>564141.62809999997</v>
      </c>
      <c r="C24" s="1">
        <v>-2.8799999999999999E-5</v>
      </c>
      <c r="D24">
        <v>999994.98849999998</v>
      </c>
      <c r="E24">
        <v>3707.5686580000001</v>
      </c>
      <c r="F24">
        <v>1391814.067</v>
      </c>
      <c r="G24">
        <v>0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-2.246688673164E-2</v>
      </c>
      <c r="M24" s="1">
        <f t="shared" si="2"/>
        <v>970024.59772521735</v>
      </c>
      <c r="N24" s="1">
        <f t="shared" si="3"/>
        <v>0</v>
      </c>
      <c r="O24" s="1"/>
    </row>
    <row r="25" spans="1:25" x14ac:dyDescent="0.25">
      <c r="A25">
        <v>24</v>
      </c>
      <c r="B25">
        <v>498597.93070000003</v>
      </c>
      <c r="C25" s="1">
        <v>2.0000000000000002E-5</v>
      </c>
      <c r="D25">
        <v>914110.74549999996</v>
      </c>
      <c r="E25">
        <v>3615.0404880000001</v>
      </c>
      <c r="F25">
        <v>1321500.5060000001</v>
      </c>
      <c r="G25">
        <v>2222.6543630000001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8.2212878798050022E-3</v>
      </c>
      <c r="M25" s="1">
        <f t="shared" si="2"/>
        <v>498386.37720628682</v>
      </c>
      <c r="N25" s="1">
        <f t="shared" si="3"/>
        <v>143373.40771567813</v>
      </c>
      <c r="O25" s="1"/>
    </row>
    <row r="26" spans="1:25" x14ac:dyDescent="0.25">
      <c r="A26">
        <v>25</v>
      </c>
      <c r="B26">
        <v>560605.33940000006</v>
      </c>
      <c r="C26" s="1">
        <v>-3.4499999999999998E-5</v>
      </c>
      <c r="D26">
        <v>1019757.0060000001</v>
      </c>
      <c r="E26">
        <v>5569.9073399999997</v>
      </c>
      <c r="F26">
        <v>1429100.459</v>
      </c>
      <c r="G26">
        <v>685.6113411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-1.1203361468197762E-2</v>
      </c>
      <c r="M26" s="1">
        <f t="shared" si="2"/>
        <v>606625.07869862032</v>
      </c>
      <c r="N26" s="1">
        <f t="shared" si="3"/>
        <v>34937.679887000741</v>
      </c>
      <c r="O26" s="1"/>
    </row>
    <row r="27" spans="1:25" x14ac:dyDescent="0.25">
      <c r="A27">
        <v>26</v>
      </c>
      <c r="B27">
        <v>634663.14879999997</v>
      </c>
      <c r="C27" s="1">
        <v>1.03E-5</v>
      </c>
      <c r="D27">
        <v>1095423.182</v>
      </c>
      <c r="E27">
        <v>5318.2880459999997</v>
      </c>
      <c r="F27">
        <v>1509892.3740000001</v>
      </c>
      <c r="G27">
        <v>0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9.1381179888878755E-3</v>
      </c>
      <c r="M27" s="1">
        <f t="shared" si="2"/>
        <v>1582466.5150987764</v>
      </c>
      <c r="N27" s="1">
        <f t="shared" si="3"/>
        <v>0</v>
      </c>
      <c r="O27" s="1"/>
    </row>
    <row r="28" spans="1:25" x14ac:dyDescent="0.25">
      <c r="A28">
        <v>27</v>
      </c>
      <c r="B28">
        <v>555934.62650000001</v>
      </c>
      <c r="C28" s="1">
        <v>-3.2499999999999997E-5</v>
      </c>
      <c r="D28">
        <v>1002145.927</v>
      </c>
      <c r="E28">
        <v>4696.323085</v>
      </c>
      <c r="F28">
        <v>1439892.5109999999</v>
      </c>
      <c r="G28">
        <v>2459.7820780000002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-7.6363047949475626E-3</v>
      </c>
      <c r="M28" s="1">
        <f t="shared" si="2"/>
        <v>370084.58600656275</v>
      </c>
      <c r="N28" s="1">
        <f t="shared" si="3"/>
        <v>90694.999243988786</v>
      </c>
      <c r="O28" s="1"/>
    </row>
    <row r="29" spans="1:25" x14ac:dyDescent="0.25">
      <c r="A29">
        <v>28</v>
      </c>
      <c r="B29">
        <v>568716.83239999996</v>
      </c>
      <c r="C29" s="1">
        <v>2.3099999999999999E-5</v>
      </c>
      <c r="D29">
        <v>1028686.291</v>
      </c>
      <c r="E29">
        <v>4696.323085</v>
      </c>
      <c r="F29">
        <v>1452619.673</v>
      </c>
      <c r="G29">
        <v>1523.7993570000001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7.0432873202116433E-3</v>
      </c>
      <c r="M29" s="1">
        <f t="shared" si="2"/>
        <v>480246.85436504189</v>
      </c>
      <c r="N29" s="1">
        <f t="shared" si="3"/>
        <v>72908.477012979361</v>
      </c>
      <c r="O29" s="1"/>
    </row>
    <row r="30" spans="1:25" x14ac:dyDescent="0.25">
      <c r="A30">
        <v>29</v>
      </c>
      <c r="B30">
        <v>603337.15549999999</v>
      </c>
      <c r="C30" s="1">
        <v>-2.8600000000000001E-5</v>
      </c>
      <c r="D30">
        <v>1089846.081</v>
      </c>
      <c r="E30">
        <v>4392.2208010000004</v>
      </c>
      <c r="F30">
        <v>1497092.192</v>
      </c>
      <c r="G30">
        <v>0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-1.113108806732065E-2</v>
      </c>
      <c r="M30" s="1">
        <f t="shared" si="2"/>
        <v>573322.36940594972</v>
      </c>
      <c r="N30" s="1">
        <f t="shared" si="3"/>
        <v>0</v>
      </c>
      <c r="O30" s="1"/>
    </row>
    <row r="31" spans="1:25" x14ac:dyDescent="0.25">
      <c r="A31">
        <v>30</v>
      </c>
      <c r="B31">
        <v>575646.05630000005</v>
      </c>
      <c r="C31" s="1">
        <v>-3.6000000000000001E-5</v>
      </c>
      <c r="D31">
        <v>1050928.7930000001</v>
      </c>
      <c r="E31">
        <v>4489.7943329999998</v>
      </c>
      <c r="F31">
        <v>1459115.736</v>
      </c>
      <c r="G31">
        <v>331.42921569999999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-3.7545672723507E-2</v>
      </c>
      <c r="M31" s="1">
        <f t="shared" si="2"/>
        <v>1570460.3418693598</v>
      </c>
      <c r="N31" s="1">
        <f t="shared" si="3"/>
        <v>54241.912482711217</v>
      </c>
      <c r="O31" s="1"/>
    </row>
    <row r="32" spans="1:25" x14ac:dyDescent="0.25">
      <c r="A32">
        <v>31</v>
      </c>
      <c r="B32">
        <v>586446.74959999998</v>
      </c>
      <c r="C32" s="1">
        <v>3.7200000000000003E-5</v>
      </c>
      <c r="D32">
        <v>1064238.3489999999</v>
      </c>
      <c r="E32">
        <v>3707.5686580000001</v>
      </c>
      <c r="F32">
        <v>1451409.389</v>
      </c>
      <c r="G32">
        <v>0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3.5080208974406703E-2</v>
      </c>
      <c r="M32" s="1">
        <f t="shared" si="2"/>
        <v>1172604.5393504109</v>
      </c>
      <c r="N32" s="1">
        <f t="shared" si="3"/>
        <v>0</v>
      </c>
      <c r="O32" s="1"/>
    </row>
    <row r="33" spans="1:15" x14ac:dyDescent="0.25">
      <c r="A33">
        <v>32</v>
      </c>
      <c r="B33">
        <v>598863.00379999995</v>
      </c>
      <c r="C33">
        <v>0</v>
      </c>
      <c r="D33">
        <v>1070569.9509999999</v>
      </c>
      <c r="E33">
        <v>4824.2378879999997</v>
      </c>
      <c r="F33">
        <v>1475724.1059999999</v>
      </c>
      <c r="G33">
        <v>0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0</v>
      </c>
      <c r="M33" s="1">
        <f t="shared" si="2"/>
        <v>667584.7963185549</v>
      </c>
      <c r="N33" s="1">
        <f t="shared" si="3"/>
        <v>0</v>
      </c>
      <c r="O33" s="1"/>
    </row>
    <row r="34" spans="1:15" x14ac:dyDescent="0.25">
      <c r="A34">
        <v>33</v>
      </c>
      <c r="B34">
        <v>601496.34459999995</v>
      </c>
      <c r="C34" s="1">
        <v>2.55E-5</v>
      </c>
      <c r="D34">
        <v>1058122.304</v>
      </c>
      <c r="E34">
        <v>4871.8089200000004</v>
      </c>
      <c r="F34">
        <v>1434478.459</v>
      </c>
      <c r="G34">
        <v>0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1.0866562470226127E-2</v>
      </c>
      <c r="M34" s="1">
        <f t="shared" si="2"/>
        <v>696282.34581817815</v>
      </c>
      <c r="N34" s="1">
        <f t="shared" si="3"/>
        <v>0</v>
      </c>
      <c r="O34" s="1"/>
    </row>
    <row r="35" spans="1:15" x14ac:dyDescent="0.25">
      <c r="A35">
        <v>34</v>
      </c>
      <c r="B35">
        <v>599859.0514</v>
      </c>
      <c r="C35" s="1">
        <v>-1.5400000000000001E-6</v>
      </c>
      <c r="D35">
        <v>1055031.0719999999</v>
      </c>
      <c r="E35">
        <v>4871.8089200000004</v>
      </c>
      <c r="F35">
        <v>1425782.25</v>
      </c>
      <c r="G35">
        <v>0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-7.0393435392280006E-4</v>
      </c>
      <c r="M35" s="1">
        <f t="shared" si="2"/>
        <v>746869.66919954692</v>
      </c>
      <c r="N35" s="1">
        <f t="shared" si="3"/>
        <v>0</v>
      </c>
      <c r="O35" s="1"/>
    </row>
    <row r="36" spans="1:15" x14ac:dyDescent="0.25">
      <c r="A36">
        <v>35</v>
      </c>
      <c r="B36">
        <v>468243.08049999998</v>
      </c>
      <c r="C36" s="1">
        <v>-3.7200000000000003E-5</v>
      </c>
      <c r="D36">
        <v>851644.01229999994</v>
      </c>
      <c r="E36">
        <v>4977.1291190000002</v>
      </c>
      <c r="F36">
        <v>1265153.023</v>
      </c>
      <c r="G36">
        <v>1831.7478550000001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-0.52186552646572504</v>
      </c>
      <c r="M36" s="1">
        <f t="shared" si="2"/>
        <v>23417348.202585272</v>
      </c>
      <c r="N36" s="1">
        <f t="shared" si="3"/>
        <v>4032442.4312492898</v>
      </c>
      <c r="O36" s="1"/>
    </row>
    <row r="37" spans="1:15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3261.0895329999998</v>
      </c>
      <c r="F37">
        <v>1484167.2609999999</v>
      </c>
      <c r="G37">
        <v>935.98272069999996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469082.76192758552</v>
      </c>
      <c r="M37" s="1">
        <f t="shared" si="2"/>
        <v>709148.68328259652</v>
      </c>
      <c r="N37" s="1">
        <f t="shared" si="3"/>
        <v>95232.697874538702</v>
      </c>
      <c r="O37" s="1"/>
    </row>
    <row r="38" spans="1:15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5308.0123149999999</v>
      </c>
      <c r="F38">
        <v>1533520.737</v>
      </c>
      <c r="G38">
        <v>935.98272069999996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2893236.5504314178</v>
      </c>
      <c r="M38" s="1">
        <f t="shared" si="2"/>
        <v>742122.17197934992</v>
      </c>
      <c r="N38" s="1">
        <f t="shared" si="3"/>
        <v>61228.69378617288</v>
      </c>
      <c r="O38" s="1"/>
    </row>
    <row r="39" spans="1:15" x14ac:dyDescent="0.25">
      <c r="A39">
        <v>38</v>
      </c>
      <c r="B39">
        <v>631246.86849999998</v>
      </c>
      <c r="C39" s="1">
        <v>-1.49E-5</v>
      </c>
      <c r="D39">
        <v>1093682.8230000001</v>
      </c>
      <c r="E39">
        <v>4824.2378879999997</v>
      </c>
      <c r="F39">
        <v>1543904.906</v>
      </c>
      <c r="G39">
        <v>0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-3.6946155540072026E-3</v>
      </c>
      <c r="M39" s="1">
        <f t="shared" si="2"/>
        <v>401194.37744113297</v>
      </c>
      <c r="N39" s="1">
        <f t="shared" si="3"/>
        <v>0</v>
      </c>
      <c r="O39" s="1"/>
    </row>
    <row r="40" spans="1:15" x14ac:dyDescent="0.25">
      <c r="A40">
        <v>39</v>
      </c>
      <c r="B40">
        <v>634500.60600000003</v>
      </c>
      <c r="C40" s="1">
        <v>-4.3100000000000002E-6</v>
      </c>
      <c r="D40">
        <v>1110085.9909999999</v>
      </c>
      <c r="E40">
        <v>5308.0123149999999</v>
      </c>
      <c r="F40">
        <v>1546883.1910000001</v>
      </c>
      <c r="G40">
        <v>0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-2.7301918449504077E-3</v>
      </c>
      <c r="M40" s="1">
        <f t="shared" si="2"/>
        <v>1127693.1793315848</v>
      </c>
      <c r="N40" s="1">
        <f t="shared" si="3"/>
        <v>0</v>
      </c>
      <c r="O40" s="1"/>
    </row>
    <row r="41" spans="1:15" x14ac:dyDescent="0.25">
      <c r="A41">
        <v>40</v>
      </c>
      <c r="B41">
        <v>654875.77229999995</v>
      </c>
      <c r="C41" s="1">
        <v>-4.6799999999999999E-5</v>
      </c>
      <c r="D41">
        <v>1143140.983</v>
      </c>
      <c r="E41">
        <v>4824.2378879999997</v>
      </c>
      <c r="F41">
        <v>1548153.882</v>
      </c>
      <c r="G41">
        <v>0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-2.2165000465502703E-2</v>
      </c>
      <c r="M41" s="1">
        <f t="shared" si="2"/>
        <v>766291.03343987616</v>
      </c>
      <c r="N41" s="1">
        <f t="shared" si="3"/>
        <v>0</v>
      </c>
      <c r="O41" s="1"/>
    </row>
    <row r="42" spans="1:15" x14ac:dyDescent="0.25">
      <c r="A42">
        <v>41</v>
      </c>
      <c r="B42">
        <v>625705.83499999996</v>
      </c>
      <c r="C42" s="1">
        <v>-8.5399999999999996E-6</v>
      </c>
      <c r="D42">
        <v>1120140.4790000001</v>
      </c>
      <c r="E42">
        <v>4824.2378879999997</v>
      </c>
      <c r="F42">
        <v>1520121.632</v>
      </c>
      <c r="G42">
        <v>0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-1.9835990377557898E-3</v>
      </c>
      <c r="M42" s="1">
        <f t="shared" si="2"/>
        <v>375809.60041328007</v>
      </c>
      <c r="N42" s="1">
        <f t="shared" si="3"/>
        <v>0</v>
      </c>
      <c r="O42" s="1"/>
    </row>
    <row r="43" spans="1:15" x14ac:dyDescent="0.25">
      <c r="A43">
        <v>42</v>
      </c>
      <c r="B43">
        <v>623032.63529999997</v>
      </c>
      <c r="C43" s="1">
        <v>2.5899999999999999E-5</v>
      </c>
      <c r="D43">
        <v>1103878.1680000001</v>
      </c>
      <c r="E43">
        <v>4824.2378879999997</v>
      </c>
      <c r="F43">
        <v>1498892.7919999999</v>
      </c>
      <c r="G43">
        <v>0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5.35162714483215E-3</v>
      </c>
      <c r="M43" s="1">
        <f t="shared" si="2"/>
        <v>334316.59582605155</v>
      </c>
      <c r="N43" s="1">
        <f t="shared" si="3"/>
        <v>0</v>
      </c>
      <c r="O43" s="1"/>
    </row>
    <row r="44" spans="1:15" x14ac:dyDescent="0.25">
      <c r="A44">
        <v>43</v>
      </c>
      <c r="B44">
        <v>613221.04539999994</v>
      </c>
      <c r="C44">
        <v>520.77397029999997</v>
      </c>
      <c r="D44">
        <v>1094689.42</v>
      </c>
      <c r="E44">
        <v>5308.4177229999996</v>
      </c>
      <c r="F44">
        <v>1477008.7290000001</v>
      </c>
      <c r="G44">
        <v>0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108299.90647207141</v>
      </c>
      <c r="M44" s="1">
        <f t="shared" si="2"/>
        <v>370243.15671892505</v>
      </c>
      <c r="N44" s="1">
        <f t="shared" si="3"/>
        <v>0</v>
      </c>
      <c r="O44" s="1"/>
    </row>
    <row r="45" spans="1:15" x14ac:dyDescent="0.25">
      <c r="A45">
        <v>44</v>
      </c>
      <c r="B45">
        <v>623289.37150000001</v>
      </c>
      <c r="C45">
        <v>520.77398670000002</v>
      </c>
      <c r="D45">
        <v>1093018.0379999999</v>
      </c>
      <c r="E45">
        <v>4895.9524430000001</v>
      </c>
      <c r="F45">
        <v>1473073.023</v>
      </c>
      <c r="G45">
        <v>0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196715.22093646057</v>
      </c>
      <c r="M45" s="1">
        <f t="shared" si="2"/>
        <v>620253.19491391163</v>
      </c>
      <c r="N45" s="1">
        <f t="shared" si="3"/>
        <v>0</v>
      </c>
      <c r="O45" s="1"/>
    </row>
    <row r="46" spans="1:15" x14ac:dyDescent="0.25">
      <c r="A46">
        <v>45</v>
      </c>
      <c r="B46">
        <v>623978.84829999995</v>
      </c>
      <c r="C46">
        <v>520.7739732</v>
      </c>
      <c r="D46">
        <v>1081143.4010000001</v>
      </c>
      <c r="E46">
        <v>4214.082977</v>
      </c>
      <c r="F46">
        <v>1448935.466</v>
      </c>
      <c r="G46">
        <v>0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375468.94785449293</v>
      </c>
      <c r="M46" s="1">
        <f t="shared" si="2"/>
        <v>1018992.4685706442</v>
      </c>
      <c r="N46" s="1">
        <f t="shared" si="3"/>
        <v>0</v>
      </c>
      <c r="O46" s="1"/>
    </row>
    <row r="47" spans="1:15" x14ac:dyDescent="0.25">
      <c r="A47">
        <v>46</v>
      </c>
      <c r="B47">
        <v>683647.95279999997</v>
      </c>
      <c r="C47" s="1">
        <v>2.6699999999999998E-5</v>
      </c>
      <c r="D47">
        <v>1142893.0830000001</v>
      </c>
      <c r="E47">
        <v>4377.7587629999998</v>
      </c>
      <c r="F47">
        <v>1571932.2890000001</v>
      </c>
      <c r="G47">
        <v>0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5.318970350610735E-3</v>
      </c>
      <c r="M47" s="1">
        <f t="shared" si="2"/>
        <v>292490.16742322588</v>
      </c>
      <c r="N47" s="1">
        <f t="shared" si="3"/>
        <v>0</v>
      </c>
      <c r="O47" s="1"/>
    </row>
    <row r="48" spans="1:15" x14ac:dyDescent="0.25">
      <c r="A48">
        <v>47</v>
      </c>
      <c r="B48">
        <v>706893.60699999996</v>
      </c>
      <c r="C48" s="1">
        <v>-3.93E-5</v>
      </c>
      <c r="D48">
        <v>1181617.9180000001</v>
      </c>
      <c r="E48">
        <v>4377.7587629999998</v>
      </c>
      <c r="F48">
        <v>1576696.86</v>
      </c>
      <c r="G48">
        <v>0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-1.7738447311179076E-2</v>
      </c>
      <c r="M48" s="1">
        <f t="shared" si="2"/>
        <v>662701.59360184381</v>
      </c>
      <c r="N48" s="1">
        <f t="shared" si="3"/>
        <v>0</v>
      </c>
      <c r="O48" s="1"/>
    </row>
    <row r="49" spans="1:15" x14ac:dyDescent="0.25">
      <c r="A49">
        <v>48</v>
      </c>
      <c r="B49">
        <v>683325.00210000004</v>
      </c>
      <c r="C49" s="1">
        <v>4.8199999999999999E-5</v>
      </c>
      <c r="D49">
        <v>1178616.9280000001</v>
      </c>
      <c r="E49">
        <v>4377.7587629999998</v>
      </c>
      <c r="F49">
        <v>1583613.334</v>
      </c>
      <c r="G49">
        <v>0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2.0990987620543199E-2</v>
      </c>
      <c r="M49" s="1">
        <f t="shared" si="2"/>
        <v>639412.02170344524</v>
      </c>
      <c r="N49" s="1">
        <f t="shared" si="3"/>
        <v>0</v>
      </c>
      <c r="O49" s="1"/>
    </row>
    <row r="50" spans="1:15" x14ac:dyDescent="0.25">
      <c r="A50">
        <v>49</v>
      </c>
      <c r="B50">
        <v>640322.72990000003</v>
      </c>
      <c r="C50">
        <v>520.77394619999995</v>
      </c>
      <c r="D50">
        <v>1134765.5319999999</v>
      </c>
      <c r="E50">
        <v>6012.6216729999996</v>
      </c>
      <c r="F50">
        <v>1534006.2720000001</v>
      </c>
      <c r="G50">
        <v>0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219649.12345596403</v>
      </c>
      <c r="M50" s="1">
        <f t="shared" si="2"/>
        <v>850525.30749310262</v>
      </c>
      <c r="N50" s="1">
        <f t="shared" si="3"/>
        <v>0</v>
      </c>
      <c r="O50" s="1"/>
    </row>
    <row r="51" spans="1:15" x14ac:dyDescent="0.25">
      <c r="A51">
        <v>50</v>
      </c>
      <c r="B51">
        <v>646642.72640000004</v>
      </c>
      <c r="C51">
        <v>968.08062280000001</v>
      </c>
      <c r="D51">
        <v>1141586.9539999999</v>
      </c>
      <c r="E51">
        <v>3904.5555650000001</v>
      </c>
      <c r="F51">
        <v>1537749.9469999999</v>
      </c>
      <c r="G51">
        <v>0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526980.17922958918</v>
      </c>
      <c r="M51" s="1">
        <f t="shared" si="2"/>
        <v>712848.92342307582</v>
      </c>
      <c r="N51" s="1">
        <f t="shared" si="3"/>
        <v>0</v>
      </c>
      <c r="O51" s="1"/>
    </row>
    <row r="52" spans="1:15" x14ac:dyDescent="0.25">
      <c r="A52">
        <v>51</v>
      </c>
      <c r="B52">
        <v>636716.86620000005</v>
      </c>
      <c r="C52">
        <v>968.08061780000003</v>
      </c>
      <c r="D52">
        <v>1129001.483</v>
      </c>
      <c r="E52">
        <v>3904.5555650000001</v>
      </c>
      <c r="F52">
        <v>1523933.8089999999</v>
      </c>
      <c r="G52">
        <v>0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401037.76202465862</v>
      </c>
      <c r="M52" s="1">
        <f t="shared" si="2"/>
        <v>542485.94094324601</v>
      </c>
      <c r="N52" s="1">
        <f t="shared" si="3"/>
        <v>0</v>
      </c>
      <c r="O52" s="1"/>
    </row>
    <row r="53" spans="1:15" x14ac:dyDescent="0.25">
      <c r="A53">
        <v>52</v>
      </c>
      <c r="B53">
        <v>654341.81259999995</v>
      </c>
      <c r="C53">
        <v>2389.7068140000001</v>
      </c>
      <c r="D53">
        <v>1145072.1640000001</v>
      </c>
      <c r="E53">
        <v>2381.118418</v>
      </c>
      <c r="F53">
        <v>1535235.7139999999</v>
      </c>
      <c r="G53">
        <v>0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1183213.3636488891</v>
      </c>
      <c r="M53" s="1">
        <f t="shared" si="2"/>
        <v>395405.38118308526</v>
      </c>
      <c r="N53" s="1">
        <f t="shared" si="3"/>
        <v>0</v>
      </c>
      <c r="O53" s="1"/>
    </row>
    <row r="54" spans="1:15" x14ac:dyDescent="0.25">
      <c r="A54">
        <v>53</v>
      </c>
      <c r="B54">
        <v>558219.8077</v>
      </c>
      <c r="C54" s="1">
        <v>-1.0699999999999999E-5</v>
      </c>
      <c r="D54">
        <v>989736.83609999996</v>
      </c>
      <c r="E54">
        <v>4095.9264410000001</v>
      </c>
      <c r="F54">
        <v>1433753.9809999999</v>
      </c>
      <c r="G54">
        <v>2222.6543630000001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-1.0096072549815524E-2</v>
      </c>
      <c r="M54" s="1">
        <f t="shared" si="2"/>
        <v>1296175.9842610389</v>
      </c>
      <c r="N54" s="1">
        <f t="shared" si="3"/>
        <v>329099.659181197</v>
      </c>
      <c r="O54" s="1"/>
    </row>
    <row r="55" spans="1:15" x14ac:dyDescent="0.25">
      <c r="A55">
        <v>54</v>
      </c>
      <c r="B55">
        <v>657888.67310000001</v>
      </c>
      <c r="C55" s="1">
        <v>-4.9599999999999999E-5</v>
      </c>
      <c r="D55">
        <v>1119389.7080000001</v>
      </c>
      <c r="E55">
        <v>4824.2378879999997</v>
      </c>
      <c r="F55">
        <v>1545799.1869999999</v>
      </c>
      <c r="G55">
        <v>935.98272069999996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-2.7596158378110403E-2</v>
      </c>
      <c r="M55" s="1">
        <f t="shared" si="2"/>
        <v>900199.57669920858</v>
      </c>
      <c r="N55" s="1">
        <f t="shared" si="3"/>
        <v>81718.728125322916</v>
      </c>
      <c r="O55" s="1"/>
    </row>
    <row r="56" spans="1:15" x14ac:dyDescent="0.25">
      <c r="A56">
        <v>55</v>
      </c>
      <c r="B56">
        <v>667430.5675</v>
      </c>
      <c r="C56" s="1">
        <v>-1.4E-5</v>
      </c>
      <c r="D56">
        <v>1144125.638</v>
      </c>
      <c r="E56">
        <v>4377.7587629999998</v>
      </c>
      <c r="F56">
        <v>1567041.3</v>
      </c>
      <c r="G56">
        <v>0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-4.9808994075750002E-3</v>
      </c>
      <c r="M56" s="1">
        <f t="shared" si="2"/>
        <v>522365.7554231853</v>
      </c>
      <c r="N56" s="1">
        <f t="shared" si="3"/>
        <v>0</v>
      </c>
      <c r="O56" s="1"/>
    </row>
    <row r="57" spans="1:15" x14ac:dyDescent="0.25">
      <c r="A57">
        <v>56</v>
      </c>
      <c r="B57">
        <v>703969.06350000005</v>
      </c>
      <c r="C57">
        <v>520.774001</v>
      </c>
      <c r="D57">
        <v>1151677.375</v>
      </c>
      <c r="E57">
        <v>6012.6216729999996</v>
      </c>
      <c r="F57">
        <v>1574381.389</v>
      </c>
      <c r="G57">
        <v>0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210063.24184040935</v>
      </c>
      <c r="M57" s="1">
        <f t="shared" si="2"/>
        <v>813406.77234556456</v>
      </c>
      <c r="N57" s="1">
        <f t="shared" si="3"/>
        <v>0</v>
      </c>
      <c r="O57" s="1"/>
    </row>
    <row r="58" spans="1:15" x14ac:dyDescent="0.25">
      <c r="A58">
        <v>57</v>
      </c>
      <c r="B58">
        <v>716864.38890000002</v>
      </c>
      <c r="C58">
        <v>520.77398419999997</v>
      </c>
      <c r="D58">
        <v>1185634.0719999999</v>
      </c>
      <c r="E58">
        <v>6012.6216729999996</v>
      </c>
      <c r="F58">
        <v>1577632.6470000001</v>
      </c>
      <c r="G58">
        <v>0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509491.43098005984</v>
      </c>
      <c r="M58" s="1">
        <f t="shared" si="2"/>
        <v>1972852.5093183087</v>
      </c>
      <c r="N58" s="1">
        <f t="shared" si="3"/>
        <v>0</v>
      </c>
      <c r="O58" s="1"/>
    </row>
    <row r="59" spans="1:15" x14ac:dyDescent="0.25">
      <c r="A59">
        <v>58</v>
      </c>
      <c r="B59">
        <v>686818.17420000001</v>
      </c>
      <c r="C59">
        <v>520.7739517</v>
      </c>
      <c r="D59">
        <v>1169405.317</v>
      </c>
      <c r="E59">
        <v>6012.6216729999996</v>
      </c>
      <c r="F59">
        <v>1569909.8959999999</v>
      </c>
      <c r="G59">
        <v>0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367173.32025935419</v>
      </c>
      <c r="M59" s="1">
        <f t="shared" si="2"/>
        <v>1421768.4682966608</v>
      </c>
      <c r="N59" s="1">
        <f t="shared" si="3"/>
        <v>0</v>
      </c>
      <c r="O59" s="1"/>
    </row>
    <row r="60" spans="1:15" x14ac:dyDescent="0.25">
      <c r="A60">
        <v>59</v>
      </c>
      <c r="B60">
        <v>656568.69330000004</v>
      </c>
      <c r="C60">
        <v>2389.7068060000001</v>
      </c>
      <c r="D60">
        <v>1144579.612</v>
      </c>
      <c r="E60">
        <v>2381.118418</v>
      </c>
      <c r="F60">
        <v>1547928.307</v>
      </c>
      <c r="G60">
        <v>0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805081.79053056636</v>
      </c>
      <c r="M60" s="1">
        <f t="shared" si="2"/>
        <v>269041.64803571778</v>
      </c>
      <c r="N60" s="1">
        <f t="shared" si="3"/>
        <v>0</v>
      </c>
      <c r="O60" s="1"/>
    </row>
    <row r="61" spans="1:15" x14ac:dyDescent="0.25">
      <c r="A61">
        <v>60</v>
      </c>
      <c r="B61">
        <v>659034.6986</v>
      </c>
      <c r="C61" s="1">
        <v>-2.4700000000000001E-5</v>
      </c>
      <c r="D61">
        <v>1077264.7660000001</v>
      </c>
      <c r="E61">
        <v>3707.5686580000001</v>
      </c>
      <c r="F61">
        <v>1464171.1089999999</v>
      </c>
      <c r="G61">
        <v>935.98272069999996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-8.6826517268825763E-3</v>
      </c>
      <c r="M61" s="1">
        <f t="shared" si="2"/>
        <v>437107.00564188301</v>
      </c>
      <c r="N61" s="1">
        <f t="shared" si="3"/>
        <v>51630.945038570339</v>
      </c>
      <c r="O61" s="1"/>
    </row>
    <row r="62" spans="1:15" x14ac:dyDescent="0.25">
      <c r="A62">
        <v>61</v>
      </c>
      <c r="B62">
        <v>680583.82539999997</v>
      </c>
      <c r="C62">
        <v>2864.0715100000002</v>
      </c>
      <c r="D62">
        <v>1147397.125</v>
      </c>
      <c r="E62">
        <v>2222.6543630000001</v>
      </c>
      <c r="F62">
        <v>1531584.226</v>
      </c>
      <c r="G62">
        <v>0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891117.11381307594</v>
      </c>
      <c r="M62" s="1">
        <f t="shared" si="2"/>
        <v>231934.84295767514</v>
      </c>
      <c r="N62" s="1">
        <f t="shared" si="3"/>
        <v>0</v>
      </c>
      <c r="O62" s="1"/>
    </row>
    <row r="63" spans="1:15" x14ac:dyDescent="0.25">
      <c r="A63">
        <v>62</v>
      </c>
      <c r="B63">
        <v>655803.60019999999</v>
      </c>
      <c r="C63">
        <v>3407.7666760000002</v>
      </c>
      <c r="D63">
        <v>1136514.3940000001</v>
      </c>
      <c r="E63">
        <v>2222.6543630000001</v>
      </c>
      <c r="F63">
        <v>1523551.2109999999</v>
      </c>
      <c r="G63">
        <v>0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1558000.7462833475</v>
      </c>
      <c r="M63" s="1">
        <f t="shared" si="2"/>
        <v>340810.43137613189</v>
      </c>
      <c r="N63" s="1">
        <f t="shared" si="3"/>
        <v>0</v>
      </c>
      <c r="O63" s="1"/>
    </row>
    <row r="64" spans="1:15" x14ac:dyDescent="0.25">
      <c r="A64">
        <v>63</v>
      </c>
      <c r="B64">
        <v>665915.45920000004</v>
      </c>
      <c r="C64">
        <v>2784.6612190000001</v>
      </c>
      <c r="D64">
        <v>1111753.7879999999</v>
      </c>
      <c r="E64">
        <v>2823.0509809999999</v>
      </c>
      <c r="F64">
        <v>1494529.0360000001</v>
      </c>
      <c r="G64">
        <v>0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6224697.242162481</v>
      </c>
      <c r="M64" s="1">
        <f t="shared" si="2"/>
        <v>2116448.5939293676</v>
      </c>
      <c r="N64" s="1">
        <f t="shared" si="3"/>
        <v>0</v>
      </c>
      <c r="O64" s="1"/>
    </row>
    <row r="65" spans="1:15" x14ac:dyDescent="0.25">
      <c r="A65">
        <v>64</v>
      </c>
      <c r="B65">
        <v>279396.8028</v>
      </c>
      <c r="C65" s="1">
        <v>-3.8399999999999998E-5</v>
      </c>
      <c r="D65">
        <v>633036.03060000006</v>
      </c>
      <c r="E65">
        <v>1316.930797</v>
      </c>
      <c r="F65">
        <v>1100057.0819999999</v>
      </c>
      <c r="G65">
        <v>4329.268419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-0.17912781452592</v>
      </c>
      <c r="M65" s="1">
        <f t="shared" si="2"/>
        <v>2060335.2543898392</v>
      </c>
      <c r="N65" s="1">
        <f t="shared" si="3"/>
        <v>3169079.4799654894</v>
      </c>
      <c r="O65" s="1"/>
    </row>
    <row r="66" spans="1:15" x14ac:dyDescent="0.25">
      <c r="A66">
        <v>65</v>
      </c>
      <c r="B66">
        <v>532611.43290000001</v>
      </c>
      <c r="C66" s="1">
        <v>-4.2599999999999999E-5</v>
      </c>
      <c r="D66">
        <v>938933.34239999996</v>
      </c>
      <c r="E66">
        <v>3384.8455410000001</v>
      </c>
      <c r="F66">
        <v>1367756.4140000001</v>
      </c>
      <c r="G66">
        <v>2222.6543630000001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-1.9930493308016849E-2</v>
      </c>
      <c r="M66" s="1">
        <f t="shared" si="2"/>
        <v>531117.2923791447</v>
      </c>
      <c r="N66" s="1">
        <f t="shared" si="3"/>
        <v>163180.10063547158</v>
      </c>
      <c r="O66" s="1"/>
    </row>
    <row r="67" spans="1:15" x14ac:dyDescent="0.25">
      <c r="A67">
        <v>66</v>
      </c>
      <c r="B67">
        <v>553286.84589999996</v>
      </c>
      <c r="C67" s="1">
        <v>2.8E-5</v>
      </c>
      <c r="D67">
        <v>975253.5638</v>
      </c>
      <c r="E67">
        <v>4977.1291520000004</v>
      </c>
      <c r="F67">
        <v>1406559.6259999999</v>
      </c>
      <c r="G67">
        <v>2459.7820780000002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1.4992788669131002E-2</v>
      </c>
      <c r="M67" s="1">
        <f t="shared" ref="M67:M130" si="7">$U$3*$K67*E67</f>
        <v>893812.52367965761</v>
      </c>
      <c r="N67" s="1">
        <f t="shared" ref="N67:N130" si="8">$U$4*$K67*G67</f>
        <v>206684.46552154567</v>
      </c>
      <c r="O67" s="1"/>
    </row>
    <row r="68" spans="1:15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4489.7943329999998</v>
      </c>
      <c r="F68">
        <v>1474977.254</v>
      </c>
      <c r="G68">
        <v>935.98272069999996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2542438.2990200603</v>
      </c>
      <c r="M68" s="1">
        <f t="shared" si="7"/>
        <v>975153.7013446209</v>
      </c>
      <c r="N68" s="1">
        <f t="shared" si="8"/>
        <v>95116.998106617553</v>
      </c>
      <c r="O68" s="1"/>
    </row>
    <row r="69" spans="1:15" x14ac:dyDescent="0.25">
      <c r="A69">
        <v>68</v>
      </c>
      <c r="B69">
        <v>624702.1311</v>
      </c>
      <c r="C69">
        <v>6940.3855270000004</v>
      </c>
      <c r="D69">
        <v>1095124.871</v>
      </c>
      <c r="E69">
        <v>5308.0123149999999</v>
      </c>
      <c r="F69">
        <v>1511831.5460000001</v>
      </c>
      <c r="G69">
        <v>935.98272069999996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3187171.0340079055</v>
      </c>
      <c r="M69" s="1">
        <f t="shared" si="7"/>
        <v>817517.07643308619</v>
      </c>
      <c r="N69" s="1">
        <f t="shared" si="8"/>
        <v>67449.140623818414</v>
      </c>
      <c r="O69" s="1"/>
    </row>
    <row r="70" spans="1:15" x14ac:dyDescent="0.25">
      <c r="A70">
        <v>69</v>
      </c>
      <c r="B70">
        <v>649439.59880000004</v>
      </c>
      <c r="C70" s="1">
        <v>-3.26E-5</v>
      </c>
      <c r="D70">
        <v>1110700.0260000001</v>
      </c>
      <c r="E70">
        <v>4824.2378879999997</v>
      </c>
      <c r="F70">
        <v>1540817.6769999999</v>
      </c>
      <c r="G70">
        <v>0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-8.6569992980286385E-3</v>
      </c>
      <c r="M70" s="1">
        <f t="shared" si="7"/>
        <v>429656.74535944965</v>
      </c>
      <c r="N70" s="1">
        <f t="shared" si="8"/>
        <v>0</v>
      </c>
      <c r="O70" s="1"/>
    </row>
    <row r="71" spans="1:15" x14ac:dyDescent="0.25">
      <c r="A71">
        <v>70</v>
      </c>
      <c r="B71">
        <v>618703.35389999999</v>
      </c>
      <c r="C71">
        <v>6940.385518</v>
      </c>
      <c r="D71">
        <v>1085522.959</v>
      </c>
      <c r="E71">
        <v>5308.0123149999999</v>
      </c>
      <c r="F71">
        <v>1497735.8289999999</v>
      </c>
      <c r="G71">
        <v>935.98272069999996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1754924.2548557124</v>
      </c>
      <c r="M71" s="1">
        <f t="shared" si="7"/>
        <v>450142.31515760848</v>
      </c>
      <c r="N71" s="1">
        <f t="shared" si="8"/>
        <v>37138.933474353951</v>
      </c>
      <c r="O71" s="1"/>
    </row>
    <row r="72" spans="1:15" x14ac:dyDescent="0.25">
      <c r="A72">
        <v>71</v>
      </c>
      <c r="B72">
        <v>662425.14839999995</v>
      </c>
      <c r="C72">
        <v>520.77401259999999</v>
      </c>
      <c r="D72">
        <v>1146003.0649999999</v>
      </c>
      <c r="E72">
        <v>6012.6216729999996</v>
      </c>
      <c r="F72">
        <v>1563460.0390000001</v>
      </c>
      <c r="G72">
        <v>0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127290.03917454946</v>
      </c>
      <c r="M72" s="1">
        <f t="shared" si="7"/>
        <v>492892.41041561111</v>
      </c>
      <c r="N72" s="1">
        <f t="shared" si="8"/>
        <v>0</v>
      </c>
      <c r="O72" s="1"/>
    </row>
    <row r="73" spans="1:15" x14ac:dyDescent="0.25">
      <c r="A73">
        <v>72</v>
      </c>
      <c r="B73">
        <v>624109.89859999996</v>
      </c>
      <c r="C73" s="1">
        <v>1.66E-5</v>
      </c>
      <c r="D73">
        <v>1119524.284</v>
      </c>
      <c r="E73">
        <v>4377.7587629999998</v>
      </c>
      <c r="F73">
        <v>1513477.7</v>
      </c>
      <c r="G73">
        <v>0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5.8879740362475508E-3</v>
      </c>
      <c r="M73" s="1">
        <f t="shared" si="7"/>
        <v>520778.15806328302</v>
      </c>
      <c r="N73" s="1">
        <f t="shared" si="8"/>
        <v>0</v>
      </c>
      <c r="O73" s="1"/>
    </row>
    <row r="74" spans="1:15" x14ac:dyDescent="0.25">
      <c r="A74">
        <v>73</v>
      </c>
      <c r="B74">
        <v>643838.20460000006</v>
      </c>
      <c r="C74">
        <v>520.77396069999998</v>
      </c>
      <c r="D74">
        <v>1140932.058</v>
      </c>
      <c r="E74">
        <v>4090.4695310000002</v>
      </c>
      <c r="F74">
        <v>1544322.327</v>
      </c>
      <c r="G74">
        <v>0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407820.61540770991</v>
      </c>
      <c r="M74" s="1">
        <f t="shared" si="7"/>
        <v>1074326.3153493938</v>
      </c>
      <c r="N74" s="1">
        <f t="shared" si="8"/>
        <v>0</v>
      </c>
      <c r="O74" s="1"/>
    </row>
    <row r="75" spans="1:15" x14ac:dyDescent="0.25">
      <c r="A75">
        <v>74</v>
      </c>
      <c r="B75">
        <v>653928.64280000003</v>
      </c>
      <c r="C75">
        <v>2389.7067360000001</v>
      </c>
      <c r="D75">
        <v>1127760.9809999999</v>
      </c>
      <c r="E75">
        <v>2381.118418</v>
      </c>
      <c r="F75">
        <v>1530798.898</v>
      </c>
      <c r="G75">
        <v>0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1492652.5884040198</v>
      </c>
      <c r="M75" s="1">
        <f t="shared" si="7"/>
        <v>498813.57250387169</v>
      </c>
      <c r="N75" s="1">
        <f t="shared" si="8"/>
        <v>0</v>
      </c>
      <c r="O75" s="1"/>
    </row>
    <row r="76" spans="1:15" x14ac:dyDescent="0.25">
      <c r="A76">
        <v>75</v>
      </c>
      <c r="B76">
        <v>661320.95479999995</v>
      </c>
      <c r="C76">
        <v>2784.6612399999999</v>
      </c>
      <c r="D76">
        <v>1129542.2379999999</v>
      </c>
      <c r="E76">
        <v>2823.0509809999999</v>
      </c>
      <c r="F76">
        <v>1519406.298</v>
      </c>
      <c r="G76">
        <v>0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976930.46092164563</v>
      </c>
      <c r="M76" s="1">
        <f t="shared" si="7"/>
        <v>332164.44179596682</v>
      </c>
      <c r="N76" s="1">
        <f t="shared" si="8"/>
        <v>0</v>
      </c>
      <c r="O76" s="1"/>
    </row>
    <row r="77" spans="1:15" x14ac:dyDescent="0.25">
      <c r="A77">
        <v>76</v>
      </c>
      <c r="B77">
        <v>675412.00450000004</v>
      </c>
      <c r="C77">
        <v>3407.7667449999999</v>
      </c>
      <c r="D77">
        <v>1141519.4240000001</v>
      </c>
      <c r="E77">
        <v>2222.6543630000001</v>
      </c>
      <c r="F77">
        <v>1523316.943</v>
      </c>
      <c r="G77">
        <v>0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1045558.1232858041</v>
      </c>
      <c r="M77" s="1">
        <f t="shared" si="7"/>
        <v>228714.33705076185</v>
      </c>
      <c r="N77" s="1">
        <f t="shared" si="8"/>
        <v>0</v>
      </c>
      <c r="O77" s="1"/>
    </row>
    <row r="78" spans="1:15" x14ac:dyDescent="0.25">
      <c r="A78">
        <v>77</v>
      </c>
      <c r="B78">
        <v>696186.70669999998</v>
      </c>
      <c r="C78">
        <v>3407.766717</v>
      </c>
      <c r="D78">
        <v>1136004.969</v>
      </c>
      <c r="E78">
        <v>2222.6543630000001</v>
      </c>
      <c r="F78">
        <v>1508295.5970000001</v>
      </c>
      <c r="G78">
        <v>0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1569942.0211505897</v>
      </c>
      <c r="M78" s="1">
        <f t="shared" si="7"/>
        <v>343422.56401534547</v>
      </c>
      <c r="N78" s="1">
        <f t="shared" si="8"/>
        <v>0</v>
      </c>
      <c r="O78" s="1"/>
    </row>
    <row r="79" spans="1:15" x14ac:dyDescent="0.25">
      <c r="A79">
        <v>78</v>
      </c>
      <c r="B79">
        <v>559522.71499999997</v>
      </c>
      <c r="C79" s="1">
        <v>-1.1199999999999999E-5</v>
      </c>
      <c r="D79">
        <v>994268.05130000005</v>
      </c>
      <c r="E79">
        <v>2389.7068060000001</v>
      </c>
      <c r="F79">
        <v>1407068.567</v>
      </c>
      <c r="G79">
        <v>2479.8464469999999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-8.1322592474395994E-3</v>
      </c>
      <c r="M79" s="1">
        <f t="shared" si="7"/>
        <v>581943.67159949197</v>
      </c>
      <c r="N79" s="1">
        <f t="shared" si="8"/>
        <v>282556.17149536958</v>
      </c>
      <c r="O79" s="1"/>
    </row>
    <row r="80" spans="1:15" x14ac:dyDescent="0.25">
      <c r="A80">
        <v>79</v>
      </c>
      <c r="B80">
        <v>539763.70719999995</v>
      </c>
      <c r="C80" s="1">
        <v>-1.8300000000000001E-5</v>
      </c>
      <c r="D80">
        <v>972729.84400000004</v>
      </c>
      <c r="E80">
        <v>4977.1291369999999</v>
      </c>
      <c r="F80">
        <v>1384357.105</v>
      </c>
      <c r="G80">
        <v>2459.7820780000002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-2.5274793833730679E-2</v>
      </c>
      <c r="M80" s="1">
        <f t="shared" si="7"/>
        <v>2305465.2370822444</v>
      </c>
      <c r="N80" s="1">
        <f t="shared" si="8"/>
        <v>533113.86797228036</v>
      </c>
      <c r="O80" s="1"/>
    </row>
    <row r="81" spans="1:15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3261.0895329999998</v>
      </c>
      <c r="F81">
        <v>1412382.041</v>
      </c>
      <c r="G81">
        <v>935.98272069999996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525890.75256437436</v>
      </c>
      <c r="M81" s="1">
        <f t="shared" si="7"/>
        <v>795029.63334746228</v>
      </c>
      <c r="N81" s="1">
        <f t="shared" si="8"/>
        <v>106765.78644046148</v>
      </c>
      <c r="O81" s="1"/>
    </row>
    <row r="82" spans="1:15" x14ac:dyDescent="0.25">
      <c r="A82">
        <v>81</v>
      </c>
      <c r="B82">
        <v>601412.6483</v>
      </c>
      <c r="C82" s="1">
        <v>4.8199999999999999E-5</v>
      </c>
      <c r="D82">
        <v>1047764.909</v>
      </c>
      <c r="E82">
        <v>4824.2378879999997</v>
      </c>
      <c r="F82">
        <v>1457872.2919999999</v>
      </c>
      <c r="G82">
        <v>935.98272069999996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2.3637016854895599E-2</v>
      </c>
      <c r="M82" s="1">
        <f t="shared" si="7"/>
        <v>793446.18943532289</v>
      </c>
      <c r="N82" s="1">
        <f t="shared" si="8"/>
        <v>72027.820402101759</v>
      </c>
      <c r="O82" s="1"/>
    </row>
    <row r="83" spans="1:15" x14ac:dyDescent="0.25">
      <c r="A83">
        <v>82</v>
      </c>
      <c r="B83">
        <v>628226.8848</v>
      </c>
      <c r="C83" s="1">
        <v>2.58E-5</v>
      </c>
      <c r="D83">
        <v>1084681.236</v>
      </c>
      <c r="E83">
        <v>4377.7587629999998</v>
      </c>
      <c r="F83">
        <v>1514196.9439999999</v>
      </c>
      <c r="G83">
        <v>0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1.4125650020182349E-2</v>
      </c>
      <c r="M83" s="1">
        <f t="shared" si="7"/>
        <v>803866.07147558255</v>
      </c>
      <c r="N83" s="1">
        <f t="shared" si="8"/>
        <v>0</v>
      </c>
      <c r="O83" s="1"/>
    </row>
    <row r="84" spans="1:15" x14ac:dyDescent="0.25">
      <c r="A84">
        <v>83</v>
      </c>
      <c r="B84">
        <v>622301.30759999994</v>
      </c>
      <c r="C84" s="1">
        <v>4.6300000000000001E-5</v>
      </c>
      <c r="D84">
        <v>1091641.6299999999</v>
      </c>
      <c r="E84">
        <v>4824.2378879999997</v>
      </c>
      <c r="F84">
        <v>1493463.81</v>
      </c>
      <c r="G84">
        <v>935.98272069999996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2.5672968234935777E-2</v>
      </c>
      <c r="M84" s="1">
        <f t="shared" si="7"/>
        <v>897153.89002474444</v>
      </c>
      <c r="N84" s="1">
        <f t="shared" si="8"/>
        <v>81442.245389996548</v>
      </c>
      <c r="O84" s="1"/>
    </row>
    <row r="85" spans="1:15" x14ac:dyDescent="0.25">
      <c r="A85">
        <v>84</v>
      </c>
      <c r="B85">
        <v>635368.84180000005</v>
      </c>
      <c r="C85" s="1">
        <v>4.5099999999999998E-5</v>
      </c>
      <c r="D85">
        <v>1119773.2690000001</v>
      </c>
      <c r="E85">
        <v>4377.7587629999998</v>
      </c>
      <c r="F85">
        <v>1522926.388</v>
      </c>
      <c r="G85">
        <v>0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2.429731475946775E-2</v>
      </c>
      <c r="M85" s="1">
        <f t="shared" si="7"/>
        <v>791000.39597568335</v>
      </c>
      <c r="N85" s="1">
        <f t="shared" si="8"/>
        <v>0</v>
      </c>
      <c r="O85" s="1"/>
    </row>
    <row r="86" spans="1:15" x14ac:dyDescent="0.25">
      <c r="A86">
        <v>85</v>
      </c>
      <c r="B86">
        <v>643156.78170000005</v>
      </c>
      <c r="C86" s="1">
        <v>4.6199999999999998E-5</v>
      </c>
      <c r="D86">
        <v>1110231.675</v>
      </c>
      <c r="E86">
        <v>4377.7587629999998</v>
      </c>
      <c r="F86">
        <v>1501429.264</v>
      </c>
      <c r="G86">
        <v>0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2.2936036778654998E-2</v>
      </c>
      <c r="M86" s="1">
        <f t="shared" si="7"/>
        <v>728905.72917688626</v>
      </c>
      <c r="N86" s="1">
        <f t="shared" si="8"/>
        <v>0</v>
      </c>
      <c r="O86" s="1"/>
    </row>
    <row r="87" spans="1:15" x14ac:dyDescent="0.25">
      <c r="A87">
        <v>86</v>
      </c>
      <c r="B87">
        <v>664435.13749999995</v>
      </c>
      <c r="C87">
        <v>1316.930822</v>
      </c>
      <c r="D87">
        <v>1086262.635</v>
      </c>
      <c r="E87">
        <v>4329.268419</v>
      </c>
      <c r="F87">
        <v>1481142.2990000001</v>
      </c>
      <c r="G87">
        <v>0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518848.60497226537</v>
      </c>
      <c r="M87" s="1">
        <f t="shared" si="7"/>
        <v>572051.78026276291</v>
      </c>
      <c r="N87" s="1">
        <f t="shared" si="8"/>
        <v>0</v>
      </c>
      <c r="O87" s="1"/>
    </row>
    <row r="88" spans="1:15" x14ac:dyDescent="0.25">
      <c r="A88">
        <v>87</v>
      </c>
      <c r="B88">
        <v>681737.19609999994</v>
      </c>
      <c r="C88">
        <v>2784.661259</v>
      </c>
      <c r="D88">
        <v>1109749.132</v>
      </c>
      <c r="E88">
        <v>2823.0509809999999</v>
      </c>
      <c r="F88">
        <v>1487923.7250000001</v>
      </c>
      <c r="G88">
        <v>0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1072726.7606749153</v>
      </c>
      <c r="M88" s="1">
        <f t="shared" si="7"/>
        <v>364735.97403422755</v>
      </c>
      <c r="N88" s="1">
        <f t="shared" si="8"/>
        <v>0</v>
      </c>
      <c r="O88" s="1"/>
    </row>
    <row r="89" spans="1:15" x14ac:dyDescent="0.25">
      <c r="A89">
        <v>88</v>
      </c>
      <c r="B89">
        <v>540322.37150000001</v>
      </c>
      <c r="C89" s="1">
        <v>4.4299999999999999E-6</v>
      </c>
      <c r="D89">
        <v>948476.53899999999</v>
      </c>
      <c r="E89">
        <v>2389.706745</v>
      </c>
      <c r="F89">
        <v>1376484.825</v>
      </c>
      <c r="G89">
        <v>2973.8966049999999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5.7502758373801652E-3</v>
      </c>
      <c r="M89" s="1">
        <f t="shared" si="7"/>
        <v>1040333.7746189071</v>
      </c>
      <c r="N89" s="1">
        <f t="shared" si="8"/>
        <v>605755.87103352579</v>
      </c>
      <c r="O89" s="1"/>
    </row>
    <row r="90" spans="1:15" x14ac:dyDescent="0.25">
      <c r="A90">
        <v>89</v>
      </c>
      <c r="B90">
        <v>500885.06209999998</v>
      </c>
      <c r="C90" s="1">
        <v>-4.9599999999999999E-5</v>
      </c>
      <c r="D90">
        <v>935810.10770000005</v>
      </c>
      <c r="E90">
        <v>3745.2742699999999</v>
      </c>
      <c r="F90">
        <v>1341063.328</v>
      </c>
      <c r="G90">
        <v>2222.6543630000001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-0.15124377102628039</v>
      </c>
      <c r="M90" s="1">
        <f t="shared" si="7"/>
        <v>3830209.990654618</v>
      </c>
      <c r="N90" s="1">
        <f t="shared" si="8"/>
        <v>1063541.8117217675</v>
      </c>
      <c r="O90" s="1"/>
    </row>
    <row r="91" spans="1:15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4489.7943670000004</v>
      </c>
      <c r="F91">
        <v>1357029.52</v>
      </c>
      <c r="G91">
        <v>1477.5657289999999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1624261.3044091165</v>
      </c>
      <c r="M91" s="1">
        <f t="shared" si="7"/>
        <v>622986.38041150896</v>
      </c>
      <c r="N91" s="1">
        <f t="shared" si="8"/>
        <v>95927.381352767174</v>
      </c>
      <c r="O91" s="1"/>
    </row>
    <row r="92" spans="1:15" x14ac:dyDescent="0.25">
      <c r="A92">
        <v>91</v>
      </c>
      <c r="B92">
        <v>507687.76699999999</v>
      </c>
      <c r="C92" s="1">
        <v>3.4E-5</v>
      </c>
      <c r="D92">
        <v>941994.58479999995</v>
      </c>
      <c r="E92">
        <v>3745.274222</v>
      </c>
      <c r="F92">
        <v>1336454.125</v>
      </c>
      <c r="G92">
        <v>2222.6543630000001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3.1366476107492498E-2</v>
      </c>
      <c r="M92" s="1">
        <f t="shared" si="7"/>
        <v>1158813.5682932481</v>
      </c>
      <c r="N92" s="1">
        <f t="shared" si="8"/>
        <v>321770.00756424677</v>
      </c>
      <c r="O92" s="1"/>
    </row>
    <row r="93" spans="1:15" x14ac:dyDescent="0.25">
      <c r="A93">
        <v>92</v>
      </c>
      <c r="B93">
        <v>627792.07209999999</v>
      </c>
      <c r="C93">
        <v>520.7740063</v>
      </c>
      <c r="D93">
        <v>1066481.791</v>
      </c>
      <c r="E93">
        <v>6012.6216729999996</v>
      </c>
      <c r="F93">
        <v>1439412.078</v>
      </c>
      <c r="G93">
        <v>0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320686.26299116365</v>
      </c>
      <c r="M93" s="1">
        <f t="shared" si="7"/>
        <v>1241761.1628534289</v>
      </c>
      <c r="N93" s="1">
        <f t="shared" si="8"/>
        <v>0</v>
      </c>
      <c r="O93" s="1"/>
    </row>
    <row r="94" spans="1:15" x14ac:dyDescent="0.25">
      <c r="A94">
        <v>93</v>
      </c>
      <c r="B94">
        <v>670392.42839999998</v>
      </c>
      <c r="C94">
        <v>968.08068949999995</v>
      </c>
      <c r="D94">
        <v>1110217.6100000001</v>
      </c>
      <c r="E94">
        <v>3904.5555650000001</v>
      </c>
      <c r="F94">
        <v>1503735.4680000001</v>
      </c>
      <c r="G94">
        <v>0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394456.32269204233</v>
      </c>
      <c r="M94" s="1">
        <f t="shared" si="7"/>
        <v>533583.1529867209</v>
      </c>
      <c r="N94" s="1">
        <f t="shared" si="8"/>
        <v>0</v>
      </c>
      <c r="O94" s="1"/>
    </row>
    <row r="95" spans="1:15" x14ac:dyDescent="0.25">
      <c r="A95">
        <v>94</v>
      </c>
      <c r="B95">
        <v>694974.45360000001</v>
      </c>
      <c r="C95">
        <v>1316.9307779999999</v>
      </c>
      <c r="D95">
        <v>1127144.4029999999</v>
      </c>
      <c r="E95">
        <v>4329.268419</v>
      </c>
      <c r="F95">
        <v>1508664.743</v>
      </c>
      <c r="G95">
        <v>0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660977.52418943041</v>
      </c>
      <c r="M95" s="1">
        <f t="shared" si="7"/>
        <v>728754.74355299084</v>
      </c>
      <c r="N95" s="1">
        <f t="shared" si="8"/>
        <v>0</v>
      </c>
      <c r="O95" s="1"/>
    </row>
    <row r="96" spans="1:15" x14ac:dyDescent="0.25">
      <c r="A96">
        <v>95</v>
      </c>
      <c r="B96">
        <v>709154.72730000003</v>
      </c>
      <c r="C96">
        <v>1316.9308470000001</v>
      </c>
      <c r="D96">
        <v>1158650.7520000001</v>
      </c>
      <c r="E96">
        <v>4329.268419</v>
      </c>
      <c r="F96">
        <v>1536501.4669999999</v>
      </c>
      <c r="G96">
        <v>0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513015.00814230659</v>
      </c>
      <c r="M96" s="1">
        <f t="shared" si="7"/>
        <v>565619.99073677824</v>
      </c>
      <c r="N96" s="1">
        <f t="shared" si="8"/>
        <v>0</v>
      </c>
      <c r="O96" s="1"/>
    </row>
    <row r="97" spans="1:15" x14ac:dyDescent="0.25">
      <c r="A97">
        <v>96</v>
      </c>
      <c r="B97">
        <v>703359.34409999999</v>
      </c>
      <c r="C97">
        <v>1316.9307779999999</v>
      </c>
      <c r="D97">
        <v>1127704.2960000001</v>
      </c>
      <c r="E97">
        <v>4329.268419</v>
      </c>
      <c r="F97">
        <v>1500351.817</v>
      </c>
      <c r="G97">
        <v>0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1201171.5877518407</v>
      </c>
      <c r="M97" s="1">
        <f t="shared" si="7"/>
        <v>1324340.7837032008</v>
      </c>
      <c r="N97" s="1">
        <f t="shared" si="8"/>
        <v>0</v>
      </c>
      <c r="O97" s="1"/>
    </row>
    <row r="98" spans="1:15" x14ac:dyDescent="0.25">
      <c r="A98">
        <v>97</v>
      </c>
      <c r="B98">
        <v>659982.86919999996</v>
      </c>
      <c r="C98">
        <v>520.7739977</v>
      </c>
      <c r="D98">
        <v>1110761.828</v>
      </c>
      <c r="E98">
        <v>6012.6216729999996</v>
      </c>
      <c r="F98">
        <v>1479301.534</v>
      </c>
      <c r="G98">
        <v>0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486924.30962331814</v>
      </c>
      <c r="M98" s="1">
        <f t="shared" si="7"/>
        <v>1885468.0624131679</v>
      </c>
      <c r="N98" s="1">
        <f t="shared" si="8"/>
        <v>0</v>
      </c>
      <c r="O98" s="1"/>
    </row>
    <row r="99" spans="1:15" x14ac:dyDescent="0.25">
      <c r="A99">
        <v>98</v>
      </c>
      <c r="B99">
        <v>672796.68579999998</v>
      </c>
      <c r="C99">
        <v>520.77394830000003</v>
      </c>
      <c r="D99">
        <v>1135278.43</v>
      </c>
      <c r="E99">
        <v>4090.4695310000002</v>
      </c>
      <c r="F99">
        <v>1479775.085</v>
      </c>
      <c r="G99">
        <v>0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324701.90302735759</v>
      </c>
      <c r="M99" s="1">
        <f t="shared" si="7"/>
        <v>855365.8010240749</v>
      </c>
      <c r="N99" s="1">
        <f t="shared" si="8"/>
        <v>0</v>
      </c>
      <c r="O99" s="1"/>
    </row>
    <row r="100" spans="1:15" x14ac:dyDescent="0.25">
      <c r="A100">
        <v>99</v>
      </c>
      <c r="B100">
        <v>579723.35549999995</v>
      </c>
      <c r="C100" s="1">
        <v>-1.24E-5</v>
      </c>
      <c r="D100">
        <v>975062.16680000001</v>
      </c>
      <c r="E100">
        <v>4377.7588089999999</v>
      </c>
      <c r="F100">
        <v>1368198.202</v>
      </c>
      <c r="G100">
        <v>0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-8.1487593286190003E-3</v>
      </c>
      <c r="M100" s="1">
        <f t="shared" si="7"/>
        <v>964861.04707886348</v>
      </c>
      <c r="N100" s="1">
        <f t="shared" si="8"/>
        <v>0</v>
      </c>
      <c r="O100" s="1"/>
    </row>
    <row r="101" spans="1:15" x14ac:dyDescent="0.25">
      <c r="A101">
        <v>100</v>
      </c>
      <c r="B101">
        <v>539643.71189999999</v>
      </c>
      <c r="C101" s="1">
        <v>1.45E-5</v>
      </c>
      <c r="D101">
        <v>936152.21799999999</v>
      </c>
      <c r="E101">
        <v>4377.758742</v>
      </c>
      <c r="F101">
        <v>1327589.4369999999</v>
      </c>
      <c r="G101">
        <v>0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8.8024051649251256E-2</v>
      </c>
      <c r="M101" s="1">
        <f t="shared" si="7"/>
        <v>8913090.4436924867</v>
      </c>
      <c r="N101" s="1">
        <f t="shared" si="8"/>
        <v>0</v>
      </c>
      <c r="O101" s="1"/>
    </row>
    <row r="102" spans="1:15" x14ac:dyDescent="0.25">
      <c r="A102">
        <v>101</v>
      </c>
      <c r="B102">
        <v>629217.79200000002</v>
      </c>
      <c r="C102">
        <v>520.77401520000001</v>
      </c>
      <c r="D102">
        <v>1046674.302</v>
      </c>
      <c r="E102">
        <v>6012.6216729999996</v>
      </c>
      <c r="F102">
        <v>1429219.1310000001</v>
      </c>
      <c r="G102">
        <v>0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268007.68662214192</v>
      </c>
      <c r="M102" s="1">
        <f t="shared" si="7"/>
        <v>1037779.1920422175</v>
      </c>
      <c r="N102" s="1">
        <f t="shared" si="8"/>
        <v>0</v>
      </c>
      <c r="O102" s="1"/>
    </row>
    <row r="103" spans="1:15" x14ac:dyDescent="0.25">
      <c r="A103">
        <v>102</v>
      </c>
      <c r="B103">
        <v>642977.14159999997</v>
      </c>
      <c r="C103">
        <v>968.08067430000006</v>
      </c>
      <c r="D103">
        <v>1093102.5490000001</v>
      </c>
      <c r="E103">
        <v>3904.5555650000001</v>
      </c>
      <c r="F103">
        <v>1464864.8829999999</v>
      </c>
      <c r="G103">
        <v>0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435012.65877632925</v>
      </c>
      <c r="M103" s="1">
        <f t="shared" si="7"/>
        <v>588443.93244701531</v>
      </c>
      <c r="N103" s="1">
        <f t="shared" si="8"/>
        <v>0</v>
      </c>
      <c r="O103" s="1"/>
    </row>
    <row r="104" spans="1:15" x14ac:dyDescent="0.25">
      <c r="A104">
        <v>103</v>
      </c>
      <c r="B104">
        <v>738848.34259999997</v>
      </c>
      <c r="C104">
        <v>2784.6612559999999</v>
      </c>
      <c r="D104">
        <v>1185230.487</v>
      </c>
      <c r="E104">
        <v>2823.0509809999999</v>
      </c>
      <c r="F104">
        <v>1552085.429</v>
      </c>
      <c r="G104">
        <v>0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2415923.3768082871</v>
      </c>
      <c r="M104" s="1">
        <f t="shared" si="7"/>
        <v>821433.93759203702</v>
      </c>
      <c r="N104" s="1">
        <f t="shared" si="8"/>
        <v>0</v>
      </c>
      <c r="O104" s="1"/>
    </row>
    <row r="105" spans="1:15" x14ac:dyDescent="0.25">
      <c r="A105">
        <v>104</v>
      </c>
      <c r="B105">
        <v>774605.9852</v>
      </c>
      <c r="C105">
        <v>2784.6612260000002</v>
      </c>
      <c r="D105">
        <v>1185163.237</v>
      </c>
      <c r="E105">
        <v>2823.0509809999999</v>
      </c>
      <c r="F105">
        <v>1567817.226</v>
      </c>
      <c r="G105">
        <v>0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1454615.1409834777</v>
      </c>
      <c r="M105" s="1">
        <f t="shared" si="7"/>
        <v>494581.1888249183</v>
      </c>
      <c r="N105" s="1">
        <f t="shared" si="8"/>
        <v>0</v>
      </c>
      <c r="O105" s="1"/>
    </row>
    <row r="106" spans="1:15" x14ac:dyDescent="0.25">
      <c r="A106">
        <v>105</v>
      </c>
      <c r="B106">
        <v>748468.65359999996</v>
      </c>
      <c r="C106">
        <v>968.08065079999994</v>
      </c>
      <c r="D106">
        <v>1201405.094</v>
      </c>
      <c r="E106">
        <v>3904.5555650000001</v>
      </c>
      <c r="F106">
        <v>1543798.993</v>
      </c>
      <c r="G106">
        <v>0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455827.1358599388</v>
      </c>
      <c r="M106" s="1">
        <f t="shared" si="7"/>
        <v>616599.80104304489</v>
      </c>
      <c r="N106" s="1">
        <f t="shared" si="8"/>
        <v>0</v>
      </c>
      <c r="O106" s="1"/>
    </row>
    <row r="107" spans="1:15" x14ac:dyDescent="0.25">
      <c r="A107">
        <v>106</v>
      </c>
      <c r="B107">
        <v>709353.16830000002</v>
      </c>
      <c r="C107">
        <v>520.77399590000005</v>
      </c>
      <c r="D107">
        <v>1132742.7590000001</v>
      </c>
      <c r="E107">
        <v>4090.4695310000002</v>
      </c>
      <c r="F107">
        <v>1490605.067</v>
      </c>
      <c r="G107">
        <v>0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168270.10849752341</v>
      </c>
      <c r="M107" s="1">
        <f t="shared" si="7"/>
        <v>443275.76046108868</v>
      </c>
      <c r="N107" s="1">
        <f t="shared" si="8"/>
        <v>0</v>
      </c>
      <c r="O107" s="1"/>
    </row>
    <row r="108" spans="1:15" x14ac:dyDescent="0.25">
      <c r="A108">
        <v>107</v>
      </c>
      <c r="B108">
        <v>681985.84909999999</v>
      </c>
      <c r="C108">
        <v>520.77398010000002</v>
      </c>
      <c r="D108">
        <v>1070963.4609999999</v>
      </c>
      <c r="E108">
        <v>4191.7484930000001</v>
      </c>
      <c r="F108">
        <v>1450881.4029999999</v>
      </c>
      <c r="G108">
        <v>0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3267831.7842721227</v>
      </c>
      <c r="M108" s="1">
        <f t="shared" si="7"/>
        <v>8821628.5958846565</v>
      </c>
      <c r="N108" s="1">
        <f t="shared" si="8"/>
        <v>0</v>
      </c>
      <c r="O108" s="1"/>
    </row>
    <row r="109" spans="1:15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3384.8455650000001</v>
      </c>
      <c r="F109">
        <v>1276790.477</v>
      </c>
      <c r="G109">
        <v>2222.6543630000001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0.20054837638855499</v>
      </c>
      <c r="M109" s="1">
        <f t="shared" si="7"/>
        <v>5552867.2255276451</v>
      </c>
      <c r="N109" s="1">
        <f t="shared" si="8"/>
        <v>1706058.9802928322</v>
      </c>
      <c r="O109" s="1"/>
    </row>
    <row r="110" spans="1:15" x14ac:dyDescent="0.25">
      <c r="A110">
        <v>109</v>
      </c>
      <c r="B110">
        <v>606152.33869999996</v>
      </c>
      <c r="C110" s="1">
        <v>3.15E-5</v>
      </c>
      <c r="D110">
        <v>1019048.326</v>
      </c>
      <c r="E110">
        <v>4377.7587629999998</v>
      </c>
      <c r="F110">
        <v>1396045.5549999999</v>
      </c>
      <c r="G110">
        <v>0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2.3518872494412753E-2</v>
      </c>
      <c r="M110" s="1">
        <f t="shared" si="7"/>
        <v>1096228.0407574275</v>
      </c>
      <c r="N110" s="1">
        <f t="shared" si="8"/>
        <v>0</v>
      </c>
      <c r="O110" s="1"/>
    </row>
    <row r="111" spans="1:15" x14ac:dyDescent="0.25">
      <c r="A111">
        <v>110</v>
      </c>
      <c r="B111">
        <v>635787.79680000001</v>
      </c>
      <c r="C111">
        <v>968.08064990000003</v>
      </c>
      <c r="D111">
        <v>1079069.145</v>
      </c>
      <c r="E111">
        <v>3904.5555650000001</v>
      </c>
      <c r="F111">
        <v>1462937.973</v>
      </c>
      <c r="G111">
        <v>0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652873.17445521103</v>
      </c>
      <c r="M111" s="1">
        <f t="shared" si="7"/>
        <v>883145.03060513211</v>
      </c>
      <c r="N111" s="1">
        <f t="shared" si="8"/>
        <v>0</v>
      </c>
      <c r="O111" s="1"/>
    </row>
    <row r="112" spans="1:15" x14ac:dyDescent="0.25">
      <c r="A112">
        <v>111</v>
      </c>
      <c r="B112">
        <v>705289.56099999999</v>
      </c>
      <c r="C112">
        <v>2389.7067740000002</v>
      </c>
      <c r="D112">
        <v>1147428.45</v>
      </c>
      <c r="E112">
        <v>2381.118418</v>
      </c>
      <c r="F112">
        <v>1525919.523</v>
      </c>
      <c r="G112">
        <v>0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1770266.6087309599</v>
      </c>
      <c r="M112" s="1">
        <f t="shared" si="7"/>
        <v>591586.41749851895</v>
      </c>
      <c r="N112" s="1">
        <f t="shared" si="8"/>
        <v>0</v>
      </c>
      <c r="O112" s="1"/>
    </row>
    <row r="113" spans="1:15" x14ac:dyDescent="0.25">
      <c r="A113">
        <v>112</v>
      </c>
      <c r="B113">
        <v>746292.40090000001</v>
      </c>
      <c r="C113">
        <v>2784.6612100000002</v>
      </c>
      <c r="D113">
        <v>1176071.172</v>
      </c>
      <c r="E113">
        <v>2823.0509809999999</v>
      </c>
      <c r="F113">
        <v>1547424.129</v>
      </c>
      <c r="G113">
        <v>0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1032104.7538554738</v>
      </c>
      <c r="M113" s="1">
        <f t="shared" si="7"/>
        <v>350924.16179687431</v>
      </c>
      <c r="N113" s="1">
        <f t="shared" si="8"/>
        <v>0</v>
      </c>
      <c r="O113" s="1"/>
    </row>
    <row r="114" spans="1:15" x14ac:dyDescent="0.25">
      <c r="A114">
        <v>113</v>
      </c>
      <c r="B114">
        <v>699229.30810000002</v>
      </c>
      <c r="C114">
        <v>1316.930754</v>
      </c>
      <c r="D114">
        <v>1121621.2660000001</v>
      </c>
      <c r="E114">
        <v>4329.268419</v>
      </c>
      <c r="F114">
        <v>1493192.1939999999</v>
      </c>
      <c r="G114">
        <v>0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224171.51145584625</v>
      </c>
      <c r="M114" s="1">
        <f t="shared" si="7"/>
        <v>247158.26082050972</v>
      </c>
      <c r="N114" s="1">
        <f t="shared" si="8"/>
        <v>0</v>
      </c>
      <c r="O114" s="1"/>
    </row>
    <row r="115" spans="1:15" x14ac:dyDescent="0.25">
      <c r="A115">
        <v>114</v>
      </c>
      <c r="B115">
        <v>646199.41009999998</v>
      </c>
      <c r="C115">
        <v>968.08062930000006</v>
      </c>
      <c r="D115">
        <v>1090699.76</v>
      </c>
      <c r="E115">
        <v>4352.602331</v>
      </c>
      <c r="F115">
        <v>1462140.9850000001</v>
      </c>
      <c r="G115">
        <v>0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480216.75122380914</v>
      </c>
      <c r="M115" s="1">
        <f t="shared" si="7"/>
        <v>724132.27111464238</v>
      </c>
      <c r="N115" s="1">
        <f t="shared" si="8"/>
        <v>0</v>
      </c>
      <c r="O115" s="1"/>
    </row>
    <row r="116" spans="1:15" x14ac:dyDescent="0.25">
      <c r="A116">
        <v>115</v>
      </c>
      <c r="B116">
        <v>679966.50859999994</v>
      </c>
      <c r="C116">
        <v>520.77397900000005</v>
      </c>
      <c r="D116">
        <v>1062495.635</v>
      </c>
      <c r="E116">
        <v>4538.5162979999996</v>
      </c>
      <c r="F116">
        <v>1441018.446</v>
      </c>
      <c r="G116">
        <v>0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368793.09613617428</v>
      </c>
      <c r="M116" s="1">
        <f t="shared" si="7"/>
        <v>1077929.9592464464</v>
      </c>
      <c r="N116" s="1">
        <f t="shared" si="8"/>
        <v>0</v>
      </c>
      <c r="O116" s="1"/>
    </row>
    <row r="117" spans="1:15" x14ac:dyDescent="0.25">
      <c r="A117">
        <v>116</v>
      </c>
      <c r="B117">
        <v>695264.42579999997</v>
      </c>
      <c r="C117">
        <v>520.77395320000005</v>
      </c>
      <c r="D117">
        <v>1082534.1059999999</v>
      </c>
      <c r="E117">
        <v>4895.9524430000001</v>
      </c>
      <c r="F117">
        <v>1459050.0149999999</v>
      </c>
      <c r="G117">
        <v>0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266470.3339101802</v>
      </c>
      <c r="M117" s="1">
        <f t="shared" si="7"/>
        <v>840194.70279279468</v>
      </c>
      <c r="N117" s="1">
        <f t="shared" si="8"/>
        <v>0</v>
      </c>
      <c r="O117" s="1"/>
    </row>
    <row r="118" spans="1:15" x14ac:dyDescent="0.25">
      <c r="A118">
        <v>117</v>
      </c>
      <c r="B118">
        <v>584761.99340000004</v>
      </c>
      <c r="C118" s="1">
        <v>2.6999999999999999E-5</v>
      </c>
      <c r="D118">
        <v>977111.74540000001</v>
      </c>
      <c r="E118">
        <v>4824.2378390000003</v>
      </c>
      <c r="F118">
        <v>1348966.6359999999</v>
      </c>
      <c r="G118">
        <v>935.98272069999996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1.7259380127054001E-2</v>
      </c>
      <c r="M118" s="1">
        <f t="shared" si="7"/>
        <v>1034268.4513779397</v>
      </c>
      <c r="N118" s="1">
        <f t="shared" si="8"/>
        <v>93889.29458856881</v>
      </c>
      <c r="O118" s="1"/>
    </row>
    <row r="119" spans="1:15" x14ac:dyDescent="0.25">
      <c r="A119">
        <v>118</v>
      </c>
      <c r="B119">
        <v>632272.4081</v>
      </c>
      <c r="C119">
        <v>520.77397259999998</v>
      </c>
      <c r="D119">
        <v>1036030.019</v>
      </c>
      <c r="E119">
        <v>6012.6216729999996</v>
      </c>
      <c r="F119">
        <v>1418951.0970000001</v>
      </c>
      <c r="G119">
        <v>0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333157.9967592762</v>
      </c>
      <c r="M119" s="1">
        <f t="shared" si="7"/>
        <v>1290054.2866483349</v>
      </c>
      <c r="N119" s="1">
        <f t="shared" si="8"/>
        <v>0</v>
      </c>
      <c r="O119" s="1"/>
    </row>
    <row r="120" spans="1:15" x14ac:dyDescent="0.25">
      <c r="A120">
        <v>119</v>
      </c>
      <c r="B120">
        <v>663612.86560000002</v>
      </c>
      <c r="C120">
        <v>520.77400969999997</v>
      </c>
      <c r="D120">
        <v>1038420.978</v>
      </c>
      <c r="E120">
        <v>5308.4177229999996</v>
      </c>
      <c r="F120">
        <v>1421717.5649999999</v>
      </c>
      <c r="G120">
        <v>0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442576.57229809201</v>
      </c>
      <c r="M120" s="1">
        <f t="shared" si="7"/>
        <v>1513029.3290011189</v>
      </c>
      <c r="N120" s="1">
        <f t="shared" si="8"/>
        <v>0</v>
      </c>
      <c r="O120" s="1"/>
    </row>
    <row r="121" spans="1:15" x14ac:dyDescent="0.25">
      <c r="A121">
        <v>120</v>
      </c>
      <c r="B121">
        <v>663586.36159999995</v>
      </c>
      <c r="C121" s="1">
        <v>-1.6699999999999999E-5</v>
      </c>
      <c r="D121">
        <v>1015359.84</v>
      </c>
      <c r="E121">
        <v>4824.2378879999997</v>
      </c>
      <c r="F121">
        <v>1405286.09</v>
      </c>
      <c r="G121">
        <v>0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-8.8726634514303491E-3</v>
      </c>
      <c r="M121" s="1">
        <f t="shared" si="7"/>
        <v>859625.69722617813</v>
      </c>
      <c r="N121" s="1">
        <f t="shared" si="8"/>
        <v>0</v>
      </c>
      <c r="O121" s="1"/>
    </row>
    <row r="122" spans="1:15" x14ac:dyDescent="0.25">
      <c r="A122">
        <v>121</v>
      </c>
      <c r="B122">
        <v>679236.84019999998</v>
      </c>
      <c r="C122" s="1">
        <v>-5.84E-6</v>
      </c>
      <c r="D122">
        <v>1059976.821</v>
      </c>
      <c r="E122">
        <v>3707.5686580000001</v>
      </c>
      <c r="F122">
        <v>1451094.6869999999</v>
      </c>
      <c r="G122">
        <v>0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-2.0417943446141801E-3</v>
      </c>
      <c r="M122" s="1">
        <f t="shared" si="7"/>
        <v>434741.88950520399</v>
      </c>
      <c r="N122" s="1">
        <f t="shared" si="8"/>
        <v>0</v>
      </c>
      <c r="O122" s="1"/>
    </row>
    <row r="123" spans="1:15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4377.7587629999998</v>
      </c>
      <c r="F123">
        <v>1433666.7709999999</v>
      </c>
      <c r="G123">
        <v>935.98272069999996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3038881.9814013112</v>
      </c>
      <c r="M123" s="1">
        <f t="shared" si="7"/>
        <v>642873.0232072816</v>
      </c>
      <c r="N123" s="1">
        <f t="shared" si="8"/>
        <v>64310.944114171827</v>
      </c>
      <c r="O123" s="1"/>
    </row>
    <row r="124" spans="1:15" x14ac:dyDescent="0.25">
      <c r="A124">
        <v>123</v>
      </c>
      <c r="B124">
        <v>626318.17180000001</v>
      </c>
      <c r="C124" s="1">
        <v>-3.82E-5</v>
      </c>
      <c r="D124">
        <v>978561.15289999999</v>
      </c>
      <c r="E124">
        <v>3296.6194869999999</v>
      </c>
      <c r="F124">
        <v>1386317.4650000001</v>
      </c>
      <c r="G124">
        <v>2222.6543630000001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-1.9611354391578951E-2</v>
      </c>
      <c r="M124" s="1">
        <f t="shared" si="7"/>
        <v>567618.03164380987</v>
      </c>
      <c r="N124" s="1">
        <f t="shared" si="8"/>
        <v>179061.81091759089</v>
      </c>
      <c r="O124" s="1"/>
    </row>
    <row r="125" spans="1:15" x14ac:dyDescent="0.25">
      <c r="A125">
        <v>124</v>
      </c>
      <c r="B125">
        <v>614657.81920000003</v>
      </c>
      <c r="C125" s="1">
        <v>4.4299999999999999E-5</v>
      </c>
      <c r="D125">
        <v>960189.37789999996</v>
      </c>
      <c r="E125">
        <v>2668.3113680000001</v>
      </c>
      <c r="F125">
        <v>1355654.39</v>
      </c>
      <c r="G125">
        <v>1868.472237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1.4632144705358374E-2</v>
      </c>
      <c r="M125" s="1">
        <f t="shared" si="7"/>
        <v>295586.03007832158</v>
      </c>
      <c r="N125" s="1">
        <f t="shared" si="8"/>
        <v>96845.116418556136</v>
      </c>
      <c r="O125" s="1"/>
    </row>
    <row r="126" spans="1:15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4489.7943150000001</v>
      </c>
      <c r="F126">
        <v>1327194.1980000001</v>
      </c>
      <c r="G126">
        <v>935.98272069999996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1.7436592699175E-2</v>
      </c>
      <c r="M126" s="1">
        <f t="shared" si="7"/>
        <v>2599619.7746644877</v>
      </c>
      <c r="N126" s="1">
        <f t="shared" si="8"/>
        <v>253568.26296721716</v>
      </c>
      <c r="O126" s="1"/>
    </row>
    <row r="127" spans="1:15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3860.9533379999998</v>
      </c>
      <c r="F127">
        <v>1333285.6129999999</v>
      </c>
      <c r="G127">
        <v>935.98272069999996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3268481.2049534842</v>
      </c>
      <c r="M127" s="1">
        <f t="shared" si="7"/>
        <v>609817.78475975909</v>
      </c>
      <c r="N127" s="1">
        <f t="shared" si="8"/>
        <v>69169.883221297685</v>
      </c>
      <c r="O127" s="1"/>
    </row>
    <row r="128" spans="1:15" x14ac:dyDescent="0.25">
      <c r="A128">
        <v>127</v>
      </c>
      <c r="B128">
        <v>617046.87990000006</v>
      </c>
      <c r="C128" s="1">
        <v>-4.3300000000000002E-5</v>
      </c>
      <c r="D128">
        <v>1016686.696</v>
      </c>
      <c r="E128">
        <v>4659.1487020000004</v>
      </c>
      <c r="F128">
        <v>1382263.2620000001</v>
      </c>
      <c r="G128">
        <v>935.98272069999996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-1.1915401088253424E-2</v>
      </c>
      <c r="M128" s="1">
        <f t="shared" si="7"/>
        <v>430002.00256115408</v>
      </c>
      <c r="N128" s="1">
        <f t="shared" si="8"/>
        <v>40418.055496150228</v>
      </c>
      <c r="O128" s="1"/>
    </row>
    <row r="129" spans="1:15" x14ac:dyDescent="0.25">
      <c r="A129">
        <v>128</v>
      </c>
      <c r="B129">
        <v>637911.85930000001</v>
      </c>
      <c r="C129">
        <v>520.77397180000003</v>
      </c>
      <c r="D129">
        <v>1033739.204</v>
      </c>
      <c r="E129">
        <v>6012.6216729999996</v>
      </c>
      <c r="F129">
        <v>1395808.2690000001</v>
      </c>
      <c r="G129">
        <v>0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100342.72734411283</v>
      </c>
      <c r="M129" s="1">
        <f t="shared" si="7"/>
        <v>388547.07676923781</v>
      </c>
      <c r="N129" s="1">
        <f t="shared" si="8"/>
        <v>0</v>
      </c>
      <c r="O129" s="1"/>
    </row>
    <row r="130" spans="1:15" x14ac:dyDescent="0.25">
      <c r="A130">
        <v>129</v>
      </c>
      <c r="B130">
        <v>654747.41839999997</v>
      </c>
      <c r="C130">
        <v>520.77398000000005</v>
      </c>
      <c r="D130">
        <v>1057052.6910000001</v>
      </c>
      <c r="E130">
        <v>4568.2651020000003</v>
      </c>
      <c r="F130">
        <v>1432855.5519999999</v>
      </c>
      <c r="G130">
        <v>0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238813.16092359324</v>
      </c>
      <c r="M130" s="1">
        <f t="shared" si="7"/>
        <v>702592.34802822443</v>
      </c>
      <c r="N130" s="1">
        <f t="shared" si="8"/>
        <v>0</v>
      </c>
      <c r="O130" s="1"/>
    </row>
    <row r="131" spans="1:15" x14ac:dyDescent="0.25">
      <c r="A131">
        <v>130</v>
      </c>
      <c r="B131">
        <v>639290.65890000004</v>
      </c>
      <c r="C131">
        <v>520.77398670000002</v>
      </c>
      <c r="D131">
        <v>1034202.718</v>
      </c>
      <c r="E131">
        <v>6012.6216729999996</v>
      </c>
      <c r="F131">
        <v>1405441.311</v>
      </c>
      <c r="G131">
        <v>0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384269.42634713935</v>
      </c>
      <c r="M131" s="1">
        <f t="shared" ref="M131:M194" si="11">$U$3*$K131*E131</f>
        <v>1487967.9073809651</v>
      </c>
      <c r="N131" s="1">
        <f t="shared" ref="N131:N194" si="12">$U$4*$K131*G131</f>
        <v>0</v>
      </c>
      <c r="O131" s="1"/>
    </row>
    <row r="132" spans="1:15" x14ac:dyDescent="0.25">
      <c r="A132">
        <v>131</v>
      </c>
      <c r="B132">
        <v>616418.23600000003</v>
      </c>
      <c r="C132" s="1">
        <v>3.2799999999999999E-6</v>
      </c>
      <c r="D132">
        <v>993193.01930000004</v>
      </c>
      <c r="E132">
        <v>3483.315865</v>
      </c>
      <c r="F132">
        <v>1404673.152</v>
      </c>
      <c r="G132">
        <v>935.98272069999996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1.9283712731891398E-3</v>
      </c>
      <c r="M132" s="1">
        <f t="shared" si="11"/>
        <v>686835.61087860016</v>
      </c>
      <c r="N132" s="1">
        <f t="shared" si="12"/>
        <v>86351.812130172606</v>
      </c>
      <c r="O132" s="1"/>
    </row>
    <row r="133" spans="1:15" x14ac:dyDescent="0.25">
      <c r="A133">
        <v>132</v>
      </c>
      <c r="B133">
        <v>642089.01930000004</v>
      </c>
      <c r="C133" s="1">
        <v>4.3399999999999998E-5</v>
      </c>
      <c r="D133">
        <v>990589.44629999995</v>
      </c>
      <c r="E133">
        <v>4489.7943329999998</v>
      </c>
      <c r="F133">
        <v>1408307.291</v>
      </c>
      <c r="G133">
        <v>935.98272069999996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2.8364396497700901E-2</v>
      </c>
      <c r="M133" s="1">
        <f t="shared" si="11"/>
        <v>984132.11097648623</v>
      </c>
      <c r="N133" s="1">
        <f t="shared" si="12"/>
        <v>95992.756841652867</v>
      </c>
      <c r="O133" s="1"/>
    </row>
    <row r="134" spans="1:15" x14ac:dyDescent="0.25">
      <c r="A134">
        <v>133</v>
      </c>
      <c r="B134">
        <v>645309.62470000004</v>
      </c>
      <c r="C134">
        <v>520.77401929999996</v>
      </c>
      <c r="D134">
        <v>1041246.2439999999</v>
      </c>
      <c r="E134">
        <v>6012.6216729999996</v>
      </c>
      <c r="F134">
        <v>1426175.077</v>
      </c>
      <c r="G134">
        <v>0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199772.26474604005</v>
      </c>
      <c r="M134" s="1">
        <f t="shared" si="11"/>
        <v>773558.02917951241</v>
      </c>
      <c r="N134" s="1">
        <f t="shared" si="12"/>
        <v>0</v>
      </c>
      <c r="O134" s="1"/>
    </row>
    <row r="135" spans="1:15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3261.0895329999998</v>
      </c>
      <c r="F135">
        <v>1473526.0689999999</v>
      </c>
      <c r="G135">
        <v>935.98272069999996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1485056.7862569359</v>
      </c>
      <c r="M135" s="1">
        <f t="shared" si="11"/>
        <v>2245075.0956046293</v>
      </c>
      <c r="N135" s="1">
        <f t="shared" si="12"/>
        <v>301494.68415520608</v>
      </c>
      <c r="O135" s="1"/>
    </row>
    <row r="136" spans="1:15" x14ac:dyDescent="0.25">
      <c r="A136">
        <v>135</v>
      </c>
      <c r="B136">
        <v>617862.22849999997</v>
      </c>
      <c r="C136">
        <v>0</v>
      </c>
      <c r="D136">
        <v>1006591.963</v>
      </c>
      <c r="E136">
        <v>4824.2378879999997</v>
      </c>
      <c r="F136">
        <v>1401314.7949999999</v>
      </c>
      <c r="G136">
        <v>935.98272069999996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0</v>
      </c>
      <c r="M136" s="1">
        <f t="shared" si="11"/>
        <v>1041535.9743709229</v>
      </c>
      <c r="N136" s="1">
        <f t="shared" si="12"/>
        <v>94549.028154898013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3384.845542</v>
      </c>
      <c r="F137">
        <v>1271853.504</v>
      </c>
      <c r="G137">
        <v>2222.6543630000001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1392805.0554584933</v>
      </c>
      <c r="N137" s="1">
        <f t="shared" si="12"/>
        <v>427924.43836665642</v>
      </c>
      <c r="O137" s="1"/>
    </row>
    <row r="138" spans="1:15" x14ac:dyDescent="0.25">
      <c r="A138">
        <v>137</v>
      </c>
      <c r="B138">
        <v>617862.22849999997</v>
      </c>
      <c r="C138">
        <v>0</v>
      </c>
      <c r="D138">
        <v>1006828.188</v>
      </c>
      <c r="E138">
        <v>4824.2378879999997</v>
      </c>
      <c r="F138">
        <v>1403728.7620000001</v>
      </c>
      <c r="G138">
        <v>935.98272069999996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0</v>
      </c>
      <c r="M138" s="1">
        <f t="shared" si="11"/>
        <v>326962.42167235602</v>
      </c>
      <c r="N138" s="1">
        <f t="shared" si="12"/>
        <v>29681.143976774263</v>
      </c>
      <c r="O138" s="1"/>
    </row>
    <row r="139" spans="1:15" x14ac:dyDescent="0.25">
      <c r="A139">
        <v>138</v>
      </c>
      <c r="B139">
        <v>684073.38219999999</v>
      </c>
      <c r="C139">
        <v>520.77401359999999</v>
      </c>
      <c r="D139">
        <v>1065427.6100000001</v>
      </c>
      <c r="E139">
        <v>6012.6216729999996</v>
      </c>
      <c r="F139">
        <v>1445122.47</v>
      </c>
      <c r="G139">
        <v>0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103938.38362962712</v>
      </c>
      <c r="M139" s="1">
        <f t="shared" si="11"/>
        <v>402470.14358511433</v>
      </c>
      <c r="N139" s="1">
        <f t="shared" si="12"/>
        <v>0</v>
      </c>
      <c r="O139" s="1"/>
    </row>
    <row r="140" spans="1:15" x14ac:dyDescent="0.25">
      <c r="A140">
        <v>139</v>
      </c>
      <c r="B140">
        <v>661278.17319999996</v>
      </c>
      <c r="C140" s="1">
        <v>1.9199999999999999E-5</v>
      </c>
      <c r="D140">
        <v>1049835.898</v>
      </c>
      <c r="E140">
        <v>4659.1487020000004</v>
      </c>
      <c r="F140">
        <v>1434412.6259999999</v>
      </c>
      <c r="G140">
        <v>935.98272069999996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3.1181533255516805E-3</v>
      </c>
      <c r="M140" s="1">
        <f t="shared" si="11"/>
        <v>253773.31123598386</v>
      </c>
      <c r="N140" s="1">
        <f t="shared" si="12"/>
        <v>23853.432579117041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3860.9533569999999</v>
      </c>
      <c r="F141">
        <v>1419902.466</v>
      </c>
      <c r="G141">
        <v>935.98272069999996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2299707.6215716712</v>
      </c>
      <c r="M141" s="1">
        <f t="shared" si="11"/>
        <v>429068.58885992115</v>
      </c>
      <c r="N141" s="1">
        <f t="shared" si="12"/>
        <v>48668.019826626347</v>
      </c>
      <c r="O141" s="1"/>
    </row>
    <row r="142" spans="1:15" x14ac:dyDescent="0.25">
      <c r="A142">
        <v>141</v>
      </c>
      <c r="B142">
        <v>588073.7831</v>
      </c>
      <c r="C142" s="1">
        <v>-2.7199999999999998E-6</v>
      </c>
      <c r="D142">
        <v>989478.98499999999</v>
      </c>
      <c r="E142">
        <v>3483.3158790000002</v>
      </c>
      <c r="F142">
        <v>1380284.493</v>
      </c>
      <c r="G142">
        <v>935.98272069999996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-7.1595258203825196E-4</v>
      </c>
      <c r="M142" s="1">
        <f t="shared" si="11"/>
        <v>307504.41260306945</v>
      </c>
      <c r="N142" s="1">
        <f t="shared" si="12"/>
        <v>38660.725709328057</v>
      </c>
      <c r="O142" s="1"/>
    </row>
    <row r="143" spans="1:15" x14ac:dyDescent="0.25">
      <c r="A143">
        <v>142</v>
      </c>
      <c r="B143">
        <v>654730.73620000004</v>
      </c>
      <c r="C143" s="1">
        <v>8.5799999999999992E-6</v>
      </c>
      <c r="D143">
        <v>1026039.214</v>
      </c>
      <c r="E143">
        <v>4824.2378879999997</v>
      </c>
      <c r="F143">
        <v>1431011.3740000001</v>
      </c>
      <c r="G143">
        <v>935.98272069999996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6.1558931119407145E-3</v>
      </c>
      <c r="M143" s="1">
        <f t="shared" si="11"/>
        <v>1160848.7407481391</v>
      </c>
      <c r="N143" s="1">
        <f t="shared" si="12"/>
        <v>105380.05692877376</v>
      </c>
      <c r="O143" s="1"/>
    </row>
    <row r="144" spans="1:15" x14ac:dyDescent="0.25">
      <c r="A144">
        <v>143</v>
      </c>
      <c r="B144">
        <v>691644.60439999995</v>
      </c>
      <c r="C144" s="1">
        <v>-2.4300000000000001E-5</v>
      </c>
      <c r="D144">
        <v>1077478.1950000001</v>
      </c>
      <c r="E144">
        <v>4824.2378879999997</v>
      </c>
      <c r="F144">
        <v>1464323.0179999999</v>
      </c>
      <c r="G144">
        <v>935.98272069999996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-5.4787205437845082E-3</v>
      </c>
      <c r="M144" s="1">
        <f t="shared" si="11"/>
        <v>364791.51421775512</v>
      </c>
      <c r="N144" s="1">
        <f t="shared" si="12"/>
        <v>33115.210609287336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5577.5258160000003</v>
      </c>
      <c r="F145">
        <v>1391643.9450000001</v>
      </c>
      <c r="G145">
        <v>2222.6543630000001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-4.0449970656881495E-2</v>
      </c>
      <c r="M145" s="1">
        <f t="shared" si="11"/>
        <v>1599711.9765735369</v>
      </c>
      <c r="N145" s="1">
        <f t="shared" si="12"/>
        <v>298274.28797858011</v>
      </c>
      <c r="O145" s="1"/>
    </row>
    <row r="146" spans="1:15" x14ac:dyDescent="0.25">
      <c r="A146">
        <v>145</v>
      </c>
      <c r="B146">
        <v>695087.51100000006</v>
      </c>
      <c r="C146" s="1">
        <v>-1.2099999999999999E-5</v>
      </c>
      <c r="D146">
        <v>1091212.442</v>
      </c>
      <c r="E146">
        <v>4659.1487020000004</v>
      </c>
      <c r="F146">
        <v>1467470.861</v>
      </c>
      <c r="G146">
        <v>935.98272069999996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-5.6990531976628244E-3</v>
      </c>
      <c r="M146" s="1">
        <f t="shared" si="11"/>
        <v>735981.75654892495</v>
      </c>
      <c r="N146" s="1">
        <f t="shared" si="12"/>
        <v>69178.634757911437</v>
      </c>
      <c r="O146" s="1"/>
    </row>
    <row r="147" spans="1:15" x14ac:dyDescent="0.25">
      <c r="A147">
        <v>146</v>
      </c>
      <c r="B147">
        <v>757147.87699999998</v>
      </c>
      <c r="C147" s="1">
        <v>3.96E-5</v>
      </c>
      <c r="D147">
        <v>1204923.44</v>
      </c>
      <c r="E147">
        <v>4824.2378879999997</v>
      </c>
      <c r="F147">
        <v>1577093.3430000001</v>
      </c>
      <c r="G147">
        <v>0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0.17134415487446403</v>
      </c>
      <c r="M147" s="1">
        <f t="shared" si="11"/>
        <v>7000772.4209609535</v>
      </c>
      <c r="N147" s="1">
        <f t="shared" si="12"/>
        <v>0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-2.9200000000000002E-5</v>
      </c>
      <c r="F148">
        <v>792492.29980000004</v>
      </c>
      <c r="G148" s="1">
        <v>-2.5899999999999999E-5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-2.0428574966363577E-2</v>
      </c>
      <c r="N148" s="1">
        <f t="shared" si="12"/>
        <v>-8.4781025113326788E-3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4489.7943740000001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176442.33329271062</v>
      </c>
      <c r="N149" s="1">
        <f t="shared" si="12"/>
        <v>94411.737842396906</v>
      </c>
      <c r="O149" s="1"/>
    </row>
    <row r="150" spans="1:15" x14ac:dyDescent="0.25">
      <c r="A150">
        <v>149</v>
      </c>
      <c r="B150">
        <v>528047.92740000004</v>
      </c>
      <c r="C150" s="1">
        <v>3.8500000000000001E-5</v>
      </c>
      <c r="D150">
        <v>949631.4523</v>
      </c>
      <c r="E150">
        <v>4177.8222619999997</v>
      </c>
      <c r="F150">
        <v>1389819.6710000001</v>
      </c>
      <c r="G150">
        <v>2222.6543630000001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2.141301935860588E-2</v>
      </c>
      <c r="M150" s="1">
        <f t="shared" si="11"/>
        <v>779310.04979494459</v>
      </c>
      <c r="N150" s="1">
        <f t="shared" si="12"/>
        <v>193988.47440742055</v>
      </c>
      <c r="O150" s="1"/>
    </row>
    <row r="151" spans="1:15" x14ac:dyDescent="0.25">
      <c r="A151">
        <v>150</v>
      </c>
      <c r="B151">
        <v>521584.07689999999</v>
      </c>
      <c r="C151" s="1">
        <v>2.76E-5</v>
      </c>
      <c r="D151">
        <v>922666.41509999998</v>
      </c>
      <c r="E151">
        <v>3384.845515</v>
      </c>
      <c r="F151">
        <v>1347281.102</v>
      </c>
      <c r="G151">
        <v>2222.6543630000001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1.0969499175776701E-2</v>
      </c>
      <c r="M151" s="1">
        <f t="shared" si="11"/>
        <v>451190.25077755988</v>
      </c>
      <c r="N151" s="1">
        <f t="shared" si="12"/>
        <v>138623.37406368056</v>
      </c>
      <c r="O151" s="1"/>
    </row>
    <row r="152" spans="1:15" x14ac:dyDescent="0.25">
      <c r="A152">
        <v>151</v>
      </c>
      <c r="B152">
        <v>432159.64059999998</v>
      </c>
      <c r="C152" s="1">
        <v>4.1900000000000002E-5</v>
      </c>
      <c r="D152">
        <v>801522.96759999997</v>
      </c>
      <c r="E152" s="1">
        <v>-4.2200000000000003E-5</v>
      </c>
      <c r="F152">
        <v>1262048.7039999999</v>
      </c>
      <c r="G152">
        <v>4824.2378879999997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0.15261952028129952</v>
      </c>
      <c r="M152" s="1">
        <f t="shared" si="11"/>
        <v>-5.1552727695239324E-2</v>
      </c>
      <c r="N152" s="1">
        <f t="shared" si="12"/>
        <v>2757475.0491397763</v>
      </c>
      <c r="O152" s="1"/>
    </row>
    <row r="153" spans="1:15" x14ac:dyDescent="0.25">
      <c r="A153">
        <v>152</v>
      </c>
      <c r="B153">
        <v>407131.11700000003</v>
      </c>
      <c r="C153" s="1">
        <v>-3.7499999999999997E-5</v>
      </c>
      <c r="D153">
        <v>731423.63950000005</v>
      </c>
      <c r="E153">
        <v>6940.3854849999998</v>
      </c>
      <c r="F153">
        <v>1185115.6839999999</v>
      </c>
      <c r="G153">
        <v>4753.3697679999996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-0.231859403178</v>
      </c>
      <c r="M153" s="1">
        <f t="shared" si="11"/>
        <v>14391967.701754386</v>
      </c>
      <c r="N153" s="1">
        <f t="shared" si="12"/>
        <v>4611921.0135084502</v>
      </c>
      <c r="O153" s="1"/>
    </row>
    <row r="154" spans="1:15" x14ac:dyDescent="0.25">
      <c r="A154">
        <v>153</v>
      </c>
      <c r="B154">
        <v>478992.022</v>
      </c>
      <c r="C154" s="1">
        <v>-4.5199999999999999E-6</v>
      </c>
      <c r="D154">
        <v>891439.9584</v>
      </c>
      <c r="E154">
        <v>520.77399170000001</v>
      </c>
      <c r="F154">
        <v>1314338.6370000001</v>
      </c>
      <c r="G154">
        <v>5531.5245080000004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-2.5106636877159499E-2</v>
      </c>
      <c r="M154" s="1">
        <f t="shared" si="11"/>
        <v>970158.13615398551</v>
      </c>
      <c r="N154" s="1">
        <f t="shared" si="12"/>
        <v>4821495.4643789548</v>
      </c>
      <c r="O154" s="1"/>
    </row>
    <row r="155" spans="1:15" x14ac:dyDescent="0.25">
      <c r="A155">
        <v>154</v>
      </c>
      <c r="B155">
        <v>577520.01850000001</v>
      </c>
      <c r="C155">
        <v>0</v>
      </c>
      <c r="D155">
        <v>1000663.858</v>
      </c>
      <c r="E155">
        <v>2784.661247</v>
      </c>
      <c r="F155">
        <v>1434643.585</v>
      </c>
      <c r="G155">
        <v>2381.1184170000001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0</v>
      </c>
      <c r="M155" s="1">
        <f t="shared" si="11"/>
        <v>1083399.9758896609</v>
      </c>
      <c r="N155" s="1">
        <f t="shared" si="12"/>
        <v>433452.11151852529</v>
      </c>
      <c r="O155" s="1"/>
    </row>
    <row r="156" spans="1:15" x14ac:dyDescent="0.25">
      <c r="A156">
        <v>155</v>
      </c>
      <c r="B156">
        <v>507464.4423</v>
      </c>
      <c r="C156" s="1">
        <v>-3.2499999999999997E-5</v>
      </c>
      <c r="D156">
        <v>905013.24950000003</v>
      </c>
      <c r="E156">
        <v>520.77403249999998</v>
      </c>
      <c r="F156">
        <v>1342365.5930000001</v>
      </c>
      <c r="G156">
        <v>3904.5555650000001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-2.7822013567440625E-2</v>
      </c>
      <c r="M156" s="1">
        <f t="shared" si="11"/>
        <v>149519.43759135131</v>
      </c>
      <c r="N156" s="1">
        <f t="shared" si="12"/>
        <v>524521.89283948368</v>
      </c>
      <c r="O156" s="1"/>
    </row>
    <row r="157" spans="1:15" x14ac:dyDescent="0.25">
      <c r="A157">
        <v>156</v>
      </c>
      <c r="B157">
        <v>461071.71620000002</v>
      </c>
      <c r="C157" s="1">
        <v>-4.3699999999999998E-5</v>
      </c>
      <c r="D157">
        <v>851750.37659999996</v>
      </c>
      <c r="E157">
        <v>867.95668560000001</v>
      </c>
      <c r="F157">
        <v>1281744.27</v>
      </c>
      <c r="G157">
        <v>4754.1790689999998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-0.18308855806278374</v>
      </c>
      <c r="M157" s="1">
        <f t="shared" si="11"/>
        <v>1219609.9450795851</v>
      </c>
      <c r="N157" s="1">
        <f t="shared" si="12"/>
        <v>3125662.7577038808</v>
      </c>
      <c r="O157" s="1"/>
    </row>
    <row r="158" spans="1:15" x14ac:dyDescent="0.25">
      <c r="A158">
        <v>157</v>
      </c>
      <c r="B158">
        <v>428680.88860000001</v>
      </c>
      <c r="C158" s="1">
        <v>4.6300000000000001E-5</v>
      </c>
      <c r="D158">
        <v>790912.8273</v>
      </c>
      <c r="E158">
        <v>520.77401269999996</v>
      </c>
      <c r="F158">
        <v>1200485.1610000001</v>
      </c>
      <c r="G158">
        <v>3904.5555650000001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0.32502944782163701</v>
      </c>
      <c r="M158" s="1">
        <f t="shared" si="11"/>
        <v>1226123.3418749673</v>
      </c>
      <c r="N158" s="1">
        <f t="shared" si="12"/>
        <v>4301304.0374363419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867.95671489999995</v>
      </c>
      <c r="F159">
        <v>1189368.7180000001</v>
      </c>
      <c r="G159">
        <v>3904.5555650000001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1208989.465572523</v>
      </c>
      <c r="N159" s="1">
        <f t="shared" si="12"/>
        <v>2544718.4290776928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2784.6612110000001</v>
      </c>
      <c r="F160">
        <v>1236645.5870000001</v>
      </c>
      <c r="G160">
        <v>2823.0509809999999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5659301.67163321</v>
      </c>
      <c r="N160" s="1">
        <f t="shared" si="12"/>
        <v>2684434.9142524027</v>
      </c>
      <c r="O160" s="1"/>
    </row>
    <row r="161" spans="1:15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3745.2742210000001</v>
      </c>
      <c r="F161">
        <v>1329881.0360000001</v>
      </c>
      <c r="G161">
        <v>2222.6543630000001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1.4742503970992202E-2</v>
      </c>
      <c r="M161" s="1">
        <f t="shared" si="11"/>
        <v>1006422.1552231851</v>
      </c>
      <c r="N161" s="1">
        <f t="shared" si="12"/>
        <v>279455.18886391353</v>
      </c>
      <c r="O161" s="1"/>
    </row>
    <row r="162" spans="1:15" x14ac:dyDescent="0.25">
      <c r="A162">
        <v>161</v>
      </c>
      <c r="B162">
        <v>676738.40500000003</v>
      </c>
      <c r="C162">
        <v>1316.930783</v>
      </c>
      <c r="D162">
        <v>1172954.585</v>
      </c>
      <c r="E162">
        <v>4329.268419</v>
      </c>
      <c r="F162">
        <v>1559221.1610000001</v>
      </c>
      <c r="G162">
        <v>0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588320.25812324707</v>
      </c>
      <c r="M162" s="1">
        <f t="shared" si="11"/>
        <v>648647.13476241915</v>
      </c>
      <c r="N162" s="1">
        <f t="shared" si="12"/>
        <v>0</v>
      </c>
      <c r="O162" s="1"/>
    </row>
    <row r="163" spans="1:15" x14ac:dyDescent="0.25">
      <c r="A163">
        <v>162</v>
      </c>
      <c r="B163">
        <v>664079.1875</v>
      </c>
      <c r="C163">
        <v>520.77401569999995</v>
      </c>
      <c r="D163">
        <v>1125072.8940000001</v>
      </c>
      <c r="E163">
        <v>6012.6216729999996</v>
      </c>
      <c r="F163">
        <v>1518312.091</v>
      </c>
      <c r="G163">
        <v>0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171599.31919386293</v>
      </c>
      <c r="M163" s="1">
        <f t="shared" si="11"/>
        <v>664466.77295527514</v>
      </c>
      <c r="N163" s="1">
        <f t="shared" si="12"/>
        <v>0</v>
      </c>
      <c r="O163" s="1"/>
    </row>
    <row r="164" spans="1:15" x14ac:dyDescent="0.25">
      <c r="A164">
        <v>163</v>
      </c>
      <c r="B164">
        <v>102828.5062</v>
      </c>
      <c r="C164" s="1">
        <v>4.9100000000000001E-5</v>
      </c>
      <c r="D164">
        <v>572403.46440000006</v>
      </c>
      <c r="E164">
        <v>3802.7212169999998</v>
      </c>
      <c r="F164">
        <v>956857.34400000004</v>
      </c>
      <c r="G164">
        <v>2222.6543630000001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0.60827765895671448</v>
      </c>
      <c r="M164" s="1">
        <f t="shared" si="11"/>
        <v>15800033.162466232</v>
      </c>
      <c r="N164" s="1">
        <f t="shared" si="12"/>
        <v>4320948.8091727374</v>
      </c>
      <c r="O164" s="1"/>
    </row>
    <row r="165" spans="1:15" x14ac:dyDescent="0.25">
      <c r="A165">
        <v>164</v>
      </c>
      <c r="B165">
        <v>245372.50649999999</v>
      </c>
      <c r="C165" s="1">
        <v>1.8E-5</v>
      </c>
      <c r="D165">
        <v>637800.96369999996</v>
      </c>
      <c r="E165">
        <v>3745.2742410000001</v>
      </c>
      <c r="F165">
        <v>1051222.3589999999</v>
      </c>
      <c r="G165">
        <v>2222.6543630000001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3.0472774981038002E-2</v>
      </c>
      <c r="M165" s="1">
        <f t="shared" si="11"/>
        <v>2126504.2754737656</v>
      </c>
      <c r="N165" s="1">
        <f t="shared" si="12"/>
        <v>590470.5571761349</v>
      </c>
      <c r="O165" s="1"/>
    </row>
    <row r="166" spans="1:15" x14ac:dyDescent="0.25">
      <c r="A166">
        <v>165</v>
      </c>
      <c r="B166">
        <v>394722.24339999998</v>
      </c>
      <c r="C166">
        <v>0</v>
      </c>
      <c r="D166">
        <v>752523.54489999998</v>
      </c>
      <c r="E166">
        <v>4377.7587210000002</v>
      </c>
      <c r="F166">
        <v>1184271.48</v>
      </c>
      <c r="G166">
        <v>441.18717779999997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0</v>
      </c>
      <c r="M166" s="1">
        <f t="shared" si="11"/>
        <v>7221156.4069687985</v>
      </c>
      <c r="N166" s="1">
        <f t="shared" si="12"/>
        <v>340503.42923420883</v>
      </c>
      <c r="O166" s="1"/>
    </row>
    <row r="167" spans="1:15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5308.0123359999998</v>
      </c>
      <c r="F167">
        <v>1074091.0549999999</v>
      </c>
      <c r="G167">
        <v>935.98272069999996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19418458.020094287</v>
      </c>
      <c r="M167" s="1">
        <f t="shared" si="11"/>
        <v>4980881.4276042031</v>
      </c>
      <c r="N167" s="1">
        <f t="shared" si="12"/>
        <v>410946.97615090315</v>
      </c>
      <c r="O167" s="1"/>
    </row>
    <row r="168" spans="1:15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4489.794339</v>
      </c>
      <c r="F168">
        <v>1010780.121</v>
      </c>
      <c r="G168">
        <v>935.98272069999996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21711271.358582128</v>
      </c>
      <c r="M168" s="1">
        <f t="shared" si="11"/>
        <v>8327371.0196211329</v>
      </c>
      <c r="N168" s="1">
        <f t="shared" si="12"/>
        <v>812256.08984073857</v>
      </c>
      <c r="O168" s="1"/>
    </row>
    <row r="169" spans="1:15" x14ac:dyDescent="0.25">
      <c r="A169">
        <v>168</v>
      </c>
      <c r="B169">
        <v>548999.27469999995</v>
      </c>
      <c r="C169" s="1">
        <v>3.7100000000000001E-6</v>
      </c>
      <c r="D169">
        <v>926535.13150000002</v>
      </c>
      <c r="E169">
        <v>4712.0206859999998</v>
      </c>
      <c r="F169">
        <v>1321189.67</v>
      </c>
      <c r="G169">
        <v>935.98272069999996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1.1025543014869568E-2</v>
      </c>
      <c r="M169" s="1">
        <f t="shared" si="11"/>
        <v>4696522.460616922</v>
      </c>
      <c r="N169" s="1">
        <f t="shared" si="12"/>
        <v>436496.45876912901</v>
      </c>
      <c r="O169" s="1"/>
    </row>
    <row r="170" spans="1:15" x14ac:dyDescent="0.25">
      <c r="A170">
        <v>169</v>
      </c>
      <c r="B170">
        <v>477002.73109999998</v>
      </c>
      <c r="C170" s="1">
        <v>-1.9700000000000001E-5</v>
      </c>
      <c r="D170">
        <v>850222.68319999997</v>
      </c>
      <c r="E170">
        <v>4377.7587860000003</v>
      </c>
      <c r="F170">
        <v>1243095.9099999999</v>
      </c>
      <c r="G170">
        <v>0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-5.4419388815338622E-2</v>
      </c>
      <c r="M170" s="1">
        <f t="shared" si="11"/>
        <v>4055854.8018970354</v>
      </c>
      <c r="N170" s="1">
        <f t="shared" si="12"/>
        <v>0</v>
      </c>
      <c r="O170" s="1"/>
    </row>
    <row r="171" spans="1:15" x14ac:dyDescent="0.25">
      <c r="A171">
        <v>170</v>
      </c>
      <c r="B171">
        <v>489271.78539999999</v>
      </c>
      <c r="C171">
        <v>2389.7067889999998</v>
      </c>
      <c r="D171">
        <v>865039.95</v>
      </c>
      <c r="E171">
        <v>2381.118414</v>
      </c>
      <c r="F171">
        <v>1252649.8470000001</v>
      </c>
      <c r="G171">
        <v>173.2106904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7972247.094063987</v>
      </c>
      <c r="M171" s="1">
        <f t="shared" si="11"/>
        <v>2664159.7581986594</v>
      </c>
      <c r="N171" s="1">
        <f t="shared" si="12"/>
        <v>90677.103995781756</v>
      </c>
      <c r="O171" s="1"/>
    </row>
    <row r="172" spans="1:15" x14ac:dyDescent="0.25">
      <c r="A172">
        <v>171</v>
      </c>
      <c r="B172">
        <v>532755.79310000001</v>
      </c>
      <c r="C172">
        <v>3407.7666730000001</v>
      </c>
      <c r="D172">
        <v>914735.38450000004</v>
      </c>
      <c r="E172">
        <v>2222.6543780000002</v>
      </c>
      <c r="F172">
        <v>1307230.7150000001</v>
      </c>
      <c r="G172">
        <v>0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11014421.300758863</v>
      </c>
      <c r="M172" s="1">
        <f t="shared" si="11"/>
        <v>2409388.8995002233</v>
      </c>
      <c r="N172" s="1">
        <f t="shared" si="12"/>
        <v>0</v>
      </c>
      <c r="O172" s="1"/>
    </row>
    <row r="173" spans="1:15" x14ac:dyDescent="0.25">
      <c r="A173">
        <v>172</v>
      </c>
      <c r="B173">
        <v>450180.64510000002</v>
      </c>
      <c r="C173">
        <v>1316.9307779999999</v>
      </c>
      <c r="D173">
        <v>796820.15319999994</v>
      </c>
      <c r="E173">
        <v>4329.2684609999997</v>
      </c>
      <c r="F173">
        <v>1218190.4010000001</v>
      </c>
      <c r="G173">
        <v>0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1373438.3150468969</v>
      </c>
      <c r="M173" s="1">
        <f t="shared" si="11"/>
        <v>1514271.9081188305</v>
      </c>
      <c r="N173" s="1">
        <f t="shared" si="12"/>
        <v>0</v>
      </c>
      <c r="O173" s="1"/>
    </row>
    <row r="174" spans="1:15" x14ac:dyDescent="0.25">
      <c r="A174">
        <v>173</v>
      </c>
      <c r="B174">
        <v>320642.55940000003</v>
      </c>
      <c r="C174" s="1">
        <v>1.13E-5</v>
      </c>
      <c r="D174">
        <v>693439.7548</v>
      </c>
      <c r="E174">
        <v>4377.7587659999999</v>
      </c>
      <c r="F174">
        <v>1105440.7150000001</v>
      </c>
      <c r="G174">
        <v>0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7.5457790521597248E-2</v>
      </c>
      <c r="M174" s="1">
        <f t="shared" si="11"/>
        <v>9804390.5860208645</v>
      </c>
      <c r="N174" s="1">
        <f t="shared" si="12"/>
        <v>0</v>
      </c>
      <c r="O174" s="1"/>
    </row>
    <row r="175" spans="1:15" x14ac:dyDescent="0.25">
      <c r="A175">
        <v>174</v>
      </c>
      <c r="B175">
        <v>648546.16240000003</v>
      </c>
      <c r="C175">
        <v>968.08064939999997</v>
      </c>
      <c r="D175">
        <v>1120177.7490000001</v>
      </c>
      <c r="E175">
        <v>3904.5555650000001</v>
      </c>
      <c r="F175">
        <v>1525823.693</v>
      </c>
      <c r="G175">
        <v>0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265811.12132617453</v>
      </c>
      <c r="M175" s="1">
        <f t="shared" si="11"/>
        <v>359564.12391414371</v>
      </c>
      <c r="N175" s="1">
        <f t="shared" si="12"/>
        <v>0</v>
      </c>
      <c r="O175" s="1"/>
    </row>
    <row r="176" spans="1:15" x14ac:dyDescent="0.25">
      <c r="A176">
        <v>175</v>
      </c>
      <c r="B176">
        <v>481084.4472</v>
      </c>
      <c r="C176" s="1">
        <v>3.4400000000000003E-5</v>
      </c>
      <c r="D176">
        <v>837568.92920000001</v>
      </c>
      <c r="E176">
        <v>4298.1263840000001</v>
      </c>
      <c r="F176">
        <v>1231243.8189999999</v>
      </c>
      <c r="G176">
        <v>935.98272069999996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6.0460742917049809E-2</v>
      </c>
      <c r="M176" s="1">
        <f t="shared" si="11"/>
        <v>2533595.9447006625</v>
      </c>
      <c r="N176" s="1">
        <f t="shared" si="12"/>
        <v>258148.54590368696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4824.2379300000002</v>
      </c>
      <c r="F177">
        <v>1359123.6769999999</v>
      </c>
      <c r="G177">
        <v>935.98272069999996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10050244.361852577</v>
      </c>
      <c r="M177" s="1">
        <f t="shared" si="11"/>
        <v>2342960.033007985</v>
      </c>
      <c r="N177" s="1">
        <f t="shared" si="12"/>
        <v>212690.29361359289</v>
      </c>
      <c r="O177" s="1"/>
    </row>
    <row r="178" spans="1:15" x14ac:dyDescent="0.25">
      <c r="A178">
        <v>177</v>
      </c>
      <c r="B178">
        <v>614430.53370000003</v>
      </c>
      <c r="C178" s="1">
        <v>3.6799999999999999E-6</v>
      </c>
      <c r="D178">
        <v>957222.26679999998</v>
      </c>
      <c r="E178">
        <v>3261.0895559999999</v>
      </c>
      <c r="F178">
        <v>1354775.6189999999</v>
      </c>
      <c r="G178">
        <v>935.98272069999996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9.3737242492108791E-4</v>
      </c>
      <c r="M178" s="1">
        <f t="shared" si="11"/>
        <v>278593.01114062575</v>
      </c>
      <c r="N178" s="1">
        <f t="shared" si="12"/>
        <v>37412.695670507208</v>
      </c>
      <c r="O178" s="1"/>
    </row>
    <row r="179" spans="1:15" x14ac:dyDescent="0.25">
      <c r="A179">
        <v>178</v>
      </c>
      <c r="B179">
        <v>543579.96250000002</v>
      </c>
      <c r="C179" s="1">
        <v>-1.6900000000000001E-5</v>
      </c>
      <c r="D179">
        <v>917518.48730000004</v>
      </c>
      <c r="E179">
        <v>3707.56864</v>
      </c>
      <c r="F179">
        <v>1290791.0630000001</v>
      </c>
      <c r="G179">
        <v>935.98272069999996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-8.2443465124611509E-2</v>
      </c>
      <c r="M179" s="1">
        <f t="shared" si="11"/>
        <v>6065992.5060928203</v>
      </c>
      <c r="N179" s="1">
        <f t="shared" si="12"/>
        <v>716513.17220841907</v>
      </c>
      <c r="O179" s="1"/>
    </row>
    <row r="180" spans="1:15" x14ac:dyDescent="0.25">
      <c r="A180">
        <v>179</v>
      </c>
      <c r="B180">
        <v>494666.22379999998</v>
      </c>
      <c r="C180">
        <v>2389.706803</v>
      </c>
      <c r="D180">
        <v>861392.56079999998</v>
      </c>
      <c r="E180">
        <v>2381.1184370000001</v>
      </c>
      <c r="F180">
        <v>1253545.3729999999</v>
      </c>
      <c r="G180">
        <v>0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8057559.4517877419</v>
      </c>
      <c r="M180" s="1">
        <f t="shared" si="11"/>
        <v>2692669.3903305712</v>
      </c>
      <c r="N180" s="1">
        <f t="shared" si="12"/>
        <v>0</v>
      </c>
      <c r="O180" s="1"/>
    </row>
    <row r="181" spans="1:15" x14ac:dyDescent="0.25">
      <c r="A181">
        <v>180</v>
      </c>
      <c r="B181">
        <v>388003.53320000001</v>
      </c>
      <c r="C181">
        <v>520.7739765</v>
      </c>
      <c r="D181">
        <v>750599.91760000004</v>
      </c>
      <c r="E181">
        <v>5138.7583649999997</v>
      </c>
      <c r="F181">
        <v>1150846.422</v>
      </c>
      <c r="G181">
        <v>0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3312665.3829499101</v>
      </c>
      <c r="M181" s="1">
        <f t="shared" si="11"/>
        <v>10963005.425720766</v>
      </c>
      <c r="N181" s="1">
        <f t="shared" si="12"/>
        <v>0</v>
      </c>
      <c r="O181" s="1"/>
    </row>
    <row r="182" spans="1:15" x14ac:dyDescent="0.25">
      <c r="A182">
        <v>181</v>
      </c>
      <c r="B182">
        <v>554074.38130000001</v>
      </c>
      <c r="C182" s="1">
        <v>-1.5500000000000001E-5</v>
      </c>
      <c r="D182">
        <v>931861.77980000002</v>
      </c>
      <c r="E182">
        <v>2067.9146780000001</v>
      </c>
      <c r="F182">
        <v>1339014.67</v>
      </c>
      <c r="G182">
        <v>1868.472237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-4.2094447077933254E-3</v>
      </c>
      <c r="M182" s="1">
        <f t="shared" si="11"/>
        <v>188351.40490814907</v>
      </c>
      <c r="N182" s="1">
        <f t="shared" si="12"/>
        <v>79628.140755259286</v>
      </c>
      <c r="O182" s="1"/>
    </row>
    <row r="183" spans="1:15" x14ac:dyDescent="0.25">
      <c r="A183">
        <v>182</v>
      </c>
      <c r="B183">
        <v>520149.02399999998</v>
      </c>
      <c r="C183" s="1">
        <v>-4.5899999999999998E-5</v>
      </c>
      <c r="D183">
        <v>885604.85679999995</v>
      </c>
      <c r="E183">
        <v>3261.0895329999998</v>
      </c>
      <c r="F183">
        <v>1250715.973</v>
      </c>
      <c r="G183">
        <v>935.98272069999996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-0.14405105945948443</v>
      </c>
      <c r="M183" s="1">
        <f t="shared" si="11"/>
        <v>3432492.7663533767</v>
      </c>
      <c r="N183" s="1">
        <f t="shared" si="12"/>
        <v>460954.88052172895</v>
      </c>
      <c r="O183" s="1"/>
    </row>
    <row r="184" spans="1:15" x14ac:dyDescent="0.25">
      <c r="A184">
        <v>183</v>
      </c>
      <c r="B184">
        <v>419907.26770000003</v>
      </c>
      <c r="C184" s="1">
        <v>-2.7300000000000001E-6</v>
      </c>
      <c r="D184">
        <v>810270.24639999995</v>
      </c>
      <c r="E184">
        <v>4298.1263580000004</v>
      </c>
      <c r="F184">
        <v>1214547.095</v>
      </c>
      <c r="G184">
        <v>935.98272069999996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-9.7502443983262504E-3</v>
      </c>
      <c r="M184" s="1">
        <f t="shared" si="11"/>
        <v>5148434.2480104612</v>
      </c>
      <c r="N184" s="1">
        <f t="shared" si="12"/>
        <v>524574.89349247923</v>
      </c>
      <c r="O184" s="1"/>
    </row>
    <row r="185" spans="1:15" x14ac:dyDescent="0.25">
      <c r="A185">
        <v>184</v>
      </c>
      <c r="B185">
        <v>531156.76379999996</v>
      </c>
      <c r="C185" s="1">
        <v>4.0399999999999999E-5</v>
      </c>
      <c r="D185">
        <v>885742.26540000003</v>
      </c>
      <c r="E185">
        <v>3261.0895609999998</v>
      </c>
      <c r="F185">
        <v>1255293.19</v>
      </c>
      <c r="G185">
        <v>1146.136514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4.9593700816669098E-2</v>
      </c>
      <c r="M185" s="1">
        <f t="shared" si="11"/>
        <v>1342613.5188637509</v>
      </c>
      <c r="N185" s="1">
        <f t="shared" si="12"/>
        <v>220784.36556657884</v>
      </c>
      <c r="O185" s="1"/>
    </row>
    <row r="186" spans="1:15" x14ac:dyDescent="0.25">
      <c r="A186">
        <v>185</v>
      </c>
      <c r="B186">
        <v>441353.17739999999</v>
      </c>
      <c r="C186" s="1">
        <v>-1.8300000000000001E-6</v>
      </c>
      <c r="D186">
        <v>838850.5736</v>
      </c>
      <c r="E186">
        <v>3707.5686879999998</v>
      </c>
      <c r="F186">
        <v>1224997.7320000001</v>
      </c>
      <c r="G186">
        <v>1146.136514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-2.7881349038781228E-3</v>
      </c>
      <c r="M186" s="1">
        <f t="shared" si="11"/>
        <v>1894501.8608855612</v>
      </c>
      <c r="N186" s="1">
        <f t="shared" si="12"/>
        <v>274022.2684891508</v>
      </c>
      <c r="O186" s="1"/>
    </row>
    <row r="187" spans="1:15" x14ac:dyDescent="0.25">
      <c r="A187">
        <v>186</v>
      </c>
      <c r="B187">
        <v>404581.50770000002</v>
      </c>
      <c r="C187" s="1">
        <v>4.95E-6</v>
      </c>
      <c r="D187">
        <v>715590.88910000003</v>
      </c>
      <c r="E187" s="1">
        <v>8.6400000000000003E-6</v>
      </c>
      <c r="F187">
        <v>1179532.9909999999</v>
      </c>
      <c r="G187">
        <v>3483.3158389999999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2.297896172468325E-2</v>
      </c>
      <c r="M187" s="1">
        <f t="shared" si="11"/>
        <v>1.3451852055221567E-2</v>
      </c>
      <c r="N187" s="1">
        <f t="shared" si="12"/>
        <v>2537493.1147210938</v>
      </c>
      <c r="O187" s="1"/>
    </row>
    <row r="188" spans="1:15" x14ac:dyDescent="0.25">
      <c r="A188">
        <v>187</v>
      </c>
      <c r="B188">
        <v>531248.28249999997</v>
      </c>
      <c r="C188" s="1">
        <v>3.7499999999999997E-5</v>
      </c>
      <c r="D188">
        <v>944944.00269999995</v>
      </c>
      <c r="E188">
        <v>1316.930754</v>
      </c>
      <c r="F188">
        <v>1370307.1170000001</v>
      </c>
      <c r="G188">
        <v>3904.5555650000001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0.15412628433515624</v>
      </c>
      <c r="M188" s="1">
        <f t="shared" si="11"/>
        <v>1815312.9992728627</v>
      </c>
      <c r="N188" s="1">
        <f t="shared" si="12"/>
        <v>2518279.1140015544</v>
      </c>
      <c r="O188" s="1"/>
    </row>
    <row r="189" spans="1:15" x14ac:dyDescent="0.25">
      <c r="A189">
        <v>188</v>
      </c>
      <c r="B189">
        <v>579759.68830000004</v>
      </c>
      <c r="C189" s="1">
        <v>-1.19E-5</v>
      </c>
      <c r="D189">
        <v>939626.61769999994</v>
      </c>
      <c r="E189">
        <v>3261.0895230000001</v>
      </c>
      <c r="F189">
        <v>1342467.5919999999</v>
      </c>
      <c r="G189">
        <v>1477.5657289999999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-1.8401534055939126E-2</v>
      </c>
      <c r="M189" s="1">
        <f t="shared" si="11"/>
        <v>1691269.9265540102</v>
      </c>
      <c r="N189" s="1">
        <f t="shared" si="12"/>
        <v>358542.54174174089</v>
      </c>
      <c r="O189" s="1"/>
    </row>
    <row r="190" spans="1:15" x14ac:dyDescent="0.25">
      <c r="A190">
        <v>189</v>
      </c>
      <c r="B190">
        <v>573563.61809999996</v>
      </c>
      <c r="C190" s="1">
        <v>4.3600000000000003E-5</v>
      </c>
      <c r="D190">
        <v>956348.83589999995</v>
      </c>
      <c r="E190">
        <v>3296.6195720000001</v>
      </c>
      <c r="F190">
        <v>1342688.8049999999</v>
      </c>
      <c r="G190">
        <v>2222.6543630000001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4.1306965288689101E-2</v>
      </c>
      <c r="M190" s="1">
        <f t="shared" si="11"/>
        <v>1047487.3094662855</v>
      </c>
      <c r="N190" s="1">
        <f t="shared" si="12"/>
        <v>330442.23272271798</v>
      </c>
      <c r="O190" s="1"/>
    </row>
    <row r="191" spans="1:15" x14ac:dyDescent="0.25">
      <c r="A191">
        <v>190</v>
      </c>
      <c r="B191">
        <v>532768.24300000002</v>
      </c>
      <c r="C191" s="1">
        <v>1.06E-5</v>
      </c>
      <c r="D191">
        <v>896551.15049999999</v>
      </c>
      <c r="E191">
        <v>2864.0715279999999</v>
      </c>
      <c r="F191">
        <v>1282580.7309999999</v>
      </c>
      <c r="G191">
        <v>2222.6543630000001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1.0444085967132352E-2</v>
      </c>
      <c r="M191" s="1">
        <f t="shared" si="11"/>
        <v>946436.69339182694</v>
      </c>
      <c r="N191" s="1">
        <f t="shared" si="12"/>
        <v>343655.51679596037</v>
      </c>
      <c r="O191" s="1"/>
    </row>
    <row r="192" spans="1:15" x14ac:dyDescent="0.25">
      <c r="A192">
        <v>191</v>
      </c>
      <c r="B192">
        <v>514073.04979999998</v>
      </c>
      <c r="C192" s="1">
        <v>4.6100000000000002E-5</v>
      </c>
      <c r="D192">
        <v>876823.60360000003</v>
      </c>
      <c r="E192">
        <v>2067.9147170000001</v>
      </c>
      <c r="F192">
        <v>1258174.6029999999</v>
      </c>
      <c r="G192">
        <v>1477.5657289999999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1.6279188149710529E-2</v>
      </c>
      <c r="M192" s="1">
        <f t="shared" si="11"/>
        <v>244910.59772135664</v>
      </c>
      <c r="N192" s="1">
        <f t="shared" si="12"/>
        <v>81877.66366118571</v>
      </c>
      <c r="O192" s="1"/>
    </row>
    <row r="193" spans="1:15" x14ac:dyDescent="0.25">
      <c r="A193">
        <v>192</v>
      </c>
      <c r="B193">
        <v>643873.63230000006</v>
      </c>
      <c r="C193" s="1">
        <v>3.2100000000000001E-5</v>
      </c>
      <c r="D193">
        <v>1009040.7070000001</v>
      </c>
      <c r="E193">
        <v>3897.0161459999999</v>
      </c>
      <c r="F193">
        <v>1429353.1980000001</v>
      </c>
      <c r="G193">
        <v>2222.6543630000001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2.9089422312172951E-2</v>
      </c>
      <c r="M193" s="1">
        <f t="shared" si="11"/>
        <v>1184419.1113050773</v>
      </c>
      <c r="N193" s="1">
        <f t="shared" si="12"/>
        <v>316074.02850556804</v>
      </c>
      <c r="O193" s="1"/>
    </row>
    <row r="194" spans="1:15" x14ac:dyDescent="0.25">
      <c r="A194">
        <v>193</v>
      </c>
      <c r="B194">
        <v>539487.03980000003</v>
      </c>
      <c r="C194" s="1">
        <v>-4.6400000000000003E-5</v>
      </c>
      <c r="D194">
        <v>942763.63540000003</v>
      </c>
      <c r="E194">
        <v>2864.0715289999998</v>
      </c>
      <c r="F194">
        <v>1335857.3759999999</v>
      </c>
      <c r="G194">
        <v>2222.6543630000001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-0.13243712702158122</v>
      </c>
      <c r="M194" s="1">
        <f t="shared" si="11"/>
        <v>2741692.6480419319</v>
      </c>
      <c r="N194" s="1">
        <f t="shared" si="12"/>
        <v>995521.21141132875</v>
      </c>
      <c r="O194" s="1"/>
    </row>
    <row r="195" spans="1:15" x14ac:dyDescent="0.25">
      <c r="A195">
        <v>194</v>
      </c>
      <c r="B195">
        <v>745287.24690000003</v>
      </c>
      <c r="C195" s="1">
        <v>1.5299999999999999E-5</v>
      </c>
      <c r="D195">
        <v>1133185.8160000001</v>
      </c>
      <c r="E195">
        <v>4824.2378879999997</v>
      </c>
      <c r="F195">
        <v>1511271.585</v>
      </c>
      <c r="G195">
        <v>935.98272069999996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9.4874674977634479E-3</v>
      </c>
      <c r="M195" s="1">
        <f t="shared" ref="M195:M258" si="15">$U$3*$K195*E195</f>
        <v>1003299.7924309321</v>
      </c>
      <c r="N195" s="1">
        <f t="shared" ref="N195:N258" si="16">$U$4*$K195*G195</f>
        <v>91078.006575481588</v>
      </c>
      <c r="O195" s="1"/>
    </row>
    <row r="196" spans="1:15" x14ac:dyDescent="0.25">
      <c r="A196">
        <v>195</v>
      </c>
      <c r="B196">
        <v>617195.20539999998</v>
      </c>
      <c r="C196" s="1">
        <v>-4.7700000000000001E-5</v>
      </c>
      <c r="D196">
        <v>1004056.251</v>
      </c>
      <c r="E196">
        <v>4489.7938709999999</v>
      </c>
      <c r="F196">
        <v>1428525.737</v>
      </c>
      <c r="G196">
        <v>1477.5657289999999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-9.6019650953559452E-2</v>
      </c>
      <c r="M196" s="1">
        <f t="shared" si="15"/>
        <v>3031176.9068090115</v>
      </c>
      <c r="N196" s="1">
        <f t="shared" si="16"/>
        <v>466740.37242609914</v>
      </c>
      <c r="O196" s="1"/>
    </row>
    <row r="197" spans="1:15" x14ac:dyDescent="0.25">
      <c r="A197">
        <v>196</v>
      </c>
      <c r="B197">
        <v>439019.63370000001</v>
      </c>
      <c r="C197" s="1">
        <v>-5.7200000000000003E-6</v>
      </c>
      <c r="D197">
        <v>855608.03189999994</v>
      </c>
      <c r="E197">
        <v>2067.9146839999999</v>
      </c>
      <c r="F197">
        <v>1265290.149</v>
      </c>
      <c r="G197">
        <v>1868.472237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-3.7298464573298502E-2</v>
      </c>
      <c r="M197" s="1">
        <f t="shared" si="15"/>
        <v>4522417.7737567378</v>
      </c>
      <c r="N197" s="1">
        <f t="shared" si="16"/>
        <v>1911914.1594592531</v>
      </c>
      <c r="O197" s="1"/>
    </row>
    <row r="198" spans="1:15" x14ac:dyDescent="0.25">
      <c r="A198">
        <v>197</v>
      </c>
      <c r="B198">
        <v>744884.93689999997</v>
      </c>
      <c r="C198">
        <v>520.7739431</v>
      </c>
      <c r="D198">
        <v>1145572.598</v>
      </c>
      <c r="E198">
        <v>6012.6216729999996</v>
      </c>
      <c r="F198">
        <v>1526475.977</v>
      </c>
      <c r="G198">
        <v>0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814999.82788542635</v>
      </c>
      <c r="M198" s="1">
        <f t="shared" si="15"/>
        <v>3155842.2471206184</v>
      </c>
      <c r="N198" s="1">
        <f t="shared" si="16"/>
        <v>0</v>
      </c>
      <c r="O198" s="1"/>
    </row>
    <row r="199" spans="1:15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3261.0895099999998</v>
      </c>
      <c r="F199">
        <v>1422400.8419999999</v>
      </c>
      <c r="G199">
        <v>935.98272069999996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2522565.8676033122</v>
      </c>
      <c r="M199" s="1">
        <f t="shared" si="15"/>
        <v>3813557.8507581223</v>
      </c>
      <c r="N199" s="1">
        <f t="shared" si="16"/>
        <v>512128.71679974912</v>
      </c>
      <c r="O199" s="1"/>
    </row>
    <row r="200" spans="1:15" x14ac:dyDescent="0.25">
      <c r="A200">
        <v>199</v>
      </c>
      <c r="B200">
        <v>419798.50959999999</v>
      </c>
      <c r="C200" s="1">
        <v>1.36E-5</v>
      </c>
      <c r="D200">
        <v>855397.5355</v>
      </c>
      <c r="E200">
        <v>2784.6612209999998</v>
      </c>
      <c r="F200">
        <v>1259111.142</v>
      </c>
      <c r="G200">
        <v>2381.118418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9.1584400154312004E-2</v>
      </c>
      <c r="M200" s="1">
        <f t="shared" si="15"/>
        <v>6289239.0280204145</v>
      </c>
      <c r="N200" s="1">
        <f t="shared" si="16"/>
        <v>2516230.4077951657</v>
      </c>
      <c r="O200" s="1"/>
    </row>
    <row r="201" spans="1:15" x14ac:dyDescent="0.25">
      <c r="A201">
        <v>200</v>
      </c>
      <c r="B201">
        <v>629711.44350000005</v>
      </c>
      <c r="C201" s="1">
        <v>1.15E-6</v>
      </c>
      <c r="D201">
        <v>1023370.822</v>
      </c>
      <c r="E201">
        <v>4824.2378879999997</v>
      </c>
      <c r="F201">
        <v>1415433.0819999999</v>
      </c>
      <c r="G201">
        <v>935.98272069999996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3.3911304020602128E-3</v>
      </c>
      <c r="M201" s="1">
        <f t="shared" si="15"/>
        <v>4771099.812162309</v>
      </c>
      <c r="N201" s="1">
        <f t="shared" si="16"/>
        <v>433113.07681179646</v>
      </c>
      <c r="O201" s="1"/>
    </row>
    <row r="202" spans="1:15" x14ac:dyDescent="0.25">
      <c r="A202">
        <v>201</v>
      </c>
      <c r="B202">
        <v>580883.29169999994</v>
      </c>
      <c r="C202">
        <v>723.46589100000006</v>
      </c>
      <c r="D202">
        <v>979167.30790000001</v>
      </c>
      <c r="E202">
        <v>3261.0894969999999</v>
      </c>
      <c r="F202">
        <v>1382153.2590000001</v>
      </c>
      <c r="G202">
        <v>935.98272069999996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4482755.0067837127</v>
      </c>
      <c r="M202" s="1">
        <f t="shared" si="15"/>
        <v>6776926.8601193335</v>
      </c>
      <c r="N202" s="1">
        <f t="shared" si="16"/>
        <v>910084.2327235546</v>
      </c>
      <c r="O202" s="1"/>
    </row>
    <row r="203" spans="1:15" x14ac:dyDescent="0.25">
      <c r="A203">
        <v>202</v>
      </c>
      <c r="B203">
        <v>415699.413</v>
      </c>
      <c r="C203" s="1">
        <v>1.8300000000000001E-5</v>
      </c>
      <c r="D203">
        <v>860464.37179999996</v>
      </c>
      <c r="E203">
        <v>2784.6612190000001</v>
      </c>
      <c r="F203">
        <v>1263096.2590000001</v>
      </c>
      <c r="G203">
        <v>1887.06826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9.1959773801580755E-2</v>
      </c>
      <c r="M203" s="1">
        <f t="shared" si="15"/>
        <v>4693127.0153252427</v>
      </c>
      <c r="N203" s="1">
        <f t="shared" si="16"/>
        <v>1488062.6964648794</v>
      </c>
      <c r="O203" s="1"/>
    </row>
    <row r="204" spans="1:15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4977.129113</v>
      </c>
      <c r="F204">
        <v>1333460.08</v>
      </c>
      <c r="G204">
        <v>2222.6543630000001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-1.5147615892182798E-2</v>
      </c>
      <c r="M204" s="1">
        <f t="shared" si="15"/>
        <v>1780647.619804587</v>
      </c>
      <c r="N204" s="1">
        <f t="shared" si="16"/>
        <v>372061.46091922431</v>
      </c>
      <c r="O204" s="1"/>
    </row>
    <row r="205" spans="1:15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2784.6612879999998</v>
      </c>
      <c r="F205">
        <v>1279752.2649999999</v>
      </c>
      <c r="G205">
        <v>2222.6543630000001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1.6038866637136981E-2</v>
      </c>
      <c r="M205" s="1">
        <f t="shared" si="15"/>
        <v>2057585.1234291967</v>
      </c>
      <c r="N205" s="1">
        <f t="shared" si="16"/>
        <v>768424.2190781869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520.77403059999995</v>
      </c>
      <c r="F206">
        <v>1261879.8459999999</v>
      </c>
      <c r="G206">
        <v>5177.3423819999998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9.549798740815775E-3</v>
      </c>
      <c r="M206" s="1">
        <f t="shared" si="15"/>
        <v>1062397.4577215179</v>
      </c>
      <c r="N206" s="1">
        <f t="shared" si="16"/>
        <v>4941835.3077514609</v>
      </c>
      <c r="O206" s="1"/>
    </row>
    <row r="207" spans="1:15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4489.7943329999998</v>
      </c>
      <c r="F207">
        <v>1474526.3870000001</v>
      </c>
      <c r="G207">
        <v>1267.411936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12618850.965928944</v>
      </c>
      <c r="M207" s="1">
        <f t="shared" si="15"/>
        <v>4839967.7782891942</v>
      </c>
      <c r="N207" s="1">
        <f t="shared" si="16"/>
        <v>639259.94620998634</v>
      </c>
      <c r="O207" s="1"/>
    </row>
    <row r="208" spans="1:15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>
        <v>2389.7068060000001</v>
      </c>
      <c r="F208">
        <v>1331963.4809999999</v>
      </c>
      <c r="G208">
        <v>2973.8966049999999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6.0333623250091423E-2</v>
      </c>
      <c r="M208" s="1">
        <f t="shared" si="15"/>
        <v>1989944.1648801242</v>
      </c>
      <c r="N208" s="1">
        <f t="shared" si="16"/>
        <v>1158686.1443356243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4977.1291520000004</v>
      </c>
      <c r="F209">
        <v>1471351.31</v>
      </c>
      <c r="G209">
        <v>2222.6543630000001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-1.3953679763404517E-2</v>
      </c>
      <c r="M209" s="1">
        <f t="shared" si="15"/>
        <v>4470674.7555082394</v>
      </c>
      <c r="N209" s="1">
        <f t="shared" si="16"/>
        <v>934135.28274491592</v>
      </c>
      <c r="O209" s="1"/>
    </row>
    <row r="210" spans="1:15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4489.7945110000001</v>
      </c>
      <c r="F210">
        <v>1468726.554</v>
      </c>
      <c r="G210">
        <v>1477.5657289999999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6179061.0379040111</v>
      </c>
      <c r="M210" s="1">
        <f t="shared" si="15"/>
        <v>2369982.6270445758</v>
      </c>
      <c r="N210" s="1">
        <f t="shared" si="16"/>
        <v>364929.67923656752</v>
      </c>
      <c r="O210" s="1"/>
    </row>
    <row r="211" spans="1:15" x14ac:dyDescent="0.25">
      <c r="A211">
        <v>212</v>
      </c>
      <c r="B211">
        <v>450404.78600000002</v>
      </c>
      <c r="C211" s="1">
        <v>2.2399999999999999E-5</v>
      </c>
      <c r="D211">
        <v>928431.35959999997</v>
      </c>
      <c r="E211">
        <v>2864.071539</v>
      </c>
      <c r="F211">
        <v>1362611.6769999999</v>
      </c>
      <c r="G211">
        <v>2222.6543630000001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0.133327141704848</v>
      </c>
      <c r="M211" s="1">
        <f t="shared" si="15"/>
        <v>5717386.4616353279</v>
      </c>
      <c r="N211" s="1">
        <f t="shared" si="16"/>
        <v>2076009.3151162891</v>
      </c>
      <c r="O211" s="1"/>
    </row>
    <row r="212" spans="1:15" x14ac:dyDescent="0.25">
      <c r="A212">
        <v>213</v>
      </c>
      <c r="B212">
        <v>421201.83020000003</v>
      </c>
      <c r="C212" s="1">
        <v>3.0800000000000003E-5</v>
      </c>
      <c r="D212">
        <v>866398.30330000003</v>
      </c>
      <c r="E212">
        <v>3802.7211419999999</v>
      </c>
      <c r="F212">
        <v>1281586.537</v>
      </c>
      <c r="G212">
        <v>2823.0509809999999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8.4663610036905923E-2</v>
      </c>
      <c r="M212" s="1">
        <f t="shared" si="15"/>
        <v>3505772.1161985029</v>
      </c>
      <c r="N212" s="1">
        <f t="shared" si="16"/>
        <v>1217731.6739115007</v>
      </c>
      <c r="O212" s="1"/>
    </row>
    <row r="213" spans="1:15" x14ac:dyDescent="0.25">
      <c r="A213">
        <v>214</v>
      </c>
      <c r="B213">
        <v>263222.04350000003</v>
      </c>
      <c r="C213" s="1">
        <v>1.0699999999999999E-5</v>
      </c>
      <c r="D213">
        <v>798583.83829999994</v>
      </c>
      <c r="E213">
        <v>520.77401669999995</v>
      </c>
      <c r="F213">
        <v>1180350.307</v>
      </c>
      <c r="G213">
        <v>4568.2651020000003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6.8938843776022996E-2</v>
      </c>
      <c r="M213" s="1">
        <f t="shared" si="15"/>
        <v>1125311.2538341822</v>
      </c>
      <c r="N213" s="1">
        <f t="shared" si="16"/>
        <v>4618684.8666875707</v>
      </c>
      <c r="O213" s="1"/>
    </row>
    <row r="214" spans="1:15" x14ac:dyDescent="0.25">
      <c r="A214">
        <v>215</v>
      </c>
      <c r="B214">
        <v>685872.31259999995</v>
      </c>
      <c r="C214" s="1">
        <v>4.3800000000000001E-5</v>
      </c>
      <c r="D214">
        <v>1140160.429</v>
      </c>
      <c r="E214">
        <v>4824.2378879999997</v>
      </c>
      <c r="F214">
        <v>1571641.0689999999</v>
      </c>
      <c r="G214">
        <v>935.98272069999996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0.17935974449008202</v>
      </c>
      <c r="M214" s="1">
        <f t="shared" si="15"/>
        <v>6625561.9367520027</v>
      </c>
      <c r="N214" s="1">
        <f t="shared" si="16"/>
        <v>601458.28614162793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1316.9308169999999</v>
      </c>
      <c r="F215">
        <v>1345783.6669999999</v>
      </c>
      <c r="G215">
        <v>3904.5555650000001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8.1308786490181251E-3</v>
      </c>
      <c r="M215" s="1">
        <f t="shared" si="15"/>
        <v>2052133.1132791967</v>
      </c>
      <c r="N215" s="1">
        <f t="shared" si="16"/>
        <v>2846805.8748932462</v>
      </c>
      <c r="O215" s="1"/>
    </row>
    <row r="216" spans="1:15" x14ac:dyDescent="0.25">
      <c r="A216">
        <v>217</v>
      </c>
      <c r="B216">
        <v>517120.9486</v>
      </c>
      <c r="C216" s="1">
        <v>-2.1500000000000001E-5</v>
      </c>
      <c r="D216">
        <v>1016032.284</v>
      </c>
      <c r="E216">
        <v>4977.129148</v>
      </c>
      <c r="F216">
        <v>1427141.686</v>
      </c>
      <c r="G216">
        <v>2222.6543630000001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-3.6045327821449376E-2</v>
      </c>
      <c r="M216" s="1">
        <f t="shared" si="15"/>
        <v>2798546.7535855831</v>
      </c>
      <c r="N216" s="1">
        <f t="shared" si="16"/>
        <v>584748.70304881537</v>
      </c>
      <c r="O216" s="1"/>
    </row>
    <row r="217" spans="1:15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3802.721211</v>
      </c>
      <c r="F217">
        <v>1348244.6</v>
      </c>
      <c r="G217">
        <v>2222.6543630000001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-0.12126333076673403</v>
      </c>
      <c r="M217" s="1">
        <f t="shared" si="15"/>
        <v>4157422.6437159097</v>
      </c>
      <c r="N217" s="1">
        <f t="shared" si="16"/>
        <v>1136960.3003498982</v>
      </c>
      <c r="O217" s="1"/>
    </row>
    <row r="218" spans="1:15" x14ac:dyDescent="0.25">
      <c r="A218">
        <v>219</v>
      </c>
      <c r="B218">
        <v>433588.02720000001</v>
      </c>
      <c r="C218" s="1">
        <v>-1.8E-5</v>
      </c>
      <c r="D218">
        <v>887833.22770000005</v>
      </c>
      <c r="E218">
        <v>2784.6612869999999</v>
      </c>
      <c r="F218">
        <v>1309968.9439999999</v>
      </c>
      <c r="G218">
        <v>2222.6543630000001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-8.4924201897405002E-2</v>
      </c>
      <c r="M218" s="1">
        <f t="shared" si="15"/>
        <v>4406304.2686299561</v>
      </c>
      <c r="N218" s="1">
        <f t="shared" si="16"/>
        <v>1645575.1352905242</v>
      </c>
      <c r="O218" s="1"/>
    </row>
    <row r="219" spans="1:15" x14ac:dyDescent="0.25">
      <c r="A219">
        <v>220</v>
      </c>
      <c r="B219">
        <v>324633.54479999997</v>
      </c>
      <c r="C219" s="1">
        <v>-1.2E-5</v>
      </c>
      <c r="D219">
        <v>806126.68720000004</v>
      </c>
      <c r="E219">
        <v>520.77400929999999</v>
      </c>
      <c r="F219">
        <v>1198479.8529999999</v>
      </c>
      <c r="G219">
        <v>2973.8966049999999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-3.5739148892655004E-2</v>
      </c>
      <c r="M219" s="1">
        <f t="shared" si="15"/>
        <v>520182.09346152266</v>
      </c>
      <c r="N219" s="1">
        <f t="shared" si="16"/>
        <v>1389874.6695975044</v>
      </c>
      <c r="O219" s="1"/>
    </row>
    <row r="220" spans="1:15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 s="1">
        <v>-5.0799999999999996E-6</v>
      </c>
      <c r="F220">
        <v>1045809.287</v>
      </c>
      <c r="G220">
        <v>3707.5686580000001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-1.4702731057546482E-2</v>
      </c>
      <c r="M220" s="1">
        <f t="shared" si="15"/>
        <v>-3.2197730833239614E-3</v>
      </c>
      <c r="N220" s="1">
        <f t="shared" si="16"/>
        <v>1099497.9741562544</v>
      </c>
      <c r="O220" s="1"/>
    </row>
    <row r="221" spans="1:15" x14ac:dyDescent="0.25">
      <c r="A221">
        <v>222</v>
      </c>
      <c r="B221">
        <v>433501.27429999999</v>
      </c>
      <c r="C221" s="1">
        <v>-7.7300000000000005E-6</v>
      </c>
      <c r="D221">
        <v>913641.94559999998</v>
      </c>
      <c r="E221">
        <v>3615.0404239999998</v>
      </c>
      <c r="F221">
        <v>1351069.3970000001</v>
      </c>
      <c r="G221">
        <v>2823.0509809999999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-2.504871113690257E-2</v>
      </c>
      <c r="M221" s="1">
        <f t="shared" si="15"/>
        <v>3928820.4847691092</v>
      </c>
      <c r="N221" s="1">
        <f t="shared" si="16"/>
        <v>1435527.203080402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6940.385534</v>
      </c>
      <c r="F222">
        <v>1153734.2279999999</v>
      </c>
      <c r="G222">
        <v>3707.5686580000001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8.4343989725134752E-4</v>
      </c>
      <c r="M222" s="1">
        <f t="shared" si="15"/>
        <v>3218481.6581251207</v>
      </c>
      <c r="N222" s="1">
        <f t="shared" si="16"/>
        <v>804452.34666203114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3384.8453359999999</v>
      </c>
      <c r="F223">
        <v>1432453.6950000001</v>
      </c>
      <c r="G223">
        <v>2222.6543630000001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-4.4851158253537998E-2</v>
      </c>
      <c r="M223" s="1">
        <f t="shared" si="15"/>
        <v>3828282.5881611966</v>
      </c>
      <c r="N223" s="1">
        <f t="shared" si="16"/>
        <v>1176198.9014388237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 s="1">
        <v>-2.7900000000000001E-5</v>
      </c>
      <c r="F224">
        <v>1146856.064</v>
      </c>
      <c r="G224">
        <v>3707.5686580000001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7.1790081559377997E-3</v>
      </c>
      <c r="M224" s="1">
        <f t="shared" si="15"/>
        <v>-4.1723997521304242E-2</v>
      </c>
      <c r="N224" s="1">
        <f t="shared" si="16"/>
        <v>2594266.5023574769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 s="1">
        <v>4.2700000000000001E-5</v>
      </c>
      <c r="F225">
        <v>935771.42350000003</v>
      </c>
      <c r="G225">
        <v>2389.7067360000001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7.4845963587225034E-2</v>
      </c>
      <c r="N225" s="1">
        <f t="shared" si="16"/>
        <v>1959876.9032264622</v>
      </c>
      <c r="O225" s="1"/>
    </row>
    <row r="226" spans="1:15" x14ac:dyDescent="0.25">
      <c r="A226">
        <v>227</v>
      </c>
      <c r="B226">
        <v>208498.3518</v>
      </c>
      <c r="C226" s="1">
        <v>1.31E-5</v>
      </c>
      <c r="D226">
        <v>642340.67420000001</v>
      </c>
      <c r="E226" s="1">
        <v>2.5400000000000001E-5</v>
      </c>
      <c r="F226">
        <v>1052352.6129999999</v>
      </c>
      <c r="G226">
        <v>4797.8599340000001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0.16997674362958901</v>
      </c>
      <c r="M226" s="1">
        <f t="shared" si="15"/>
        <v>0.11053379034947271</v>
      </c>
      <c r="N226" s="1">
        <f t="shared" si="16"/>
        <v>9769055.7854567096</v>
      </c>
      <c r="O226" s="1"/>
    </row>
    <row r="227" spans="1:15" x14ac:dyDescent="0.25">
      <c r="A227">
        <v>228</v>
      </c>
      <c r="B227">
        <v>218467.32519999999</v>
      </c>
      <c r="C227" s="1">
        <v>8.3499999999999997E-6</v>
      </c>
      <c r="D227">
        <v>658704.73389999999</v>
      </c>
      <c r="E227" s="1">
        <v>-2.3900000000000002E-5</v>
      </c>
      <c r="F227">
        <v>1069946.9339999999</v>
      </c>
      <c r="G227">
        <v>4797.8599340000001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0.13303243136228013</v>
      </c>
      <c r="M227" s="1">
        <f t="shared" si="15"/>
        <v>-0.12770623194541719</v>
      </c>
      <c r="N227" s="1">
        <f t="shared" si="16"/>
        <v>11995143.100926809</v>
      </c>
      <c r="O227" s="1"/>
    </row>
    <row r="228" spans="1:15" x14ac:dyDescent="0.25">
      <c r="A228">
        <v>229</v>
      </c>
      <c r="B228">
        <v>164668.56630000001</v>
      </c>
      <c r="C228" s="1">
        <v>2.7500000000000001E-5</v>
      </c>
      <c r="D228">
        <v>611497.58909999998</v>
      </c>
      <c r="E228" s="1">
        <v>-2.09E-5</v>
      </c>
      <c r="F228">
        <v>1032709.1139999999</v>
      </c>
      <c r="G228">
        <v>3802.7211809999999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0.28157389463417504</v>
      </c>
      <c r="M228" s="1">
        <f t="shared" si="15"/>
        <v>-7.1771019789215559E-2</v>
      </c>
      <c r="N228" s="1">
        <f t="shared" si="16"/>
        <v>6109996.942125205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 s="1">
        <v>-2.0599999999999999E-5</v>
      </c>
      <c r="F229">
        <v>915157.17830000003</v>
      </c>
      <c r="G229">
        <v>2784.6612909999999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-5.9393170175190427E-2</v>
      </c>
      <c r="N229" s="1">
        <f t="shared" si="16"/>
        <v>3756516.8605896733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 s="1">
        <v>3.5999999999999998E-6</v>
      </c>
      <c r="F230">
        <v>1036218.785</v>
      </c>
      <c r="G230">
        <v>3693.6375210000001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0.25561417355407051</v>
      </c>
      <c r="M230" s="1">
        <f t="shared" si="15"/>
        <v>6.7978991326748395E-3</v>
      </c>
      <c r="N230" s="1">
        <f t="shared" si="16"/>
        <v>3263398.9304828709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 s="1">
        <v>-3.6300000000000001E-5</v>
      </c>
      <c r="F231">
        <v>1051640.0249999999</v>
      </c>
      <c r="G231">
        <v>4824.2378879999997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0.197601660782838</v>
      </c>
      <c r="M231" s="1">
        <f t="shared" si="15"/>
        <v>-9.2172176978420881E-2</v>
      </c>
      <c r="N231" s="1">
        <f t="shared" si="16"/>
        <v>5731464.5862298645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6940.3854840000004</v>
      </c>
      <c r="F232">
        <v>1090560.193</v>
      </c>
      <c r="G232">
        <v>4824.2378879999997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0.27788802429854703</v>
      </c>
      <c r="M232" s="1">
        <f t="shared" si="15"/>
        <v>19781025.743785385</v>
      </c>
      <c r="N232" s="1">
        <f t="shared" si="16"/>
        <v>6433356.3592160214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 s="1">
        <v>-3.79E-5</v>
      </c>
      <c r="F233">
        <v>1027487.201</v>
      </c>
      <c r="G233">
        <v>4095.9264669999998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0.96777391174034999</v>
      </c>
      <c r="M233" s="1">
        <f t="shared" si="15"/>
        <v>-0.27957837809724195</v>
      </c>
      <c r="N233" s="1">
        <f t="shared" si="16"/>
        <v>14137095.785848986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2784.661259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-6.9898831420037749E-2</v>
      </c>
      <c r="N234" s="1">
        <f t="shared" si="16"/>
        <v>3097694.8646140876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 s="1">
        <v>3.8099999999999998E-5</v>
      </c>
      <c r="F235">
        <v>990812.9277</v>
      </c>
      <c r="G235">
        <v>3384.8455410000001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5.0297670333034471E-2</v>
      </c>
      <c r="N235" s="1">
        <f t="shared" si="16"/>
        <v>2090765.9954784482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520.7739914</v>
      </c>
      <c r="F236">
        <v>1282980.9709999999</v>
      </c>
      <c r="G236">
        <v>4754.1790689999998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932020.4391441223</v>
      </c>
      <c r="N236" s="1">
        <f t="shared" si="16"/>
        <v>3981029.2072747662</v>
      </c>
      <c r="O236" s="1"/>
    </row>
    <row r="237" spans="1:15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3157.22874</v>
      </c>
      <c r="F237">
        <v>1438010.067</v>
      </c>
      <c r="G237">
        <v>2222.6543630000001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3.1186891575655729E-2</v>
      </c>
      <c r="M237" s="1">
        <f t="shared" si="15"/>
        <v>3487155.3547031861</v>
      </c>
      <c r="N237" s="1">
        <f t="shared" si="16"/>
        <v>1148631.8616135153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-3.5299999999999997E-5</v>
      </c>
      <c r="F238">
        <v>1112541.929</v>
      </c>
      <c r="G238">
        <v>4977.1291520000004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-5.9300720565284508E-2</v>
      </c>
      <c r="N238" s="1">
        <f t="shared" si="16"/>
        <v>3912081.1388788782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 s="1">
        <v>-3.3800000000000002E-5</v>
      </c>
      <c r="F239">
        <v>1168448.0589999999</v>
      </c>
      <c r="G239">
        <v>3915.8638270000001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-0.19616904759627174</v>
      </c>
      <c r="M239" s="1">
        <f t="shared" si="15"/>
        <v>-6.718345388372618E-2</v>
      </c>
      <c r="N239" s="1">
        <f t="shared" si="16"/>
        <v>3641806.6605087966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 s="1">
        <v>-5.7100000000000004E-6</v>
      </c>
      <c r="F240">
        <v>1214351.2549999999</v>
      </c>
      <c r="G240">
        <v>4824.2378879999997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-6.6261902489705921E-3</v>
      </c>
      <c r="N240" s="1">
        <f t="shared" si="16"/>
        <v>2619390.1262250105</v>
      </c>
      <c r="O240" s="1"/>
    </row>
    <row r="241" spans="1:15" x14ac:dyDescent="0.25">
      <c r="A241">
        <v>244</v>
      </c>
      <c r="B241">
        <v>545795.65090000001</v>
      </c>
      <c r="C241" s="1">
        <v>1.84E-5</v>
      </c>
      <c r="D241">
        <v>1026367.024</v>
      </c>
      <c r="E241">
        <v>3384.8452069999998</v>
      </c>
      <c r="F241">
        <v>1435883.8049999999</v>
      </c>
      <c r="G241">
        <v>2222.6543630000001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2.81399802460322E-2</v>
      </c>
      <c r="M241" s="1">
        <f t="shared" si="15"/>
        <v>1736152.6791694628</v>
      </c>
      <c r="N241" s="1">
        <f t="shared" si="16"/>
        <v>533414.37178886984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 s="1">
        <v>1.77E-5</v>
      </c>
      <c r="F242">
        <v>1247363.5049999999</v>
      </c>
      <c r="G242">
        <v>4824.2378879999997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-0.27292301273115455</v>
      </c>
      <c r="M242" s="1">
        <f t="shared" si="15"/>
        <v>5.848934945428675E-2</v>
      </c>
      <c r="N242" s="1">
        <f t="shared" si="16"/>
        <v>7458919.4629005101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 s="1">
        <v>3.98E-6</v>
      </c>
      <c r="F243">
        <v>1226550.5</v>
      </c>
      <c r="G243">
        <v>4824.2378879999997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6.5183503410842173E-3</v>
      </c>
      <c r="N243" s="1">
        <f t="shared" si="16"/>
        <v>3696809.0609435402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 s="1">
        <v>-2.6800000000000001E-5</v>
      </c>
      <c r="F244">
        <v>1264659.6440000001</v>
      </c>
      <c r="G244">
        <v>5105.6278270000003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6.9651113925594504E-2</v>
      </c>
      <c r="M244" s="1">
        <f t="shared" si="15"/>
        <v>-3.7044120892024884E-2</v>
      </c>
      <c r="N244" s="1">
        <f t="shared" si="16"/>
        <v>3302001.9913415001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520.77395149999995</v>
      </c>
      <c r="F245">
        <v>1289923.8529999999</v>
      </c>
      <c r="G245">
        <v>6083.8578189999998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0.22035516084059403</v>
      </c>
      <c r="M245" s="1">
        <f t="shared" si="15"/>
        <v>934153.83383396477</v>
      </c>
      <c r="N245" s="1">
        <f t="shared" si="16"/>
        <v>5106130.162814755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520.77400980000004</v>
      </c>
      <c r="F246">
        <v>1295520.952</v>
      </c>
      <c r="G246">
        <v>5138.7583430000004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-7.3452182841488758E-2</v>
      </c>
      <c r="M246" s="1">
        <f t="shared" si="15"/>
        <v>1115576.3662273737</v>
      </c>
      <c r="N246" s="1">
        <f t="shared" si="16"/>
        <v>5150529.4680404961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 s="1">
        <v>8.5499999999999995E-6</v>
      </c>
      <c r="F247">
        <v>1176518.0619999999</v>
      </c>
      <c r="G247">
        <v>3897.0161459999999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1.045199887907553E-2</v>
      </c>
      <c r="N247" s="1">
        <f t="shared" si="16"/>
        <v>2228995.1476756195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3897.0161459999999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-0.15833054275395697</v>
      </c>
      <c r="N248" s="1">
        <f t="shared" si="16"/>
        <v>6516836.9866367336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2864.0715380000001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3.344529882299957E-2</v>
      </c>
      <c r="N249" s="1">
        <f t="shared" si="16"/>
        <v>1785619.4123987562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 s="1">
        <v>3.7400000000000001E-5</v>
      </c>
      <c r="F250">
        <v>1098176.0260000001</v>
      </c>
      <c r="G250">
        <v>3296.6195280000002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3.3082070303327146E-2</v>
      </c>
      <c r="N250" s="1">
        <f t="shared" si="16"/>
        <v>1364374.4660794474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1634.7206960000001</v>
      </c>
      <c r="F251">
        <v>1333610.226</v>
      </c>
      <c r="G251">
        <v>4492.3719860000001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-7.015021500535458E-2</v>
      </c>
      <c r="M251" s="1">
        <f t="shared" si="15"/>
        <v>1484964.0516178454</v>
      </c>
      <c r="N251" s="1">
        <f t="shared" si="16"/>
        <v>1909377.3561982205</v>
      </c>
      <c r="O251" s="1"/>
    </row>
    <row r="252" spans="1:15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520.77393910000001</v>
      </c>
      <c r="F252">
        <v>1283212.915</v>
      </c>
      <c r="G252">
        <v>4495.4729159999997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0.12339630268059383</v>
      </c>
      <c r="M252" s="1">
        <f t="shared" si="15"/>
        <v>558350.9022950189</v>
      </c>
      <c r="N252" s="1">
        <f t="shared" si="16"/>
        <v>2255158.3553919913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 s="1">
        <v>3.5599999999999998E-5</v>
      </c>
      <c r="F253">
        <v>1223839.54</v>
      </c>
      <c r="G253">
        <v>4377.7587629999998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-0.34028460967729801</v>
      </c>
      <c r="M253" s="1">
        <f t="shared" si="15"/>
        <v>8.3256015094059721E-2</v>
      </c>
      <c r="N253" s="1">
        <f t="shared" si="16"/>
        <v>4790282.5049413703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 s="1">
        <v>-4.9400000000000001E-5</v>
      </c>
      <c r="F254">
        <v>1161602.848</v>
      </c>
      <c r="G254">
        <v>4824.2378879999997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-8.2874137079690061E-2</v>
      </c>
      <c r="N254" s="1">
        <f t="shared" si="16"/>
        <v>3786731.076364534</v>
      </c>
      <c r="O254" s="1"/>
    </row>
    <row r="255" spans="1:15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520.77399690000004</v>
      </c>
      <c r="F255">
        <v>1234967.7509999999</v>
      </c>
      <c r="G255">
        <v>5531.5245080000004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-0.4725999926908131</v>
      </c>
      <c r="M255" s="1">
        <f t="shared" si="15"/>
        <v>1893213.7471423501</v>
      </c>
      <c r="N255" s="1">
        <f t="shared" si="16"/>
        <v>9408900.5324306656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 s="1">
        <v>-3.01E-5</v>
      </c>
      <c r="F256">
        <v>1171257.8030000001</v>
      </c>
      <c r="G256">
        <v>3483.3158389999999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-4.6775047710590288E-2</v>
      </c>
      <c r="N256" s="1">
        <f t="shared" si="16"/>
        <v>2532703.0670164502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723.46593870000004</v>
      </c>
      <c r="F257">
        <v>1139219.7320000001</v>
      </c>
      <c r="G257">
        <v>3483.3158389999999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1519194.47978777</v>
      </c>
      <c r="N257" s="1">
        <f t="shared" si="16"/>
        <v>3422408.2753288364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 s="1">
        <v>-1.34E-5</v>
      </c>
      <c r="F258">
        <v>1058755.425</v>
      </c>
      <c r="G258">
        <v>3296.6195280000002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-3.3927933095245021E-2</v>
      </c>
      <c r="N258" s="1">
        <f t="shared" si="16"/>
        <v>3905396.2933791419</v>
      </c>
      <c r="O258" s="1"/>
    </row>
    <row r="259" spans="1:15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 s="1">
        <v>-1.6699999999999999E-5</v>
      </c>
      <c r="F259">
        <v>1092001.7069999999</v>
      </c>
      <c r="G259">
        <v>3693.637753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5.0731653944283001E-3</v>
      </c>
      <c r="M259" s="1">
        <f t="shared" ref="M259:M322" si="19">$U$3*$K259*E259</f>
        <v>-5.5714527707256919E-2</v>
      </c>
      <c r="N259" s="1">
        <f t="shared" ref="N259:N322" si="20">$U$4*$K259*G259</f>
        <v>5765672.3778687706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 s="1">
        <v>2.2200000000000001E-5</v>
      </c>
      <c r="F260">
        <v>1005716.439</v>
      </c>
      <c r="G260">
        <v>2389.7062900000001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6.6482451858145442E-2</v>
      </c>
      <c r="N260" s="1">
        <f t="shared" si="20"/>
        <v>3348437.9710644064</v>
      </c>
      <c r="O260" s="1"/>
    </row>
    <row r="261" spans="1:15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520.77398670000002</v>
      </c>
      <c r="F261">
        <v>1245265.625</v>
      </c>
      <c r="G261">
        <v>6083.8578189999998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-0.28371236968805252</v>
      </c>
      <c r="M261" s="1">
        <f t="shared" si="19"/>
        <v>1270591.9037792583</v>
      </c>
      <c r="N261" s="1">
        <f t="shared" si="20"/>
        <v>6945116.5011721915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0</v>
      </c>
      <c r="F262">
        <v>1027556.211</v>
      </c>
      <c r="G262">
        <v>2389.7067740000002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0</v>
      </c>
      <c r="N262" s="1">
        <f t="shared" si="20"/>
        <v>8900421.3033702075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 s="1">
        <v>4.3200000000000001E-6</v>
      </c>
      <c r="F263">
        <v>982278.18259999994</v>
      </c>
      <c r="G263">
        <v>2389.7067280000001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-0.10391633259631392</v>
      </c>
      <c r="M263" s="1">
        <f t="shared" si="19"/>
        <v>3.7924528341757253E-2</v>
      </c>
      <c r="N263" s="1">
        <f t="shared" si="20"/>
        <v>9815777.9630919192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 s="1">
        <v>-8.8799999999999997E-6</v>
      </c>
      <c r="F264">
        <v>921284.13379999995</v>
      </c>
      <c r="G264">
        <v>2389.7067750000001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-4.2566593239931852E-2</v>
      </c>
      <c r="N264" s="1">
        <f t="shared" si="20"/>
        <v>5359746.1453021439</v>
      </c>
      <c r="O264" s="1"/>
    </row>
    <row r="265" spans="1:15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520.77400360000001</v>
      </c>
      <c r="F265">
        <v>1186794.774</v>
      </c>
      <c r="G265">
        <v>5799.9614549999997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-0.16955408048822102</v>
      </c>
      <c r="M265" s="1">
        <f t="shared" si="19"/>
        <v>609346.62539790163</v>
      </c>
      <c r="N265" s="1">
        <f t="shared" si="20"/>
        <v>3175293.6815354298</v>
      </c>
      <c r="O265" s="1"/>
    </row>
    <row r="266" spans="1:15" x14ac:dyDescent="0.25">
      <c r="A266">
        <v>270</v>
      </c>
      <c r="B266">
        <v>371603.51650000003</v>
      </c>
      <c r="C266" s="1">
        <v>3.3399999999999999E-5</v>
      </c>
      <c r="D266">
        <v>892077.08120000002</v>
      </c>
      <c r="E266">
        <v>2784.6612540000001</v>
      </c>
      <c r="F266">
        <v>1317647.2760000001</v>
      </c>
      <c r="G266">
        <v>2973.8966049999999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0.14144799736414748</v>
      </c>
      <c r="M266" s="1">
        <f t="shared" si="19"/>
        <v>3955176.2865984421</v>
      </c>
      <c r="N266" s="1">
        <f t="shared" si="20"/>
        <v>1976346.1700976186</v>
      </c>
      <c r="O266" s="1"/>
    </row>
    <row r="267" spans="1:15" x14ac:dyDescent="0.25">
      <c r="A267">
        <v>271</v>
      </c>
      <c r="B267">
        <v>386853.9118</v>
      </c>
      <c r="C267" s="1">
        <v>1.15E-6</v>
      </c>
      <c r="D267">
        <v>846914.12479999999</v>
      </c>
      <c r="E267">
        <v>2389.7067980000002</v>
      </c>
      <c r="F267">
        <v>1246408.3230000001</v>
      </c>
      <c r="G267">
        <v>2973.8966049999999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7.1690099043712503E-3</v>
      </c>
      <c r="M267" s="1">
        <f t="shared" si="19"/>
        <v>4996306.7710265648</v>
      </c>
      <c r="N267" s="1">
        <f t="shared" si="20"/>
        <v>2909202.9565401282</v>
      </c>
      <c r="O267" s="1"/>
    </row>
    <row r="268" spans="1:15" x14ac:dyDescent="0.25">
      <c r="A268">
        <v>272</v>
      </c>
      <c r="B268">
        <v>146451.09229999999</v>
      </c>
      <c r="C268" s="1">
        <v>-9.9999999999999995E-7</v>
      </c>
      <c r="D268">
        <v>717909.4253</v>
      </c>
      <c r="E268" s="1">
        <v>3.8399999999999998E-5</v>
      </c>
      <c r="F268">
        <v>1086133.56</v>
      </c>
      <c r="G268">
        <v>4377.7587629999998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-4.5959552098849997E-3</v>
      </c>
      <c r="M268" s="1">
        <f t="shared" si="19"/>
        <v>5.9190246543060474E-2</v>
      </c>
      <c r="N268" s="1">
        <f t="shared" si="20"/>
        <v>3157289.6705104848</v>
      </c>
      <c r="O268" s="1"/>
    </row>
    <row r="269" spans="1:15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 s="1">
        <v>3.9199999999999997E-6</v>
      </c>
      <c r="F269">
        <v>1046974.578</v>
      </c>
      <c r="G269">
        <v>4824.2380940000003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-0.19836040812424202</v>
      </c>
      <c r="M269" s="1">
        <f t="shared" si="19"/>
        <v>5.4786965212234072E-3</v>
      </c>
      <c r="N269" s="1">
        <f t="shared" si="20"/>
        <v>3154740.1226846883</v>
      </c>
      <c r="O269" s="1"/>
    </row>
    <row r="270" spans="1:15" x14ac:dyDescent="0.25">
      <c r="A270">
        <v>274</v>
      </c>
      <c r="B270">
        <v>327176.9363</v>
      </c>
      <c r="C270" s="1">
        <v>-3.7700000000000002E-5</v>
      </c>
      <c r="D270">
        <v>836929.59219999996</v>
      </c>
      <c r="E270">
        <v>520.77400999999998</v>
      </c>
      <c r="F270">
        <v>1235154.6880000001</v>
      </c>
      <c r="G270">
        <v>5177.3423819999998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-0.18563338776987551</v>
      </c>
      <c r="M270" s="1">
        <f t="shared" si="19"/>
        <v>860017.28361799882</v>
      </c>
      <c r="N270" s="1">
        <f t="shared" si="20"/>
        <v>4000446.2686615847</v>
      </c>
      <c r="O270" s="1"/>
    </row>
    <row r="271" spans="1:15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520.77397559999997</v>
      </c>
      <c r="F271">
        <v>1165050.361</v>
      </c>
      <c r="G271">
        <v>5589.8076620000002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-0.13425166233967997</v>
      </c>
      <c r="M271" s="1">
        <f t="shared" si="19"/>
        <v>491579.43171116192</v>
      </c>
      <c r="N271" s="1">
        <f t="shared" si="20"/>
        <v>2468794.6789170504</v>
      </c>
      <c r="O271" s="1"/>
    </row>
    <row r="272" spans="1:15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 s="1">
        <v>-2.88E-6</v>
      </c>
      <c r="F272">
        <v>1019031.751</v>
      </c>
      <c r="G272">
        <v>3100.859563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-1.9726856571949804E-2</v>
      </c>
      <c r="M272" s="1">
        <f t="shared" si="19"/>
        <v>-6.1071546499669449E-3</v>
      </c>
      <c r="N272" s="1">
        <f t="shared" si="20"/>
        <v>3076608.2882663286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 s="1">
        <v>4.9700000000000002E-5</v>
      </c>
      <c r="F273">
        <v>1179817.0549999999</v>
      </c>
      <c r="G273">
        <v>4824.2378879999997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0</v>
      </c>
      <c r="M273" s="1">
        <f t="shared" si="19"/>
        <v>5.2271363131906272E-2</v>
      </c>
      <c r="N273" s="1">
        <f t="shared" si="20"/>
        <v>2373995.1662997762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 s="1">
        <v>3.65E-5</v>
      </c>
      <c r="F274">
        <v>1000907.385</v>
      </c>
      <c r="G274">
        <v>3663.3785440000001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1.2479662514104501E-2</v>
      </c>
      <c r="M274" s="1">
        <f t="shared" si="19"/>
        <v>5.7003831587100748E-2</v>
      </c>
      <c r="N274" s="1">
        <f t="shared" si="20"/>
        <v>2676927.8098933501</v>
      </c>
      <c r="O274" s="1"/>
    </row>
    <row r="275" spans="1:15" x14ac:dyDescent="0.25">
      <c r="A275">
        <v>279</v>
      </c>
      <c r="B275">
        <v>418131.7953</v>
      </c>
      <c r="C275" s="1">
        <v>-6.7900000000000002E-6</v>
      </c>
      <c r="D275">
        <v>861999.4817</v>
      </c>
      <c r="E275">
        <v>520.7740311</v>
      </c>
      <c r="F275">
        <v>1285190.3370000001</v>
      </c>
      <c r="G275">
        <v>4586.4250309999998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-2.3365082508840802E-2</v>
      </c>
      <c r="M275" s="1">
        <f t="shared" si="19"/>
        <v>601021.49058902496</v>
      </c>
      <c r="N275" s="1">
        <f t="shared" si="20"/>
        <v>2476615.9115288612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 s="1">
        <v>-1.2999999999999999E-5</v>
      </c>
      <c r="F276">
        <v>977324.74739999999</v>
      </c>
      <c r="G276">
        <v>2864.0715399999999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-5.7099130211214003E-3</v>
      </c>
      <c r="M276" s="1">
        <f t="shared" si="19"/>
        <v>-1.4473965565168199E-2</v>
      </c>
      <c r="N276" s="1">
        <f t="shared" si="20"/>
        <v>1492009.9612936142</v>
      </c>
      <c r="O276" s="1"/>
    </row>
    <row r="277" spans="1:15" x14ac:dyDescent="0.25">
      <c r="A277">
        <v>281</v>
      </c>
      <c r="B277">
        <v>140439.45259999999</v>
      </c>
      <c r="C277" s="1">
        <v>1.1199999999999999E-5</v>
      </c>
      <c r="D277">
        <v>732244.73439999996</v>
      </c>
      <c r="E277">
        <v>723.46585419999997</v>
      </c>
      <c r="F277">
        <v>1079465.4569999999</v>
      </c>
      <c r="G277">
        <v>3261.0895329999998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3.8925993453256001E-2</v>
      </c>
      <c r="M277" s="1">
        <f t="shared" si="19"/>
        <v>843301.47097871883</v>
      </c>
      <c r="N277" s="1">
        <f t="shared" si="20"/>
        <v>1778571.0550587976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 s="1">
        <v>-1.19E-5</v>
      </c>
      <c r="F278">
        <v>946735.58530000004</v>
      </c>
      <c r="G278">
        <v>2784.6612770000002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-1.628558382292996E-2</v>
      </c>
      <c r="N278" s="1">
        <f t="shared" si="20"/>
        <v>1783086.5522300403</v>
      </c>
      <c r="O278" s="1"/>
    </row>
    <row r="279" spans="1:15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723.46589659999995</v>
      </c>
      <c r="F279">
        <v>1106901.713</v>
      </c>
      <c r="G279">
        <v>3261.0895329999998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-0.2666934830942525</v>
      </c>
      <c r="M279" s="1">
        <f t="shared" si="19"/>
        <v>1385660.1380460204</v>
      </c>
      <c r="N279" s="1">
        <f t="shared" si="20"/>
        <v>2922436.3457840187</v>
      </c>
      <c r="O279" s="1"/>
    </row>
    <row r="280" spans="1:15" x14ac:dyDescent="0.25">
      <c r="A280">
        <v>284</v>
      </c>
      <c r="B280">
        <v>170373.04019999999</v>
      </c>
      <c r="C280" s="1">
        <v>-4.5399999999999999E-5</v>
      </c>
      <c r="D280">
        <v>736646.95220000006</v>
      </c>
      <c r="E280">
        <v>3925.9696159999999</v>
      </c>
      <c r="F280">
        <v>1091090.8419999999</v>
      </c>
      <c r="G280">
        <v>3693.6375210000001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-0.25499270693148202</v>
      </c>
      <c r="M280" s="1">
        <f t="shared" si="19"/>
        <v>7395405.2557702744</v>
      </c>
      <c r="N280" s="1">
        <f t="shared" si="20"/>
        <v>3255464.7322993847</v>
      </c>
      <c r="O280" s="1"/>
    </row>
    <row r="281" spans="1:15" x14ac:dyDescent="0.25">
      <c r="A281">
        <v>285</v>
      </c>
      <c r="B281">
        <v>106466.5851</v>
      </c>
      <c r="C281" s="1">
        <v>4.1199999999999999E-5</v>
      </c>
      <c r="D281">
        <v>685853.3628</v>
      </c>
      <c r="E281" s="1">
        <v>-1.9300000000000002E-5</v>
      </c>
      <c r="F281">
        <v>1056841.7309999999</v>
      </c>
      <c r="G281">
        <v>4688.70442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0.19605571424250501</v>
      </c>
      <c r="M281" s="1">
        <f t="shared" si="19"/>
        <v>-3.0802270802984155E-2</v>
      </c>
      <c r="N281" s="1">
        <f t="shared" si="20"/>
        <v>3501240.626638507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 s="1">
        <v>-4.1399999999999997E-5</v>
      </c>
      <c r="F282">
        <v>913939.8112</v>
      </c>
      <c r="G282">
        <v>1316.930836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-7.3037683605702952E-2</v>
      </c>
      <c r="N282" s="1">
        <f t="shared" si="20"/>
        <v>1087059.4478235289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 s="1">
        <v>-1.9000000000000001E-5</v>
      </c>
      <c r="F283">
        <v>1007924.905</v>
      </c>
      <c r="G283">
        <v>3384.8460020000002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2.9491708106705001E-2</v>
      </c>
      <c r="M283" s="1">
        <f t="shared" si="19"/>
        <v>-4.340190263918E-2</v>
      </c>
      <c r="N283" s="1">
        <f t="shared" si="20"/>
        <v>3617743.4031861452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 s="1">
        <v>-2.9600000000000001E-5</v>
      </c>
      <c r="F284">
        <v>921142.37150000001</v>
      </c>
      <c r="G284">
        <v>2389.7067619999998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-8.3761209634694314E-2</v>
      </c>
      <c r="N284" s="1">
        <f t="shared" si="20"/>
        <v>3164022.1863140832</v>
      </c>
      <c r="O284" s="1"/>
    </row>
    <row r="285" spans="1:15" x14ac:dyDescent="0.25">
      <c r="A285">
        <v>289</v>
      </c>
      <c r="B285">
        <v>53395.360630000003</v>
      </c>
      <c r="C285" s="1">
        <v>-4.6399999999999996E-6</v>
      </c>
      <c r="D285">
        <v>512250.7009</v>
      </c>
      <c r="E285" s="1">
        <v>-1.1199999999999999E-5</v>
      </c>
      <c r="F285">
        <v>917126.4277</v>
      </c>
      <c r="G285">
        <v>968.08065369999997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-3.0863746270213998E-2</v>
      </c>
      <c r="M285" s="1">
        <f t="shared" si="19"/>
        <v>-2.4985717139706404E-2</v>
      </c>
      <c r="N285" s="1">
        <f t="shared" si="20"/>
        <v>1010483.0098871917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 s="1">
        <v>-3.8699999999999999E-5</v>
      </c>
      <c r="F286">
        <v>873996.92460000003</v>
      </c>
      <c r="G286" s="1">
        <v>4.0599999999999998E-5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-0.13029829112346594</v>
      </c>
      <c r="N286" s="1">
        <f t="shared" si="20"/>
        <v>6.395838171781254E-2</v>
      </c>
      <c r="O286" s="1"/>
    </row>
    <row r="287" spans="1:15" x14ac:dyDescent="0.25">
      <c r="A287">
        <v>291</v>
      </c>
      <c r="B287">
        <v>463595.05170000001</v>
      </c>
      <c r="C287" s="1">
        <v>4.85E-5</v>
      </c>
      <c r="D287">
        <v>879699.49910000002</v>
      </c>
      <c r="E287">
        <v>520.77402649999999</v>
      </c>
      <c r="F287">
        <v>1297894.122</v>
      </c>
      <c r="G287">
        <v>3904.5555650000001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9.3363137175152003E-2</v>
      </c>
      <c r="M287" s="1">
        <f t="shared" si="19"/>
        <v>336222.0180300051</v>
      </c>
      <c r="N287" s="1">
        <f t="shared" si="20"/>
        <v>1179484.180680603</v>
      </c>
      <c r="O287" s="1"/>
    </row>
    <row r="288" spans="1:15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 s="1">
        <v>-3.01E-5</v>
      </c>
      <c r="F288">
        <v>1186722.081</v>
      </c>
      <c r="G288">
        <v>4824.2378879999997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9.7480024605882107E-2</v>
      </c>
      <c r="M288" s="1">
        <f t="shared" si="19"/>
        <v>-2.0982267523663348E-2</v>
      </c>
      <c r="N288" s="1">
        <f t="shared" si="20"/>
        <v>1573469.4590369232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-2.09E-5</v>
      </c>
      <c r="F289">
        <v>916684.57299999997</v>
      </c>
      <c r="G289" s="1">
        <v>-1.5099999999999999E-5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-6.548338239725876E-2</v>
      </c>
      <c r="N289" s="1">
        <f t="shared" si="20"/>
        <v>-2.2136320962261959E-2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 s="1">
        <v>4.9499999999999997E-5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-4.4821296773948437E-2</v>
      </c>
      <c r="N290" s="1">
        <f t="shared" si="20"/>
        <v>9.7932632599820699E-2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 s="1">
        <v>3.79E-5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-8.6817046810357373E-2</v>
      </c>
      <c r="N291" s="1">
        <f t="shared" si="20"/>
        <v>6.9661949346066579E-2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1.19E-5</v>
      </c>
      <c r="F292">
        <v>925275.95120000001</v>
      </c>
      <c r="G292">
        <v>520.77397129999997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4.4024156404385499E-2</v>
      </c>
      <c r="N292" s="1">
        <f t="shared" si="20"/>
        <v>901440.42321798822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>
        <v>1316.9308129999999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-0.233426720413938</v>
      </c>
      <c r="N293" s="1">
        <f t="shared" si="20"/>
        <v>3060267.2018784317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 s="1">
        <v>4.49E-5</v>
      </c>
      <c r="F294">
        <v>1117832.6510000001</v>
      </c>
      <c r="G294">
        <v>4177.8222130000004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0.39373975512881737</v>
      </c>
      <c r="N294" s="1">
        <f t="shared" si="20"/>
        <v>17141805.327033788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>
        <v>867.95671760000005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-0.11221967306610744</v>
      </c>
      <c r="N295" s="1">
        <f t="shared" si="20"/>
        <v>1180656.1708691332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 s="1">
        <v>1.27E-5</v>
      </c>
      <c r="F296">
        <v>1100476.436</v>
      </c>
      <c r="G296">
        <v>2864.0715399999999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2.809055283126102E-2</v>
      </c>
      <c r="N296" s="1">
        <f t="shared" si="20"/>
        <v>2964040.3079180359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-3.63E-6</v>
      </c>
      <c r="F297">
        <v>1033714.444</v>
      </c>
      <c r="G297">
        <v>4050.9195580000001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-1.3138060235573229E-2</v>
      </c>
      <c r="N297" s="1">
        <f t="shared" si="20"/>
        <v>6859965.3329434879</v>
      </c>
      <c r="O297" s="1"/>
    </row>
    <row r="298" spans="1:15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520.77394449999997</v>
      </c>
      <c r="F298">
        <v>1271252.4210000001</v>
      </c>
      <c r="G298">
        <v>5153.1025559999998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-0.31209984246246003</v>
      </c>
      <c r="M298" s="1">
        <f t="shared" si="19"/>
        <v>2535405.7671604184</v>
      </c>
      <c r="N298" s="1">
        <f t="shared" si="20"/>
        <v>11738448.27076143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 s="1">
        <v>-1.5400000000000002E-5</v>
      </c>
      <c r="F299">
        <v>1113076.8759999999</v>
      </c>
      <c r="G299">
        <v>3745.2742250000001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-5.4413514781478163E-2</v>
      </c>
      <c r="N299" s="1">
        <f t="shared" si="20"/>
        <v>6191749.2282491717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 s="1">
        <v>3.5899999999999999E-6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0.23780013513862522</v>
      </c>
      <c r="N300" s="1">
        <f t="shared" si="20"/>
        <v>1.1511203961222244E-2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 s="1">
        <v>-2.3300000000000001E-5</v>
      </c>
      <c r="F301">
        <v>949336.66220000002</v>
      </c>
      <c r="G301">
        <v>520.7739464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-6.9311232149540256E-2</v>
      </c>
      <c r="N301" s="1">
        <f t="shared" si="20"/>
        <v>724837.45273634454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-9.0299999999999999E-6</v>
      </c>
      <c r="F302">
        <v>1058851.733</v>
      </c>
      <c r="G302">
        <v>5370.997018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-3.6359241761251979E-2</v>
      </c>
      <c r="N302" s="1">
        <f t="shared" si="20"/>
        <v>10118721.827240188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 s="1">
        <v>-3.01E-5</v>
      </c>
      <c r="F303">
        <v>1093958.3840000001</v>
      </c>
      <c r="G303">
        <v>3384.8455269999999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-5.7159611295157703E-2</v>
      </c>
      <c r="N303" s="1">
        <f t="shared" si="20"/>
        <v>3007497.6943799369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 s="1">
        <v>3.6699999999999998E-5</v>
      </c>
      <c r="F304">
        <v>1098388.1240000001</v>
      </c>
      <c r="G304">
        <v>2864.0715399999999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5.9675012622699933E-2</v>
      </c>
      <c r="N304" s="1">
        <f t="shared" si="20"/>
        <v>2178983.7688154881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3384.8455269999999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0.39362387550190248</v>
      </c>
      <c r="M305" s="1">
        <f t="shared" si="19"/>
        <v>-8.1940588194666611E-2</v>
      </c>
      <c r="N305" s="1">
        <f t="shared" si="20"/>
        <v>5149689.7862799549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2389.7067729999999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-0.13171312959235948</v>
      </c>
      <c r="N306" s="1">
        <f t="shared" si="20"/>
        <v>6085580.2759399107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2784.661247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0.12741518688183628</v>
      </c>
      <c r="N307" s="1">
        <f t="shared" si="20"/>
        <v>3333557.1262379293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 s="1">
        <v>-4.6700000000000002E-6</v>
      </c>
      <c r="F308">
        <v>1217356.3589999999</v>
      </c>
      <c r="G308">
        <v>3707.5686580000001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0.4697063693124075</v>
      </c>
      <c r="M308" s="1">
        <f t="shared" si="19"/>
        <v>-1.9410970827773072E-2</v>
      </c>
      <c r="N308" s="1">
        <f t="shared" si="20"/>
        <v>7210464.7273885468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 s="1">
        <v>-4.6100000000000002E-5</v>
      </c>
      <c r="F309">
        <v>1199762.1680000001</v>
      </c>
      <c r="G309">
        <v>2668.311346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-0.20251402296132665</v>
      </c>
      <c r="N309" s="1">
        <f t="shared" si="20"/>
        <v>5484466.1037597628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1.9400000000000001E-5</v>
      </c>
      <c r="F310">
        <v>1140666.629</v>
      </c>
      <c r="G310">
        <v>3384.8455269999999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0.1146956662967567</v>
      </c>
      <c r="N310" s="1">
        <f t="shared" si="20"/>
        <v>9363275.6855073962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 s="1">
        <v>-2.58E-5</v>
      </c>
      <c r="F311">
        <v>1114853.929</v>
      </c>
      <c r="G311">
        <v>2864.0715399999999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-3.0784270839118624E-2</v>
      </c>
      <c r="N311" s="1">
        <f t="shared" si="20"/>
        <v>1598956.7077336425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520.77398670000002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6.6289505214630243E-2</v>
      </c>
      <c r="N312" s="1">
        <f t="shared" si="20"/>
        <v>498531.64153830137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>
        <v>520.77395109999998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-3.5581208559232004E-2</v>
      </c>
      <c r="N313" s="1">
        <f t="shared" si="20"/>
        <v>456310.04098576709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0</v>
      </c>
      <c r="F314">
        <v>1060292.919</v>
      </c>
      <c r="G314">
        <v>2784.661247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0</v>
      </c>
      <c r="N314" s="1">
        <f t="shared" si="20"/>
        <v>2404109.9351615468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 s="1">
        <v>-4.5599999999999997E-5</v>
      </c>
      <c r="F315">
        <v>1195380.6580000001</v>
      </c>
      <c r="G315">
        <v>3707.5686580000001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0.33299621692346104</v>
      </c>
      <c r="M315" s="1">
        <f t="shared" si="19"/>
        <v>-0.12154392484643807</v>
      </c>
      <c r="N315" s="1">
        <f t="shared" si="20"/>
        <v>4623823.9906001585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 s="1">
        <v>6.8499999999999996E-6</v>
      </c>
      <c r="F316">
        <v>1095789.554</v>
      </c>
      <c r="G316">
        <v>4977.1291520000004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-1.1763889812047101E-2</v>
      </c>
      <c r="M316" s="1">
        <f t="shared" si="19"/>
        <v>3.4648948040098486E-2</v>
      </c>
      <c r="N316" s="1">
        <f t="shared" si="20"/>
        <v>11779370.197819434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 s="1">
        <v>-4.2E-7</v>
      </c>
      <c r="F317">
        <v>899794.30390000006</v>
      </c>
      <c r="G317">
        <v>867.95675040000003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-2.1289370894737678E-3</v>
      </c>
      <c r="N317" s="1">
        <f t="shared" si="20"/>
        <v>2058520.9964453906</v>
      </c>
      <c r="O317" s="1"/>
    </row>
    <row r="318" spans="1:15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867.9567313</v>
      </c>
      <c r="F318">
        <v>1287726.5160000001</v>
      </c>
      <c r="G318">
        <v>4214.082977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-0.58104317018299501</v>
      </c>
      <c r="M318" s="1">
        <f t="shared" si="19"/>
        <v>4818839.8904447248</v>
      </c>
      <c r="N318" s="1">
        <f t="shared" si="20"/>
        <v>10946900.789032124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 s="1">
        <v>-2.23E-5</v>
      </c>
      <c r="F319">
        <v>874731.12159999995</v>
      </c>
      <c r="G319">
        <v>520.77399070000001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-0.13440833332220029</v>
      </c>
      <c r="N319" s="1">
        <f t="shared" si="20"/>
        <v>1468636.4300425556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 s="1">
        <v>1.43E-5</v>
      </c>
      <c r="F320">
        <v>1175916.6910000001</v>
      </c>
      <c r="G320">
        <v>4824.2378879999997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6.4686787282713321E-2</v>
      </c>
      <c r="N320" s="1">
        <f t="shared" si="20"/>
        <v>10210615.867822779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-1.43424259904563E-3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4.8099999999999997E-5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1.6626245886021202E-2</v>
      </c>
      <c r="N322" s="1">
        <f t="shared" si="20"/>
        <v>0.34016550277730279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 s="1">
        <v>3.5599999999999998E-6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2.9409676706962699E-2</v>
      </c>
      <c r="N323" s="1">
        <f t="shared" ref="N323:N386" si="24">$U$4*$K323*G323</f>
        <v>2.129884684051116E-2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7.1638721588154E-2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 s="1">
        <v>3.5800000000000003E-5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2.8140425602113422E-2</v>
      </c>
      <c r="N325" s="1">
        <f t="shared" si="24"/>
        <v>0.11963579626586569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 s="1">
        <v>1.49E-5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-9.2508274298261067E-3</v>
      </c>
      <c r="N326" s="1">
        <f t="shared" si="24"/>
        <v>3.1155891343903109E-2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 s="1">
        <v>-1.0900000000000001E-5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2.07204458364475E-3</v>
      </c>
      <c r="M327" s="1">
        <f t="shared" si="23"/>
        <v>1.7651269643934937E-2</v>
      </c>
      <c r="N327" s="1">
        <f t="shared" si="24"/>
        <v>-3.5441525663018975E-2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 s="1">
        <v>-3.2199999999999997E-5</v>
      </c>
      <c r="F328">
        <v>632384.22030000004</v>
      </c>
      <c r="G328" s="1">
        <v>-4.3000000000000002E-5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1.119130128493E-2</v>
      </c>
      <c r="M328" s="1">
        <f t="shared" si="23"/>
        <v>-0.60429583461303549</v>
      </c>
      <c r="N328" s="1">
        <f t="shared" si="24"/>
        <v>-0.37757728796694606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 s="1">
        <v>3.54E-5</v>
      </c>
      <c r="F329">
        <v>1004835.983</v>
      </c>
      <c r="G329">
        <v>2784.6615919999999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0.17543638843217293</v>
      </c>
      <c r="N329" s="1">
        <f t="shared" si="24"/>
        <v>6457025.762716922</v>
      </c>
      <c r="O329" s="1"/>
    </row>
    <row r="330" spans="1:15" x14ac:dyDescent="0.25">
      <c r="A330">
        <v>410</v>
      </c>
      <c r="B330">
        <v>109104.80620000001</v>
      </c>
      <c r="C330" s="1">
        <v>-4.9699999999999998E-6</v>
      </c>
      <c r="D330">
        <v>742590.87150000001</v>
      </c>
      <c r="E330" s="1">
        <v>3.6000000000000001E-5</v>
      </c>
      <c r="F330">
        <v>1110394.05</v>
      </c>
      <c r="G330">
        <v>3100.8593340000002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-4.9384975708131704E-2</v>
      </c>
      <c r="M330" s="1">
        <f t="shared" si="23"/>
        <v>0.1199731587548112</v>
      </c>
      <c r="N330" s="1">
        <f t="shared" si="24"/>
        <v>4835120.8835041616</v>
      </c>
      <c r="O330" s="1"/>
    </row>
    <row r="331" spans="1:15" x14ac:dyDescent="0.25">
      <c r="A331">
        <v>411</v>
      </c>
      <c r="B331">
        <v>421255.3222</v>
      </c>
      <c r="C331" s="1">
        <v>-5.4600000000000002E-6</v>
      </c>
      <c r="D331">
        <v>901882.04070000001</v>
      </c>
      <c r="E331">
        <v>520.77402949999998</v>
      </c>
      <c r="F331">
        <v>1332042.9509999999</v>
      </c>
      <c r="G331">
        <v>4586.4250309999998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-5.2980261188823159E-2</v>
      </c>
      <c r="M331" s="1">
        <f t="shared" si="23"/>
        <v>1694782.2526097393</v>
      </c>
      <c r="N331" s="1">
        <f t="shared" si="24"/>
        <v>6983651.619798339</v>
      </c>
      <c r="O331" s="1"/>
    </row>
    <row r="332" spans="1:15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 s="1">
        <v>2.7300000000000001E-6</v>
      </c>
      <c r="F332">
        <v>903907.15209999995</v>
      </c>
      <c r="G332">
        <v>520.7740278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6.9812909824663844E-2</v>
      </c>
      <c r="M332" s="1">
        <f t="shared" si="23"/>
        <v>1.3716888462545542E-2</v>
      </c>
      <c r="N332" s="1">
        <f t="shared" si="24"/>
        <v>1224294.6598436763</v>
      </c>
      <c r="O332" s="1"/>
    </row>
    <row r="333" spans="1:15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 s="1">
        <v>-1.0900000000000001E-5</v>
      </c>
      <c r="F333">
        <v>767494.17189999996</v>
      </c>
      <c r="G333" s="1">
        <v>3.8099999999999998E-5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-6.8487595407481262E-3</v>
      </c>
      <c r="M333" s="1">
        <f t="shared" si="23"/>
        <v>-4.5521741036994953E-2</v>
      </c>
      <c r="N333" s="1">
        <f t="shared" si="24"/>
        <v>7.4449368747567454E-2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 s="1">
        <v>-7.2400000000000001E-6</v>
      </c>
      <c r="F334">
        <v>949689.50730000006</v>
      </c>
      <c r="G334">
        <v>1316.9308000000001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-4.6020787401512449E-2</v>
      </c>
      <c r="N334" s="1">
        <f t="shared" si="24"/>
        <v>3916716.2689878982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 s="1">
        <v>3.8099999999999998E-5</v>
      </c>
      <c r="F335">
        <v>714032.27049999998</v>
      </c>
      <c r="G335" s="1">
        <v>4.5900000000000001E-6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0.13597193392365023</v>
      </c>
      <c r="N335" s="1">
        <f t="shared" si="24"/>
        <v>7.6644441263183042E-3</v>
      </c>
      <c r="O335" s="1"/>
    </row>
    <row r="336" spans="1:15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 s="1">
        <v>-7.8299999999999996E-6</v>
      </c>
      <c r="F336">
        <v>757062.46869999997</v>
      </c>
      <c r="G336" s="1">
        <v>5.8999999999999996E-7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-6.8940868658843996E-2</v>
      </c>
      <c r="M336" s="1">
        <f t="shared" si="23"/>
        <v>-3.9789662332553564E-2</v>
      </c>
      <c r="N336" s="1">
        <f t="shared" si="24"/>
        <v>1.4028272107824962E-3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 s="1">
        <v>1.7499999999999998E-5</v>
      </c>
      <c r="F337">
        <v>662995.1605</v>
      </c>
      <c r="G337" s="1">
        <v>3.9799999999999998E-5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0.51034272721827489</v>
      </c>
      <c r="N337" s="1">
        <f t="shared" si="24"/>
        <v>0.54306352173402606</v>
      </c>
      <c r="O337" s="1"/>
    </row>
    <row r="338" spans="1:15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 s="1">
        <v>3.3300000000000003E-5</v>
      </c>
      <c r="F338">
        <v>1058916.5</v>
      </c>
      <c r="G338">
        <v>3384.8451319999999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-2.6340435790659904E-2</v>
      </c>
      <c r="M338" s="1">
        <f t="shared" si="23"/>
        <v>7.245765804422756E-2</v>
      </c>
      <c r="N338" s="1">
        <f t="shared" si="24"/>
        <v>3446057.6649484355</v>
      </c>
      <c r="O338" s="1"/>
    </row>
    <row r="339" spans="1:15" x14ac:dyDescent="0.25">
      <c r="A339">
        <v>420</v>
      </c>
      <c r="B339">
        <v>44315.055289999997</v>
      </c>
      <c r="C339" s="1">
        <v>-4.6500000000000004E-6</v>
      </c>
      <c r="D339">
        <v>474478.38459999999</v>
      </c>
      <c r="E339" s="1">
        <v>-2.6400000000000001E-5</v>
      </c>
      <c r="F339">
        <v>844819.72320000001</v>
      </c>
      <c r="G339">
        <v>1316.9308060000001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-7.3609717628021251E-2</v>
      </c>
      <c r="M339" s="1">
        <f t="shared" si="23"/>
        <v>-0.14016166977428882</v>
      </c>
      <c r="N339" s="1">
        <f t="shared" si="24"/>
        <v>3271387.3568439535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 s="1">
        <v>-3.27E-6</v>
      </c>
      <c r="F340">
        <v>585551.13190000004</v>
      </c>
      <c r="G340" s="1">
        <v>-1.01E-5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-3.3504125632375745E-2</v>
      </c>
      <c r="N340" s="1">
        <f t="shared" si="24"/>
        <v>-4.8418974590345221E-2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 s="1">
        <v>2.1100000000000001E-6</v>
      </c>
      <c r="F341">
        <v>549963.11750000005</v>
      </c>
      <c r="G341" s="1">
        <v>-9.0000000000000002E-6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1.3907678474592544E-2</v>
      </c>
      <c r="N341" s="1">
        <f t="shared" si="24"/>
        <v>-2.7756095568668107E-2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 s="1">
        <v>-3.2799999999999999E-6</v>
      </c>
      <c r="F342">
        <v>563220.57660000003</v>
      </c>
      <c r="G342" s="1">
        <v>-5.1000000000000003E-6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-4.0096136875776159E-3</v>
      </c>
      <c r="N342" s="1">
        <f t="shared" si="24"/>
        <v>-2.9170410610285802E-3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 s="1">
        <v>2E-8</v>
      </c>
      <c r="F343">
        <v>522965.44500000001</v>
      </c>
      <c r="G343" s="1">
        <v>2.6699999999999998E-5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1.1161717879009201E-4</v>
      </c>
      <c r="N343" s="1">
        <f t="shared" si="24"/>
        <v>6.9719776311223974E-2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 s="1">
        <v>-2.9999999999999999E-7</v>
      </c>
      <c r="F344">
        <v>432077.54300000001</v>
      </c>
      <c r="G344" s="1">
        <v>2.37E-5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-8.8153930729520998E-4</v>
      </c>
      <c r="N344" s="1">
        <f t="shared" si="24"/>
        <v>3.2584604303600009E-2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 s="1">
        <v>-1.34E-5</v>
      </c>
      <c r="F345">
        <v>626506.73400000005</v>
      </c>
      <c r="G345">
        <v>3925.9695740000002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-2.746314551981922E-2</v>
      </c>
      <c r="N345" s="1">
        <f t="shared" si="24"/>
        <v>3764749.5272999993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>
        <v>0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-1.5523538216171659E-2</v>
      </c>
      <c r="N346" s="1">
        <f t="shared" si="24"/>
        <v>0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 s="1">
        <v>6.0000000000000002E-6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2.0398423611657418E-2</v>
      </c>
      <c r="N347" s="1">
        <f t="shared" si="24"/>
        <v>3.8955985927524001E-2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 s="1">
        <v>1.6099999999999998E-5</v>
      </c>
      <c r="F349">
        <v>1153027.202</v>
      </c>
      <c r="G349">
        <v>3100.8593340000002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0.6683948791597577</v>
      </c>
      <c r="M349" s="1">
        <f t="shared" si="23"/>
        <v>0.57931407504010801</v>
      </c>
      <c r="N349" s="1">
        <f t="shared" si="24"/>
        <v>52205222.122166783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 s="1">
        <v>1.77E-5</v>
      </c>
      <c r="F350">
        <v>959593.20319999999</v>
      </c>
      <c r="G350">
        <v>520.7739646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0.42790661652960893</v>
      </c>
      <c r="N350" s="1">
        <f t="shared" si="24"/>
        <v>5890724.0364917405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 s="1">
        <v>-2.4200000000000001E-6</v>
      </c>
      <c r="D352">
        <v>542329.84180000005</v>
      </c>
      <c r="E352">
        <v>704.20398569999998</v>
      </c>
      <c r="F352">
        <v>889524.22100000002</v>
      </c>
      <c r="G352" s="1">
        <v>-2.4199999999999999E-5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-1.0879418143615451E-2</v>
      </c>
      <c r="M352" s="1">
        <f t="shared" si="23"/>
        <v>1061773.5898951907</v>
      </c>
      <c r="N352" s="1">
        <f t="shared" si="24"/>
        <v>-1.7072317702288863E-2</v>
      </c>
      <c r="O352" s="1"/>
    </row>
    <row r="353" spans="1:15" x14ac:dyDescent="0.25">
      <c r="A353">
        <v>501</v>
      </c>
      <c r="B353">
        <v>30413.220290000001</v>
      </c>
      <c r="C353" s="1">
        <v>2.9999999999999999E-7</v>
      </c>
      <c r="D353">
        <v>443977.61609999998</v>
      </c>
      <c r="E353">
        <v>704.20391070000005</v>
      </c>
      <c r="F353">
        <v>802580.66070000001</v>
      </c>
      <c r="G353" s="1">
        <v>1.47E-5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2.8025965832279998E-3</v>
      </c>
      <c r="M353" s="1">
        <f t="shared" si="23"/>
        <v>2206383.001728965</v>
      </c>
      <c r="N353" s="1">
        <f t="shared" si="24"/>
        <v>2.1549811881497759E-2</v>
      </c>
      <c r="O353" s="1"/>
    </row>
    <row r="354" spans="1:15" x14ac:dyDescent="0.25">
      <c r="A354">
        <v>502</v>
      </c>
      <c r="B354">
        <v>36334.551469999999</v>
      </c>
      <c r="C354" s="1">
        <v>3.1E-6</v>
      </c>
      <c r="D354">
        <v>503379.44270000001</v>
      </c>
      <c r="E354">
        <v>810.55045210000003</v>
      </c>
      <c r="F354">
        <v>824355.30610000005</v>
      </c>
      <c r="G354" s="1">
        <v>9.2E-6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2.9117836948931251E-2</v>
      </c>
      <c r="M354" s="1">
        <f t="shared" si="23"/>
        <v>2553410.2962195575</v>
      </c>
      <c r="N354" s="1">
        <f t="shared" si="24"/>
        <v>1.3560386199939002E-2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>
        <v>1595.5353319999999</v>
      </c>
      <c r="F355">
        <v>691648.99060000002</v>
      </c>
      <c r="G355" s="1">
        <v>1.1199999999999999E-5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4.1343492940220251E-2</v>
      </c>
      <c r="M355" s="1">
        <f t="shared" si="23"/>
        <v>7136660.4536487563</v>
      </c>
      <c r="N355" s="1">
        <f t="shared" si="24"/>
        <v>2.343960612154224E-2</v>
      </c>
      <c r="O355" s="1"/>
    </row>
    <row r="356" spans="1:15" x14ac:dyDescent="0.25">
      <c r="A356">
        <v>504</v>
      </c>
      <c r="B356">
        <v>25701.549470000002</v>
      </c>
      <c r="C356" s="1">
        <v>3.0000000000000001E-6</v>
      </c>
      <c r="D356">
        <v>300424.92950000003</v>
      </c>
      <c r="E356">
        <v>1978.823414</v>
      </c>
      <c r="F356">
        <v>704952.58929999999</v>
      </c>
      <c r="G356">
        <v>935.98274300000003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6.1496454234345001E-2</v>
      </c>
      <c r="M356" s="1">
        <f t="shared" si="23"/>
        <v>13604387.654709993</v>
      </c>
      <c r="N356" s="1">
        <f t="shared" si="24"/>
        <v>3010810.888072663</v>
      </c>
      <c r="O356" s="1"/>
    </row>
    <row r="357" spans="1:15" x14ac:dyDescent="0.25">
      <c r="A357">
        <v>505</v>
      </c>
      <c r="B357">
        <v>31763.556059999999</v>
      </c>
      <c r="C357">
        <v>0</v>
      </c>
      <c r="D357">
        <v>331986.72769999999</v>
      </c>
      <c r="E357">
        <v>1386.045241</v>
      </c>
      <c r="F357">
        <v>723507.41489999997</v>
      </c>
      <c r="G357">
        <v>1477.565713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0</v>
      </c>
      <c r="M357" s="1">
        <f t="shared" si="23"/>
        <v>11122182.796885611</v>
      </c>
      <c r="N357" s="1">
        <f t="shared" si="24"/>
        <v>5547574.0173322409</v>
      </c>
      <c r="O357" s="1"/>
    </row>
    <row r="358" spans="1:15" x14ac:dyDescent="0.25">
      <c r="A358">
        <v>508</v>
      </c>
      <c r="B358">
        <v>18431.461050000002</v>
      </c>
      <c r="C358">
        <v>41199.651469999997</v>
      </c>
      <c r="D358">
        <v>176196.9308</v>
      </c>
      <c r="E358">
        <v>379516.93040000001</v>
      </c>
      <c r="F358">
        <v>631804.61739999999</v>
      </c>
      <c r="G358">
        <v>259574.98939999999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635562765.77424979</v>
      </c>
      <c r="M358" s="1">
        <f t="shared" si="23"/>
        <v>1963537481.5619748</v>
      </c>
      <c r="N358" s="1">
        <f t="shared" si="24"/>
        <v>628368729.22874939</v>
      </c>
      <c r="O358" s="1"/>
    </row>
    <row r="359" spans="1:15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>
        <v>175568.67720000001</v>
      </c>
      <c r="F359">
        <v>586817.66379999998</v>
      </c>
      <c r="G359">
        <v>84360.440050000005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-6.1014724871919002E-2</v>
      </c>
      <c r="M359" s="1">
        <f t="shared" si="23"/>
        <v>855412398.8042773</v>
      </c>
      <c r="N359" s="1">
        <f t="shared" si="24"/>
        <v>192314052.03367263</v>
      </c>
      <c r="O359" s="1"/>
    </row>
    <row r="360" spans="1:15" x14ac:dyDescent="0.25">
      <c r="A360">
        <v>510</v>
      </c>
      <c r="B360">
        <v>18570.2611</v>
      </c>
      <c r="C360" s="1">
        <v>6.9999999999999997E-7</v>
      </c>
      <c r="D360">
        <v>92394.706980000003</v>
      </c>
      <c r="E360">
        <v>73746.839349999995</v>
      </c>
      <c r="F360">
        <v>588645.64549999998</v>
      </c>
      <c r="G360">
        <v>55848.05474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1.02341166728255E-2</v>
      </c>
      <c r="M360" s="1">
        <f t="shared" si="23"/>
        <v>361608701.71183312</v>
      </c>
      <c r="N360" s="1">
        <f t="shared" si="24"/>
        <v>128128927.10388909</v>
      </c>
      <c r="O360" s="1"/>
    </row>
    <row r="361" spans="1:15" x14ac:dyDescent="0.25">
      <c r="A361">
        <v>511</v>
      </c>
      <c r="B361">
        <v>27598.16689</v>
      </c>
      <c r="C361">
        <v>164372.033</v>
      </c>
      <c r="D361">
        <v>431173.48460000003</v>
      </c>
      <c r="E361">
        <v>206048.12890000001</v>
      </c>
      <c r="F361">
        <v>788134.65850000002</v>
      </c>
      <c r="G361">
        <v>207819.535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1972055978.3090956</v>
      </c>
      <c r="M361" s="1">
        <f t="shared" si="23"/>
        <v>829092762.37193251</v>
      </c>
      <c r="N361" s="1">
        <f t="shared" si="24"/>
        <v>391259139.78349692</v>
      </c>
      <c r="O361" s="1"/>
    </row>
    <row r="362" spans="1:15" x14ac:dyDescent="0.25">
      <c r="A362">
        <v>512</v>
      </c>
      <c r="B362">
        <v>24975.755130000001</v>
      </c>
      <c r="C362">
        <v>51805.792569999998</v>
      </c>
      <c r="D362">
        <v>316544.6471</v>
      </c>
      <c r="E362">
        <v>247058.83480000001</v>
      </c>
      <c r="F362">
        <v>706326.17009999999</v>
      </c>
      <c r="G362">
        <v>216020.81299999999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267451948.06171751</v>
      </c>
      <c r="M362" s="1">
        <f t="shared" si="23"/>
        <v>427770635.6103881</v>
      </c>
      <c r="N362" s="1">
        <f t="shared" si="24"/>
        <v>175004757.28068244</v>
      </c>
      <c r="O362" s="1"/>
    </row>
    <row r="363" spans="1:15" x14ac:dyDescent="0.25">
      <c r="A363">
        <v>513</v>
      </c>
      <c r="B363">
        <v>22105.32417</v>
      </c>
      <c r="C363" s="1">
        <v>5.9999999999999997E-7</v>
      </c>
      <c r="D363">
        <v>172899.4762</v>
      </c>
      <c r="E363">
        <v>115209.71030000001</v>
      </c>
      <c r="F363">
        <v>629597.8885</v>
      </c>
      <c r="G363">
        <v>53412.787380000002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7.4455389898499995E-3</v>
      </c>
      <c r="M363" s="1">
        <f t="shared" si="23"/>
        <v>479487305.20630294</v>
      </c>
      <c r="N363" s="1">
        <f t="shared" si="24"/>
        <v>104010443.79852441</v>
      </c>
      <c r="O363" s="1"/>
    </row>
    <row r="364" spans="1:15" x14ac:dyDescent="0.25">
      <c r="A364">
        <v>514</v>
      </c>
      <c r="B364">
        <v>23988.756819999999</v>
      </c>
      <c r="C364">
        <v>1987.985909</v>
      </c>
      <c r="D364">
        <v>281840.24690000003</v>
      </c>
      <c r="E364">
        <v>138362.68539999999</v>
      </c>
      <c r="F364">
        <v>673586.57330000005</v>
      </c>
      <c r="G364">
        <v>95381.577969999998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11292072.526560307</v>
      </c>
      <c r="M364" s="1">
        <f t="shared" si="23"/>
        <v>263586083.06676838</v>
      </c>
      <c r="N364" s="1">
        <f t="shared" si="24"/>
        <v>85018154.85203816</v>
      </c>
      <c r="O364" s="1"/>
    </row>
    <row r="365" spans="1:15" x14ac:dyDescent="0.25">
      <c r="A365">
        <v>517</v>
      </c>
      <c r="B365">
        <v>505109.76089999999</v>
      </c>
      <c r="C365">
        <v>3637.6061070000001</v>
      </c>
      <c r="D365">
        <v>844767.02650000004</v>
      </c>
      <c r="E365">
        <v>935.98275750000005</v>
      </c>
      <c r="F365">
        <v>1242305.476</v>
      </c>
      <c r="G365">
        <v>0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8385609.698771595</v>
      </c>
      <c r="M365" s="1">
        <f t="shared" si="23"/>
        <v>723652.32142328576</v>
      </c>
      <c r="N365" s="1">
        <f t="shared" si="24"/>
        <v>0</v>
      </c>
      <c r="O365" s="1"/>
    </row>
    <row r="366" spans="1:15" x14ac:dyDescent="0.25">
      <c r="A366">
        <v>518</v>
      </c>
      <c r="B366">
        <v>305243.80800000002</v>
      </c>
      <c r="C366">
        <v>1386.0453090000001</v>
      </c>
      <c r="D366">
        <v>713471.58929999999</v>
      </c>
      <c r="E366">
        <v>935.98272659999998</v>
      </c>
      <c r="F366">
        <v>1087121.534</v>
      </c>
      <c r="G366">
        <v>0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5931146.2857359285</v>
      </c>
      <c r="M366" s="1">
        <f t="shared" si="23"/>
        <v>1343297.4156172504</v>
      </c>
      <c r="N366" s="1">
        <f t="shared" si="24"/>
        <v>0</v>
      </c>
      <c r="O366" s="1"/>
    </row>
    <row r="367" spans="1:15" x14ac:dyDescent="0.25">
      <c r="A367">
        <v>519</v>
      </c>
      <c r="B367">
        <v>168017.5343</v>
      </c>
      <c r="C367">
        <v>390.90655579999998</v>
      </c>
      <c r="D367">
        <v>633013.34120000002</v>
      </c>
      <c r="E367">
        <v>1146.136536</v>
      </c>
      <c r="F367">
        <v>984017.64969999995</v>
      </c>
      <c r="G367" s="1">
        <v>-4.8199999999999999E-5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2263656.8795981337</v>
      </c>
      <c r="M367" s="1">
        <f t="shared" si="23"/>
        <v>2225958.8834735486</v>
      </c>
      <c r="N367" s="1">
        <f t="shared" si="24"/>
        <v>-4.3799736467533504E-2</v>
      </c>
      <c r="O367" s="1"/>
    </row>
    <row r="368" spans="1:15" x14ac:dyDescent="0.25">
      <c r="A368">
        <v>520</v>
      </c>
      <c r="B368">
        <v>215741.15539999999</v>
      </c>
      <c r="C368">
        <v>2067.9147160000002</v>
      </c>
      <c r="D368">
        <v>667620.09450000001</v>
      </c>
      <c r="E368">
        <v>2962.9189849999998</v>
      </c>
      <c r="F368">
        <v>1033573.341</v>
      </c>
      <c r="G368">
        <v>0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18155342.965727579</v>
      </c>
      <c r="M368" s="1">
        <f t="shared" si="23"/>
        <v>8724383.4916822817</v>
      </c>
      <c r="N368" s="1">
        <f t="shared" si="24"/>
        <v>0</v>
      </c>
      <c r="O368" s="1"/>
    </row>
    <row r="369" spans="1:15" x14ac:dyDescent="0.25">
      <c r="A369">
        <v>521</v>
      </c>
      <c r="B369">
        <v>110364.02650000001</v>
      </c>
      <c r="C369">
        <v>1072.7759390000001</v>
      </c>
      <c r="D369">
        <v>603252.91819999996</v>
      </c>
      <c r="E369">
        <v>4405.7059980000004</v>
      </c>
      <c r="F369">
        <v>958816.42550000001</v>
      </c>
      <c r="G369" s="1">
        <v>-3.6399999999999997E-5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10870429.670017898</v>
      </c>
      <c r="M369" s="1">
        <f t="shared" si="23"/>
        <v>14972569.42998497</v>
      </c>
      <c r="N369" s="1">
        <f t="shared" si="24"/>
        <v>-5.7879648506119444E-2</v>
      </c>
      <c r="O369" s="1"/>
    </row>
    <row r="370" spans="1:15" x14ac:dyDescent="0.25">
      <c r="A370">
        <v>522</v>
      </c>
      <c r="B370">
        <v>47779.049429999999</v>
      </c>
      <c r="C370">
        <v>520.77398770000002</v>
      </c>
      <c r="D370">
        <v>529601.34730000002</v>
      </c>
      <c r="E370">
        <v>2550.7777970000002</v>
      </c>
      <c r="F370">
        <v>844952.8101</v>
      </c>
      <c r="G370" s="1">
        <v>3.1000000000000001E-5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4723690.2688692315</v>
      </c>
      <c r="M370" s="1">
        <f t="shared" si="23"/>
        <v>7759752.9541850667</v>
      </c>
      <c r="N370" s="1">
        <f t="shared" si="24"/>
        <v>4.4124585514698604E-2</v>
      </c>
      <c r="O370" s="1"/>
    </row>
    <row r="371" spans="1:15" x14ac:dyDescent="0.25">
      <c r="A371">
        <v>523</v>
      </c>
      <c r="B371">
        <v>56643.795940000004</v>
      </c>
      <c r="C371">
        <v>520.77398270000003</v>
      </c>
      <c r="D371">
        <v>552725.96959999995</v>
      </c>
      <c r="E371">
        <v>3044.827945</v>
      </c>
      <c r="F371">
        <v>906475.28469999996</v>
      </c>
      <c r="G371" s="1">
        <v>-2.9200000000000002E-5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14431921.307183716</v>
      </c>
      <c r="M371" s="1">
        <f t="shared" si="23"/>
        <v>28299630.605423991</v>
      </c>
      <c r="N371" s="1">
        <f t="shared" si="24"/>
        <v>-0.12698269483864813</v>
      </c>
      <c r="O371" s="1"/>
    </row>
    <row r="372" spans="1:15" x14ac:dyDescent="0.25">
      <c r="A372">
        <v>524</v>
      </c>
      <c r="B372">
        <v>34616.190430000002</v>
      </c>
      <c r="C372" s="1">
        <v>2.7E-6</v>
      </c>
      <c r="D372">
        <v>361121.76559999998</v>
      </c>
      <c r="E372">
        <v>2579.2200229999999</v>
      </c>
      <c r="F372">
        <v>739122.36349999998</v>
      </c>
      <c r="G372">
        <v>1146.136561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2.7212079061322999E-2</v>
      </c>
      <c r="M372" s="1">
        <f t="shared" si="23"/>
        <v>8718253.4141129833</v>
      </c>
      <c r="N372" s="1">
        <f t="shared" si="24"/>
        <v>1812679.9935763504</v>
      </c>
      <c r="O372" s="1"/>
    </row>
    <row r="373" spans="1:15" x14ac:dyDescent="0.25">
      <c r="A373">
        <v>525</v>
      </c>
      <c r="B373">
        <v>396580.56969999999</v>
      </c>
      <c r="C373">
        <v>3261.089547</v>
      </c>
      <c r="D373">
        <v>766297.9094</v>
      </c>
      <c r="E373">
        <v>1477.565724</v>
      </c>
      <c r="F373">
        <v>1160834.8370000001</v>
      </c>
      <c r="G373">
        <v>0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12127039.289714983</v>
      </c>
      <c r="M373" s="1">
        <f t="shared" si="23"/>
        <v>1842816.1310008229</v>
      </c>
      <c r="N373" s="1">
        <f t="shared" si="24"/>
        <v>0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520.77394830000003</v>
      </c>
      <c r="F374">
        <v>755623.93110000005</v>
      </c>
      <c r="G374">
        <v>3637.6061180000002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11211347.39866616</v>
      </c>
      <c r="N374" s="1">
        <f t="shared" si="24"/>
        <v>36641049.89373599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2532.6423359999999</v>
      </c>
      <c r="F375">
        <v>832003.87340000004</v>
      </c>
      <c r="G375">
        <v>354.18212540000002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6653128.5137687214</v>
      </c>
      <c r="N375" s="1">
        <f t="shared" si="24"/>
        <v>435333.78025466466</v>
      </c>
      <c r="O375" s="1"/>
    </row>
    <row r="376" spans="1:15" x14ac:dyDescent="0.25">
      <c r="A376">
        <v>531</v>
      </c>
      <c r="B376">
        <v>120796.7447</v>
      </c>
      <c r="C376">
        <v>0</v>
      </c>
      <c r="D376">
        <v>600001.22199999995</v>
      </c>
      <c r="E376">
        <v>2731.0282520000001</v>
      </c>
      <c r="F376">
        <v>966621.36049999995</v>
      </c>
      <c r="G376" s="1">
        <v>3.7700000000000002E-5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0</v>
      </c>
      <c r="M376" s="1">
        <f t="shared" si="23"/>
        <v>7464420.3878254211</v>
      </c>
      <c r="N376" s="1">
        <f t="shared" si="24"/>
        <v>4.8211975357470994E-2</v>
      </c>
      <c r="O376" s="1"/>
    </row>
    <row r="377" spans="1:15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 s="1">
        <v>4.1699999999999997E-5</v>
      </c>
      <c r="F377">
        <v>855764.68830000004</v>
      </c>
      <c r="G377" s="1">
        <v>-8.5299999999999996E-6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-9.9185337194775014E-2</v>
      </c>
      <c r="M377" s="1">
        <f t="shared" si="23"/>
        <v>0.27743206963163736</v>
      </c>
      <c r="N377" s="1">
        <f t="shared" si="24"/>
        <v>-2.655298291682644E-2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 s="1">
        <v>-2.4700000000000001E-5</v>
      </c>
      <c r="F378">
        <v>767721.87670000002</v>
      </c>
      <c r="G378" s="1">
        <v>-3.0800000000000003E-5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-9.9551488701324006E-2</v>
      </c>
      <c r="N378" s="1">
        <f t="shared" si="24"/>
        <v>-5.8082486517861971E-2</v>
      </c>
      <c r="O378" s="1"/>
    </row>
    <row r="379" spans="1:15" x14ac:dyDescent="0.25">
      <c r="A379">
        <v>534</v>
      </c>
      <c r="B379">
        <v>343835.80829999998</v>
      </c>
      <c r="C379">
        <v>2389.7067299999999</v>
      </c>
      <c r="D379">
        <v>731962.8689</v>
      </c>
      <c r="E379">
        <v>1286.6715979999999</v>
      </c>
      <c r="F379">
        <v>1141921.3770000001</v>
      </c>
      <c r="G379">
        <v>0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19036925.021679215</v>
      </c>
      <c r="M379" s="1">
        <f t="shared" si="23"/>
        <v>3437660.976419826</v>
      </c>
      <c r="N379" s="1">
        <f t="shared" si="24"/>
        <v>0</v>
      </c>
      <c r="O379" s="1"/>
    </row>
    <row r="380" spans="1:15" x14ac:dyDescent="0.25">
      <c r="A380">
        <v>535</v>
      </c>
      <c r="B380">
        <v>94243.148839999994</v>
      </c>
      <c r="C380" s="1">
        <v>1.08E-6</v>
      </c>
      <c r="D380">
        <v>590101.62470000004</v>
      </c>
      <c r="E380">
        <v>2046.922828</v>
      </c>
      <c r="F380">
        <v>950995.43259999994</v>
      </c>
      <c r="G380" s="1">
        <v>-2.8500000000000002E-5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5.1361023450789004E-3</v>
      </c>
      <c r="M380" s="1">
        <f t="shared" si="23"/>
        <v>3264784.5012604287</v>
      </c>
      <c r="N380" s="1">
        <f t="shared" si="24"/>
        <v>-2.1268731505903651E-2</v>
      </c>
      <c r="O380" s="1"/>
    </row>
    <row r="381" spans="1:15" x14ac:dyDescent="0.25">
      <c r="A381">
        <v>536</v>
      </c>
      <c r="B381">
        <v>200645.52729999999</v>
      </c>
      <c r="C381">
        <v>520.77398670000002</v>
      </c>
      <c r="D381">
        <v>639738.95779999997</v>
      </c>
      <c r="E381">
        <v>930.65896090000001</v>
      </c>
      <c r="F381">
        <v>1024634.566</v>
      </c>
      <c r="G381">
        <v>0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1724571.7473229552</v>
      </c>
      <c r="M381" s="1">
        <f t="shared" si="23"/>
        <v>1033631.378012368</v>
      </c>
      <c r="N381" s="1">
        <f t="shared" si="24"/>
        <v>0</v>
      </c>
      <c r="O381" s="1"/>
    </row>
    <row r="382" spans="1:15" x14ac:dyDescent="0.25">
      <c r="A382">
        <v>537</v>
      </c>
      <c r="B382">
        <v>444844.63760000002</v>
      </c>
      <c r="C382">
        <v>2200.3619800000001</v>
      </c>
      <c r="D382">
        <v>802409.20279999997</v>
      </c>
      <c r="E382">
        <v>354.18211580000002</v>
      </c>
      <c r="F382">
        <v>1219656.855</v>
      </c>
      <c r="G382">
        <v>0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7630571.9840847263</v>
      </c>
      <c r="M382" s="1">
        <f t="shared" si="23"/>
        <v>411938.82553048659</v>
      </c>
      <c r="N382" s="1">
        <f t="shared" si="24"/>
        <v>0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 s="1">
        <v>-2.4199999999999999E-5</v>
      </c>
      <c r="F383">
        <v>771253.88320000004</v>
      </c>
      <c r="G383" s="1">
        <v>-3.7499999999999997E-5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-0.12298352837642255</v>
      </c>
      <c r="N383" s="1">
        <f t="shared" si="24"/>
        <v>-8.9167487307569987E-2</v>
      </c>
      <c r="O383" s="1"/>
    </row>
    <row r="384" spans="1:15" x14ac:dyDescent="0.25">
      <c r="A384">
        <v>539</v>
      </c>
      <c r="B384">
        <v>503027.81449999998</v>
      </c>
      <c r="C384">
        <v>3693.6375410000001</v>
      </c>
      <c r="D384">
        <v>884773.91429999995</v>
      </c>
      <c r="E384">
        <v>237.12766590000001</v>
      </c>
      <c r="F384">
        <v>1272131.2849999999</v>
      </c>
      <c r="G384">
        <v>0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19032887.800293941</v>
      </c>
      <c r="M384" s="1">
        <f t="shared" si="23"/>
        <v>409803.60568362242</v>
      </c>
      <c r="N384" s="1">
        <f t="shared" si="24"/>
        <v>0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>
        <v>62898.469089999999</v>
      </c>
      <c r="F385">
        <v>653720.53989999997</v>
      </c>
      <c r="G385">
        <v>45945.299330000002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342659014.26147568</v>
      </c>
      <c r="N385" s="1">
        <f t="shared" si="24"/>
        <v>117113470.12537393</v>
      </c>
      <c r="O385" s="1"/>
    </row>
    <row r="386" spans="1:15" x14ac:dyDescent="0.25">
      <c r="A386">
        <v>541</v>
      </c>
      <c r="B386">
        <v>288456.43430000002</v>
      </c>
      <c r="C386">
        <v>1316.9307819999999</v>
      </c>
      <c r="D386">
        <v>694681.9719</v>
      </c>
      <c r="E386">
        <v>930.65898779999998</v>
      </c>
      <c r="F386">
        <v>1100117.1980000001</v>
      </c>
      <c r="G386">
        <v>0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7865113.3302622968</v>
      </c>
      <c r="M386" s="1">
        <f t="shared" si="23"/>
        <v>1864128.0811424134</v>
      </c>
      <c r="N386" s="1">
        <f t="shared" si="24"/>
        <v>0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722.33573809999996</v>
      </c>
      <c r="F387">
        <v>806393.81310000003</v>
      </c>
      <c r="G387" s="1">
        <v>2.02E-5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2386875.6496470724</v>
      </c>
      <c r="N387" s="1">
        <f t="shared" ref="N387:N450" si="28">$U$4*$K387*G387</f>
        <v>3.1230989123928299E-2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23537.205829999999</v>
      </c>
      <c r="F388">
        <v>711747.63520000002</v>
      </c>
      <c r="G388">
        <v>12761.05716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63763329.333055057</v>
      </c>
      <c r="N388" s="1">
        <f t="shared" si="28"/>
        <v>16175079.062082224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>
        <v>931.82580410000003</v>
      </c>
      <c r="F389">
        <v>701348.4105</v>
      </c>
      <c r="G389" s="1">
        <v>4.7800000000000003E-5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3573630.6074358835</v>
      </c>
      <c r="N389" s="1">
        <f t="shared" si="28"/>
        <v>8.5772190432660378E-2</v>
      </c>
      <c r="O389" s="1"/>
    </row>
    <row r="390" spans="1:15" x14ac:dyDescent="0.25">
      <c r="A390">
        <v>545</v>
      </c>
      <c r="B390">
        <v>36291.227480000001</v>
      </c>
      <c r="C390">
        <v>34086.752039999999</v>
      </c>
      <c r="D390">
        <v>504315.61359999998</v>
      </c>
      <c r="E390">
        <v>44929.67469</v>
      </c>
      <c r="F390">
        <v>826451.88659999997</v>
      </c>
      <c r="G390">
        <v>71569.740269999995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466297576.31702435</v>
      </c>
      <c r="M390" s="1">
        <f t="shared" si="27"/>
        <v>206136049.05688426</v>
      </c>
      <c r="N390" s="1">
        <f t="shared" si="28"/>
        <v>153636283.51794085</v>
      </c>
      <c r="O390" s="1"/>
    </row>
    <row r="391" spans="1:15" x14ac:dyDescent="0.25">
      <c r="A391">
        <v>548</v>
      </c>
      <c r="B391">
        <v>6632.596415</v>
      </c>
      <c r="C391">
        <v>34528.627670000002</v>
      </c>
      <c r="D391">
        <v>34289.275399999999</v>
      </c>
      <c r="E391">
        <v>489514.5171</v>
      </c>
      <c r="F391">
        <v>240745.09789999999</v>
      </c>
      <c r="G391">
        <v>612974.58490000002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455703282.59247702</v>
      </c>
      <c r="M391" s="1">
        <f t="shared" si="27"/>
        <v>2166763703.8122773</v>
      </c>
      <c r="N391" s="1">
        <f t="shared" si="28"/>
        <v>1269498296.7019477</v>
      </c>
      <c r="O391" s="1"/>
    </row>
    <row r="392" spans="1:15" x14ac:dyDescent="0.25">
      <c r="A392">
        <v>549</v>
      </c>
      <c r="B392">
        <v>6319.2327670000004</v>
      </c>
      <c r="C392">
        <v>52169.970670000002</v>
      </c>
      <c r="D392">
        <v>36004.943140000003</v>
      </c>
      <c r="E392">
        <v>507586.27360000001</v>
      </c>
      <c r="F392">
        <v>330597.53779999999</v>
      </c>
      <c r="G392">
        <v>560254.81610000005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969819786.85684025</v>
      </c>
      <c r="M392" s="1">
        <f t="shared" si="27"/>
        <v>3164633741.0872059</v>
      </c>
      <c r="N392" s="1">
        <f t="shared" si="28"/>
        <v>1634341699.5957184</v>
      </c>
      <c r="O392" s="1"/>
    </row>
    <row r="393" spans="1:15" x14ac:dyDescent="0.25">
      <c r="A393">
        <v>550</v>
      </c>
      <c r="B393">
        <v>19062.927169999999</v>
      </c>
      <c r="C393">
        <v>6246.5148669999999</v>
      </c>
      <c r="D393">
        <v>96180.548880000002</v>
      </c>
      <c r="E393">
        <v>331960.46139999997</v>
      </c>
      <c r="F393">
        <v>585143.9817</v>
      </c>
      <c r="G393">
        <v>201051.6869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73474817.544889241</v>
      </c>
      <c r="M393" s="1">
        <f t="shared" si="27"/>
        <v>1309574575.192198</v>
      </c>
      <c r="N393" s="1">
        <f t="shared" si="28"/>
        <v>371103691.80329376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>
        <v>71981.254650000003</v>
      </c>
      <c r="F394">
        <v>327992.00209999998</v>
      </c>
      <c r="G394">
        <v>245777.63010000001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413379680.36072886</v>
      </c>
      <c r="N394" s="1">
        <f t="shared" si="28"/>
        <v>660413197.17630339</v>
      </c>
      <c r="O394" s="1"/>
    </row>
    <row r="395" spans="1:15" x14ac:dyDescent="0.25">
      <c r="A395">
        <v>554</v>
      </c>
      <c r="B395">
        <v>178435.11730000001</v>
      </c>
      <c r="C395" s="1">
        <v>-2.83E-5</v>
      </c>
      <c r="D395">
        <v>611141.28489999997</v>
      </c>
      <c r="E395">
        <v>4208.099338</v>
      </c>
      <c r="F395">
        <v>978622.99529999995</v>
      </c>
      <c r="G395" s="1">
        <v>7.3599999999999998E-6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-0.10207218206580525</v>
      </c>
      <c r="M395" s="1">
        <f t="shared" si="27"/>
        <v>5090378.5935250912</v>
      </c>
      <c r="N395" s="1">
        <f t="shared" si="28"/>
        <v>4.1656770057320637E-3</v>
      </c>
      <c r="O395" s="1"/>
    </row>
    <row r="396" spans="1:15" x14ac:dyDescent="0.25">
      <c r="A396">
        <v>555</v>
      </c>
      <c r="B396">
        <v>297712.71620000002</v>
      </c>
      <c r="C396" s="1">
        <v>3.5299999999999997E-5</v>
      </c>
      <c r="D396">
        <v>687591.76800000004</v>
      </c>
      <c r="E396">
        <v>2668.3113910000002</v>
      </c>
      <c r="F396">
        <v>1064275.1880000001</v>
      </c>
      <c r="G396">
        <v>935.98272069999996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0.19532802444345448</v>
      </c>
      <c r="M396" s="1">
        <f t="shared" si="27"/>
        <v>4951873.0175494077</v>
      </c>
      <c r="N396" s="1">
        <f t="shared" si="28"/>
        <v>812726.64572887984</v>
      </c>
      <c r="O396" s="1"/>
    </row>
    <row r="397" spans="1:15" x14ac:dyDescent="0.25">
      <c r="A397">
        <v>556</v>
      </c>
      <c r="B397">
        <v>402571.59789999999</v>
      </c>
      <c r="C397" s="1">
        <v>1.59E-5</v>
      </c>
      <c r="D397">
        <v>779965.09959999996</v>
      </c>
      <c r="E397">
        <v>2579.2200699999999</v>
      </c>
      <c r="F397">
        <v>1167884.6040000001</v>
      </c>
      <c r="G397">
        <v>935.98272069999996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7.6629520561561512E-2</v>
      </c>
      <c r="M397" s="1">
        <f t="shared" si="27"/>
        <v>4168986.8050638456</v>
      </c>
      <c r="N397" s="1">
        <f t="shared" si="28"/>
        <v>707870.20110275631</v>
      </c>
      <c r="O397" s="1"/>
    </row>
    <row r="398" spans="1:15" x14ac:dyDescent="0.25">
      <c r="A398">
        <v>557</v>
      </c>
      <c r="B398">
        <v>227066.4277</v>
      </c>
      <c r="C398" s="1">
        <v>2.76E-5</v>
      </c>
      <c r="D398">
        <v>660022.7182</v>
      </c>
      <c r="E398">
        <v>3261.0895139999998</v>
      </c>
      <c r="F398">
        <v>1002102.949</v>
      </c>
      <c r="G398">
        <v>0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0.22616165309349301</v>
      </c>
      <c r="M398" s="1">
        <f t="shared" si="27"/>
        <v>8962222.9760934692</v>
      </c>
      <c r="N398" s="1">
        <f t="shared" si="28"/>
        <v>0</v>
      </c>
      <c r="O398" s="1"/>
    </row>
    <row r="399" spans="1:15" x14ac:dyDescent="0.25">
      <c r="A399">
        <v>558</v>
      </c>
      <c r="B399">
        <v>303165.2181</v>
      </c>
      <c r="C399">
        <v>520.77396699999997</v>
      </c>
      <c r="D399">
        <v>699025.64450000005</v>
      </c>
      <c r="E399">
        <v>1286.671621</v>
      </c>
      <c r="F399">
        <v>1078378.4380000001</v>
      </c>
      <c r="G399">
        <v>0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5334767.6994696474</v>
      </c>
      <c r="M399" s="1">
        <f t="shared" si="27"/>
        <v>4420558.1313483194</v>
      </c>
      <c r="N399" s="1">
        <f t="shared" si="28"/>
        <v>0</v>
      </c>
      <c r="O399" s="1"/>
    </row>
    <row r="400" spans="1:15" x14ac:dyDescent="0.25">
      <c r="A400">
        <v>559</v>
      </c>
      <c r="B400">
        <v>394301.38130000001</v>
      </c>
      <c r="C400" s="1">
        <v>-6.5300000000000002E-6</v>
      </c>
      <c r="D400">
        <v>779948.71719999996</v>
      </c>
      <c r="E400">
        <v>3261.0894880000001</v>
      </c>
      <c r="F400">
        <v>1175393.912</v>
      </c>
      <c r="G400">
        <v>1477.5657289999999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-2.090475425248535E-2</v>
      </c>
      <c r="M400" s="1">
        <f t="shared" si="27"/>
        <v>3501367.842279824</v>
      </c>
      <c r="N400" s="1">
        <f t="shared" si="28"/>
        <v>742276.15563133825</v>
      </c>
      <c r="O400" s="1"/>
    </row>
    <row r="401" spans="1:15" x14ac:dyDescent="0.25">
      <c r="A401">
        <v>560</v>
      </c>
      <c r="B401">
        <v>206737.09779999999</v>
      </c>
      <c r="C401" s="1">
        <v>-3.6199999999999999E-5</v>
      </c>
      <c r="D401">
        <v>634570.81019999995</v>
      </c>
      <c r="E401">
        <v>2067.9147440000002</v>
      </c>
      <c r="F401">
        <v>968361.94510000001</v>
      </c>
      <c r="G401">
        <v>4796.6124749999999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-0.1864077542855905</v>
      </c>
      <c r="M401" s="1">
        <f t="shared" si="27"/>
        <v>3571339.7738765916</v>
      </c>
      <c r="N401" s="1">
        <f t="shared" si="28"/>
        <v>3875938.2695956575</v>
      </c>
      <c r="O401" s="1"/>
    </row>
    <row r="402" spans="1:15" x14ac:dyDescent="0.25">
      <c r="A402">
        <v>561</v>
      </c>
      <c r="B402">
        <v>242560.97409999999</v>
      </c>
      <c r="C402">
        <v>520.77395620000004</v>
      </c>
      <c r="D402">
        <v>659407.01540000003</v>
      </c>
      <c r="E402">
        <v>5471.2996590000002</v>
      </c>
      <c r="F402">
        <v>1000601.844</v>
      </c>
      <c r="G402">
        <v>0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2496210.5853727874</v>
      </c>
      <c r="M402" s="1">
        <f t="shared" si="27"/>
        <v>8795602.656404132</v>
      </c>
      <c r="N402" s="1">
        <f t="shared" si="28"/>
        <v>0</v>
      </c>
      <c r="O402" s="1"/>
    </row>
    <row r="403" spans="1:15" x14ac:dyDescent="0.25">
      <c r="A403">
        <v>562</v>
      </c>
      <c r="B403">
        <v>283675.45159999997</v>
      </c>
      <c r="C403">
        <v>520.77400650000004</v>
      </c>
      <c r="D403">
        <v>697337.67090000003</v>
      </c>
      <c r="E403">
        <v>2579.220022</v>
      </c>
      <c r="F403">
        <v>1030261.588</v>
      </c>
      <c r="G403">
        <v>935.98272069999996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2159466.7810660894</v>
      </c>
      <c r="M403" s="1">
        <f t="shared" si="27"/>
        <v>3586978.3639002941</v>
      </c>
      <c r="N403" s="1">
        <f t="shared" si="28"/>
        <v>609048.49590189289</v>
      </c>
      <c r="O403" s="1"/>
    </row>
    <row r="404" spans="1:15" x14ac:dyDescent="0.25">
      <c r="A404">
        <v>563</v>
      </c>
      <c r="B404">
        <v>340554.25020000001</v>
      </c>
      <c r="C404">
        <v>1316.9307779999999</v>
      </c>
      <c r="D404">
        <v>748919.65910000005</v>
      </c>
      <c r="E404">
        <v>3044.827992</v>
      </c>
      <c r="F404">
        <v>1090556.433</v>
      </c>
      <c r="G404">
        <v>935.98272069999996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3138357.9638175061</v>
      </c>
      <c r="M404" s="1">
        <f t="shared" si="27"/>
        <v>2433578.89819194</v>
      </c>
      <c r="N404" s="1">
        <f t="shared" si="28"/>
        <v>350021.0608656854</v>
      </c>
      <c r="O404" s="1"/>
    </row>
    <row r="405" spans="1:15" x14ac:dyDescent="0.25">
      <c r="A405">
        <v>564</v>
      </c>
      <c r="B405">
        <v>84255.662590000007</v>
      </c>
      <c r="C405" s="1">
        <v>2.8000000000000002E-7</v>
      </c>
      <c r="D405">
        <v>603815.84680000006</v>
      </c>
      <c r="E405">
        <v>2660.692904</v>
      </c>
      <c r="F405">
        <v>981813.47979999997</v>
      </c>
      <c r="G405">
        <v>2572.0124850000002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2.2791212068079001E-3</v>
      </c>
      <c r="M405" s="1">
        <f t="shared" si="27"/>
        <v>7263522.3827665579</v>
      </c>
      <c r="N405" s="1">
        <f t="shared" si="28"/>
        <v>3285256.4630290936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520.77395630000001</v>
      </c>
      <c r="F406">
        <v>1034483.255</v>
      </c>
      <c r="G406">
        <v>2579.2200659999999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0.25556252000363205</v>
      </c>
      <c r="M406" s="1">
        <f t="shared" si="27"/>
        <v>4857066.4448137749</v>
      </c>
      <c r="N406" s="1">
        <f t="shared" si="28"/>
        <v>11255294.539300445</v>
      </c>
      <c r="O406" s="1"/>
    </row>
    <row r="407" spans="1:15" x14ac:dyDescent="0.25">
      <c r="A407">
        <v>566</v>
      </c>
      <c r="B407">
        <v>168280.97080000001</v>
      </c>
      <c r="C407" s="1">
        <v>-3.8300000000000003E-5</v>
      </c>
      <c r="D407">
        <v>707490.83629999997</v>
      </c>
      <c r="E407" s="1">
        <v>3.1E-6</v>
      </c>
      <c r="F407">
        <v>1077620.0260000001</v>
      </c>
      <c r="G407">
        <v>3707.5686580000001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-0.90893261265677983</v>
      </c>
      <c r="M407" s="1">
        <f t="shared" si="27"/>
        <v>2.4673896751695189E-2</v>
      </c>
      <c r="N407" s="1">
        <f t="shared" si="28"/>
        <v>13807305.355528168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 s="1">
        <v>-7.17E-6</v>
      </c>
      <c r="F408">
        <v>954962.74289999995</v>
      </c>
      <c r="G408">
        <v>2882.9192480000002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-2.1834366200245672E-2</v>
      </c>
      <c r="N408" s="1">
        <f t="shared" si="28"/>
        <v>4107689.3323545009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>
        <v>200364.43770000001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619692283.27304673</v>
      </c>
      <c r="O409" s="1"/>
    </row>
    <row r="410" spans="1:15" x14ac:dyDescent="0.25">
      <c r="A410">
        <v>571</v>
      </c>
      <c r="B410">
        <v>4219.4067370000002</v>
      </c>
      <c r="C410">
        <v>17589.640340000002</v>
      </c>
      <c r="D410">
        <v>32003.196240000001</v>
      </c>
      <c r="E410">
        <v>397102.15730000002</v>
      </c>
      <c r="F410">
        <v>298894.8357</v>
      </c>
      <c r="G410">
        <v>482270.29359999998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355363288.42243117</v>
      </c>
      <c r="M410" s="1">
        <f t="shared" si="27"/>
        <v>2690673391.9384832</v>
      </c>
      <c r="N410" s="1">
        <f t="shared" si="28"/>
        <v>1528948746.6836996</v>
      </c>
      <c r="O410" s="1"/>
    </row>
    <row r="411" spans="1:15" x14ac:dyDescent="0.25">
      <c r="A411">
        <v>572</v>
      </c>
      <c r="B411">
        <v>5662.1937090000001</v>
      </c>
      <c r="C411">
        <v>2794.846196</v>
      </c>
      <c r="D411">
        <v>33929.631329999997</v>
      </c>
      <c r="E411">
        <v>163392.3878</v>
      </c>
      <c r="F411">
        <v>367027.41840000002</v>
      </c>
      <c r="G411">
        <v>260317.20869999999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100289369.36780865</v>
      </c>
      <c r="M411" s="1">
        <f t="shared" si="27"/>
        <v>1966400354.547348</v>
      </c>
      <c r="N411" s="1">
        <f t="shared" si="28"/>
        <v>1465840380.2820129</v>
      </c>
      <c r="O411" s="1"/>
    </row>
    <row r="412" spans="1:15" x14ac:dyDescent="0.25">
      <c r="A412">
        <v>573</v>
      </c>
      <c r="B412">
        <v>9370.5683229999995</v>
      </c>
      <c r="C412">
        <v>27916.884180000001</v>
      </c>
      <c r="D412">
        <v>53973.093560000001</v>
      </c>
      <c r="E412">
        <v>449797.54060000001</v>
      </c>
      <c r="F412">
        <v>509767.67469999997</v>
      </c>
      <c r="G412">
        <v>310412.51870000002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471070979.58520722</v>
      </c>
      <c r="M412" s="1">
        <f t="shared" si="27"/>
        <v>2545538201.0973434</v>
      </c>
      <c r="N412" s="1">
        <f t="shared" si="28"/>
        <v>821950091.80178869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>
        <v>1784.0847920000001</v>
      </c>
      <c r="F413">
        <v>588063.48190000001</v>
      </c>
      <c r="G413">
        <v>2248.3111749999998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29126553.24451372</v>
      </c>
      <c r="N413" s="1">
        <f t="shared" si="28"/>
        <v>17174088.657753073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>
        <v>4543.8504400000002</v>
      </c>
      <c r="F414">
        <v>127784.98540000001</v>
      </c>
      <c r="G414">
        <v>278496.5454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38500474.785883032</v>
      </c>
      <c r="N414" s="1">
        <f t="shared" si="28"/>
        <v>1104092723.1277378</v>
      </c>
      <c r="O414" s="1"/>
    </row>
    <row r="415" spans="1:15" x14ac:dyDescent="0.25">
      <c r="A415">
        <v>577</v>
      </c>
      <c r="B415">
        <v>100875.2743</v>
      </c>
      <c r="C415" s="1">
        <v>4.0899999999999998E-5</v>
      </c>
      <c r="D415">
        <v>583245.87049999996</v>
      </c>
      <c r="E415">
        <v>2597.3799760000002</v>
      </c>
      <c r="F415">
        <v>945346.68830000004</v>
      </c>
      <c r="G415" s="1">
        <v>-2.2399999999999999E-5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0.53455972420182152</v>
      </c>
      <c r="M415" s="1">
        <f t="shared" si="27"/>
        <v>11385485.414658673</v>
      </c>
      <c r="N415" s="1">
        <f t="shared" si="28"/>
        <v>-4.5941773852033921E-2</v>
      </c>
      <c r="O415" s="1"/>
    </row>
    <row r="416" spans="1:15" x14ac:dyDescent="0.25">
      <c r="A416">
        <v>578</v>
      </c>
      <c r="B416">
        <v>180165.15100000001</v>
      </c>
      <c r="C416">
        <v>1868.9327679999999</v>
      </c>
      <c r="D416">
        <v>633523.53249999997</v>
      </c>
      <c r="E416">
        <v>3317.1010889999998</v>
      </c>
      <c r="F416">
        <v>979334.48360000004</v>
      </c>
      <c r="G416" s="1">
        <v>4.7500000000000003E-6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27128451.442265343</v>
      </c>
      <c r="M416" s="1">
        <f t="shared" si="27"/>
        <v>16148536.488590505</v>
      </c>
      <c r="N416" s="1">
        <f t="shared" si="28"/>
        <v>1.0819613573318851E-2</v>
      </c>
      <c r="O416" s="1"/>
    </row>
    <row r="417" spans="1:15" x14ac:dyDescent="0.25">
      <c r="A417">
        <v>579</v>
      </c>
      <c r="B417">
        <v>340741.16680000001</v>
      </c>
      <c r="C417">
        <v>3261.0895099999998</v>
      </c>
      <c r="D417">
        <v>725873.68980000005</v>
      </c>
      <c r="E417">
        <v>1477.5657349999999</v>
      </c>
      <c r="F417">
        <v>1137053.7250000001</v>
      </c>
      <c r="G417">
        <v>0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27377542.435456999</v>
      </c>
      <c r="M417" s="1">
        <f t="shared" si="27"/>
        <v>4160271.6516327495</v>
      </c>
      <c r="N417" s="1">
        <f t="shared" si="28"/>
        <v>0</v>
      </c>
      <c r="O417" s="1"/>
    </row>
    <row r="418" spans="1:15" x14ac:dyDescent="0.25">
      <c r="A418">
        <v>580</v>
      </c>
      <c r="B418">
        <v>103161.03350000001</v>
      </c>
      <c r="C418">
        <v>390.90646729999997</v>
      </c>
      <c r="D418">
        <v>608110.09420000005</v>
      </c>
      <c r="E418">
        <v>1146.136532</v>
      </c>
      <c r="F418">
        <v>957039.66390000004</v>
      </c>
      <c r="G418" s="1">
        <v>-4.8999999999999998E-5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2173215.1578731569</v>
      </c>
      <c r="M418" s="1">
        <f t="shared" si="27"/>
        <v>2137023.8167611319</v>
      </c>
      <c r="N418" s="1">
        <f t="shared" si="28"/>
        <v>-4.2747701196902105E-2</v>
      </c>
      <c r="O418" s="1"/>
    </row>
    <row r="419" spans="1:15" x14ac:dyDescent="0.25">
      <c r="A419">
        <v>600</v>
      </c>
      <c r="B419">
        <v>36623.220020000001</v>
      </c>
      <c r="C419">
        <v>0</v>
      </c>
      <c r="D419">
        <v>358476.56189999997</v>
      </c>
      <c r="E419">
        <v>2067.914769</v>
      </c>
      <c r="F419">
        <v>744860.34979999997</v>
      </c>
      <c r="G419">
        <v>1971.6158370000001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0</v>
      </c>
      <c r="M419" s="1">
        <f t="shared" si="27"/>
        <v>4761094.9084629938</v>
      </c>
      <c r="N419" s="1">
        <f t="shared" si="28"/>
        <v>2123929.905955676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520.77402710000001</v>
      </c>
      <c r="F420">
        <v>644632.75529999996</v>
      </c>
      <c r="G420">
        <v>3918.9961090000002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1.0534378858984499E-2</v>
      </c>
      <c r="M420" s="1">
        <f t="shared" si="27"/>
        <v>3066550.6064182576</v>
      </c>
      <c r="N420" s="1">
        <f t="shared" si="28"/>
        <v>10797403.475454861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1868.93282</v>
      </c>
      <c r="F421">
        <v>746517.67989999999</v>
      </c>
      <c r="G421">
        <v>4214.8118519999998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-3.1583917995493496E-2</v>
      </c>
      <c r="M421" s="1">
        <f t="shared" si="27"/>
        <v>9427217.7009968348</v>
      </c>
      <c r="N421" s="1">
        <f t="shared" si="28"/>
        <v>9947448.8892309256</v>
      </c>
      <c r="O421" s="1"/>
    </row>
    <row r="422" spans="1:15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520.77403249999998</v>
      </c>
      <c r="F422">
        <v>647929.93649999995</v>
      </c>
      <c r="G422">
        <v>2933.4021929999999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8.372986919602499E-3</v>
      </c>
      <c r="M422" s="1">
        <f t="shared" si="27"/>
        <v>2437370.8906606925</v>
      </c>
      <c r="N422" s="1">
        <f t="shared" si="28"/>
        <v>6423734.604041215</v>
      </c>
      <c r="O422" s="1"/>
    </row>
    <row r="423" spans="1:15" x14ac:dyDescent="0.25">
      <c r="A423">
        <v>604</v>
      </c>
      <c r="B423">
        <v>31793.696479999999</v>
      </c>
      <c r="C423" s="1">
        <v>-3.9999999999999998E-7</v>
      </c>
      <c r="D423">
        <v>184477.13579999999</v>
      </c>
      <c r="E423">
        <v>915.72841170000004</v>
      </c>
      <c r="F423">
        <v>707446.59510000004</v>
      </c>
      <c r="G423">
        <v>3044.8279550000002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-5.4438702169799999E-3</v>
      </c>
      <c r="M423" s="1">
        <f t="shared" si="27"/>
        <v>4179820.17211744</v>
      </c>
      <c r="N423" s="1">
        <f t="shared" si="28"/>
        <v>6502754.3017129516</v>
      </c>
      <c r="O423" s="1"/>
    </row>
    <row r="424" spans="1:15" x14ac:dyDescent="0.25">
      <c r="A424">
        <v>605</v>
      </c>
      <c r="B424">
        <v>33606.65756</v>
      </c>
      <c r="C424" s="1">
        <v>-3.7000000000000002E-6</v>
      </c>
      <c r="D424">
        <v>192936.33300000001</v>
      </c>
      <c r="E424" s="1">
        <v>-9.9999999999999995E-7</v>
      </c>
      <c r="F424">
        <v>715113.90009999997</v>
      </c>
      <c r="G424">
        <v>2579.220108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-3.6970897075121752E-2</v>
      </c>
      <c r="M424" s="1">
        <f t="shared" si="27"/>
        <v>-3.3512081340443E-3</v>
      </c>
      <c r="N424" s="1">
        <f t="shared" si="28"/>
        <v>4044208.0153801022</v>
      </c>
      <c r="O424" s="1"/>
    </row>
    <row r="425" spans="1:15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520.77399739999998</v>
      </c>
      <c r="F425">
        <v>695182.20799999998</v>
      </c>
      <c r="G425">
        <v>2340.6240229999999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-4.8240683898322506E-2</v>
      </c>
      <c r="M425" s="1">
        <f t="shared" si="27"/>
        <v>1872377.3150244618</v>
      </c>
      <c r="N425" s="1">
        <f t="shared" si="28"/>
        <v>3937489.5620762459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 s="1">
        <v>3.7E-7</v>
      </c>
      <c r="F426">
        <v>535576.12309999997</v>
      </c>
      <c r="G426">
        <v>2864.071547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1.2976036393396E-3</v>
      </c>
      <c r="N426" s="1">
        <f t="shared" si="28"/>
        <v>4699675.4971119789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 s="1">
        <v>-4.6299999999999997E-6</v>
      </c>
      <c r="F427">
        <v>587367.99840000004</v>
      </c>
      <c r="G427">
        <v>2864.0715089999999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-4.0799124558335509E-2</v>
      </c>
      <c r="N427" s="1">
        <f t="shared" si="28"/>
        <v>11808572.180282596</v>
      </c>
      <c r="O427" s="1"/>
    </row>
    <row r="428" spans="1:15" x14ac:dyDescent="0.25">
      <c r="A428">
        <v>609</v>
      </c>
      <c r="B428">
        <v>75617.0236</v>
      </c>
      <c r="C428" s="1">
        <v>3.5599999999999998E-6</v>
      </c>
      <c r="D428">
        <v>625790.52910000004</v>
      </c>
      <c r="E428" s="1">
        <v>-3.2400000000000001E-5</v>
      </c>
      <c r="F428">
        <v>952798.62450000003</v>
      </c>
      <c r="G428">
        <v>2864.0715100000002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2.2862612840865201E-2</v>
      </c>
      <c r="M428" s="1">
        <f t="shared" si="27"/>
        <v>-6.9785309860673758E-2</v>
      </c>
      <c r="N428" s="1">
        <f t="shared" si="28"/>
        <v>2886333.6751649021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 s="1">
        <v>-1.7E-5</v>
      </c>
      <c r="F429">
        <v>762655.40150000004</v>
      </c>
      <c r="G429" s="1">
        <v>5.6699999999999999E-6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-5.0818771055608093E-2</v>
      </c>
      <c r="N429" s="1">
        <f t="shared" si="28"/>
        <v>7.9305256482192082E-3</v>
      </c>
      <c r="O429" s="1"/>
    </row>
    <row r="430" spans="1:15" x14ac:dyDescent="0.25">
      <c r="A430">
        <v>611</v>
      </c>
      <c r="B430">
        <v>207488.09450000001</v>
      </c>
      <c r="C430" s="1">
        <v>2.1800000000000001E-5</v>
      </c>
      <c r="D430">
        <v>773021.14029999997</v>
      </c>
      <c r="E430" s="1">
        <v>4.88E-5</v>
      </c>
      <c r="F430">
        <v>1134748.328</v>
      </c>
      <c r="G430">
        <v>3542.479472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0.20881329029334803</v>
      </c>
      <c r="M430" s="1">
        <f t="shared" si="27"/>
        <v>0.15677059332792898</v>
      </c>
      <c r="N430" s="1">
        <f t="shared" si="28"/>
        <v>5324708.0468021277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 s="1">
        <v>6.1999999999999999E-7</v>
      </c>
      <c r="F431">
        <v>911262.47840000002</v>
      </c>
      <c r="G431">
        <v>2389.706784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3.4943370306973541E-3</v>
      </c>
      <c r="N431" s="1">
        <f t="shared" si="28"/>
        <v>6301753.2746350113</v>
      </c>
      <c r="O431" s="1"/>
    </row>
    <row r="432" spans="1:15" x14ac:dyDescent="0.25">
      <c r="A432">
        <v>613</v>
      </c>
      <c r="B432">
        <v>223122.3921</v>
      </c>
      <c r="C432" s="1">
        <v>3.8099999999999998E-5</v>
      </c>
      <c r="D432">
        <v>794252.72120000003</v>
      </c>
      <c r="E432" s="1">
        <v>-4.2400000000000001E-5</v>
      </c>
      <c r="F432">
        <v>1140106.689</v>
      </c>
      <c r="G432">
        <v>3542.479472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0.27950132994500926</v>
      </c>
      <c r="M432" s="1">
        <f t="shared" si="27"/>
        <v>-0.10432007643641064</v>
      </c>
      <c r="N432" s="1">
        <f t="shared" si="28"/>
        <v>4078054.8281907216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 s="1">
        <v>9.7499999999999998E-6</v>
      </c>
      <c r="F433">
        <v>894085.15540000005</v>
      </c>
      <c r="G433">
        <v>1316.9307859999999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0</v>
      </c>
      <c r="M433" s="1">
        <f t="shared" si="27"/>
        <v>4.1659974435959098E-2</v>
      </c>
      <c r="N433" s="1">
        <f t="shared" si="28"/>
        <v>2632819.0513413912</v>
      </c>
      <c r="O433" s="1"/>
    </row>
    <row r="434" spans="1:15" x14ac:dyDescent="0.25">
      <c r="A434">
        <v>615</v>
      </c>
      <c r="B434">
        <v>60481.518580000004</v>
      </c>
      <c r="C434" s="1">
        <v>4.6500000000000004E-6</v>
      </c>
      <c r="D434">
        <v>567068.78209999995</v>
      </c>
      <c r="E434" s="1">
        <v>-3.1999999999999999E-6</v>
      </c>
      <c r="F434">
        <v>942035.95830000006</v>
      </c>
      <c r="G434">
        <v>3184.5839369999999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6.356054894077201E-2</v>
      </c>
      <c r="M434" s="1">
        <f t="shared" si="27"/>
        <v>-1.466992189944832E-2</v>
      </c>
      <c r="N434" s="1">
        <f t="shared" si="28"/>
        <v>6830841.3977620695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 s="1">
        <v>-8.6999999999999997E-6</v>
      </c>
      <c r="F435">
        <v>780993.34169999999</v>
      </c>
      <c r="G435" s="1">
        <v>1.42E-5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-6.0448616335636467E-2</v>
      </c>
      <c r="N435" s="1">
        <f t="shared" si="28"/>
        <v>4.6163543130093784E-2</v>
      </c>
      <c r="O435" s="1"/>
    </row>
    <row r="436" spans="1:15" x14ac:dyDescent="0.25">
      <c r="A436">
        <v>617</v>
      </c>
      <c r="B436">
        <v>36317.416360000003</v>
      </c>
      <c r="C436" s="1">
        <v>-2.65E-6</v>
      </c>
      <c r="D436">
        <v>538125.93550000002</v>
      </c>
      <c r="E436" s="1">
        <v>3.7700000000000002E-5</v>
      </c>
      <c r="F436">
        <v>904031.57519999996</v>
      </c>
      <c r="G436">
        <v>2389.7067499999998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-1.2927840618286749E-2</v>
      </c>
      <c r="M436" s="1">
        <f t="shared" si="27"/>
        <v>6.1682874255704782E-2</v>
      </c>
      <c r="N436" s="1">
        <f t="shared" si="28"/>
        <v>1829412.0724651902</v>
      </c>
      <c r="O436" s="1"/>
    </row>
    <row r="437" spans="1:15" x14ac:dyDescent="0.25">
      <c r="A437">
        <v>618</v>
      </c>
      <c r="B437">
        <v>70816.307310000004</v>
      </c>
      <c r="C437" s="1">
        <v>4.5499999999999996E-6</v>
      </c>
      <c r="D437">
        <v>606883.22389999998</v>
      </c>
      <c r="E437" s="1">
        <v>1.3200000000000001E-5</v>
      </c>
      <c r="F437">
        <v>956780.28119999997</v>
      </c>
      <c r="G437">
        <v>3296.619502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2.4152940817266624E-2</v>
      </c>
      <c r="M437" s="1">
        <f t="shared" si="27"/>
        <v>2.3500423498145882E-2</v>
      </c>
      <c r="N437" s="1">
        <f t="shared" si="28"/>
        <v>2746086.7909866455</v>
      </c>
      <c r="O437" s="1"/>
    </row>
    <row r="438" spans="1:15" x14ac:dyDescent="0.25">
      <c r="A438">
        <v>619</v>
      </c>
      <c r="B438">
        <v>32321.082170000001</v>
      </c>
      <c r="C438" s="1">
        <v>4.7500000000000003E-6</v>
      </c>
      <c r="D438">
        <v>469484.61550000001</v>
      </c>
      <c r="E438" s="1">
        <v>-3.7400000000000001E-5</v>
      </c>
      <c r="F438">
        <v>872674.35860000004</v>
      </c>
      <c r="G438">
        <v>1711.8852690000001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4.1123378981360002E-2</v>
      </c>
      <c r="M438" s="1">
        <f t="shared" si="27"/>
        <v>-0.10859502299945728</v>
      </c>
      <c r="N438" s="1">
        <f t="shared" si="28"/>
        <v>2325715.8485340341</v>
      </c>
      <c r="O438" s="1"/>
    </row>
    <row r="439" spans="1:15" x14ac:dyDescent="0.25">
      <c r="A439">
        <v>620</v>
      </c>
      <c r="B439">
        <v>38628.572840000001</v>
      </c>
      <c r="C439" s="1">
        <v>-1.48E-6</v>
      </c>
      <c r="D439">
        <v>512226.68040000001</v>
      </c>
      <c r="E439" s="1">
        <v>-3.2299999999999999E-5</v>
      </c>
      <c r="F439">
        <v>877329.43859999999</v>
      </c>
      <c r="G439">
        <v>2389.7067550000002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-1.7035705659948303E-2</v>
      </c>
      <c r="M439" s="1">
        <f t="shared" si="27"/>
        <v>-0.12469357363197502</v>
      </c>
      <c r="N439" s="1">
        <f t="shared" si="28"/>
        <v>4316481.0508945528</v>
      </c>
      <c r="O439" s="1"/>
    </row>
    <row r="440" spans="1:15" x14ac:dyDescent="0.25">
      <c r="A440">
        <v>621</v>
      </c>
      <c r="B440">
        <v>39478.271959999998</v>
      </c>
      <c r="C440" s="1">
        <v>1.4999999999999999E-7</v>
      </c>
      <c r="D440">
        <v>536789.08400000003</v>
      </c>
      <c r="E440" s="1">
        <v>2.5599999999999999E-5</v>
      </c>
      <c r="F440">
        <v>888171.93460000004</v>
      </c>
      <c r="G440">
        <v>3384.8455730000001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2.5733412448964996E-3</v>
      </c>
      <c r="M440" s="1">
        <f t="shared" si="27"/>
        <v>0.14729541353352191</v>
      </c>
      <c r="N440" s="1">
        <f t="shared" si="28"/>
        <v>9112379.461557284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 s="1">
        <v>4.88E-5</v>
      </c>
      <c r="F441">
        <v>859972.71499999997</v>
      </c>
      <c r="G441">
        <v>520.77396299999998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0.12059410510825265</v>
      </c>
      <c r="N441" s="1">
        <f t="shared" si="28"/>
        <v>602142.38449669641</v>
      </c>
      <c r="O441" s="1"/>
    </row>
    <row r="442" spans="1:15" x14ac:dyDescent="0.25">
      <c r="A442">
        <v>624</v>
      </c>
      <c r="B442">
        <v>19080.807830000002</v>
      </c>
      <c r="C442">
        <v>0</v>
      </c>
      <c r="D442">
        <v>67832.263229999997</v>
      </c>
      <c r="E442">
        <v>0</v>
      </c>
      <c r="F442">
        <v>503871.57610000001</v>
      </c>
      <c r="G442" s="1">
        <v>-2.9499999999999999E-5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0</v>
      </c>
      <c r="M442" s="1">
        <f t="shared" si="27"/>
        <v>0</v>
      </c>
      <c r="N442" s="1">
        <f t="shared" si="28"/>
        <v>-7.9025901565098602E-2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 s="1">
        <v>-2.6000000000000001E-6</v>
      </c>
      <c r="F443">
        <v>454646.54100000003</v>
      </c>
      <c r="G443" s="1">
        <v>-6.7999999999999995E-7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-1.1479799468122961E-2</v>
      </c>
      <c r="N443" s="1">
        <f t="shared" si="28"/>
        <v>-1.4047969144477921E-3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 s="1">
        <v>3.5700000000000001E-6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4.4155832023680307E-2</v>
      </c>
      <c r="O444" s="1"/>
    </row>
    <row r="445" spans="1:15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 s="1">
        <v>-1.5E-6</v>
      </c>
      <c r="F445">
        <v>431776.10930000001</v>
      </c>
      <c r="G445" s="1">
        <v>-1.7499999999999998E-5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-6.766577403946912E-2</v>
      </c>
      <c r="M445" s="1">
        <f t="shared" si="27"/>
        <v>-1.1234682970757248E-2</v>
      </c>
      <c r="N445" s="1">
        <f t="shared" si="28"/>
        <v>-6.1326939152298747E-2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 s="1">
        <v>-2.43E-6</v>
      </c>
      <c r="F446">
        <v>260402.1256</v>
      </c>
      <c r="G446" s="1">
        <v>1.56E-5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-1.2023747997366987E-2</v>
      </c>
      <c r="N446" s="1">
        <f t="shared" si="28"/>
        <v>3.6116184946219564E-2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 s="1">
        <v>4.7E-7</v>
      </c>
      <c r="F447">
        <v>404636.86690000002</v>
      </c>
      <c r="G447" s="1">
        <v>-3.6900000000000002E-5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6.8491671817528296E-3</v>
      </c>
      <c r="N447" s="1">
        <f t="shared" si="28"/>
        <v>-0.25159960412532989</v>
      </c>
      <c r="O447" s="1"/>
    </row>
    <row r="448" spans="1:15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 s="1">
        <v>-1.7799999999999999E-6</v>
      </c>
      <c r="F448">
        <v>450944.23149999999</v>
      </c>
      <c r="G448" s="1">
        <v>1.59E-5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-1.4120645403198752E-2</v>
      </c>
      <c r="M448" s="1">
        <f t="shared" si="27"/>
        <v>-8.1842796747680999E-3</v>
      </c>
      <c r="N448" s="1">
        <f t="shared" si="28"/>
        <v>3.4205918916964499E-2</v>
      </c>
      <c r="O448" s="1"/>
    </row>
    <row r="449" spans="1:15" x14ac:dyDescent="0.25">
      <c r="A449">
        <v>631</v>
      </c>
      <c r="B449">
        <v>8389.6977330000009</v>
      </c>
      <c r="C449" s="1">
        <v>4.7E-7</v>
      </c>
      <c r="D449">
        <v>42536.300219999997</v>
      </c>
      <c r="E449" s="1">
        <v>2.3199999999999998E-6</v>
      </c>
      <c r="F449">
        <v>458714.64299999998</v>
      </c>
      <c r="G449" s="1">
        <v>-1.6699999999999999E-5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1.09997637790157E-2</v>
      </c>
      <c r="M449" s="1">
        <f t="shared" si="27"/>
        <v>1.8210279963584222E-2</v>
      </c>
      <c r="N449" s="1">
        <f t="shared" si="28"/>
        <v>-6.1332234439199156E-2</v>
      </c>
      <c r="O449" s="1"/>
    </row>
    <row r="450" spans="1:15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0</v>
      </c>
      <c r="F450">
        <v>182262.26329999999</v>
      </c>
      <c r="G450">
        <v>0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7.4984703449175001E-3</v>
      </c>
      <c r="M450" s="1">
        <f t="shared" si="27"/>
        <v>0</v>
      </c>
      <c r="N450" s="1">
        <f t="shared" si="28"/>
        <v>0</v>
      </c>
      <c r="O450" s="1"/>
    </row>
    <row r="451" spans="1:15" x14ac:dyDescent="0.25">
      <c r="A451">
        <v>633</v>
      </c>
      <c r="B451">
        <v>5557.3761029999996</v>
      </c>
      <c r="C451" s="1">
        <v>1.6999999999999999E-7</v>
      </c>
      <c r="D451">
        <v>33280.225680000003</v>
      </c>
      <c r="E451" s="1">
        <v>-2.1E-7</v>
      </c>
      <c r="F451">
        <v>188164.80910000001</v>
      </c>
      <c r="G451" s="1">
        <v>-4.8999999999999998E-5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5.6092188679605004E-3</v>
      </c>
      <c r="M451" s="1">
        <f t="shared" ref="M451:M514" si="31">$U$3*$K451*E451</f>
        <v>-2.3238917626717801E-3</v>
      </c>
      <c r="N451" s="1">
        <f t="shared" ref="N451:N514" si="32">$U$4*$K451*G451</f>
        <v>-0.25370928418159799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 s="1">
        <v>-4.78E-6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4.2085528907987507E-3</v>
      </c>
      <c r="M452" s="1">
        <f t="shared" si="31"/>
        <v>1.924075411500235E-2</v>
      </c>
      <c r="N452" s="1">
        <f t="shared" si="32"/>
        <v>-1.6614753420549303E-2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0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3.6772870771751205E-3</v>
      </c>
      <c r="N453" s="1">
        <f t="shared" si="32"/>
        <v>0</v>
      </c>
      <c r="O453" s="1"/>
    </row>
    <row r="454" spans="1:15" x14ac:dyDescent="0.25">
      <c r="A454">
        <v>636</v>
      </c>
      <c r="B454">
        <v>33288.516130000004</v>
      </c>
      <c r="C454" s="1">
        <v>3.7E-7</v>
      </c>
      <c r="D454">
        <v>407756.9253</v>
      </c>
      <c r="E454" s="1">
        <v>3.3099999999999998E-5</v>
      </c>
      <c r="F454">
        <v>813690.16090000002</v>
      </c>
      <c r="G454">
        <v>2389.706741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4.0555770731466254E-3</v>
      </c>
      <c r="M454" s="1">
        <f t="shared" si="31"/>
        <v>0.12168080267946534</v>
      </c>
      <c r="N454" s="1">
        <f t="shared" si="32"/>
        <v>4110383.6456342665</v>
      </c>
      <c r="O454" s="1"/>
    </row>
    <row r="455" spans="1:15" x14ac:dyDescent="0.25">
      <c r="A455">
        <v>637</v>
      </c>
      <c r="B455">
        <v>34250.602720000003</v>
      </c>
      <c r="C455" s="1">
        <v>-4.5000000000000001E-6</v>
      </c>
      <c r="D455">
        <v>431063.75219999999</v>
      </c>
      <c r="E455" s="1">
        <v>-1.2300000000000001E-5</v>
      </c>
      <c r="F455">
        <v>848985.83860000002</v>
      </c>
      <c r="G455">
        <v>2784.6612580000001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-3.3769851789667502E-2</v>
      </c>
      <c r="M455" s="1">
        <f t="shared" si="31"/>
        <v>-3.0957429261133141E-2</v>
      </c>
      <c r="N455" s="1">
        <f t="shared" si="32"/>
        <v>3279259.8265446443</v>
      </c>
      <c r="O455" s="1"/>
    </row>
    <row r="456" spans="1:15" x14ac:dyDescent="0.25">
      <c r="A456">
        <v>638</v>
      </c>
      <c r="B456">
        <v>11018.893609999999</v>
      </c>
      <c r="C456" s="1">
        <v>4.6E-6</v>
      </c>
      <c r="D456">
        <v>91931.688380000007</v>
      </c>
      <c r="E456" s="1">
        <v>2.3999999999999999E-6</v>
      </c>
      <c r="F456">
        <v>640522.61990000005</v>
      </c>
      <c r="G456" s="1">
        <v>4.6E-5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7.23624538186355E-2</v>
      </c>
      <c r="M456" s="1">
        <f t="shared" si="31"/>
        <v>1.2662219343782638E-2</v>
      </c>
      <c r="N456" s="1">
        <f t="shared" si="32"/>
        <v>0.11355338906924339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 s="1">
        <v>8.1999999999999998E-7</v>
      </c>
      <c r="F457">
        <v>536722.9264</v>
      </c>
      <c r="G457">
        <v>520.77399579999997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3.4775929247034734E-3</v>
      </c>
      <c r="N457" s="1">
        <f t="shared" si="32"/>
        <v>1033374.7831880227</v>
      </c>
      <c r="O457" s="1"/>
    </row>
    <row r="458" spans="1:15" x14ac:dyDescent="0.25">
      <c r="A458">
        <v>640</v>
      </c>
      <c r="B458">
        <v>27721.051100000001</v>
      </c>
      <c r="C458" s="1">
        <v>-3.5300000000000001E-6</v>
      </c>
      <c r="D458">
        <v>191680.34760000001</v>
      </c>
      <c r="E458" s="1">
        <v>-3.5599999999999998E-5</v>
      </c>
      <c r="F458">
        <v>706479.13619999995</v>
      </c>
      <c r="G458">
        <v>520.77393789999996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-9.7600916795654691E-2</v>
      </c>
      <c r="M458" s="1">
        <f t="shared" si="31"/>
        <v>-0.33012037265971533</v>
      </c>
      <c r="N458" s="1">
        <f t="shared" si="32"/>
        <v>2259515.1038557338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 s="1">
        <v>3.3699999999999999E-6</v>
      </c>
      <c r="F459">
        <v>548632.82539999997</v>
      </c>
      <c r="G459">
        <v>2864.0715289999998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0</v>
      </c>
      <c r="M459" s="1">
        <f t="shared" si="31"/>
        <v>2.1963683796478849E-2</v>
      </c>
      <c r="N459" s="1">
        <f t="shared" si="32"/>
        <v>8733791.5038416106</v>
      </c>
      <c r="O459" s="1"/>
    </row>
    <row r="460" spans="1:15" x14ac:dyDescent="0.25">
      <c r="A460">
        <v>642</v>
      </c>
      <c r="B460">
        <v>16338.67324</v>
      </c>
      <c r="C460" s="1">
        <v>7.7000000000000004E-7</v>
      </c>
      <c r="D460">
        <v>139304.74479999999</v>
      </c>
      <c r="E460" s="1">
        <v>-1.9300000000000002E-5</v>
      </c>
      <c r="F460">
        <v>671484.39020000002</v>
      </c>
      <c r="G460" s="1">
        <v>9.2199999999999998E-6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7.8858332785732496E-3</v>
      </c>
      <c r="M460" s="1">
        <f t="shared" si="31"/>
        <v>-6.6291418454084095E-2</v>
      </c>
      <c r="N460" s="1">
        <f t="shared" si="32"/>
        <v>1.481748860839446E-2</v>
      </c>
      <c r="O460" s="1"/>
    </row>
    <row r="461" spans="1:15" x14ac:dyDescent="0.25">
      <c r="A461">
        <v>643</v>
      </c>
      <c r="B461">
        <v>12034.13349</v>
      </c>
      <c r="C461" s="1">
        <v>2.9699999999999999E-6</v>
      </c>
      <c r="D461">
        <v>73876.642080000005</v>
      </c>
      <c r="E461" s="1">
        <v>3.72E-6</v>
      </c>
      <c r="F461">
        <v>639023.99419999996</v>
      </c>
      <c r="G461" s="1">
        <v>-4.3800000000000004E-6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4.8950268164933849E-2</v>
      </c>
      <c r="M461" s="1">
        <f t="shared" si="31"/>
        <v>2.0562916068912071E-2</v>
      </c>
      <c r="N461" s="1">
        <f t="shared" si="32"/>
        <v>-1.1328164623344133E-2</v>
      </c>
      <c r="O461" s="1"/>
    </row>
    <row r="462" spans="1:15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 s="1">
        <v>-4.0799999999999999E-6</v>
      </c>
      <c r="F462">
        <v>623786.56149999995</v>
      </c>
      <c r="G462">
        <v>2301.480779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8.433152137610167E-2</v>
      </c>
      <c r="M462" s="1">
        <f t="shared" si="31"/>
        <v>-2.7673059720627145E-2</v>
      </c>
      <c r="N462" s="1">
        <f t="shared" si="32"/>
        <v>7303786.1288007442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 s="1">
        <v>-8.0000000000000002E-8</v>
      </c>
      <c r="F463">
        <v>598318.3382</v>
      </c>
      <c r="G463" s="1">
        <v>-2.1100000000000001E-5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9.1812463996825661E-2</v>
      </c>
      <c r="M463" s="1">
        <f t="shared" si="31"/>
        <v>-5.6370687277051208E-4</v>
      </c>
      <c r="N463" s="1">
        <f t="shared" si="32"/>
        <v>-6.9564789654627077E-2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 s="1">
        <v>-2.48E-6</v>
      </c>
      <c r="F464">
        <v>564316.99639999995</v>
      </c>
      <c r="G464" s="1">
        <v>-3.57E-5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2.9853153624036281E-2</v>
      </c>
      <c r="M464" s="1">
        <f t="shared" si="31"/>
        <v>-1.4868548111744793E-2</v>
      </c>
      <c r="N464" s="1">
        <f t="shared" si="32"/>
        <v>-0.10014488586509969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 s="1">
        <v>2.52E-6</v>
      </c>
      <c r="F465">
        <v>519095.32740000001</v>
      </c>
      <c r="G465" s="1">
        <v>-9.7999999999999993E-7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1.0498275293347297E-2</v>
      </c>
      <c r="N465" s="1">
        <f t="shared" si="32"/>
        <v>-1.9102366359454561E-3</v>
      </c>
      <c r="O465" s="1"/>
    </row>
    <row r="466" spans="1:15" x14ac:dyDescent="0.25">
      <c r="A466">
        <v>650</v>
      </c>
      <c r="B466">
        <v>30705.845700000002</v>
      </c>
      <c r="C466" s="1">
        <v>9.9999999999999995E-8</v>
      </c>
      <c r="D466">
        <v>472798.94280000002</v>
      </c>
      <c r="E466">
        <v>2389.7068140000001</v>
      </c>
      <c r="F466">
        <v>861827.21</v>
      </c>
      <c r="G466">
        <v>3044.8279360000001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1.08329745108E-3</v>
      </c>
      <c r="M466" s="1">
        <f t="shared" si="31"/>
        <v>8682313.8383810204</v>
      </c>
      <c r="N466" s="1">
        <f t="shared" si="32"/>
        <v>5176036.0444413805</v>
      </c>
      <c r="O466" s="1"/>
    </row>
    <row r="467" spans="1:15" x14ac:dyDescent="0.25">
      <c r="A467">
        <v>651</v>
      </c>
      <c r="B467">
        <v>45071.268219999998</v>
      </c>
      <c r="C467" s="1">
        <v>-3.8999999999999999E-6</v>
      </c>
      <c r="D467">
        <v>480779.71500000003</v>
      </c>
      <c r="E467">
        <v>2067.9147069999999</v>
      </c>
      <c r="F467">
        <v>867778.02339999995</v>
      </c>
      <c r="G467">
        <v>2572.0124860000001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-5.0810157925478251E-2</v>
      </c>
      <c r="M467" s="1">
        <f t="shared" si="31"/>
        <v>9035697.7826119997</v>
      </c>
      <c r="N467" s="1">
        <f t="shared" si="32"/>
        <v>5258305.6336079361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0</v>
      </c>
      <c r="F468">
        <v>885015.75560000003</v>
      </c>
      <c r="G468">
        <v>3261.089579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0</v>
      </c>
      <c r="N468" s="1">
        <f t="shared" si="32"/>
        <v>5214543.0002521174</v>
      </c>
      <c r="O468" s="1"/>
    </row>
    <row r="469" spans="1:15" x14ac:dyDescent="0.25">
      <c r="A469">
        <v>653</v>
      </c>
      <c r="B469">
        <v>45654.624470000002</v>
      </c>
      <c r="C469" s="1">
        <v>5.9999999999999997E-7</v>
      </c>
      <c r="D469">
        <v>437161.72690000001</v>
      </c>
      <c r="E469">
        <v>2067.9147069999999</v>
      </c>
      <c r="F469">
        <v>836965.28639999998</v>
      </c>
      <c r="G469">
        <v>1971.6158439999999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3.2693433833190003E-3</v>
      </c>
      <c r="M469" s="1">
        <f t="shared" si="31"/>
        <v>3779070.9530319814</v>
      </c>
      <c r="N469" s="1">
        <f t="shared" si="32"/>
        <v>1685847.9482843264</v>
      </c>
      <c r="O469" s="1"/>
    </row>
    <row r="470" spans="1:15" x14ac:dyDescent="0.25">
      <c r="A470">
        <v>654</v>
      </c>
      <c r="B470">
        <v>162619.7028</v>
      </c>
      <c r="C470" s="1">
        <v>-3.0000000000000001E-5</v>
      </c>
      <c r="D470">
        <v>639860.3358</v>
      </c>
      <c r="E470">
        <v>1072.7759349999999</v>
      </c>
      <c r="F470">
        <v>992389.61679999996</v>
      </c>
      <c r="G470">
        <v>2572.0125069999999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-0.27853367938402501</v>
      </c>
      <c r="M470" s="1">
        <f t="shared" si="31"/>
        <v>3340478.0397938923</v>
      </c>
      <c r="N470" s="1">
        <f t="shared" si="32"/>
        <v>3747281.7904429184</v>
      </c>
      <c r="O470" s="1"/>
    </row>
    <row r="471" spans="1:15" x14ac:dyDescent="0.25">
      <c r="A471">
        <v>655</v>
      </c>
      <c r="B471">
        <v>31310.227640000001</v>
      </c>
      <c r="C471" s="1">
        <v>4.4000000000000002E-6</v>
      </c>
      <c r="D471">
        <v>422992.3873</v>
      </c>
      <c r="E471">
        <v>1868.9328210000001</v>
      </c>
      <c r="F471">
        <v>836755.81310000003</v>
      </c>
      <c r="G471">
        <v>2381.1184509999998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6.1762390204658013E-2</v>
      </c>
      <c r="M471" s="1">
        <f t="shared" si="31"/>
        <v>8798492.0553157162</v>
      </c>
      <c r="N471" s="1">
        <f t="shared" si="32"/>
        <v>5244924.4137082612</v>
      </c>
      <c r="O471" s="1"/>
    </row>
    <row r="472" spans="1:15" x14ac:dyDescent="0.25">
      <c r="A472">
        <v>656</v>
      </c>
      <c r="B472">
        <v>220385.34830000001</v>
      </c>
      <c r="C472" s="1">
        <v>-1.9899999999999999E-5</v>
      </c>
      <c r="D472">
        <v>744627.52049999998</v>
      </c>
      <c r="E472">
        <v>520.77397800000006</v>
      </c>
      <c r="F472">
        <v>1104564.1640000001</v>
      </c>
      <c r="G472">
        <v>3564.813956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-0.56350878240027802</v>
      </c>
      <c r="M472" s="1">
        <f t="shared" si="31"/>
        <v>4945839.5697084935</v>
      </c>
      <c r="N472" s="1">
        <f t="shared" si="32"/>
        <v>15840587.949483262</v>
      </c>
      <c r="O472" s="1"/>
    </row>
    <row r="473" spans="1:15" x14ac:dyDescent="0.25">
      <c r="A473">
        <v>657</v>
      </c>
      <c r="B473">
        <v>50289.980539999997</v>
      </c>
      <c r="C473" s="1">
        <v>5.9999999999999997E-7</v>
      </c>
      <c r="D473">
        <v>549606.08510000003</v>
      </c>
      <c r="E473">
        <v>1316.9308430000001</v>
      </c>
      <c r="F473">
        <v>922206.03929999995</v>
      </c>
      <c r="G473">
        <v>3044.8279539999999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8.3120558517554999E-3</v>
      </c>
      <c r="M473" s="1">
        <f t="shared" si="31"/>
        <v>6118758.4434399204</v>
      </c>
      <c r="N473" s="1">
        <f t="shared" si="32"/>
        <v>6619219.3879197733</v>
      </c>
      <c r="O473" s="1"/>
    </row>
    <row r="474" spans="1:15" x14ac:dyDescent="0.25">
      <c r="A474">
        <v>658</v>
      </c>
      <c r="B474">
        <v>31434.613359999999</v>
      </c>
      <c r="C474" s="1">
        <v>-3.5999999999999998E-6</v>
      </c>
      <c r="D474">
        <v>347926.40710000001</v>
      </c>
      <c r="E474">
        <v>1316.9307659999999</v>
      </c>
      <c r="F474">
        <v>790822.29509999999</v>
      </c>
      <c r="G474">
        <v>3044.8279550000002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-2.8481347965096E-2</v>
      </c>
      <c r="M474" s="1">
        <f t="shared" si="31"/>
        <v>3494331.6322821537</v>
      </c>
      <c r="N474" s="1">
        <f t="shared" si="32"/>
        <v>3780137.6311884965</v>
      </c>
      <c r="O474" s="1"/>
    </row>
    <row r="475" spans="1:15" x14ac:dyDescent="0.25">
      <c r="A475">
        <v>659</v>
      </c>
      <c r="B475">
        <v>29674.379949999999</v>
      </c>
      <c r="C475" s="1">
        <v>-2.8700000000000001E-6</v>
      </c>
      <c r="D475">
        <v>291904.86139999999</v>
      </c>
      <c r="E475" s="1">
        <v>-4.9999999999999998E-8</v>
      </c>
      <c r="F475">
        <v>797337.68480000005</v>
      </c>
      <c r="G475">
        <v>2067.914745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-1.923976004581995E-2</v>
      </c>
      <c r="M475" s="1">
        <f t="shared" si="31"/>
        <v>-1.1241671642961E-4</v>
      </c>
      <c r="N475" s="1">
        <f t="shared" si="32"/>
        <v>2175390.3596244012</v>
      </c>
      <c r="O475" s="1"/>
    </row>
    <row r="476" spans="1:15" x14ac:dyDescent="0.25">
      <c r="A476">
        <v>660</v>
      </c>
      <c r="B476">
        <v>34998.118540000003</v>
      </c>
      <c r="C476" s="1">
        <v>1.7E-6</v>
      </c>
      <c r="D476">
        <v>441757.5454</v>
      </c>
      <c r="E476" s="1">
        <v>1.29E-5</v>
      </c>
      <c r="F476">
        <v>853986.71660000004</v>
      </c>
      <c r="G476">
        <v>2579.2200320000002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2.1081666386550253E-2</v>
      </c>
      <c r="M476" s="1">
        <f t="shared" si="31"/>
        <v>5.3652363992992412E-2</v>
      </c>
      <c r="N476" s="1">
        <f t="shared" si="32"/>
        <v>5019162.1155813662</v>
      </c>
      <c r="O476" s="1"/>
    </row>
    <row r="477" spans="1:15" x14ac:dyDescent="0.25">
      <c r="A477">
        <v>661</v>
      </c>
      <c r="B477">
        <v>35998.752699999997</v>
      </c>
      <c r="C477" s="1">
        <v>3.63E-6</v>
      </c>
      <c r="D477">
        <v>298925.78000000003</v>
      </c>
      <c r="E477" s="1">
        <v>-4.7800000000000003E-5</v>
      </c>
      <c r="F477">
        <v>773754.88329999999</v>
      </c>
      <c r="G477">
        <v>3707.5687029999999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3.8479078432144348E-2</v>
      </c>
      <c r="M477" s="1">
        <f t="shared" si="31"/>
        <v>-0.16993743966701294</v>
      </c>
      <c r="N477" s="1">
        <f t="shared" si="32"/>
        <v>6167285.5882011745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 s="1">
        <v>1.7999999999999999E-6</v>
      </c>
      <c r="F478">
        <v>509482.50900000002</v>
      </c>
      <c r="G478">
        <v>520.77402930000005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1.356763273040088E-2</v>
      </c>
      <c r="N478" s="1">
        <f t="shared" si="32"/>
        <v>1836642.2478019614</v>
      </c>
      <c r="O478" s="1"/>
    </row>
    <row r="479" spans="1:15" x14ac:dyDescent="0.25">
      <c r="A479">
        <v>663</v>
      </c>
      <c r="B479">
        <v>31694.657729999999</v>
      </c>
      <c r="C479">
        <v>0</v>
      </c>
      <c r="D479">
        <v>263689.72610000003</v>
      </c>
      <c r="E479" s="1">
        <v>1.5299999999999999E-5</v>
      </c>
      <c r="F479">
        <v>761800.27359999996</v>
      </c>
      <c r="G479">
        <v>1868.93274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0</v>
      </c>
      <c r="M479" s="1">
        <f t="shared" si="31"/>
        <v>3.6728223547184732E-2</v>
      </c>
      <c r="N479" s="1">
        <f t="shared" si="32"/>
        <v>2099161.4516627672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4.5000000000000001E-6</v>
      </c>
      <c r="F480">
        <v>671864.20689999999</v>
      </c>
      <c r="G480" s="1">
        <v>1.2300000000000001E-5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1.3295176348062149E-2</v>
      </c>
      <c r="N480" s="1">
        <f t="shared" si="32"/>
        <v>1.700318883412719E-2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-3.0800000000000003E-5</v>
      </c>
      <c r="F481">
        <v>1054766.544</v>
      </c>
      <c r="G481">
        <v>0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-0.11519539245092034</v>
      </c>
      <c r="N481" s="1">
        <f t="shared" si="32"/>
        <v>0</v>
      </c>
      <c r="O481" s="1"/>
    </row>
    <row r="482" spans="1:15" x14ac:dyDescent="0.25">
      <c r="A482">
        <v>666</v>
      </c>
      <c r="B482">
        <v>292110.3162</v>
      </c>
      <c r="C482" s="1">
        <v>2.5000000000000002E-6</v>
      </c>
      <c r="D482">
        <v>837432.28890000004</v>
      </c>
      <c r="E482" s="1">
        <v>3.67E-6</v>
      </c>
      <c r="F482">
        <v>1425845.378</v>
      </c>
      <c r="G482">
        <v>3384.8455269999999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1.3806642265162501E-2</v>
      </c>
      <c r="M482" s="1">
        <f t="shared" si="31"/>
        <v>6.7976259757944069E-3</v>
      </c>
      <c r="N482" s="1">
        <f t="shared" si="32"/>
        <v>2933416.5132558108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0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-0.16610418371328584</v>
      </c>
      <c r="N483" s="1">
        <f t="shared" si="32"/>
        <v>0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-3.8899999999999997E-5</v>
      </c>
      <c r="F484">
        <v>1396795.28</v>
      </c>
      <c r="G484">
        <v>520.77398670000002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-4.8008969730373684E-2</v>
      </c>
      <c r="N484" s="1">
        <f t="shared" si="32"/>
        <v>300722.37700907124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4.5000000000000001E-6</v>
      </c>
      <c r="F485">
        <v>656567.8371</v>
      </c>
      <c r="G485" s="1">
        <v>-2.7900000000000001E-5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1.35731454954327E-2</v>
      </c>
      <c r="N485" s="1">
        <f t="shared" si="32"/>
        <v>-3.9374574363814863E-2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 s="1">
        <v>-1.29E-5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5.4326152402157301E-3</v>
      </c>
      <c r="N486" s="1">
        <f t="shared" si="32"/>
        <v>-4.6842956311113099E-2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-3.2100000000000001E-5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-0.14036099677912431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0.287502983432742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-2.6000000000000001E-6</v>
      </c>
      <c r="F489">
        <v>718207.58649999998</v>
      </c>
      <c r="G489" s="1">
        <v>-4.2899999999999996E-6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-2.292836157832168E-2</v>
      </c>
      <c r="N489" s="1">
        <f t="shared" si="32"/>
        <v>-1.7701115842346505E-2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 s="1">
        <v>9.5000000000000001E-7</v>
      </c>
      <c r="F490">
        <v>1182686.344</v>
      </c>
      <c r="G490">
        <v>0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6.0104487253882207E-3</v>
      </c>
      <c r="N490" s="1">
        <f t="shared" si="32"/>
        <v>0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3.4499999999999998E-5</v>
      </c>
      <c r="F491">
        <v>1125994.219</v>
      </c>
      <c r="G491">
        <v>520.77398670000002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0.24286334148175173</v>
      </c>
      <c r="N491" s="1">
        <f t="shared" si="32"/>
        <v>1715283.1907734349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3.3399999999999999E-5</v>
      </c>
      <c r="F492">
        <v>1133504.2379999999</v>
      </c>
      <c r="G492">
        <v>0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0.22868505513296081</v>
      </c>
      <c r="N492" s="1">
        <f t="shared" si="32"/>
        <v>0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0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-6.2040199506571074E-2</v>
      </c>
      <c r="N493" s="1">
        <f t="shared" si="32"/>
        <v>0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-3.0599999999999999E-6</v>
      </c>
      <c r="F494">
        <v>1414763.8640000001</v>
      </c>
      <c r="G494">
        <v>867.95671760000005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-7.3941157667050559E-3</v>
      </c>
      <c r="N494" s="1">
        <f t="shared" si="32"/>
        <v>981310.77223604405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-1.7200000000000001E-5</v>
      </c>
      <c r="F495">
        <v>1220735.7209999999</v>
      </c>
      <c r="G495">
        <v>0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-3.5213959069479085E-2</v>
      </c>
      <c r="N495" s="1">
        <f t="shared" si="32"/>
        <v>0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 s="1">
        <v>2.44E-5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6.0327817074526328E-2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-9.5799999999999998E-6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-1.1125984171380101E-2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 s="1">
        <v>3.82E-5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2.5995718184659796E-3</v>
      </c>
      <c r="N498" s="1">
        <f t="shared" si="32"/>
        <v>0.15487724210200068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-8.8799999999999997E-6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-2.2713840886980887E-2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-0.15344760091740661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-1.7399999999999999E-5</v>
      </c>
      <c r="F501">
        <v>1156202.5179999999</v>
      </c>
      <c r="G501">
        <v>0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-0.11294336467962515</v>
      </c>
      <c r="N501" s="1">
        <f t="shared" si="32"/>
        <v>0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0</v>
      </c>
      <c r="F502">
        <v>1478434.932</v>
      </c>
      <c r="G502">
        <v>3802.7211809999999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0</v>
      </c>
      <c r="N502" s="1">
        <f t="shared" si="32"/>
        <v>3206036.845939226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2.6400000000000001E-5</v>
      </c>
      <c r="F503">
        <v>1190381.48</v>
      </c>
      <c r="G503">
        <v>0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4.5615174017537521E-2</v>
      </c>
      <c r="N503" s="1">
        <f t="shared" si="32"/>
        <v>0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 s="1">
        <v>-7.96E-6</v>
      </c>
      <c r="F504">
        <v>1094792.3230000001</v>
      </c>
      <c r="G504">
        <v>2784.661247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-3.645190643382798E-2</v>
      </c>
      <c r="N504" s="1">
        <f t="shared" si="32"/>
        <v>5966549.2283701636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-3.1000000000000001E-5</v>
      </c>
      <c r="F505">
        <v>919138.26280000003</v>
      </c>
      <c r="G505" s="1">
        <v>8.4300000000000006E-6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-9.7570747745580916E-2</v>
      </c>
      <c r="N505" s="1">
        <f t="shared" si="32"/>
        <v>1.2414498839377806E-2</v>
      </c>
      <c r="O505" s="1"/>
    </row>
    <row r="506" spans="1:15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 s="1">
        <v>3.6999999999999998E-5</v>
      </c>
      <c r="F506">
        <v>1113954.3810000001</v>
      </c>
      <c r="G506">
        <v>4770.6004000000003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-1.6515543317273E-2</v>
      </c>
      <c r="M506" s="1">
        <f t="shared" si="31"/>
        <v>0.29277884043323954</v>
      </c>
      <c r="N506" s="1">
        <f t="shared" si="32"/>
        <v>17662601.913563058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 s="1">
        <v>-2.48E-5</v>
      </c>
      <c r="F507">
        <v>819309.12410000002</v>
      </c>
      <c r="G507" s="1">
        <v>-3.4400000000000003E-5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-0.17483543677168584</v>
      </c>
      <c r="N507" s="1">
        <f t="shared" si="32"/>
        <v>-0.11346969897611929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-3.1099999999999997E-5</v>
      </c>
      <c r="F508">
        <v>880030.08790000004</v>
      </c>
      <c r="G508" s="1">
        <v>-8.8200000000000003E-6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-0.17877094257834844</v>
      </c>
      <c r="N508" s="1">
        <f t="shared" si="32"/>
        <v>-2.3721863592021216E-2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0</v>
      </c>
      <c r="F509">
        <v>870999.06740000006</v>
      </c>
      <c r="G509" s="1">
        <v>-4.9799999999999998E-5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0</v>
      </c>
      <c r="N509" s="1">
        <f t="shared" si="32"/>
        <v>-0.18926918567290224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-8.0800000000000006E-6</v>
      </c>
      <c r="F510">
        <v>941581.09640000004</v>
      </c>
      <c r="G510">
        <v>520.77395030000002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-3.8270901330702677E-2</v>
      </c>
      <c r="N510" s="1">
        <f t="shared" si="32"/>
        <v>1154118.1213599208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-9.9999999999999995E-7</v>
      </c>
      <c r="F511">
        <v>806528.34299999999</v>
      </c>
      <c r="G511">
        <v>723.46586939999997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-5.2155581632054001E-3</v>
      </c>
      <c r="N511" s="1">
        <f t="shared" si="32"/>
        <v>1765478.8474168142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-3.0800000000000003E-5</v>
      </c>
      <c r="F512">
        <v>1059884.294</v>
      </c>
      <c r="G512">
        <v>1316.930799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-0.17853146116599333</v>
      </c>
      <c r="N512" s="1">
        <f t="shared" si="32"/>
        <v>3571664.6520309844</v>
      </c>
      <c r="O512" s="1"/>
    </row>
    <row r="513" spans="1:15" x14ac:dyDescent="0.25">
      <c r="A513">
        <v>734</v>
      </c>
      <c r="B513">
        <v>96731.795029999994</v>
      </c>
      <c r="C513">
        <v>0</v>
      </c>
      <c r="D513">
        <v>642789.57620000001</v>
      </c>
      <c r="E513" s="1">
        <v>-2.7900000000000001E-5</v>
      </c>
      <c r="F513">
        <v>1100479.395</v>
      </c>
      <c r="G513">
        <v>2784.661247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0</v>
      </c>
      <c r="M513" s="1">
        <f t="shared" si="31"/>
        <v>-0.20213956261322391</v>
      </c>
      <c r="N513" s="1">
        <f t="shared" si="32"/>
        <v>9439808.1389047746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4.46E-5</v>
      </c>
      <c r="F514">
        <v>888504.04229999997</v>
      </c>
      <c r="G514" s="1">
        <v>4.99E-5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0.39535109593853296</v>
      </c>
      <c r="N514" s="1">
        <f t="shared" si="32"/>
        <v>0.20696280990125737</v>
      </c>
      <c r="O514" s="1"/>
    </row>
    <row r="515" spans="1:15" x14ac:dyDescent="0.25">
      <c r="A515">
        <v>736</v>
      </c>
      <c r="B515">
        <v>527613.74470000004</v>
      </c>
      <c r="C515" s="1">
        <v>-3.3099999999999998E-5</v>
      </c>
      <c r="D515">
        <v>973510.88419999997</v>
      </c>
      <c r="E515">
        <v>520.77398229999994</v>
      </c>
      <c r="F515">
        <v>1494061.423</v>
      </c>
      <c r="G515">
        <v>5177.3423819999998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-4.0761057397298225E-2</v>
      </c>
      <c r="M515" s="1">
        <f t="shared" ref="M515:M578" si="35">$U$3*$K515*E515</f>
        <v>215084.87120677999</v>
      </c>
      <c r="N515" s="1">
        <f t="shared" ref="N515:N578" si="36">$U$4*$K515*G515</f>
        <v>1000486.3072188243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3.5800000000000003E-5</v>
      </c>
      <c r="F516">
        <v>1161913.196</v>
      </c>
      <c r="G516">
        <v>2784.661247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0.33881915467530443</v>
      </c>
      <c r="N516" s="1">
        <f t="shared" si="36"/>
        <v>12331076.074533999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3.93E-5</v>
      </c>
      <c r="F517">
        <v>1296339.426</v>
      </c>
      <c r="G517">
        <v>4489.7943329999998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-0.350739904884525</v>
      </c>
      <c r="M517" s="1">
        <f t="shared" si="35"/>
        <v>0.14268419093578724</v>
      </c>
      <c r="N517" s="1">
        <f t="shared" si="36"/>
        <v>7626994.4826858947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-2.6599999999999999E-5</v>
      </c>
      <c r="F518">
        <v>1285517.7239999999</v>
      </c>
      <c r="G518">
        <v>520.77398670000002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-4.1666362037384559E-2</v>
      </c>
      <c r="N518" s="1">
        <f t="shared" si="36"/>
        <v>381677.80607857113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3.7299999999999999E-5</v>
      </c>
      <c r="F519">
        <v>1314005.852</v>
      </c>
      <c r="G519">
        <v>520.77398670000002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4.3023263609128483E-2</v>
      </c>
      <c r="N519" s="1">
        <f t="shared" si="36"/>
        <v>281052.51790321822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-2.58E-5</v>
      </c>
      <c r="F520">
        <v>1369110.0449999999</v>
      </c>
      <c r="G520">
        <v>2389.7067729999999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-3.7858160500706818E-2</v>
      </c>
      <c r="N520" s="1">
        <f t="shared" si="36"/>
        <v>1640695.9073518484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8.6000000000000007E-6</v>
      </c>
      <c r="F521">
        <v>1372938.9569999999</v>
      </c>
      <c r="G521">
        <v>2389.7067740000002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1.2665841169223702E-2</v>
      </c>
      <c r="N521" s="1">
        <f t="shared" si="36"/>
        <v>1646735.6181625775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0</v>
      </c>
      <c r="F522">
        <v>1017598.987</v>
      </c>
      <c r="G522">
        <v>2389.7067740000002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0</v>
      </c>
      <c r="N522" s="1">
        <f t="shared" si="36"/>
        <v>4192225.2797565754</v>
      </c>
      <c r="O522" s="1"/>
    </row>
    <row r="523" spans="1:15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 s="1">
        <v>2.2500000000000001E-5</v>
      </c>
      <c r="F523">
        <v>1203552.3219999999</v>
      </c>
      <c r="G523">
        <v>3779.8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-0.51493436069130571</v>
      </c>
      <c r="M523" s="1">
        <f t="shared" si="35"/>
        <v>0.11007858091919177</v>
      </c>
      <c r="N523" s="1">
        <f t="shared" si="36"/>
        <v>8652324.5782166831</v>
      </c>
      <c r="O523" s="1"/>
    </row>
    <row r="524" spans="1:15" x14ac:dyDescent="0.25">
      <c r="A524">
        <v>745</v>
      </c>
      <c r="B524">
        <v>49689.949919999999</v>
      </c>
      <c r="C524">
        <v>0</v>
      </c>
      <c r="D524">
        <v>529637.23959999997</v>
      </c>
      <c r="E524" s="1">
        <v>2.8900000000000001E-5</v>
      </c>
      <c r="F524">
        <v>959678.84439999994</v>
      </c>
      <c r="G524">
        <v>1316.930838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0</v>
      </c>
      <c r="M524" s="1">
        <f t="shared" si="35"/>
        <v>5.162678061444298E-2</v>
      </c>
      <c r="N524" s="1">
        <f t="shared" si="36"/>
        <v>1100737.7138341155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 s="1">
        <v>2.2799999999999999E-5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-3.3137594802467701E-4</v>
      </c>
      <c r="N525" s="1">
        <f t="shared" si="36"/>
        <v>2.0794600775126522E-2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4.74E-5</v>
      </c>
      <c r="F526">
        <v>890066.26139999996</v>
      </c>
      <c r="G526">
        <v>520.77397599999995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0.29691010582295951</v>
      </c>
      <c r="N526" s="1">
        <f t="shared" si="36"/>
        <v>1526298.8953130052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-2.0599999999999999E-5</v>
      </c>
      <c r="F527">
        <v>992475.56449999998</v>
      </c>
      <c r="G527">
        <v>2784.661247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-5.4943762735859616E-2</v>
      </c>
      <c r="N527" s="1">
        <f t="shared" si="36"/>
        <v>3475099.3629644876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-7.4599999999999997E-6</v>
      </c>
      <c r="F528">
        <v>946680.06319999998</v>
      </c>
      <c r="G528">
        <v>520.77402789999996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-1.8532273328144586E-2</v>
      </c>
      <c r="N528" s="1">
        <f t="shared" si="36"/>
        <v>605316.99091093952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2.3200000000000001E-5</v>
      </c>
      <c r="F529">
        <v>1101459.385</v>
      </c>
      <c r="G529">
        <v>3977.6237139999998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8.6472785780486477E-2</v>
      </c>
      <c r="N529" s="1">
        <f t="shared" si="36"/>
        <v>6936794.6734187584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3.1099999999999999E-6</v>
      </c>
      <c r="F530">
        <v>850004.07279999997</v>
      </c>
      <c r="G530">
        <v>520.77398619999997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9.9530883577896509E-3</v>
      </c>
      <c r="N530" s="1">
        <f t="shared" si="36"/>
        <v>779812.92797260499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-3.67E-6</v>
      </c>
      <c r="F531">
        <v>974089.47149999999</v>
      </c>
      <c r="G531">
        <v>1316.930803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-9.8527176617672525E-3</v>
      </c>
      <c r="N531" s="1">
        <f t="shared" si="36"/>
        <v>1654232.7237562558</v>
      </c>
      <c r="O531" s="1"/>
    </row>
    <row r="532" spans="1:15" x14ac:dyDescent="0.25">
      <c r="A532">
        <v>807</v>
      </c>
      <c r="B532">
        <v>387054.18469999998</v>
      </c>
      <c r="C532">
        <v>0</v>
      </c>
      <c r="D532">
        <v>762026.59909999999</v>
      </c>
      <c r="E532" s="1">
        <v>-7.6799999999999999E-7</v>
      </c>
      <c r="F532">
        <v>1270614.585</v>
      </c>
      <c r="G532">
        <v>4377.7587629999998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0</v>
      </c>
      <c r="M532" s="1">
        <f t="shared" si="35"/>
        <v>-1.8084908517647614E-3</v>
      </c>
      <c r="N532" s="1">
        <f t="shared" si="36"/>
        <v>4823370.25014388</v>
      </c>
      <c r="O532" s="1"/>
    </row>
    <row r="533" spans="1:15" x14ac:dyDescent="0.25">
      <c r="A533">
        <v>808</v>
      </c>
      <c r="B533">
        <v>270232.13260000001</v>
      </c>
      <c r="C533" s="1">
        <v>4.8099999999999997E-5</v>
      </c>
      <c r="D533">
        <v>696350.03390000004</v>
      </c>
      <c r="E533" s="1">
        <v>1.26E-5</v>
      </c>
      <c r="F533">
        <v>1193933.8729999999</v>
      </c>
      <c r="G533">
        <v>4770.6004000000003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0.13831024383596224</v>
      </c>
      <c r="M533" s="1">
        <f t="shared" si="35"/>
        <v>1.215130586178222E-2</v>
      </c>
      <c r="N533" s="1">
        <f t="shared" si="36"/>
        <v>2152628.6987343607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 s="1">
        <v>-1.6399999999999999E-5</v>
      </c>
      <c r="F534">
        <v>947210.98380000005</v>
      </c>
      <c r="G534">
        <v>1316.9308120000001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-9.1445386973421874E-2</v>
      </c>
      <c r="N534" s="1">
        <f t="shared" si="36"/>
        <v>3435774.0175367524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 s="1">
        <v>-4.6699999999999997E-5</v>
      </c>
      <c r="F535">
        <v>890907.67879999999</v>
      </c>
      <c r="G535">
        <v>520.77399530000002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-0.30570549637666899</v>
      </c>
      <c r="N535" s="1">
        <f t="shared" si="36"/>
        <v>1595068.4850393157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 s="1">
        <v>2.0200000000000001E-7</v>
      </c>
      <c r="F536">
        <v>824462.60309999995</v>
      </c>
      <c r="G536" s="1">
        <v>-3.9400000000000002E-5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1.15240457451634E-3</v>
      </c>
      <c r="N536" s="1">
        <f t="shared" si="36"/>
        <v>-0.10517039476942201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 s="1">
        <v>-7.7700000000000001E-6</v>
      </c>
      <c r="F537">
        <v>765344.65289999999</v>
      </c>
      <c r="G537" s="1">
        <v>2.3799999999999999E-5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-2.4072924659802628E-2</v>
      </c>
      <c r="N537" s="1">
        <f t="shared" si="36"/>
        <v>3.4500744987269828E-2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 s="1">
        <v>2.8600000000000001E-5</v>
      </c>
      <c r="F538">
        <v>934704.92079999996</v>
      </c>
      <c r="G538" s="1">
        <v>4.8600000000000002E-5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0.11074836378429251</v>
      </c>
      <c r="N538" s="1">
        <f t="shared" si="36"/>
        <v>8.8054434617228283E-2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 s="1">
        <v>3.2700000000000002E-5</v>
      </c>
      <c r="F539">
        <v>968497.2635</v>
      </c>
      <c r="G539">
        <v>520.77396490000001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7.52662012971681E-2</v>
      </c>
      <c r="N539" s="1">
        <f t="shared" si="36"/>
        <v>560848.01551409124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 s="1">
        <v>-2.62E-5</v>
      </c>
      <c r="F540">
        <v>865398.9693</v>
      </c>
      <c r="G540">
        <v>520.77403100000004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-0.12489607592979665</v>
      </c>
      <c r="N540" s="1">
        <f t="shared" si="36"/>
        <v>1161556.9293438462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 s="1">
        <v>-3.0199999999999999E-5</v>
      </c>
      <c r="F541">
        <v>950898.42379999999</v>
      </c>
      <c r="G541">
        <v>1316.9308370000001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-0.12043362998253661</v>
      </c>
      <c r="N541" s="1">
        <f t="shared" si="36"/>
        <v>2457239.4489119519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2784.6612570000002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1.9260368158123025E-2</v>
      </c>
      <c r="N542" s="1">
        <f t="shared" si="36"/>
        <v>7627544.2717145765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 s="1">
        <v>-3.8500000000000001E-5</v>
      </c>
      <c r="F543">
        <v>992707.06449999998</v>
      </c>
      <c r="G543" s="1">
        <v>1.5999999999999999E-5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-0.26771901096104012</v>
      </c>
      <c r="N543" s="1">
        <f t="shared" si="36"/>
        <v>5.2057360406102406E-2</v>
      </c>
      <c r="O543" s="1"/>
    </row>
    <row r="544" spans="1:15" x14ac:dyDescent="0.25">
      <c r="A544">
        <v>824</v>
      </c>
      <c r="B544">
        <v>275614.56390000001</v>
      </c>
      <c r="C544">
        <v>0</v>
      </c>
      <c r="D544">
        <v>711584.32310000004</v>
      </c>
      <c r="E544" s="1">
        <v>-3.1099999999999997E-5</v>
      </c>
      <c r="F544">
        <v>1172868.523</v>
      </c>
      <c r="G544">
        <v>4824.2378879999997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</v>
      </c>
      <c r="M544" s="1">
        <f t="shared" si="35"/>
        <v>-8.6368331106017548E-2</v>
      </c>
      <c r="N544" s="1">
        <f t="shared" si="36"/>
        <v>6268541.8854520544</v>
      </c>
      <c r="O544" s="1"/>
    </row>
    <row r="545" spans="1:15" x14ac:dyDescent="0.25">
      <c r="A545">
        <v>825</v>
      </c>
      <c r="B545">
        <v>282809.29830000002</v>
      </c>
      <c r="C545" s="1">
        <v>2.1500000000000001E-5</v>
      </c>
      <c r="D545">
        <v>726990.39569999999</v>
      </c>
      <c r="E545" s="1">
        <v>4.8999999999999998E-5</v>
      </c>
      <c r="F545">
        <v>1189934.2879999999</v>
      </c>
      <c r="G545">
        <v>4824.2378879999997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0.15797891060313377</v>
      </c>
      <c r="M545" s="1">
        <f t="shared" si="35"/>
        <v>0.12075354011181928</v>
      </c>
      <c r="N545" s="1">
        <f t="shared" si="36"/>
        <v>5562578.9120381735</v>
      </c>
      <c r="O545" s="1"/>
    </row>
    <row r="546" spans="1:15" x14ac:dyDescent="0.25">
      <c r="A546">
        <v>826</v>
      </c>
      <c r="B546">
        <v>439768.94699999999</v>
      </c>
      <c r="C546" s="1">
        <v>4.4700000000000002E-5</v>
      </c>
      <c r="D546">
        <v>839954.20750000002</v>
      </c>
      <c r="E546">
        <v>520.77401359999999</v>
      </c>
      <c r="F546">
        <v>1302781.389</v>
      </c>
      <c r="G546">
        <v>3904.5555650000001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0.46078982161813575</v>
      </c>
      <c r="M546" s="1">
        <f t="shared" si="35"/>
        <v>1800477.9051097161</v>
      </c>
      <c r="N546" s="1">
        <f t="shared" si="36"/>
        <v>6316169.5114105605</v>
      </c>
      <c r="O546" s="1"/>
    </row>
    <row r="547" spans="1:15" x14ac:dyDescent="0.25">
      <c r="A547">
        <v>827</v>
      </c>
      <c r="B547">
        <v>384295.02720000001</v>
      </c>
      <c r="C547" s="1">
        <v>-1.2E-5</v>
      </c>
      <c r="D547">
        <v>771764.36120000004</v>
      </c>
      <c r="E547" s="1">
        <v>7.43E-6</v>
      </c>
      <c r="F547">
        <v>1281372.4620000001</v>
      </c>
      <c r="G547">
        <v>3636.7005380000001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-2.0109261725201999E-2</v>
      </c>
      <c r="M547" s="1">
        <f t="shared" si="35"/>
        <v>4.1758686649716265E-3</v>
      </c>
      <c r="N547" s="1">
        <f t="shared" si="36"/>
        <v>956333.20760924905</v>
      </c>
      <c r="O547" s="1"/>
    </row>
    <row r="548" spans="1:15" x14ac:dyDescent="0.25">
      <c r="A548">
        <v>828</v>
      </c>
      <c r="B548">
        <v>509968.62050000002</v>
      </c>
      <c r="C548" s="1">
        <v>3.6199999999999999E-5</v>
      </c>
      <c r="D548">
        <v>946018.53989999997</v>
      </c>
      <c r="E548">
        <v>520.77395139999999</v>
      </c>
      <c r="F548">
        <v>1408322.97</v>
      </c>
      <c r="G548">
        <v>4586.4250309999998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9.5682198891760634E-2</v>
      </c>
      <c r="M548" s="1">
        <f t="shared" si="35"/>
        <v>461652.26100380917</v>
      </c>
      <c r="N548" s="1">
        <f t="shared" si="36"/>
        <v>1902320.5127864741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 s="1">
        <v>4.2599999999999999E-5</v>
      </c>
      <c r="F549">
        <v>774910.73129999998</v>
      </c>
      <c r="G549" s="1">
        <v>-1.7200000000000001E-5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0.30124861168806444</v>
      </c>
      <c r="N549" s="1">
        <f t="shared" si="36"/>
        <v>-5.6909868237233534E-2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 s="1">
        <v>3.6000000000000001E-5</v>
      </c>
      <c r="F550">
        <v>886091.98490000004</v>
      </c>
      <c r="G550">
        <v>3220.0859580000001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0.104759919205146</v>
      </c>
      <c r="N550" s="1">
        <f t="shared" si="36"/>
        <v>4384335.6739243027</v>
      </c>
      <c r="O550" s="1"/>
    </row>
    <row r="551" spans="1:15" x14ac:dyDescent="0.25">
      <c r="A551">
        <v>831</v>
      </c>
      <c r="B551">
        <v>357179.94919999997</v>
      </c>
      <c r="C551" s="1">
        <v>-2.2200000000000001E-5</v>
      </c>
      <c r="D551">
        <v>781191.27930000005</v>
      </c>
      <c r="E551">
        <v>520.77397589999998</v>
      </c>
      <c r="F551">
        <v>1227997.4469999999</v>
      </c>
      <c r="G551">
        <v>6530.336945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-0.26335866488566056</v>
      </c>
      <c r="M551" s="1">
        <f t="shared" si="35"/>
        <v>2071987.1033990444</v>
      </c>
      <c r="N551" s="1">
        <f t="shared" si="36"/>
        <v>12156737.598548006</v>
      </c>
      <c r="O551" s="1"/>
    </row>
    <row r="552" spans="1:15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 s="1">
        <v>1.1600000000000001E-5</v>
      </c>
      <c r="F552">
        <v>1077406.531</v>
      </c>
      <c r="G552">
        <v>5370.997018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8.9826774743730395E-2</v>
      </c>
      <c r="M552" s="1">
        <f t="shared" si="35"/>
        <v>1.2262021482966014E-2</v>
      </c>
      <c r="N552" s="1">
        <f t="shared" si="36"/>
        <v>2656456.2810841366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 s="1">
        <v>-1.03E-5</v>
      </c>
      <c r="F553">
        <v>977630.06909999996</v>
      </c>
      <c r="G553">
        <v>2784.661274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-4.5093793180229338E-2</v>
      </c>
      <c r="N553" s="1">
        <f t="shared" si="36"/>
        <v>5704211.203263782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 s="1">
        <v>3.1600000000000002E-5</v>
      </c>
      <c r="F554">
        <v>971616.03079999995</v>
      </c>
      <c r="G554">
        <v>1316.930783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0.19131447764061976</v>
      </c>
      <c r="N554" s="1">
        <f t="shared" si="36"/>
        <v>3730502.8936137981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 s="1">
        <v>3.68E-5</v>
      </c>
      <c r="F555">
        <v>921653.97140000004</v>
      </c>
      <c r="G555">
        <v>1316.930764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6.4639956911905438E-2</v>
      </c>
      <c r="N555" s="1">
        <f t="shared" si="36"/>
        <v>1082330.4098242566</v>
      </c>
      <c r="O555" s="1"/>
    </row>
    <row r="556" spans="1:15" x14ac:dyDescent="0.25">
      <c r="A556">
        <v>836</v>
      </c>
      <c r="B556">
        <v>518818.85230000003</v>
      </c>
      <c r="C556" s="1">
        <v>2.4199999999999999E-5</v>
      </c>
      <c r="D556">
        <v>979112.55900000001</v>
      </c>
      <c r="E556">
        <v>2389.7068159999999</v>
      </c>
      <c r="F556">
        <v>1414478.6910000001</v>
      </c>
      <c r="G556">
        <v>1887.06826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2.9769164079940999E-2</v>
      </c>
      <c r="M556" s="1">
        <f t="shared" si="35"/>
        <v>985913.99868046457</v>
      </c>
      <c r="N556" s="1">
        <f t="shared" si="36"/>
        <v>364271.92342802632</v>
      </c>
      <c r="O556" s="1"/>
    </row>
    <row r="557" spans="1:15" x14ac:dyDescent="0.25">
      <c r="A557">
        <v>837</v>
      </c>
      <c r="B557">
        <v>321856.37209999998</v>
      </c>
      <c r="C557" s="1">
        <v>-2.8399999999999999E-5</v>
      </c>
      <c r="D557">
        <v>748248.54429999995</v>
      </c>
      <c r="E557">
        <v>520.77399969999999</v>
      </c>
      <c r="F557">
        <v>1178496.3529999999</v>
      </c>
      <c r="G557">
        <v>6530.336945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-0.12264718472856198</v>
      </c>
      <c r="M557" s="1">
        <f t="shared" si="35"/>
        <v>754278.40506946261</v>
      </c>
      <c r="N557" s="1">
        <f t="shared" si="36"/>
        <v>4425492.9060987625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2389.7067729999999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1.1531991570570055E-2</v>
      </c>
      <c r="N558" s="1">
        <f t="shared" si="36"/>
        <v>889251.50046243495</v>
      </c>
      <c r="O558" s="1"/>
    </row>
    <row r="559" spans="1:15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 s="1">
        <v>2.58E-5</v>
      </c>
      <c r="F559">
        <v>1467284.923</v>
      </c>
      <c r="G559">
        <v>2784.661247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-0.15860527196301452</v>
      </c>
      <c r="M559" s="1">
        <f t="shared" si="35"/>
        <v>2.9641451790290041E-2</v>
      </c>
      <c r="N559" s="1">
        <f t="shared" si="36"/>
        <v>1496910.4286207282</v>
      </c>
      <c r="O559" s="1"/>
    </row>
    <row r="560" spans="1:15" x14ac:dyDescent="0.25">
      <c r="A560">
        <v>896</v>
      </c>
      <c r="B560">
        <v>176718.43460000001</v>
      </c>
      <c r="C560" s="1">
        <v>-4.9299999999999999E-5</v>
      </c>
      <c r="D560">
        <v>952114.31940000004</v>
      </c>
      <c r="E560" s="1">
        <v>-2.0599999999999999E-5</v>
      </c>
      <c r="F560">
        <v>1531125.3060000001</v>
      </c>
      <c r="G560">
        <v>4770.6004000000003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-0.11189723119063581</v>
      </c>
      <c r="M560" s="1">
        <f t="shared" si="35"/>
        <v>-1.5681325817784593E-2</v>
      </c>
      <c r="N560" s="1">
        <f t="shared" si="36"/>
        <v>1699152.1778576332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 s="1">
        <v>-4.4199999999999997E-5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-8.0878630375103483E-2</v>
      </c>
      <c r="N561" s="1">
        <f t="shared" si="36"/>
        <v>-7.9271537280559259E-2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4.7600000000000002E-6</v>
      </c>
      <c r="F562">
        <v>1170011.639</v>
      </c>
      <c r="G562">
        <v>520.77398670000002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1.2345011577673823E-2</v>
      </c>
      <c r="N562" s="1">
        <f t="shared" si="36"/>
        <v>631942.42088756768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>
        <v>723.46584710000002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0.13599419730192147</v>
      </c>
      <c r="N563" s="1">
        <f t="shared" si="36"/>
        <v>1456783.4789042145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5.3600000000000004E-6</v>
      </c>
      <c r="F564">
        <v>921892.33779999998</v>
      </c>
      <c r="G564" s="1">
        <v>3.2100000000000001E-5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2.8551540822841642E-2</v>
      </c>
      <c r="N564" s="1">
        <f t="shared" si="36"/>
        <v>8.000432610070185E-2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 s="1">
        <v>2.55E-5</v>
      </c>
      <c r="F565">
        <v>1013672.794</v>
      </c>
      <c r="G565">
        <v>0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8.3304289425727651E-2</v>
      </c>
      <c r="N565" s="1">
        <f t="shared" si="36"/>
        <v>0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0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-8.1721303157700959E-2</v>
      </c>
      <c r="N566" s="1">
        <f t="shared" si="36"/>
        <v>0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 s="1">
        <v>4.0500000000000002E-5</v>
      </c>
      <c r="F567">
        <v>1031875.76</v>
      </c>
      <c r="G567">
        <v>0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0.13257074574168212</v>
      </c>
      <c r="N567" s="1">
        <f t="shared" si="36"/>
        <v>0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3296.6195280000002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-7.7058630689751925E-2</v>
      </c>
      <c r="N568" s="1">
        <f t="shared" si="36"/>
        <v>3455217.1760645383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 s="1">
        <v>1.33E-5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-0.13467627535612015</v>
      </c>
      <c r="N569" s="1">
        <f t="shared" si="36"/>
        <v>3.4488963481729265E-2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>
        <v>6940.3854970000002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0.17315144103480704</v>
      </c>
      <c r="N570" s="1">
        <f t="shared" si="36"/>
        <v>18805383.466992088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-0.32063363703079906</v>
      </c>
      <c r="N571" s="1">
        <f t="shared" si="36"/>
        <v>-8.9328001545924962E-2</v>
      </c>
      <c r="O571" s="1"/>
    </row>
    <row r="572" spans="1:15" x14ac:dyDescent="0.25">
      <c r="A572">
        <v>910</v>
      </c>
      <c r="B572">
        <v>114709.05379999999</v>
      </c>
      <c r="C572">
        <v>0</v>
      </c>
      <c r="D572">
        <v>781465.2439</v>
      </c>
      <c r="E572" s="1">
        <v>2.1999999999999999E-5</v>
      </c>
      <c r="F572">
        <v>1404221.4480000001</v>
      </c>
      <c r="G572">
        <v>3220.085975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</v>
      </c>
      <c r="M572" s="1">
        <f t="shared" si="35"/>
        <v>8.4887152345402006E-2</v>
      </c>
      <c r="N572" s="1">
        <f t="shared" si="36"/>
        <v>5813402.987898659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 s="1">
        <v>-3.0199999999999999E-5</v>
      </c>
      <c r="F573">
        <v>1085209.325</v>
      </c>
      <c r="G573">
        <v>0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-0.18685956547066893</v>
      </c>
      <c r="N573" s="1">
        <f t="shared" si="36"/>
        <v>0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4.3399999999999998E-5</v>
      </c>
      <c r="F574">
        <v>951361.49140000006</v>
      </c>
      <c r="G574" s="1">
        <v>-1.42E-5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0.19408254196928884</v>
      </c>
      <c r="N574" s="1">
        <f t="shared" si="36"/>
        <v>-2.9711786431775883E-2</v>
      </c>
      <c r="O574" s="1"/>
    </row>
    <row r="575" spans="1:15" x14ac:dyDescent="0.25">
      <c r="A575">
        <v>913</v>
      </c>
      <c r="B575">
        <v>196519.514</v>
      </c>
      <c r="C575" s="1">
        <v>-3.2199999999999997E-5</v>
      </c>
      <c r="D575">
        <v>907269.33</v>
      </c>
      <c r="E575" s="1">
        <v>-8.0600000000000008E-6</v>
      </c>
      <c r="F575">
        <v>1503592.9110000001</v>
      </c>
      <c r="G575">
        <v>3779.8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-9.0059400936254738E-2</v>
      </c>
      <c r="M575" s="1">
        <f t="shared" si="35"/>
        <v>-7.5605146773566421E-3</v>
      </c>
      <c r="N575" s="1">
        <f t="shared" si="36"/>
        <v>1658932.8912185039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1.63E-5</v>
      </c>
      <c r="F576">
        <v>1078164.527</v>
      </c>
      <c r="G576">
        <v>0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5.7744277250076317E-2</v>
      </c>
      <c r="N576" s="1">
        <f t="shared" si="36"/>
        <v>0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3.2400000000000001E-5</v>
      </c>
      <c r="F577">
        <v>1437621.0390000001</v>
      </c>
      <c r="G577">
        <v>2784.661247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4.412384961523956E-2</v>
      </c>
      <c r="N577" s="1">
        <f t="shared" si="36"/>
        <v>1774371.0155999227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-1.0300000000000001E-6</v>
      </c>
      <c r="F578">
        <v>1086950.43</v>
      </c>
      <c r="G578">
        <v>0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-3.7317328595337339E-3</v>
      </c>
      <c r="N578" s="1">
        <f t="shared" si="36"/>
        <v>0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 s="1">
        <v>-3.0199999999999999E-5</v>
      </c>
      <c r="F579">
        <v>1381109.7949999999</v>
      </c>
      <c r="G579">
        <v>1316.930799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-8.2403219683150383E-2</v>
      </c>
      <c r="N579" s="1">
        <f t="shared" ref="N579:N642" si="40">$U$4*$K579*G579</f>
        <v>1681294.8036978832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 s="1">
        <v>-7.8299999999999996E-6</v>
      </c>
      <c r="F580">
        <v>1238590.6000000001</v>
      </c>
      <c r="G580">
        <v>520.77398670000002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-1.1548674041281251E-2</v>
      </c>
      <c r="N580" s="1">
        <f t="shared" si="40"/>
        <v>359387.79347887891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-4.74E-5</v>
      </c>
      <c r="F581">
        <v>1064059.0930000001</v>
      </c>
      <c r="G581">
        <v>0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-0.11275190153054843</v>
      </c>
      <c r="N581" s="1">
        <f t="shared" si="40"/>
        <v>0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-2.5999999999999998E-5</v>
      </c>
      <c r="F582">
        <v>1131263.098</v>
      </c>
      <c r="G582">
        <v>6940.3855210000002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-0.11926707763914579</v>
      </c>
      <c r="N582" s="1">
        <f t="shared" si="40"/>
        <v>14896165.997782016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 s="1">
        <v>-6.5699999999999998E-6</v>
      </c>
      <c r="F583">
        <v>1302510.075</v>
      </c>
      <c r="G583">
        <v>2389.7067729999999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-3.1272646715855001E-2</v>
      </c>
      <c r="N583" s="1">
        <f t="shared" si="40"/>
        <v>5322155.529013251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 s="1">
        <v>9.4299999999999995E-6</v>
      </c>
      <c r="F584">
        <v>1125036.0109999999</v>
      </c>
      <c r="G584">
        <v>0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4.1614437954992332E-2</v>
      </c>
      <c r="N584" s="1">
        <f t="shared" si="40"/>
        <v>0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867.95671760000005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-5.7174325220132112E-2</v>
      </c>
      <c r="N585" s="1">
        <f t="shared" si="40"/>
        <v>625848.02346796391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0.10762040404174454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0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3.6243636999328503E-4</v>
      </c>
      <c r="N587" s="1">
        <f t="shared" si="40"/>
        <v>0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>
        <v>520.77395760000002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4.1830447846406854E-2</v>
      </c>
      <c r="N588" s="1">
        <f t="shared" si="40"/>
        <v>684067.8539072955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 s="1">
        <v>-3.15E-5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-9.5939603455520009E-2</v>
      </c>
      <c r="N589" s="1">
        <f t="shared" si="40"/>
        <v>-6.9655612126041905E-2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-4.9400000000000001E-5</v>
      </c>
      <c r="F590">
        <v>953439.78480000002</v>
      </c>
      <c r="G590" s="1">
        <v>4.4400000000000002E-5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-0.2805215670217493</v>
      </c>
      <c r="N590" s="1">
        <f t="shared" si="40"/>
        <v>0.11796847237753022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-4.7899999999999999E-5</v>
      </c>
      <c r="F591">
        <v>909519.73369999998</v>
      </c>
      <c r="G591" s="1">
        <v>2.6100000000000001E-5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-0.37861095835973535</v>
      </c>
      <c r="N591" s="1">
        <f t="shared" si="40"/>
        <v>9.6525453768869354E-2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-2.8799999999999999E-5</v>
      </c>
      <c r="F592">
        <v>968801.72580000001</v>
      </c>
      <c r="G592" s="1">
        <v>-4.3000000000000003E-6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-0.1093913125537392</v>
      </c>
      <c r="N592" s="1">
        <f t="shared" si="40"/>
        <v>-7.6419198659005514E-3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0.11956052486379926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 s="1">
        <v>-4.9400000000000001E-6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-2.1952850141448488E-2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 s="1">
        <v>3.0700000000000001E-5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-5.0926375697698707E-2</v>
      </c>
      <c r="N595" s="1">
        <f t="shared" si="40"/>
        <v>0.14778134821589636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 s="1">
        <v>3.2400000000000001E-5</v>
      </c>
      <c r="F596">
        <v>1311662.7080000001</v>
      </c>
      <c r="G596">
        <v>2668.311346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0.18065811544256521</v>
      </c>
      <c r="N596" s="1">
        <f t="shared" si="40"/>
        <v>6961336.8043666054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 s="1">
        <v>-3.8800000000000001E-6</v>
      </c>
      <c r="F597">
        <v>981646.17209999997</v>
      </c>
      <c r="G597" s="1">
        <v>4.7200000000000002E-5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-1.3866513094537632E-2</v>
      </c>
      <c r="N597" s="1">
        <f t="shared" si="40"/>
        <v>7.892620429672513E-2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 s="1">
        <v>1.49E-5</v>
      </c>
      <c r="F598">
        <v>988115.28220000002</v>
      </c>
      <c r="G598" s="1">
        <v>-1.6099999999999998E-5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5.714668266773159E-2</v>
      </c>
      <c r="N598" s="1">
        <f t="shared" si="40"/>
        <v>-2.8891780763791886E-2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>
        <v>6940.3855469999999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0.13175328586132298</v>
      </c>
      <c r="N599" s="1">
        <f t="shared" si="40"/>
        <v>13287181.220880382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-0.12602515521758065</v>
      </c>
      <c r="N600" s="1">
        <f t="shared" si="40"/>
        <v>5.4485206951656963E-2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>
        <v>1316.9308289999999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7.2273800052933573E-2</v>
      </c>
      <c r="N601" s="1">
        <f t="shared" si="40"/>
        <v>2356273.6597025353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-1.8300000000000001E-5</v>
      </c>
      <c r="F602">
        <v>994329.02309999999</v>
      </c>
      <c r="G602">
        <v>968.08061259999999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-4.5607353113022393E-2</v>
      </c>
      <c r="N602" s="1">
        <f t="shared" si="40"/>
        <v>1128857.1270750894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1316.930799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0.10861434150612</v>
      </c>
      <c r="N603" s="1">
        <f t="shared" si="40"/>
        <v>1338516.7245262729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 s="1">
        <v>9.4099999999999997E-6</v>
      </c>
      <c r="F604">
        <v>827276.49080000003</v>
      </c>
      <c r="G604" s="1">
        <v>-5.49E-6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6.6919083644030569E-2</v>
      </c>
      <c r="N604" s="1">
        <f t="shared" si="40"/>
        <v>-1.8267385106116002E-2</v>
      </c>
      <c r="O604" s="1"/>
    </row>
    <row r="605" spans="1:15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 s="1">
        <v>1.7E-5</v>
      </c>
      <c r="F605">
        <v>1096811.7849999999</v>
      </c>
      <c r="G605">
        <v>1316.930799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-8.7627747848130749E-3</v>
      </c>
      <c r="M605" s="1">
        <f t="shared" si="39"/>
        <v>0.17228033608762466</v>
      </c>
      <c r="N605" s="1">
        <f t="shared" si="40"/>
        <v>6244438.9171338752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 s="1">
        <v>3.68E-5</v>
      </c>
      <c r="F606">
        <v>978930.29150000005</v>
      </c>
      <c r="G606">
        <v>6940.3855169999997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0.3193084306716712</v>
      </c>
      <c r="N606" s="1">
        <f t="shared" si="40"/>
        <v>28176681.290430028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723.46593780000001</v>
      </c>
      <c r="F607">
        <v>1295351.902</v>
      </c>
      <c r="G607">
        <v>3518.8458340000002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-0.54990959517651306</v>
      </c>
      <c r="M607" s="1">
        <f t="shared" si="39"/>
        <v>2756812.0690893694</v>
      </c>
      <c r="N607" s="1">
        <f t="shared" si="40"/>
        <v>6273833.5340901762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3450.004226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0</v>
      </c>
      <c r="N608" s="1">
        <f t="shared" si="40"/>
        <v>1931018.8415121948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520.77398670000002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-8.0760063380068622E-2</v>
      </c>
      <c r="N609" s="1">
        <f t="shared" si="40"/>
        <v>660348.73123629508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 s="1">
        <v>2.5700000000000001E-5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-0.20117064327429215</v>
      </c>
      <c r="N610" s="1">
        <f t="shared" si="40"/>
        <v>5.0083454354400959E-2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2.2400000000000002E-6</v>
      </c>
      <c r="F611">
        <v>1059638.862</v>
      </c>
      <c r="G611">
        <v>723.46583029999999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2.3057960460120319E-2</v>
      </c>
      <c r="N611" s="1">
        <f t="shared" si="40"/>
        <v>3484452.7030413719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2.2684854413738041E-2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5.3064087504438688E-2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0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4.6481090828680797E-3</v>
      </c>
      <c r="N614" s="1">
        <f t="shared" si="40"/>
        <v>0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 s="1">
        <v>7.3000000000000004E-6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-6.4484889577136245E-2</v>
      </c>
      <c r="N615" s="1">
        <f t="shared" si="40"/>
        <v>8.2184459775324608E-3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-2.0499999999999999E-6</v>
      </c>
      <c r="F616">
        <v>1339829.706</v>
      </c>
      <c r="G616">
        <v>520.77398670000002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-2.7361493848975598E-3</v>
      </c>
      <c r="N616" s="1">
        <f t="shared" si="40"/>
        <v>325221.24230195844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 s="1">
        <v>-3.54E-5</v>
      </c>
      <c r="F617">
        <v>1229459.7050000001</v>
      </c>
      <c r="G617">
        <v>0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-9.5863268943351412E-2</v>
      </c>
      <c r="N617" s="1">
        <f t="shared" si="40"/>
        <v>0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 s="1">
        <v>7.5299999999999999E-6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5.7998515919016252E-2</v>
      </c>
      <c r="N618" s="1">
        <f t="shared" si="40"/>
        <v>1.4700792072061123E-2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0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0.20250197542548481</v>
      </c>
      <c r="N619" s="1">
        <f t="shared" si="40"/>
        <v>0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6940.3855210000002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5.6452523378126278E-2</v>
      </c>
      <c r="N620" s="1">
        <f t="shared" si="40"/>
        <v>4927965.8848156612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-2.97E-5</v>
      </c>
      <c r="F621">
        <v>1193329.1510000001</v>
      </c>
      <c r="G621">
        <v>0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-4.5777574055388785E-2</v>
      </c>
      <c r="N621" s="1">
        <f t="shared" si="40"/>
        <v>0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4177.8222130000004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3.8226340276328395E-2</v>
      </c>
      <c r="N622" s="1">
        <f t="shared" si="40"/>
        <v>3491745.4899833705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3925.9695780000002</v>
      </c>
      <c r="F623">
        <v>1582930.62</v>
      </c>
      <c r="G623">
        <v>4712.0206390000003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10075443.892168667</v>
      </c>
      <c r="N623" s="1">
        <f t="shared" si="40"/>
        <v>5658067.4591330122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-8.6799999999999999E-6</v>
      </c>
      <c r="F624">
        <v>1558722.6540000001</v>
      </c>
      <c r="G624">
        <v>6078.6661940000004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-6.6896081708076654E-3</v>
      </c>
      <c r="N624" s="1">
        <f t="shared" si="40"/>
        <v>2191961.534465746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4.4700000000000004E-6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2.0553962815024165E-2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-0.13565985360121025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2784.661247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-6.7792509395616471E-2</v>
      </c>
      <c r="N627" s="1">
        <f t="shared" si="40"/>
        <v>8254941.1483269203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8.4100000000000008E-6</v>
      </c>
      <c r="F628">
        <v>1214880.43</v>
      </c>
      <c r="G628">
        <v>520.77398670000002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2.4063350028404359E-2</v>
      </c>
      <c r="N628" s="1">
        <f t="shared" si="40"/>
        <v>697193.05666052271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4.3838260109890191E-3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 s="1">
        <v>-2.4199999999999999E-5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0</v>
      </c>
      <c r="N631" s="1">
        <f t="shared" si="40"/>
        <v>-0.11309978530628383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0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-9.4093193284921252E-3</v>
      </c>
      <c r="N632" s="1">
        <f t="shared" si="40"/>
        <v>0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-3.8399999999999998E-5</v>
      </c>
      <c r="F633">
        <v>1137815.531</v>
      </c>
      <c r="G633">
        <v>0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-0.104397083482464</v>
      </c>
      <c r="N633" s="1">
        <f t="shared" si="40"/>
        <v>0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-0.10827831995954627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0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-0.18025423577550323</v>
      </c>
      <c r="N635" s="1">
        <f t="shared" si="40"/>
        <v>0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 s="1">
        <v>4.9299999999999999E-5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</v>
      </c>
      <c r="N636" s="1">
        <f t="shared" si="40"/>
        <v>0.22357766775893143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0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6.8261011600045052E-2</v>
      </c>
      <c r="N638" s="1">
        <f t="shared" si="40"/>
        <v>0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2.7920548299899166E-3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3.217360162291464E-2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0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-6.9956527826547002E-2</v>
      </c>
      <c r="N642" s="1">
        <f t="shared" si="40"/>
        <v>0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0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-0.11506532703267247</v>
      </c>
      <c r="N645" s="1">
        <f t="shared" si="44"/>
        <v>0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2.27E-5</v>
      </c>
      <c r="F646">
        <v>1303767.1680000001</v>
      </c>
      <c r="G646">
        <v>0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7.9900161622489196E-2</v>
      </c>
      <c r="N646" s="1">
        <f t="shared" si="44"/>
        <v>0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0</v>
      </c>
      <c r="F648">
        <v>1135935.004</v>
      </c>
      <c r="G648">
        <v>0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0</v>
      </c>
      <c r="N648" s="1">
        <f t="shared" si="44"/>
        <v>0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0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0</v>
      </c>
      <c r="N649" s="1">
        <f t="shared" si="44"/>
        <v>0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0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</v>
      </c>
      <c r="N650" s="1">
        <f t="shared" si="44"/>
        <v>0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0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0</v>
      </c>
      <c r="N652" s="1">
        <f t="shared" si="44"/>
        <v>0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6.3235156776916504E-2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 s="1">
        <v>1.6699999999999999E-5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0</v>
      </c>
      <c r="N656" s="1">
        <f t="shared" si="44"/>
        <v>2.3159213626091579E-2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 s="1">
        <v>-3.68E-5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-8.4690897669903273E-2</v>
      </c>
      <c r="N657" s="1">
        <f t="shared" si="44"/>
        <v>-8.9462417260581129E-2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-1.04E-5</v>
      </c>
      <c r="F658">
        <v>951475.64480000001</v>
      </c>
      <c r="G658">
        <v>0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-2.5749021313894321E-2</v>
      </c>
      <c r="N658" s="1">
        <f t="shared" si="44"/>
        <v>0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 s="1">
        <v>-3.3599999999999997E-5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-0.2103211836018109</v>
      </c>
      <c r="N659" s="1">
        <f t="shared" si="44"/>
        <v>-6.6395191816820159E-2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0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4.6268159786358717E-2</v>
      </c>
      <c r="N660" s="1">
        <f t="shared" si="44"/>
        <v>0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-4.8000000000000001E-5</v>
      </c>
      <c r="F662">
        <v>935330.77879999997</v>
      </c>
      <c r="G662">
        <v>0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-6.1815850300550403E-2</v>
      </c>
      <c r="N662" s="1">
        <f t="shared" si="44"/>
        <v>0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0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-6.4046827429909137E-2</v>
      </c>
      <c r="N663" s="1">
        <f t="shared" si="44"/>
        <v>0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0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-3.1580115218117898E-2</v>
      </c>
      <c r="N664" s="1">
        <f t="shared" si="44"/>
        <v>0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1.33E-5</v>
      </c>
      <c r="F665">
        <v>1029765.633</v>
      </c>
      <c r="G665">
        <v>0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1.8045858712765241E-2</v>
      </c>
      <c r="N665" s="1">
        <f t="shared" si="44"/>
        <v>0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-4.4199999999999997E-5</v>
      </c>
      <c r="F666">
        <v>929514.86029999994</v>
      </c>
      <c r="G666">
        <v>0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-0.18328767459990311</v>
      </c>
      <c r="N666" s="1">
        <f t="shared" si="44"/>
        <v>0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 s="1">
        <v>-1.8300000000000001E-5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-4.9784060327801805E-2</v>
      </c>
      <c r="N667" s="1">
        <f t="shared" si="44"/>
        <v>-2.7679890089322902E-2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0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0.12271949535693961</v>
      </c>
      <c r="N668" s="1">
        <f t="shared" si="44"/>
        <v>0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8.7199999999999995E-6</v>
      </c>
      <c r="F669">
        <v>1527692.63</v>
      </c>
      <c r="G669">
        <v>2784.661247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4.5534015359709815E-3</v>
      </c>
      <c r="N669" s="1">
        <f t="shared" si="44"/>
        <v>680354.8951705267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 s="1">
        <v>-4.6400000000000003E-5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0.29856521072365355</v>
      </c>
      <c r="N670" s="1">
        <f t="shared" si="44"/>
        <v>-0.39284109794631844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-3.2257150457603495E-2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2.3967716547911E-3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0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8.4920240476896613E-2</v>
      </c>
      <c r="N675" s="1">
        <f t="shared" si="44"/>
        <v>0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0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-3.6253236666831043E-2</v>
      </c>
      <c r="N676" s="1">
        <f t="shared" si="44"/>
        <v>0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0.21764898875028535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0.22367275418098151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2.2841314892938759E-2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0.26559091794699285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0.1014823710919083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 s="1">
        <v>-3.8600000000000003E-5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6.1646394639958399E-2</v>
      </c>
      <c r="N682" s="1">
        <f t="shared" si="44"/>
        <v>-3.6623941480028406E-2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 s="1">
        <v>-1.6500000000000001E-5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-0.15329302336504624</v>
      </c>
      <c r="N683" s="1">
        <f t="shared" si="44"/>
        <v>-5.6896647477808059E-2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0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0.30108730158064179</v>
      </c>
      <c r="N684" s="1">
        <f t="shared" si="44"/>
        <v>0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 s="1">
        <v>3.6900000000000002E-5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-1.208199428616466E-2</v>
      </c>
      <c r="N685" s="1">
        <f t="shared" si="44"/>
        <v>2.7887338771443452E-2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0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3.6936831601224171E-2</v>
      </c>
      <c r="N686" s="1">
        <f t="shared" si="44"/>
        <v>0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0</v>
      </c>
      <c r="F687">
        <v>1084773.4720000001</v>
      </c>
      <c r="G687">
        <v>0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0</v>
      </c>
      <c r="N687" s="1">
        <f t="shared" si="44"/>
        <v>0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 s="1">
        <v>4.8099999999999997E-5</v>
      </c>
      <c r="F688">
        <v>1252087.183</v>
      </c>
      <c r="G688">
        <v>0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4.1410188110003764E-2</v>
      </c>
      <c r="N688" s="1">
        <f t="shared" si="44"/>
        <v>0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-2.9200000000000002E-5</v>
      </c>
      <c r="F689">
        <v>1359188.3929999999</v>
      </c>
      <c r="G689">
        <v>0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-1.6274330507459772E-2</v>
      </c>
      <c r="N689" s="1">
        <f t="shared" si="44"/>
        <v>0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>
        <v>0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0.12465887436753025</v>
      </c>
      <c r="N690" s="1">
        <f t="shared" si="44"/>
        <v>0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4.8999999999999998E-5</v>
      </c>
      <c r="F691">
        <v>1286554.51</v>
      </c>
      <c r="G691">
        <v>0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4.6324482869611591E-2</v>
      </c>
      <c r="N691" s="1">
        <f t="shared" si="44"/>
        <v>0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0</v>
      </c>
      <c r="F692">
        <v>1287319.922</v>
      </c>
      <c r="G692">
        <v>0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0</v>
      </c>
      <c r="N692" s="1">
        <f t="shared" si="44"/>
        <v>0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-3.5599999999999998E-5</v>
      </c>
      <c r="F693">
        <v>1275241.5759999999</v>
      </c>
      <c r="G693">
        <v>3925.9695780000002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-2.6269307912695643E-2</v>
      </c>
      <c r="N693" s="1">
        <f t="shared" si="44"/>
        <v>1355467.9127714275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0</v>
      </c>
      <c r="F694">
        <v>1544090.405</v>
      </c>
      <c r="G694">
        <v>520.77398670000002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0</v>
      </c>
      <c r="N694" s="1">
        <f t="shared" si="44"/>
        <v>143148.10197667743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0</v>
      </c>
      <c r="F695">
        <v>1177859.8829999999</v>
      </c>
      <c r="G695">
        <v>0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0</v>
      </c>
      <c r="N695" s="1">
        <f t="shared" si="44"/>
        <v>0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0</v>
      </c>
      <c r="F696">
        <v>1377311.9450000001</v>
      </c>
      <c r="G696">
        <v>0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0</v>
      </c>
      <c r="N696" s="1">
        <f t="shared" si="44"/>
        <v>0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0</v>
      </c>
      <c r="F697">
        <v>1313881.5789999999</v>
      </c>
      <c r="G697">
        <v>3925.9695780000002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0.12524231360338425</v>
      </c>
      <c r="M697" s="1">
        <f t="shared" si="43"/>
        <v>0</v>
      </c>
      <c r="N697" s="1">
        <f t="shared" si="44"/>
        <v>2198253.1814460955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0</v>
      </c>
      <c r="F698">
        <v>1457460.057</v>
      </c>
      <c r="G698">
        <v>520.77398670000002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0</v>
      </c>
      <c r="N698" s="1">
        <f t="shared" si="44"/>
        <v>201512.03214165289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0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-0.13713477147105496</v>
      </c>
      <c r="N699" s="1">
        <f t="shared" si="44"/>
        <v>0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0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-2.0264676850920343E-2</v>
      </c>
      <c r="N700" s="1">
        <f t="shared" si="44"/>
        <v>0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-1.1800000000000001E-5</v>
      </c>
      <c r="F701">
        <v>1189617.3060000001</v>
      </c>
      <c r="G701">
        <v>0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-1.5442241225050501E-2</v>
      </c>
      <c r="N701" s="1">
        <f t="shared" si="44"/>
        <v>0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0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0</v>
      </c>
      <c r="N702" s="1">
        <f t="shared" si="44"/>
        <v>0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0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5.2820234036461194E-3</v>
      </c>
      <c r="N703" s="1">
        <f t="shared" si="44"/>
        <v>0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0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3.0546816035256722E-2</v>
      </c>
      <c r="N704" s="1">
        <f t="shared" si="44"/>
        <v>0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0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</v>
      </c>
      <c r="N705" s="1">
        <f t="shared" si="44"/>
        <v>0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-7.8323533695450545E-3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2.0679989571358966E-2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0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-4.5819634459848213E-2</v>
      </c>
      <c r="N708" s="1">
        <f t="shared" si="48"/>
        <v>0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-9.5692738311034128E-2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0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6.15590574477188E-2</v>
      </c>
      <c r="N711" s="1">
        <f t="shared" si="48"/>
        <v>0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-4.5500000000000001E-5</v>
      </c>
      <c r="F712">
        <v>1007351.741</v>
      </c>
      <c r="G712">
        <v>0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-1.8335528725508997E-2</v>
      </c>
      <c r="N712" s="1">
        <f t="shared" si="48"/>
        <v>0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2.1999999999999999E-5</v>
      </c>
      <c r="F713">
        <v>1253946.916</v>
      </c>
      <c r="G713">
        <v>3925.9695780000002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1.134704232187988E-2</v>
      </c>
      <c r="N713" s="1">
        <f t="shared" si="48"/>
        <v>947437.56912215333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0.21083322955935208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 s="1">
        <v>-3.3899999999999997E-5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-0.31296532388019199</v>
      </c>
      <c r="N715" s="1">
        <f t="shared" si="48"/>
        <v>-0.19390974356954702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-7.6233353896066391E-2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1.895696761591889E-2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2.7836442815632349E-2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-0.1182016841268264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 s="1">
        <v>3.3000000000000003E-5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-0.2120356758491799</v>
      </c>
      <c r="N721" s="1">
        <f t="shared" si="48"/>
        <v>9.5449231672551912E-2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0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-0.19884712670598129</v>
      </c>
      <c r="N723" s="1">
        <f t="shared" si="48"/>
        <v>0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1.7E-5</v>
      </c>
      <c r="F724">
        <v>1149879.649</v>
      </c>
      <c r="G724">
        <v>0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7.7227269864918102E-3</v>
      </c>
      <c r="N724" s="1">
        <f t="shared" si="48"/>
        <v>0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-3.7581768615772379E-2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0.70905804137497808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-0.30695320843990004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8.6602483412779683E-3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4.5000000000000003E-5</v>
      </c>
      <c r="F731">
        <v>1227401.588</v>
      </c>
      <c r="G731">
        <v>0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2.9997611122262853E-2</v>
      </c>
      <c r="N731" s="1">
        <f t="shared" si="48"/>
        <v>0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-3.4400000000000003E-5</v>
      </c>
      <c r="F732">
        <v>1160440.7379999999</v>
      </c>
      <c r="G732">
        <v>0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-2.4260463818058128E-2</v>
      </c>
      <c r="N732" s="1">
        <f t="shared" si="48"/>
        <v>0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0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-1.5492583939898533E-2</v>
      </c>
      <c r="N734" s="1">
        <f t="shared" si="48"/>
        <v>0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-3.3500000000000001E-5</v>
      </c>
      <c r="F735">
        <v>1208211.254</v>
      </c>
      <c r="G735">
        <v>0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-3.486885152549115E-2</v>
      </c>
      <c r="N735" s="1">
        <f t="shared" si="48"/>
        <v>0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0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-2.4174569759076248E-3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8.4299485348407407E-3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-6.796995452248196E-2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8.1618485026494367E-2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-2.0503162392108451E-3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-3.513449887716472E-3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-4.4832721049126618E-2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-8.6527081695592159E-2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0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3.3736928398085529E-2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-0.67269231172036803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0.38144049415531456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-0.2176946730127437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 s="1">
        <v>-3.96E-5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7.7684701142434379E-2</v>
      </c>
      <c r="N761" s="1">
        <f t="shared" si="48"/>
        <v>-0.11798166824128475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 s="1">
        <v>-3.9799999999999998E-5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9.9621016953676117E-2</v>
      </c>
      <c r="N762" s="1">
        <f t="shared" si="48"/>
        <v>-4.8060735896889237E-2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2.5164801255922176E-2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-1.2322798315495874E-2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-1.8934196550945814E-2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-2.5504488871786146E-2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9.4514138410795E-3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2.0674770053785756E-2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-4.5449748892425E-2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-8.6251894757210044E-3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4.9300495628625341E-3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3.2074900354977155E-2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-5.2362681780536414E-2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4.2899733313781921E-3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-6.0114343108964678E-3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-1.4461219828906399E-2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-2.3669217937422483E-3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-8.5786248605425504E-3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2.5683814974364907E-3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-8.0713532241716762E-2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0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-2.3955711218216401E-2</v>
      </c>
      <c r="N791" s="1">
        <f t="shared" si="52"/>
        <v>0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0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-3.1176282508339318E-2</v>
      </c>
      <c r="N792" s="1">
        <f t="shared" si="52"/>
        <v>0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 s="1">
        <v>-4.74E-5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-8.8465320807537134E-2</v>
      </c>
      <c r="N793" s="1">
        <f t="shared" si="52"/>
        <v>-5.6541275551949946E-2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0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-0.14201578405394286</v>
      </c>
      <c r="N794" s="1">
        <f t="shared" si="52"/>
        <v>0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0.17311289174698369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0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-0.1495914643417392</v>
      </c>
      <c r="N796" s="1">
        <f t="shared" si="52"/>
        <v>0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1.4068877025787232E-2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5.536533747843228E-2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0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-7.0485494558643447E-2</v>
      </c>
      <c r="N799" s="1">
        <f t="shared" si="52"/>
        <v>0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9.0334105432427633E-2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2.9430152009339897E-4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0.22774848463096359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2.6798859859234546E-2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-2.3018690525736338E-2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-3.0878229032903617E-2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6.0126788572301146E-3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1.2668466457675592E-2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3.1032112071930872E-2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-3.1179056162440311E-2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-4.0019025252757502E-2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1.5187315523421631E-2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2.1410204740610651E-2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4.9026536396804779E-2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7.3540026939296942E-3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-5.0219924290664623E-3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1.2969797233091889E-2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6.6842448119299597E-4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0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-9.6010783380109932E-2</v>
      </c>
      <c r="N821" s="1">
        <f t="shared" si="52"/>
        <v>0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-1.4030731722246691E-2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-3.3436618102891939E-2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-2.9124235001255518E-2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-2.6221013858205178E-2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-1.3743663724919676E-2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3.3001444153684149E-4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-1.8270069446434625E-2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2.749995006965732E-2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3.973144645799483E-3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9.8241685004621493E-2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-4.0854882337018568E-2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0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0</v>
      </c>
      <c r="N841" s="1">
        <f t="shared" si="56"/>
        <v>0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1.4520352700008891E-2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1.8787052563026006E-2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-1.3906894248722138E-2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0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0</v>
      </c>
      <c r="N845" s="1">
        <f t="shared" si="56"/>
        <v>0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-1.9987061991551664E-2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-2.10614288907978E-2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-4.8684590650893603E-2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-3.7354586152467999E-2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8.7988577866677881E-2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 s="1">
        <v>-3.8999999999999999E-5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4.4584014283788394E-2</v>
      </c>
      <c r="N851" s="1">
        <f t="shared" si="56"/>
        <v>-0.14272912346765673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0.20215718636747418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4.3305225304919343E-2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 s="1">
        <v>-3.0199999999999999E-5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-5.829345552302001E-2</v>
      </c>
      <c r="N856" s="1">
        <f t="shared" si="56"/>
        <v>-2.5189681058428139E-2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0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-4.9460646058988311E-2</v>
      </c>
      <c r="N857" s="1">
        <f t="shared" si="56"/>
        <v>0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5.5615053763220486E-3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-5.0371047013301661E-2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6940.3855210000002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-3.996232453364728E-2</v>
      </c>
      <c r="N860" s="1">
        <f t="shared" si="56"/>
        <v>4788601.8035547119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-1.587418869728412E-2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-1.251757855398E-4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 s="1">
        <v>-4.8199999999999999E-5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-2.1972466783063203E-3</v>
      </c>
      <c r="N867" s="1">
        <f t="shared" si="56"/>
        <v>-3.3940378186581605E-2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-2.2242860353554961E-3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 s="1">
        <v>1.59E-5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-2.610020196255056E-2</v>
      </c>
      <c r="N869" s="1">
        <f t="shared" si="56"/>
        <v>1.8670301492089144E-2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-2.0335452074325597E-3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-2.2349145479934E-2</v>
      </c>
      <c r="N871" s="1">
        <f t="shared" si="56"/>
        <v>0.26515811200144501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 s="1">
        <v>-2.26E-5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4.1531432894136869E-2</v>
      </c>
      <c r="N872" s="1">
        <f t="shared" si="56"/>
        <v>-6.1507888820936642E-2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-9.9876995683482513E-3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0.10518704061792425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-1.1656749952259775E-2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 s="1">
        <v>2.02E-5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-9.2641294739302646E-2</v>
      </c>
      <c r="N876" s="1">
        <f t="shared" si="56"/>
        <v>4.7586289310146392E-2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4.5399999999999999E-5</v>
      </c>
      <c r="F877">
        <v>1322404.5660000001</v>
      </c>
      <c r="G877">
        <v>1316.930799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0.90636288919773456</v>
      </c>
      <c r="N877" s="1">
        <f t="shared" si="56"/>
        <v>12301353.39219399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 s="1">
        <v>3.0499999999999999E-5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4.0443944011209002E-3</v>
      </c>
      <c r="N878" s="1">
        <f t="shared" si="56"/>
        <v>7.6954807228667405E-2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 s="1">
        <v>3.8999999999999999E-5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-7.5629349768148502E-2</v>
      </c>
      <c r="N879" s="1">
        <f t="shared" si="56"/>
        <v>0.18351890577889832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 s="1">
        <v>2.48E-5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4.1944019560209008E-3</v>
      </c>
      <c r="N880" s="1">
        <f t="shared" si="56"/>
        <v>1.6223484996866162E-2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3.7472123993535E-2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 s="1">
        <v>-3.7499999999999997E-5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0.12055628661909119</v>
      </c>
      <c r="N882" s="1">
        <f t="shared" si="56"/>
        <v>-0.44068023348434998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-1.8199999999999999E-5</v>
      </c>
      <c r="F883">
        <v>843882.82189999998</v>
      </c>
      <c r="G883" s="1">
        <v>-4.4400000000000002E-5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-4.2908866034670999E-2</v>
      </c>
      <c r="N883" s="1">
        <f t="shared" si="56"/>
        <v>-4.8978141067098004E-2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0.23935188773137006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 s="1">
        <v>-1.9899999999999999E-5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5.2166611620576252E-2</v>
      </c>
      <c r="N886" s="1">
        <f t="shared" si="56"/>
        <v>-3.8857903951356215E-2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0.24850951563607501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4.1246727483594932E-2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 s="1">
        <v>-3.0300000000000001E-5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-9.4626850613514113E-2</v>
      </c>
      <c r="N889" s="1">
        <f t="shared" si="56"/>
        <v>-6.7754087782903982E-2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-0.14749035005548425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3925.9695780000002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-9.4774512204111594E-3</v>
      </c>
      <c r="N892" s="1">
        <f t="shared" si="56"/>
        <v>6908466.0098440824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0.30448703284779527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8.1717949672898388E-2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0.14088493547541428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-0.10444561265596733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4.7252524527025809E-2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-5.1691149744618001E-3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1.3715760376809218E-2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2.3750999999999999E-4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1.8317483850931435E-2</v>
      </c>
      <c r="N909" s="1">
        <f t="shared" si="60"/>
        <v>0.10827633469703836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-0.10276916037929501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-0.52195309662597966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-0.32108740247059919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2.4346415268874971E-2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-4.9605410138323619E-2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-5.5093731104353824E-2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-9.3822086219661448E-3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0.27164102477947516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4.1233800309476501E-2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0.10018434593078801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-0.22030579972809219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0.10582988277441521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-1.6978605401392951E-2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 s="1">
        <v>1.56E-5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0.17363559819930882</v>
      </c>
      <c r="N924" s="1">
        <f t="shared" si="60"/>
        <v>3.9605642754406561E-2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-0.27411364270364386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-1.8693654133604059E-2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-1.6155627015353748E-2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2.9558294161303116E-2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0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0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-0.14577047229865414</v>
      </c>
      <c r="N933" s="1">
        <f t="shared" si="60"/>
        <v>0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 s="1">
        <v>4.7899999999999999E-5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-4.0552320064544685E-2</v>
      </c>
      <c r="N935" s="1">
        <f t="shared" si="60"/>
        <v>0.2174295743946188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 s="1">
        <v>-3.9900000000000001E-5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-9.9435330083106604E-3</v>
      </c>
      <c r="N936" s="1">
        <f t="shared" si="60"/>
        <v>-8.4379046366185845E-2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-8.8231044967914004E-4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0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0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0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-3.441262284474924E-2</v>
      </c>
      <c r="N939" s="1">
        <f t="shared" si="60"/>
        <v>0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-3.8000000000000002E-5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-0.10705867879843141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0</v>
      </c>
      <c r="F941">
        <v>780317.56030000001</v>
      </c>
      <c r="G941" s="1">
        <v>3.3399999999999999E-5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</v>
      </c>
      <c r="N941" s="1">
        <f t="shared" si="60"/>
        <v>0.1599572507774957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-3.7299999999999999E-5</v>
      </c>
      <c r="F942">
        <v>890798.45460000006</v>
      </c>
      <c r="G942" s="1">
        <v>3.1700000000000001E-6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-0.19786896646914481</v>
      </c>
      <c r="N942" s="1">
        <f t="shared" si="60"/>
        <v>7.8681348375597426E-3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723.46585330000005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1932456.3883948252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 s="1">
        <v>-4.6999999999999997E-5</v>
      </c>
      <c r="F944">
        <v>885090.15419999999</v>
      </c>
      <c r="G944" s="1">
        <v>-4.6799999999999999E-5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-0.67690698850597697</v>
      </c>
      <c r="N944" s="1">
        <f t="shared" si="60"/>
        <v>-0.31537021279837318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2.5900000000000002E-6</v>
      </c>
      <c r="F945">
        <v>864960.78139999998</v>
      </c>
      <c r="G945">
        <v>0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2.5376211455759544E-2</v>
      </c>
      <c r="N945" s="1">
        <f t="shared" si="60"/>
        <v>0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-9.4508142538414594E-2</v>
      </c>
      <c r="N946" s="1">
        <f t="shared" si="60"/>
        <v>13457677.861995641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-0.10803763912125748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-3.8617523663524625E-2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-9.119703032033355E-3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 s="1">
        <v>3.9499999999999998E-5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0.27395123833439416</v>
      </c>
      <c r="N950" s="1">
        <f t="shared" si="60"/>
        <v>0.15158896050778364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0.25870073570147167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0.40746793488031618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0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0.15925744879495488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-7.7611284261865201E-3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3.8015999999999999E-4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0.11332177496198784</v>
      </c>
      <c r="N956" s="1">
        <f t="shared" si="60"/>
        <v>0.95530271074699513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 s="1">
        <v>-1.6699999999999999E-5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3.5430691759326234E-2</v>
      </c>
      <c r="N957" s="1">
        <f t="shared" si="60"/>
        <v>-1.4494605971188892E-2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2.8730018684880697E-3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6.6219554520501461E-2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-8.0434949394537991E-2</v>
      </c>
      <c r="N960" s="1">
        <f t="shared" si="60"/>
        <v>0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-4.70083941348362E-2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8.3690895503766502E-2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 s="1">
        <v>2.8799999999999999E-5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0.11352486608253352</v>
      </c>
      <c r="N963" s="1">
        <f t="shared" ref="N963:N1026" si="64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-4.8599572002266875E-2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 s="1">
        <v>9.6600000000000007E-6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0.35604501888214229</v>
      </c>
      <c r="N965" s="1">
        <f t="shared" si="64"/>
        <v>4.6510351329075737E-2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0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8.4337239267410907E-3</v>
      </c>
      <c r="N966" s="1">
        <f t="shared" si="64"/>
        <v>0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 s="1">
        <v>2.9600000000000001E-5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0.21734377945182964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-1.9729E-4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-5.7737104834680315E-2</v>
      </c>
      <c r="N968" s="1">
        <f t="shared" si="64"/>
        <v>-0.20819188075348985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867.95716000000004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2.3137834201166659E-2</v>
      </c>
      <c r="N969" s="1">
        <f t="shared" si="64"/>
        <v>309094.36623357364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 s="1">
        <v>-4.0800000000000002E-5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0.34353240798765811</v>
      </c>
      <c r="N970" s="1">
        <f t="shared" si="64"/>
        <v>-0.13864697995242531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-3.1306077304798771E-2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 s="1">
        <v>1.9700000000000001E-5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0.17685204064112561</v>
      </c>
      <c r="N972" s="1">
        <f t="shared" si="64"/>
        <v>4.2561919474965598E-2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 s="1">
        <v>-8.9500000000000007E-6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0.20589761630552042</v>
      </c>
      <c r="N973" s="1">
        <f t="shared" si="64"/>
        <v>-4.0290648616417221E-2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0.45972204312524223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 s="1">
        <v>4.8300000000000002E-5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0.16165291003914123</v>
      </c>
      <c r="N975" s="1">
        <f t="shared" si="64"/>
        <v>0.11345364787150737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 s="1">
        <v>-3.5800000000000003E-5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3.2611568618192796E-2</v>
      </c>
      <c r="N976" s="1">
        <f t="shared" si="64"/>
        <v>-0.23545635077149801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 s="1">
        <v>-1.52E-5</v>
      </c>
      <c r="F978">
        <v>1387757.9210000001</v>
      </c>
      <c r="G978">
        <v>2784.661247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-6.7438544972093593E-3</v>
      </c>
      <c r="N978" s="1">
        <f t="shared" si="64"/>
        <v>578070.29452140525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4.1356890274462876E-2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0.41038665303567412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-1.9311976927189722E-2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 s="1">
        <v>-2.6999999999999999E-5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0.11130363419583879</v>
      </c>
      <c r="N984" s="1">
        <f t="shared" si="64"/>
        <v>-3.0768093527326203E-2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 s="1">
        <v>3.1399999999999998E-5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0.20235278937985335</v>
      </c>
      <c r="N985" s="1">
        <f t="shared" si="64"/>
        <v>0.14023184910546005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-2.3345119949877601E-2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 s="1">
        <v>4.5000000000000003E-5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-0.22244078150999649</v>
      </c>
      <c r="N987" s="1">
        <f t="shared" si="64"/>
        <v>0.11738097389470051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 s="1">
        <v>4.4199999999999997E-5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7.5025275964392998E-2</v>
      </c>
      <c r="N989" s="1">
        <f t="shared" si="64"/>
        <v>7.7968732229466001E-2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3.1300000000000002E-5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8.3349895462062742E-2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-9.099639156087945E-2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0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-3.6174345686931272E-2</v>
      </c>
      <c r="N992" s="1">
        <f t="shared" si="64"/>
        <v>0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-5.3927738951913447E-2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0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3.2304657207640641E-2</v>
      </c>
      <c r="N994" s="1">
        <f t="shared" si="64"/>
        <v>0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 s="1">
        <v>-2.7100000000000001E-5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-1.4619191166925449E-2</v>
      </c>
      <c r="N995" s="1">
        <f t="shared" si="64"/>
        <v>-1.5577198451782952E-2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0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0.1965104719049087</v>
      </c>
      <c r="N997" s="1">
        <f t="shared" si="64"/>
        <v>0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0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0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 s="1">
        <v>4.6400000000000003E-5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-0.18158245043278257</v>
      </c>
      <c r="N999" s="1">
        <f t="shared" si="64"/>
        <v>0.11838353326835185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0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0.14436720518661869</v>
      </c>
      <c r="N1000" s="1">
        <f t="shared" si="64"/>
        <v>0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0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-5.3496823011477297E-2</v>
      </c>
      <c r="N1001" s="1">
        <f t="shared" si="64"/>
        <v>0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-6.9601982129940893E-3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1.6200000000000001E-5</v>
      </c>
      <c r="F1003">
        <v>1325242.1499999999</v>
      </c>
      <c r="G1003">
        <v>0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3.9541577687507705E-2</v>
      </c>
      <c r="N1003" s="1">
        <f t="shared" si="64"/>
        <v>0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0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-0.1559901286543271</v>
      </c>
      <c r="N1004" s="1">
        <f t="shared" si="64"/>
        <v>0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0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3.3468285022954077E-2</v>
      </c>
      <c r="N1005" s="1">
        <f t="shared" si="64"/>
        <v>0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-2.0118407641573598E-2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5.2939958795970923E-2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-2.0299106369703001E-3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-6.2510781304875758E-3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4.7610026660867199E-3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0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-7.7707607935564069E-2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-1.4378859081958092E-2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3.8931523853130298E-2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-0.32968586636656871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3.4711289489131993E-3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 s="1">
        <v>2.9899999999999998E-5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0.58793806618830036</v>
      </c>
      <c r="N1052" s="1">
        <f t="shared" si="68"/>
        <v>0.20511719717461832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4.6588667309668749E-2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 s="1">
        <v>-3.7500000000000001E-6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8.8279907519445519E-2</v>
      </c>
      <c r="N1054" s="1">
        <f t="shared" si="68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 s="1">
        <v>-3.6699999999999998E-5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-0.41401906583253545</v>
      </c>
      <c r="N1055" s="1">
        <f t="shared" si="68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-0.19467470513387508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 s="1">
        <v>-3.1900000000000003E-5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9.1372460935278371E-2</v>
      </c>
      <c r="N1058" s="1">
        <f t="shared" si="68"/>
        <v>-0.40468749270575344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 s="1">
        <v>-3.4999999999999999E-6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-0.2032488028619632</v>
      </c>
      <c r="N1059" s="1">
        <f t="shared" si="68"/>
        <v>-2.6842195406082001E-2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 s="1">
        <v>3.7700000000000002E-5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0.38982619025744164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 s="1">
        <v>8.8000000000000004E-6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0.50669313574682084</v>
      </c>
      <c r="N1061" s="1">
        <f t="shared" si="68"/>
        <v>7.0482233859153615E-2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0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-0.51187065657527653</v>
      </c>
      <c r="N1062" s="1">
        <f t="shared" si="68"/>
        <v>0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723.46586139999999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-0.18870691708638851</v>
      </c>
      <c r="N1064" s="1">
        <f t="shared" si="68"/>
        <v>3608911.8480403069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-0.1239624309262293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-7.4000503856621574E-2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9.8702885838752655E-2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0.75932591569046726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1.3906267656240761E-2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0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-5.6320996663851319E-2</v>
      </c>
      <c r="N1080" s="1">
        <f t="shared" si="68"/>
        <v>0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-2.2235668171256399E-3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3.4544357510844594E-2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0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3.3105099976640439E-3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-2.2363445227297019E-3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0.21027623536232015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2.3350036469194E-3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 s="1">
        <v>3.3099999999999998E-5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0.10980368890357627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1.2300000000000001E-5</v>
      </c>
      <c r="F1097">
        <v>830617.76500000001</v>
      </c>
      <c r="G1097">
        <v>520.77400620000003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5.259329561183862E-2</v>
      </c>
      <c r="N1097" s="1">
        <f t="shared" si="72"/>
        <v>1041881.3187192825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 s="1">
        <v>-3.1699999999999998E-5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-0.1788198304948983</v>
      </c>
      <c r="N1098" s="1">
        <f t="shared" si="72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867.95671760000005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8.41166889282839E-3</v>
      </c>
      <c r="N1099" s="1">
        <f t="shared" si="72"/>
        <v>862638.28794742178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 s="1">
        <v>-4.9499999999999997E-5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-0.34529322713079436</v>
      </c>
      <c r="N1100" s="1">
        <f t="shared" si="72"/>
        <v>-0.18384324620725304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 s="1">
        <v>-4.35E-5</v>
      </c>
      <c r="F1101">
        <v>1266958.1669999999</v>
      </c>
      <c r="G1101">
        <v>4177.8222130000004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-1.9285551623390001E-2</v>
      </c>
      <c r="M1101" s="1">
        <f t="shared" si="71"/>
        <v>-5.7656017038022499E-2</v>
      </c>
      <c r="N1101" s="1">
        <f t="shared" si="72"/>
        <v>2590890.2295523365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 s="1">
        <v>3.7100000000000001E-5</v>
      </c>
      <c r="F1102">
        <v>1338934.3</v>
      </c>
      <c r="G1102">
        <v>3261.0895329999998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-8.7872180606671499E-2</v>
      </c>
      <c r="M1102" s="1">
        <f t="shared" si="71"/>
        <v>3.7702526382527204E-2</v>
      </c>
      <c r="N1102" s="1">
        <f t="shared" si="72"/>
        <v>1550611.2964809977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 s="1">
        <v>1.6900000000000001E-5</v>
      </c>
      <c r="F1103">
        <v>1142420.5009999999</v>
      </c>
      <c r="G1103">
        <v>1316.930799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0.10570846663970984</v>
      </c>
      <c r="N1103" s="1">
        <f t="shared" si="72"/>
        <v>3854159.6585841128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2.7399999999999999E-5</v>
      </c>
      <c r="F1104">
        <v>1064046.8740000001</v>
      </c>
      <c r="G1104">
        <v>2784.661247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0.27940522075216812</v>
      </c>
      <c r="N1104" s="1">
        <f t="shared" si="72"/>
        <v>13286176.057168748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 s="1">
        <v>5.9599999999999997E-6</v>
      </c>
      <c r="F1105">
        <v>1121986.2690000001</v>
      </c>
      <c r="G1105">
        <v>3802.7211809999999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1.9165513364347665E-2</v>
      </c>
      <c r="N1105" s="1">
        <f t="shared" si="72"/>
        <v>5721532.3631280642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-3.7400000000000001E-5</v>
      </c>
      <c r="F1106">
        <v>1115925.9839999999</v>
      </c>
      <c r="G1106">
        <v>3802.7211809999999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-0.17339254851139121</v>
      </c>
      <c r="N1106" s="1">
        <f t="shared" si="72"/>
        <v>8248918.0590304947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 s="1">
        <v>9.8700000000000004E-6</v>
      </c>
      <c r="F1107">
        <v>1252113.926</v>
      </c>
      <c r="G1107">
        <v>3384.8455260000001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8.9613154634178502E-3</v>
      </c>
      <c r="N1107" s="1">
        <f t="shared" si="72"/>
        <v>1437928.0148579709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 s="1">
        <v>4.9799999999999998E-5</v>
      </c>
      <c r="F1108">
        <v>1227221.128</v>
      </c>
      <c r="G1108">
        <v>2784.661247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3.88723432309383E-2</v>
      </c>
      <c r="N1108" s="1">
        <f t="shared" si="72"/>
        <v>1017015.1609261099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 s="1">
        <v>1.73E-5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-0.22289571604849917</v>
      </c>
      <c r="N1109" s="1">
        <f t="shared" si="72"/>
        <v>6.5134597512532991E-2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2.1429020883976059E-2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>
        <v>3925.969576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2.4762407258422908E-2</v>
      </c>
      <c r="N1111" s="1">
        <f t="shared" si="72"/>
        <v>14039073.886565823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 s="1">
        <v>-1.3900000000000001E-5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-0.34049768856017282</v>
      </c>
      <c r="N1112" s="1">
        <f t="shared" si="72"/>
        <v>-7.7974806635323218E-2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 s="1">
        <v>3.65E-5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0.33558632064828281</v>
      </c>
      <c r="N1113" s="1">
        <f t="shared" si="72"/>
        <v>0.11744133250992227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-3.2199999999999997E-5</v>
      </c>
      <c r="F1114">
        <v>839123.76269999996</v>
      </c>
      <c r="G1114" s="1">
        <v>3.1600000000000002E-5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-9.1248862055428689E-2</v>
      </c>
      <c r="N1114" s="1">
        <f t="shared" si="72"/>
        <v>4.1898873465305408E-2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2.79E-6</v>
      </c>
      <c r="F1115">
        <v>879176.70860000001</v>
      </c>
      <c r="G1115" s="1">
        <v>5.9200000000000001E-6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7.8332668736666757E-3</v>
      </c>
      <c r="N1115" s="1">
        <f t="shared" si="72"/>
        <v>7.7768568429102724E-3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0</v>
      </c>
      <c r="F1116">
        <v>991880.97420000006</v>
      </c>
      <c r="G1116">
        <v>2389.706741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0</v>
      </c>
      <c r="N1116" s="1">
        <f t="shared" si="72"/>
        <v>6771969.9295405392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3.79E-5</v>
      </c>
      <c r="F1117">
        <v>860512.82609999995</v>
      </c>
      <c r="G1117" s="1">
        <v>-9.7000000000000003E-6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7.6595528362651072E-2</v>
      </c>
      <c r="N1117" s="1">
        <f t="shared" si="72"/>
        <v>-9.1723288908531608E-3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 s="1">
        <v>2.2399999999999999E-5</v>
      </c>
      <c r="F1118">
        <v>777270.67249999999</v>
      </c>
      <c r="G1118" s="1">
        <v>-4.9599999999999999E-5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0.22275353666284767</v>
      </c>
      <c r="N1118" s="1">
        <f t="shared" si="72"/>
        <v>-0.23078200620181008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-2.3499999999999999E-5</v>
      </c>
      <c r="F1119">
        <v>822168.95030000003</v>
      </c>
      <c r="G1119" s="1">
        <v>3.1999999999999999E-5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-0.13867822175281022</v>
      </c>
      <c r="N1119" s="1">
        <f t="shared" si="72"/>
        <v>8.8355595510671986E-2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-3.1600000000000002E-5</v>
      </c>
      <c r="F1120">
        <v>968225.46219999995</v>
      </c>
      <c r="G1120">
        <v>3220.5403649999998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-4.7537987614952121E-2</v>
      </c>
      <c r="N1120" s="1">
        <f t="shared" si="72"/>
        <v>2266867.4971623481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 s="1">
        <v>-4.5000000000000001E-6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-4.7475291240440171E-2</v>
      </c>
      <c r="N1121" s="1">
        <f t="shared" si="72"/>
        <v>-1.9951984727208001E-2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0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6.5322588900247605E-3</v>
      </c>
      <c r="N1122" s="1">
        <f t="shared" si="72"/>
        <v>0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1.33E-5</v>
      </c>
      <c r="F1123">
        <v>796029.72690000001</v>
      </c>
      <c r="G1123" s="1">
        <v>4.2400000000000001E-5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0.10012935971673557</v>
      </c>
      <c r="N1123" s="1">
        <f t="shared" si="72"/>
        <v>0.14935485097017936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 s="1">
        <v>-4.32E-5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7.8405701728248053E-2</v>
      </c>
      <c r="N1124" s="1">
        <f t="shared" si="72"/>
        <v>-0.14024798412574177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-0.18087503258391632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4.5800000000000002E-5</v>
      </c>
      <c r="F1126">
        <v>870536.10719999997</v>
      </c>
      <c r="G1126" s="1">
        <v>2.2799999999999999E-5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0.39133490681524769</v>
      </c>
      <c r="N1126" s="1">
        <f t="shared" si="72"/>
        <v>9.1151041553777887E-2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3384.8455260000001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-8.7658988754523201E-2</v>
      </c>
      <c r="N1127" s="1">
        <f t="shared" si="72"/>
        <v>4119543.4434625655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 s="1">
        <v>7.0700000000000001E-6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-3.3663000746128858E-3</v>
      </c>
      <c r="N1128" s="1">
        <f t="shared" si="72"/>
        <v>1.374772701215504E-2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 s="1">
        <v>1.6999999999999999E-7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-0.39763061347333051</v>
      </c>
      <c r="N1129" s="1">
        <f t="shared" si="72"/>
        <v>8.5945787265999602E-4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 s="1">
        <v>-4.6799999999999999E-5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0.33259145646031141</v>
      </c>
      <c r="N1130" s="1">
        <f t="shared" si="72"/>
        <v>-0.16292701358279893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2864.0715399999999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3.8594746098752901E-2</v>
      </c>
      <c r="N1131" s="1">
        <f t="shared" si="72"/>
        <v>3566873.6530485125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 s="1">
        <v>2.4600000000000002E-5</v>
      </c>
      <c r="F1132">
        <v>1144468.5460000001</v>
      </c>
      <c r="G1132">
        <v>4177.8222130000004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1.5686169216120021E-2</v>
      </c>
      <c r="N1132" s="1">
        <f t="shared" si="72"/>
        <v>1246451.6057235526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520.77397210000004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720449.12999803445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-2.0400000000000001E-5</v>
      </c>
      <c r="F1134">
        <v>1015590.349</v>
      </c>
      <c r="G1134">
        <v>2784.661247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-8.8431050161711558E-2</v>
      </c>
      <c r="N1134" s="1">
        <f t="shared" si="72"/>
        <v>5647947.6701108087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 s="1">
        <v>-2.8900000000000001E-5</v>
      </c>
      <c r="F1135">
        <v>881380.74380000005</v>
      </c>
      <c r="G1135">
        <v>520.77398029999995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-0.17680993520331073</v>
      </c>
      <c r="N1135" s="1">
        <f t="shared" si="72"/>
        <v>1490739.5636116548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 s="1">
        <v>-2.2900000000000001E-5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0.25008250759070649</v>
      </c>
      <c r="N1136" s="1">
        <f t="shared" si="72"/>
        <v>-6.3951163892883037E-2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4.2599999999999999E-5</v>
      </c>
      <c r="F1137">
        <v>1076810.389</v>
      </c>
      <c r="G1137">
        <v>3779.8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0.13244812834488989</v>
      </c>
      <c r="N1137" s="1">
        <f t="shared" si="72"/>
        <v>5498556.9219577806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 s="1">
        <v>4.0399999999999999E-5</v>
      </c>
      <c r="F1138">
        <v>1056097.8770000001</v>
      </c>
      <c r="G1138">
        <v>3802.7211809999999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0.10231167343871382</v>
      </c>
      <c r="N1138" s="1">
        <f t="shared" si="72"/>
        <v>4505904.5213226825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520.77393770000003</v>
      </c>
      <c r="F1139">
        <v>1337335.9539999999</v>
      </c>
      <c r="G1139">
        <v>6294.0116120000002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454121.96002858377</v>
      </c>
      <c r="N1139" s="1">
        <f t="shared" si="72"/>
        <v>2567996.8100477923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 s="1">
        <v>-3.8500000000000001E-5</v>
      </c>
      <c r="F1140">
        <v>1174570.3049999999</v>
      </c>
      <c r="G1140">
        <v>4489.7943329999998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-3.2830559554454582E-2</v>
      </c>
      <c r="N1140" s="1">
        <f t="shared" si="72"/>
        <v>1791379.833689329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3414.474232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9918999.3155746348</v>
      </c>
      <c r="N1141" s="1">
        <f t="shared" si="72"/>
        <v>2283241.163324459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0.10521535698911536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 s="1">
        <v>-2.09E-5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7.9395037794568E-3</v>
      </c>
      <c r="N1144" s="1">
        <f t="shared" si="72"/>
        <v>-9.7049507781227118E-2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 s="1">
        <v>4.1600000000000002E-5</v>
      </c>
      <c r="F1145">
        <v>1077350.463</v>
      </c>
      <c r="G1145">
        <v>2389.7067729999999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0.3509603959308471</v>
      </c>
      <c r="N1145" s="1">
        <f t="shared" si="72"/>
        <v>9433070.3501557112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 s="1">
        <v>-3.4600000000000001E-5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5.0277690119834788E-2</v>
      </c>
      <c r="N1146" s="1">
        <f t="shared" si="72"/>
        <v>-0.12560880618623355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3.5759851233265444E-2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2.9099999999999999E-5</v>
      </c>
      <c r="F1148">
        <v>963410.88219999999</v>
      </c>
      <c r="G1148">
        <v>2389.7068210000002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0.18423557506975968</v>
      </c>
      <c r="N1148" s="1">
        <f t="shared" si="72"/>
        <v>7078949.3777131001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 s="1">
        <v>-4.9200000000000003E-5</v>
      </c>
      <c r="F1149">
        <v>981907.60789999994</v>
      </c>
      <c r="G1149">
        <v>2784.6612289999998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-0.29472336083446393</v>
      </c>
      <c r="N1149" s="1">
        <f t="shared" si="72"/>
        <v>7804866.9586804928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-1.0499999999999999E-5</v>
      </c>
      <c r="F1150">
        <v>886451.59169999999</v>
      </c>
      <c r="G1150">
        <v>520.77400060000002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-7.0186528543944748E-2</v>
      </c>
      <c r="N1150" s="1">
        <f t="shared" si="72"/>
        <v>1628761.2775542738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 s="1">
        <v>-2.37E-5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-0.51132093684851154</v>
      </c>
      <c r="N1151" s="1">
        <f t="shared" si="72"/>
        <v>-0.17500102400294371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 s="1">
        <v>2.2800000000000002E-6</v>
      </c>
      <c r="F1152">
        <v>1068878.2169999999</v>
      </c>
      <c r="G1152">
        <v>4977.1291520000004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-0.16222318973075411</v>
      </c>
      <c r="M1152" s="1">
        <f t="shared" si="71"/>
        <v>1.7926059187144069E-2</v>
      </c>
      <c r="N1152" s="1">
        <f t="shared" si="72"/>
        <v>18309334.861586276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 s="1">
        <v>-6.8199999999999999E-6</v>
      </c>
      <c r="F1153">
        <v>1040347.374</v>
      </c>
      <c r="G1153">
        <v>4184.1523699999998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-8.5407548352724003E-2</v>
      </c>
      <c r="M1153" s="1">
        <f t="shared" si="71"/>
        <v>-1.8784101566404723E-2</v>
      </c>
      <c r="N1153" s="1">
        <f t="shared" si="72"/>
        <v>5392091.1209032321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2.73E-5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5.345679449166147E-2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 s="1">
        <v>-4.2899999999999999E-5</v>
      </c>
      <c r="F1155">
        <v>902760.99230000004</v>
      </c>
      <c r="G1155">
        <v>2389.7068159999999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-0.43997849305361092</v>
      </c>
      <c r="N1155" s="1">
        <f t="shared" ref="N1155:N1218" si="76">$U$4*$K1155*G1155</f>
        <v>11467333.84464078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 s="1">
        <v>3.4700000000000003E-5</v>
      </c>
      <c r="F1156">
        <v>1008634.988</v>
      </c>
      <c r="G1156">
        <v>2784.661247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0.16698904768733797</v>
      </c>
      <c r="N1156" s="1">
        <f t="shared" si="76"/>
        <v>6270101.3717015088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-2.0299999999999999E-5</v>
      </c>
      <c r="F1157">
        <v>926311.81980000006</v>
      </c>
      <c r="G1157">
        <v>1316.930795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-8.7667722583204946E-2</v>
      </c>
      <c r="N1157" s="1">
        <f t="shared" si="76"/>
        <v>2661033.3544829027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4.6400000000000003E-5</v>
      </c>
      <c r="F1158">
        <v>1078270.976</v>
      </c>
      <c r="G1158">
        <v>3745.2742250000001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0.1522797226272154</v>
      </c>
      <c r="N1158" s="1">
        <f t="shared" si="76"/>
        <v>5751106.3206736026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4.4400000000000002E-5</v>
      </c>
      <c r="F1159">
        <v>948456.81140000001</v>
      </c>
      <c r="G1159">
        <v>2389.706733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9.3692031074037951E-2</v>
      </c>
      <c r="N1159" s="1">
        <f t="shared" si="76"/>
        <v>2359434.7367116623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 s="1">
        <v>3.3899999999999997E-5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1.7191816367299554E-2</v>
      </c>
      <c r="N1160" s="1">
        <f t="shared" si="76"/>
        <v>5.587857444244284E-2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2784.661247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1.98659899903725E-2</v>
      </c>
      <c r="N1161" s="1">
        <f t="shared" si="76"/>
        <v>1691744.7235315049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-2.48E-5</v>
      </c>
      <c r="F1162">
        <v>946225.47600000002</v>
      </c>
      <c r="G1162">
        <v>1316.930781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-6.8381738238372874E-2</v>
      </c>
      <c r="N1162" s="1">
        <f t="shared" si="76"/>
        <v>1699006.6636446791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2784.661247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3.4760603689437196E-2</v>
      </c>
      <c r="N1163" s="1">
        <f t="shared" si="76"/>
        <v>1376599.0370685009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 s="1">
        <v>4.0800000000000002E-5</v>
      </c>
      <c r="F1164">
        <v>1053737.2139999999</v>
      </c>
      <c r="G1164">
        <v>2784.661247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7.8515170738882797E-2</v>
      </c>
      <c r="N1164" s="1">
        <f t="shared" si="76"/>
        <v>2507318.2713091206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-4.4499999999999997E-5</v>
      </c>
      <c r="F1165">
        <v>1159791.1299999999</v>
      </c>
      <c r="G1165">
        <v>2864.0715399999999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-0.18107681574894569</v>
      </c>
      <c r="N1165" s="1">
        <f t="shared" si="76"/>
        <v>5452935.7141654138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1.34E-5</v>
      </c>
      <c r="F1166">
        <v>1114619.8459999999</v>
      </c>
      <c r="G1166">
        <v>4184.1524659999995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1.6945055645656459E-2</v>
      </c>
      <c r="N1166" s="1">
        <f t="shared" si="76"/>
        <v>2475650.7700125398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 s="1">
        <v>4.5099999999999998E-5</v>
      </c>
      <c r="F1167">
        <v>1082876.497</v>
      </c>
      <c r="G1167">
        <v>4977.1291520000004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8.438157737160272E-2</v>
      </c>
      <c r="N1167" s="1">
        <f t="shared" si="76"/>
        <v>4357061.4617924131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 s="1">
        <v>4.5599999999999997E-5</v>
      </c>
      <c r="F1168">
        <v>1231100.067</v>
      </c>
      <c r="G1168">
        <v>4824.2378879999997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0.21446870497520709</v>
      </c>
      <c r="N1168" s="1">
        <f t="shared" si="76"/>
        <v>10616258.383413026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 s="1">
        <v>1.17E-5</v>
      </c>
      <c r="F1169">
        <v>1238182.557</v>
      </c>
      <c r="G1169">
        <v>4824.2378879999997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5.1794573112351805E-2</v>
      </c>
      <c r="N1169" s="1">
        <f t="shared" si="76"/>
        <v>9992422.5218153205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 s="1">
        <v>3.6699999999999998E-5</v>
      </c>
      <c r="F1170">
        <v>1246894.149</v>
      </c>
      <c r="G1170">
        <v>4824.2378879999997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0.10415830027707426</v>
      </c>
      <c r="N1170" s="1">
        <f t="shared" si="76"/>
        <v>6406195.8717754856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 s="1">
        <v>-1.66E-5</v>
      </c>
      <c r="F1171">
        <v>1228771.6089999999</v>
      </c>
      <c r="G1171">
        <v>4824.2378879999997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-9.9805776081998809E-2</v>
      </c>
      <c r="N1171" s="1">
        <f t="shared" si="76"/>
        <v>13571254.077162134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3.0599999999999998E-5</v>
      </c>
      <c r="F1172">
        <v>835523.58790000004</v>
      </c>
      <c r="G1172">
        <v>520.7739818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0.30613431850969247</v>
      </c>
      <c r="N1172" s="1">
        <f t="shared" si="76"/>
        <v>2437718.4711914682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0</v>
      </c>
      <c r="F1173">
        <v>812611.6152</v>
      </c>
      <c r="G1173">
        <v>520.77398670000002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0</v>
      </c>
      <c r="N1173" s="1">
        <f t="shared" si="76"/>
        <v>1827106.6453066859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 s="1">
        <v>-2.6999999999999999E-5</v>
      </c>
      <c r="F1174">
        <v>758196.98910000001</v>
      </c>
      <c r="G1174">
        <v>0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-0.20408158590231781</v>
      </c>
      <c r="N1174" s="1">
        <f t="shared" si="76"/>
        <v>0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1316.930799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4.6895988577602049E-2</v>
      </c>
      <c r="N1175" s="1">
        <f t="shared" si="76"/>
        <v>2205824.8876512456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-4.0299999999999997E-5</v>
      </c>
      <c r="F1176">
        <v>1019127.36</v>
      </c>
      <c r="G1176">
        <v>3802.7211809999999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-2.2661804020961209E-2</v>
      </c>
      <c r="N1176" s="1">
        <f t="shared" si="76"/>
        <v>1000524.1946090531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2.5299999999999998E-5</v>
      </c>
      <c r="F1177">
        <v>1015212.3419999999</v>
      </c>
      <c r="G1177">
        <v>3802.7211809999999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7.6101041331043409E-2</v>
      </c>
      <c r="N1177" s="1">
        <f t="shared" si="76"/>
        <v>5351903.0822973773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0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0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1.8600000000000001E-5</v>
      </c>
      <c r="F1179">
        <v>938302.85739999998</v>
      </c>
      <c r="G1179">
        <v>1316.930799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6.3578005159361892E-2</v>
      </c>
      <c r="N1179" s="1">
        <f t="shared" si="76"/>
        <v>2106204.7399627962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1.1600000000000001E-5</v>
      </c>
      <c r="F1180">
        <v>819871.09620000003</v>
      </c>
      <c r="G1180">
        <v>520.774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3.0819199113058245E-2</v>
      </c>
      <c r="N1180" s="1">
        <f t="shared" si="76"/>
        <v>647375.60704214929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9.0799999999999995E-6</v>
      </c>
      <c r="F1181">
        <v>795773.66830000002</v>
      </c>
      <c r="G1181" s="1">
        <v>-4.5899999999999998E-5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2.3161562094672072E-2</v>
      </c>
      <c r="N1181" s="1">
        <f t="shared" si="76"/>
        <v>-5.4782060287169969E-2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-0.27353475017122053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-1.38E-5</v>
      </c>
      <c r="F1183">
        <v>792956.56299999997</v>
      </c>
      <c r="G1183" s="1">
        <v>4.5200000000000001E-5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-7.6590336145287957E-2</v>
      </c>
      <c r="N1183" s="1">
        <f t="shared" si="76"/>
        <v>0.11737537753099177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4.5599999999999997E-5</v>
      </c>
      <c r="F1184">
        <v>806057.06480000005</v>
      </c>
      <c r="G1184">
        <v>0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0.16839160530150454</v>
      </c>
      <c r="N1184" s="1">
        <f t="shared" si="76"/>
        <v>0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 s="1">
        <v>8.2800000000000003E-6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-1.823330475142378E-2</v>
      </c>
      <c r="N1185" s="1">
        <f t="shared" si="76"/>
        <v>2.435798775840315E-2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0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0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-2.8286698114099229E-2</v>
      </c>
      <c r="N1187" s="1">
        <f t="shared" si="76"/>
        <v>3.8008379117321758E-2</v>
      </c>
      <c r="O1187" s="1"/>
    </row>
    <row r="1188" spans="1:15" x14ac:dyDescent="0.25">
      <c r="A1188">
        <v>1940</v>
      </c>
      <c r="B1188">
        <v>400095.93150000001</v>
      </c>
      <c r="C1188">
        <v>0</v>
      </c>
      <c r="D1188">
        <v>738755.72620000003</v>
      </c>
      <c r="E1188" s="1">
        <v>2.7800000000000001E-5</v>
      </c>
      <c r="F1188">
        <v>1229026.149</v>
      </c>
      <c r="G1188">
        <v>4824.2378879999997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0</v>
      </c>
      <c r="M1188" s="1">
        <f t="shared" si="75"/>
        <v>4.6002483909033082E-2</v>
      </c>
      <c r="N1188" s="1">
        <f t="shared" si="76"/>
        <v>3735157.1568277525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3925.9695969999998</v>
      </c>
      <c r="F1189">
        <v>1160795.0619999999</v>
      </c>
      <c r="G1189">
        <v>3915.8638270000001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18640604.527781978</v>
      </c>
      <c r="N1189" s="1">
        <f t="shared" si="76"/>
        <v>8699300.2355909552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 s="1">
        <v>3.3699999999999999E-5</v>
      </c>
      <c r="F1190">
        <v>930250.10629999998</v>
      </c>
      <c r="G1190">
        <v>3802.7212209999998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0.19946225685130306</v>
      </c>
      <c r="N1190" s="1">
        <f t="shared" si="76"/>
        <v>10530985.000617195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 s="1">
        <v>-2.8600000000000001E-5</v>
      </c>
      <c r="F1191">
        <v>1205344.74</v>
      </c>
      <c r="G1191">
        <v>4824.2378879999997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-5.2390123189914255E-2</v>
      </c>
      <c r="M1191" s="1">
        <f t="shared" si="75"/>
        <v>-4.9755055607688857E-2</v>
      </c>
      <c r="N1191" s="1">
        <f t="shared" si="76"/>
        <v>3926843.3449317166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0</v>
      </c>
      <c r="F1192">
        <v>859946.40350000001</v>
      </c>
      <c r="G1192">
        <v>2389.7067400000001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0</v>
      </c>
      <c r="N1192" s="1">
        <f t="shared" si="76"/>
        <v>4733141.5068780938</v>
      </c>
      <c r="O1192" s="1"/>
    </row>
    <row r="1193" spans="1:15" x14ac:dyDescent="0.25">
      <c r="A1193">
        <v>1945</v>
      </c>
      <c r="B1193">
        <v>519230.30839999998</v>
      </c>
      <c r="C1193" s="1">
        <v>1.8199999999999999E-5</v>
      </c>
      <c r="D1193">
        <v>913221.14599999995</v>
      </c>
      <c r="E1193">
        <v>2784.6612449999998</v>
      </c>
      <c r="F1193">
        <v>1345850.9709999999</v>
      </c>
      <c r="G1193">
        <v>2222.6543630000001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0.1802933314873145</v>
      </c>
      <c r="M1193" s="1">
        <f t="shared" si="75"/>
        <v>9251747.7546556629</v>
      </c>
      <c r="N1193" s="1">
        <f t="shared" si="76"/>
        <v>3455150.9302374185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 s="1">
        <v>-1.8600000000000001E-5</v>
      </c>
      <c r="F1194">
        <v>1121695.422</v>
      </c>
      <c r="G1194">
        <v>4824.2378879999997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-4.5169456706463607E-2</v>
      </c>
      <c r="N1194" s="1">
        <f t="shared" si="76"/>
        <v>5481561.8159260964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520.77399109999999</v>
      </c>
      <c r="F1195">
        <v>1425049.8060000001</v>
      </c>
      <c r="G1195">
        <v>4329.268419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-5.0838277784809136E-2</v>
      </c>
      <c r="M1195" s="1">
        <f t="shared" si="75"/>
        <v>558452.357555561</v>
      </c>
      <c r="N1195" s="1">
        <f t="shared" si="76"/>
        <v>2172176.1151420022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 s="1">
        <v>3.7700000000000002E-5</v>
      </c>
      <c r="F1196">
        <v>1335064.415</v>
      </c>
      <c r="G1196">
        <v>5272.2846550000004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-0.14505145596579302</v>
      </c>
      <c r="M1196" s="1">
        <f t="shared" si="75"/>
        <v>4.9301898097620617E-2</v>
      </c>
      <c r="N1196" s="1">
        <f t="shared" si="76"/>
        <v>3226003.3779294295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 s="1">
        <v>4.3099999999999997E-5</v>
      </c>
      <c r="F1197">
        <v>1210524.4550000001</v>
      </c>
      <c r="G1197">
        <v>4489.7943329999998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2.9498637316867748E-2</v>
      </c>
      <c r="N1197" s="1">
        <f t="shared" si="76"/>
        <v>1437787.8514828442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 s="1">
        <v>-2.41E-5</v>
      </c>
      <c r="F1198">
        <v>1263959.1159999999</v>
      </c>
      <c r="G1198">
        <v>3636.7005380000001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-0.33736372722935026</v>
      </c>
      <c r="M1198" s="1">
        <f t="shared" si="75"/>
        <v>-8.0437556165988661E-2</v>
      </c>
      <c r="N1198" s="1">
        <f t="shared" si="76"/>
        <v>5679276.9016700555</v>
      </c>
      <c r="O1198" s="1"/>
    </row>
    <row r="1199" spans="1:15" x14ac:dyDescent="0.25">
      <c r="A1199">
        <v>1951</v>
      </c>
      <c r="B1199">
        <v>573376.3811</v>
      </c>
      <c r="C1199" s="1">
        <v>3.3500000000000001E-5</v>
      </c>
      <c r="D1199">
        <v>1026006.527</v>
      </c>
      <c r="E1199">
        <v>1634.7207209999999</v>
      </c>
      <c r="F1199">
        <v>1441035.5390000001</v>
      </c>
      <c r="G1199">
        <v>3904.5555650000001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9.4273189926103521E-2</v>
      </c>
      <c r="M1199" s="1">
        <f t="shared" si="75"/>
        <v>1542872.719518688</v>
      </c>
      <c r="N1199" s="1">
        <f t="shared" si="76"/>
        <v>1724256.2871338453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520.77397900000005</v>
      </c>
      <c r="F1200">
        <v>1355897.716</v>
      </c>
      <c r="G1200">
        <v>5177.3423819999998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4.662070961325245E-3</v>
      </c>
      <c r="M1200" s="1">
        <f t="shared" si="75"/>
        <v>292904.8054179941</v>
      </c>
      <c r="N1200" s="1">
        <f t="shared" si="76"/>
        <v>1362472.6246530097</v>
      </c>
      <c r="O1200" s="1"/>
    </row>
    <row r="1201" spans="1:15" x14ac:dyDescent="0.25">
      <c r="A1201">
        <v>1953</v>
      </c>
      <c r="B1201">
        <v>510026.8469</v>
      </c>
      <c r="C1201" s="1">
        <v>-2.0999999999999999E-5</v>
      </c>
      <c r="D1201">
        <v>917272.58669999999</v>
      </c>
      <c r="E1201">
        <v>1316.9307899999999</v>
      </c>
      <c r="F1201">
        <v>1375388.037</v>
      </c>
      <c r="G1201">
        <v>3904.5555650000001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-3.1029431521451996E-2</v>
      </c>
      <c r="M1201" s="1">
        <f t="shared" si="75"/>
        <v>652620.35173345613</v>
      </c>
      <c r="N1201" s="1">
        <f t="shared" si="76"/>
        <v>905342.58107244887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 s="1">
        <v>3.96E-5</v>
      </c>
      <c r="F1202">
        <v>1261973.69</v>
      </c>
      <c r="G1202">
        <v>4824.2378879999997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-0.13748039916641874</v>
      </c>
      <c r="M1202" s="1">
        <f t="shared" si="75"/>
        <v>7.7698251386177405E-2</v>
      </c>
      <c r="N1202" s="1">
        <f t="shared" si="76"/>
        <v>4428824.3111379445</v>
      </c>
      <c r="O1202" s="1"/>
    </row>
    <row r="1203" spans="1:15" x14ac:dyDescent="0.25">
      <c r="A1203">
        <v>1955</v>
      </c>
      <c r="B1203">
        <v>580875.98620000004</v>
      </c>
      <c r="C1203" s="1">
        <v>3.8800000000000001E-5</v>
      </c>
      <c r="D1203">
        <v>999974.48219999997</v>
      </c>
      <c r="E1203">
        <v>4177.822255</v>
      </c>
      <c r="F1203">
        <v>1416672.784</v>
      </c>
      <c r="G1203">
        <v>2222.6543630000001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3.1771730541248107E-2</v>
      </c>
      <c r="M1203" s="1">
        <f t="shared" si="75"/>
        <v>1147366.6994389181</v>
      </c>
      <c r="N1203" s="1">
        <f t="shared" si="76"/>
        <v>285606.37199729087</v>
      </c>
      <c r="O1203" s="1"/>
    </row>
    <row r="1204" spans="1:15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2389.7068119999999</v>
      </c>
      <c r="F1204">
        <v>1327578.591</v>
      </c>
      <c r="G1204">
        <v>2973.8966049999999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-0.10807703363780959</v>
      </c>
      <c r="M1204" s="1">
        <f t="shared" si="75"/>
        <v>2412830.0117461248</v>
      </c>
      <c r="N1204" s="1">
        <f t="shared" si="76"/>
        <v>1404920.1709116427</v>
      </c>
      <c r="O1204" s="1"/>
    </row>
    <row r="1205" spans="1:15" x14ac:dyDescent="0.25">
      <c r="A1205">
        <v>1957</v>
      </c>
      <c r="B1205">
        <v>540194.6237</v>
      </c>
      <c r="C1205" s="1">
        <v>4.8399999999999997E-5</v>
      </c>
      <c r="D1205">
        <v>940906.2463</v>
      </c>
      <c r="E1205">
        <v>2784.6612759999998</v>
      </c>
      <c r="F1205">
        <v>1377150.0560000001</v>
      </c>
      <c r="G1205">
        <v>2222.6543630000001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0.166344713440334</v>
      </c>
      <c r="M1205" s="1">
        <f t="shared" si="75"/>
        <v>3209808.7308533387</v>
      </c>
      <c r="N1205" s="1">
        <f t="shared" si="76"/>
        <v>1198732.8008644185</v>
      </c>
      <c r="O1205" s="1"/>
    </row>
    <row r="1206" spans="1:15" x14ac:dyDescent="0.25">
      <c r="A1206">
        <v>1958</v>
      </c>
      <c r="B1206">
        <v>440354.11109999998</v>
      </c>
      <c r="C1206" s="1">
        <v>1.7E-5</v>
      </c>
      <c r="D1206">
        <v>794380.27159999998</v>
      </c>
      <c r="E1206">
        <v>867.9566853</v>
      </c>
      <c r="F1206">
        <v>1246931.5190000001</v>
      </c>
      <c r="G1206">
        <v>4568.2651020000003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0.13628116572021251</v>
      </c>
      <c r="M1206" s="1">
        <f t="shared" si="75"/>
        <v>2333609.0907763955</v>
      </c>
      <c r="N1206" s="1">
        <f t="shared" si="76"/>
        <v>5746786.0931033129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 s="1">
        <v>4.1899999999999997E-6</v>
      </c>
      <c r="F1207">
        <v>1147216.709</v>
      </c>
      <c r="G1207">
        <v>4824.2378879999997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1.2708992613767451E-2</v>
      </c>
      <c r="M1207" s="1">
        <f t="shared" si="75"/>
        <v>7.5039741650080559E-3</v>
      </c>
      <c r="N1207" s="1">
        <f t="shared" si="76"/>
        <v>4042496.9463065327</v>
      </c>
      <c r="O1207" s="1"/>
    </row>
    <row r="1208" spans="1:15" x14ac:dyDescent="0.25">
      <c r="A1208">
        <v>1960</v>
      </c>
      <c r="B1208">
        <v>575404.92590000003</v>
      </c>
      <c r="C1208" s="1">
        <v>8.0000000000000002E-8</v>
      </c>
      <c r="D1208">
        <v>992720.52339999995</v>
      </c>
      <c r="E1208">
        <v>4095.926496</v>
      </c>
      <c r="F1208">
        <v>1410977.077</v>
      </c>
      <c r="G1208">
        <v>2222.6543630000001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5.2496383863040008E-4</v>
      </c>
      <c r="M1208" s="1">
        <f t="shared" si="75"/>
        <v>9014355.7412925195</v>
      </c>
      <c r="N1208" s="1">
        <f t="shared" si="76"/>
        <v>2288748.9032232086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 s="1">
        <v>4.0899999999999998E-5</v>
      </c>
      <c r="F1209">
        <v>1301455.496</v>
      </c>
      <c r="G1209">
        <v>4824.2378879999997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5.1209877296933548E-2</v>
      </c>
      <c r="M1209" s="1">
        <f t="shared" si="75"/>
        <v>2.8907724466914773E-2</v>
      </c>
      <c r="N1209" s="1">
        <f t="shared" si="76"/>
        <v>1595375.7701906413</v>
      </c>
      <c r="O1209" s="1"/>
    </row>
    <row r="1210" spans="1:15" x14ac:dyDescent="0.25">
      <c r="A1210">
        <v>1962</v>
      </c>
      <c r="B1210">
        <v>583195.08609999996</v>
      </c>
      <c r="C1210" s="1">
        <v>-8.5199999999999997E-6</v>
      </c>
      <c r="D1210">
        <v>1031766.632</v>
      </c>
      <c r="E1210">
        <v>2389.7067740000002</v>
      </c>
      <c r="F1210">
        <v>1440112.9950000001</v>
      </c>
      <c r="G1210">
        <v>2973.8966049999999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-1.1168377873934579E-2</v>
      </c>
      <c r="M1210" s="1">
        <f t="shared" si="75"/>
        <v>1050602.0802935057</v>
      </c>
      <c r="N1210" s="1">
        <f t="shared" si="76"/>
        <v>611734.79710191744</v>
      </c>
      <c r="O1210" s="1"/>
    </row>
    <row r="1211" spans="1:15" x14ac:dyDescent="0.25">
      <c r="A1211">
        <v>1963</v>
      </c>
      <c r="B1211">
        <v>584528.87049999996</v>
      </c>
      <c r="C1211" s="1">
        <v>3.8099999999999998E-5</v>
      </c>
      <c r="D1211">
        <v>995534.37670000002</v>
      </c>
      <c r="E1211">
        <v>3384.8455509999999</v>
      </c>
      <c r="F1211">
        <v>1426713.8859999999</v>
      </c>
      <c r="G1211">
        <v>2222.6543630000001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2.2581609409144499E-2</v>
      </c>
      <c r="M1211" s="1">
        <f t="shared" si="75"/>
        <v>672840.16600709979</v>
      </c>
      <c r="N1211" s="1">
        <f t="shared" si="76"/>
        <v>206722.93531327607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-2.1223721373516001E-3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2.9014425848008997E-3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2.5534883330045877E-2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0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-1.328013828349516E-3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0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-1.8556885240230902E-3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-2.5239321424694001E-2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0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1.4118982304008799E-2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0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-9.7611642452551991E-3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-1.6846210016447998E-4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7.3173325974058793E-3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0</v>
      </c>
      <c r="N1294" s="1">
        <f t="shared" si="84"/>
        <v>0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0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0</v>
      </c>
      <c r="N1295" s="1">
        <f t="shared" si="84"/>
        <v>0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0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0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0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0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-5.4426307683627009E-2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1.44903951453597E-2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 s="1">
        <v>3.3800000000000002E-5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6.4389381648681174E-2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0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0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 s="1">
        <v>-3.2700000000000002E-5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0</v>
      </c>
      <c r="N1310" s="1">
        <f t="shared" si="84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0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0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 s="1">
        <v>2.8399999999999999E-5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-4.3080752321273806E-2</v>
      </c>
      <c r="N1312" s="1">
        <f t="shared" si="84"/>
        <v>0.19740006852936723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-3.1378575982135199E-3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 s="1">
        <v>4.6800000000000001E-6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5.2979580240429969E-3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0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0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 s="1">
        <v>5.7799999999999997E-6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8.1362845878196303E-3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0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0</v>
      </c>
      <c r="N1320" s="1">
        <f t="shared" si="84"/>
        <v>0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0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0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0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0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 s="1">
        <v>-2.76E-5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-2.2373949574597499E-4</v>
      </c>
      <c r="N1325" s="1">
        <f t="shared" si="84"/>
        <v>-2.6266531627359003E-3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0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-1.6909719692825505E-2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7.1330936377421873E-3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-1.5470972686809018E-3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0.10656179462553804</v>
      </c>
      <c r="N1333" s="1">
        <f t="shared" si="84"/>
        <v>1.2307583420921303E-2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3.6368334625826502E-4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0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-7.3173976774930594E-2</v>
      </c>
      <c r="N1335" s="1">
        <f t="shared" si="84"/>
        <v>0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0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-1.9072242714106478E-2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0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-3.4441593566424747E-2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-2.2282017177100846E-2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-8.4342113878010348E-3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3.0875484490157912E-2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-0.11210667731749833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0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-4.5921557767842382E-3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0.141795490883904</v>
      </c>
      <c r="M1365" s="1">
        <f t="shared" si="87"/>
        <v>-4.1171189326020159E-2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2.6945917533037246E-2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3.43701512171136E-3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-3.9652492209529674E-3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 s="1">
        <v>-1.01E-5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-0.21773106990469712</v>
      </c>
      <c r="N1377" s="1">
        <f t="shared" si="88"/>
        <v>-3.4997589124355459E-2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-5.4092582967952014E-3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-4.2543840412846623E-3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-4.9229249974254846E-2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8.7054302409613565E-2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-6.7929857167011276E-2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3.8067057629905268E-2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0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0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2.2505875344288308E-2</v>
      </c>
      <c r="N1387" s="1">
        <f t="shared" si="88"/>
        <v>0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4.0795189375122005E-2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-3.1680922172614721E-2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0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-1.6588630248887778E-2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 s="1">
        <v>-1.06E-5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-4.0941001912274642E-3</v>
      </c>
      <c r="N1397" s="1">
        <f t="shared" si="88"/>
        <v>-2.3339350030344482E-2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 s="1">
        <v>1.98E-5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1.3038744381020406E-2</v>
      </c>
      <c r="N1398" s="1">
        <f t="shared" si="88"/>
        <v>5.9798910327706456E-2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 s="1">
        <v>-3.8000000000000002E-5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8.3191737135040272E-2</v>
      </c>
      <c r="N1399" s="1">
        <f t="shared" si="88"/>
        <v>-6.6328870929241807E-2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 s="1">
        <v>4.4299999999999999E-5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6.9243454063801025E-3</v>
      </c>
      <c r="N1400" s="1">
        <f t="shared" si="88"/>
        <v>7.4365040531608903E-2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-3.5783770651557495E-2</v>
      </c>
      <c r="N1403" s="1">
        <f t="shared" si="88"/>
        <v>-0.247794404475189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2.3580122356049284E-3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-1.6859523518629651E-3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-6.1295180374018104E-3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-8.7543498691821348E-2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1.3035691342191981E-3</v>
      </c>
      <c r="N1412" s="1">
        <f t="shared" si="92"/>
        <v>0.12170812904934791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-1.2933166900356478E-2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-1.2603457872702872E-2</v>
      </c>
      <c r="N1414" s="1">
        <f t="shared" si="92"/>
        <v>0.11402931905142943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-3.9537286710651633E-2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>
        <v>3925.9695879999999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-3.0688666628457067E-2</v>
      </c>
      <c r="N1416" s="1">
        <f t="shared" si="92"/>
        <v>6016293.8187062358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1.8940251302785448E-2</v>
      </c>
      <c r="N1417" s="1">
        <f t="shared" si="92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8.9401154863129689E-2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0.1455295521148581</v>
      </c>
      <c r="N1419" s="1">
        <f t="shared" si="92"/>
        <v>-6.2279093403371254E-2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>
        <v>0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-6.5855895908687234E-2</v>
      </c>
      <c r="N1420" s="1">
        <f t="shared" si="92"/>
        <v>0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 s="1">
        <v>-4.4499999999999997E-5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-5.2861333491380155E-3</v>
      </c>
      <c r="N1421" s="1">
        <f t="shared" si="92"/>
        <v>-9.4881996487414785E-2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 s="1">
        <v>-1.5699999999999999E-5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0.23806031218058823</v>
      </c>
      <c r="N1422" s="1">
        <f t="shared" si="92"/>
        <v>-4.602001254538797E-2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520.77398670000002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-8.8595863804796324E-2</v>
      </c>
      <c r="N1423" s="1">
        <f t="shared" si="92"/>
        <v>566606.34282945783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3.7865458427913272E-2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0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3.9054680291744884E-3</v>
      </c>
      <c r="N1425" s="1">
        <f t="shared" si="92"/>
        <v>0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-1.4894719720043898E-2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0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6.8382015146172648E-2</v>
      </c>
      <c r="N1427" s="1">
        <f t="shared" si="92"/>
        <v>0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 s="1">
        <v>2.1100000000000001E-5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3.7282736922806601E-3</v>
      </c>
      <c r="N1428" s="1">
        <f t="shared" si="92"/>
        <v>6.0339830354387412E-2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-1.5999999999999999E-5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-3.3328511757009606E-2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2.3983122941921881E-3</v>
      </c>
      <c r="N1430" s="1">
        <f t="shared" si="92"/>
        <v>9.9462951483491713E-2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>
        <v>0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4.6510603031261885E-3</v>
      </c>
      <c r="N1431" s="1">
        <f t="shared" si="92"/>
        <v>0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 s="1">
        <v>1.6500000000000001E-5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2.0994143638633018E-2</v>
      </c>
      <c r="N1432" s="1">
        <f t="shared" si="92"/>
        <v>8.4857927239107012E-2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9.8512302099433794E-3</v>
      </c>
      <c r="N1433" s="1">
        <f t="shared" si="92"/>
        <v>-0.13978176571328715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2.4510342592750738E-2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2784.661247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0.17500515208370337</v>
      </c>
      <c r="N1435" s="1">
        <f t="shared" si="92"/>
        <v>9012522.506681053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3925.9696199999998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-0.18375627464226188</v>
      </c>
      <c r="N1436" s="1">
        <f t="shared" si="92"/>
        <v>22654084.808955561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 s="1">
        <v>1.1600000000000001E-5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0.11963031917297416</v>
      </c>
      <c r="N1437" s="1">
        <f t="shared" si="92"/>
        <v>3.7749784949184725E-2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 s="1">
        <v>-2.65E-5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4.6498468334506349E-3</v>
      </c>
      <c r="N1438" s="1">
        <f t="shared" si="92"/>
        <v>-0.13407868562851574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6.9227084111166794E-3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 s="1">
        <v>1.2999999999999999E-5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2.61226347912231E-2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-6.6037410083313302E-3</v>
      </c>
      <c r="N1441" s="1">
        <f t="shared" si="92"/>
        <v>-1.6231352739673983E-2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 s="1">
        <v>-1.31E-5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-1.27234797815066E-2</v>
      </c>
      <c r="N1442" s="1">
        <f t="shared" si="92"/>
        <v>-2.1968101413682804E-2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0.12406632310042971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2.1644559703532158E-3</v>
      </c>
      <c r="N1444" s="1">
        <f t="shared" si="92"/>
        <v>2.806098021197604E-2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 s="1">
        <v>2.5400000000000001E-5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8.7806658956722364E-2</v>
      </c>
      <c r="N1445" s="1">
        <f t="shared" si="92"/>
        <v>3.8085028464654842E-2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-5.4046640984367005E-2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-8.0259586346787842E-2</v>
      </c>
      <c r="N1447" s="1">
        <f t="shared" si="92"/>
        <v>3.2337004590792966E-2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-1.1315251345283992E-2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0</v>
      </c>
      <c r="N1449" s="1">
        <f t="shared" si="92"/>
        <v>1.8625724395579264E-2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8.2751419916154874E-3</v>
      </c>
      <c r="N1450" s="1">
        <f t="shared" si="92"/>
        <v>3.5542422867514196E-2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-2.9774321778783122E-3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-6.2944934989152511E-3</v>
      </c>
      <c r="N1455" s="1">
        <f t="shared" si="92"/>
        <v>3.0283257480397743E-2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-6.5415273144514927E-3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-1.0675910291294655E-2</v>
      </c>
      <c r="N1462" s="1">
        <f t="shared" si="92"/>
        <v>1.8500558099083503E-4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0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 s="1">
        <v>3.3500000000000001E-5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7.5678444811247858E-2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>
        <v>6940.3855169999997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21725859.980530519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1316.9307630000001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-6.7363935062747168E-2</v>
      </c>
      <c r="N1474" s="1">
        <f t="shared" si="92"/>
        <v>1608845.5865316016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 s="1">
        <v>-5.31E-6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5.4582395172131419E-2</v>
      </c>
      <c r="N1475" s="1">
        <f t="shared" ref="N1475:N1538" si="96">$U$4*$K1475*G1475</f>
        <v>-9.7560942753382035E-3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2389.7063589999998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-1.0010011512332669E-2</v>
      </c>
      <c r="N1476" s="1">
        <f t="shared" si="96"/>
        <v>2270261.4518840159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-1.713894736337988E-2</v>
      </c>
      <c r="N1477" s="1">
        <f t="shared" si="96"/>
        <v>2.655461002039845E-2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 s="1">
        <v>5.0000000000000002E-5</v>
      </c>
      <c r="F1478">
        <v>983047.76919999998</v>
      </c>
      <c r="G1478">
        <v>1316.930803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8.4600925267665009E-2</v>
      </c>
      <c r="N1478" s="1">
        <f t="shared" si="96"/>
        <v>1042585.6489562831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 s="1">
        <v>4.2799999999999997E-5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-3.7011495128861434E-2</v>
      </c>
      <c r="N1479" s="1">
        <f t="shared" si="96"/>
        <v>0.16289684760011844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5.7472424329165998E-3</v>
      </c>
      <c r="N1480" s="1">
        <f t="shared" si="96"/>
        <v>4.2756320081211663E-2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2.1034385882573881E-3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>
        <v>520.77402970000003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-6.0766197244565522E-2</v>
      </c>
      <c r="N1482" s="1">
        <f t="shared" si="96"/>
        <v>1050112.7775642325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 s="1">
        <v>1.61E-6</v>
      </c>
      <c r="F1483">
        <v>754201.09920000006</v>
      </c>
      <c r="G1483" s="1">
        <v>-3.0800000000000003E-5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1.048530231860258E-2</v>
      </c>
      <c r="N1483" s="1">
        <f t="shared" si="96"/>
        <v>-9.3853284415413629E-2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520.77399249999996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4.4461291087169702E-2</v>
      </c>
      <c r="N1484" s="1">
        <f t="shared" si="96"/>
        <v>950320.68858013162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 s="1">
        <v>4.4100000000000001E-6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-4.1545291149940799E-3</v>
      </c>
      <c r="N1486" s="1">
        <f t="shared" si="96"/>
        <v>1.7859234389398293E-2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4.99E-5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0.20057256413839059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 s="1">
        <v>-4.2200000000000003E-5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0.33370680994558755</v>
      </c>
      <c r="N1489" s="1">
        <f t="shared" si="96"/>
        <v>-0.15839003977701427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 s="1">
        <v>-4.32E-5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-0.14089133619033842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520.77403649999997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7.0525542917165521E-2</v>
      </c>
      <c r="N1493" s="1">
        <f t="shared" si="96"/>
        <v>1245260.9059484378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 s="1">
        <v>-2.1799999999999999E-6</v>
      </c>
      <c r="F1494">
        <v>707657.99789999996</v>
      </c>
      <c r="G1494" s="1">
        <v>2.34E-6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-1.3987418864964648E-2</v>
      </c>
      <c r="N1494" s="1">
        <f t="shared" si="96"/>
        <v>7.0249076986149362E-3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 s="1">
        <v>-1.0499999999999999E-5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-0.21144096190883879</v>
      </c>
      <c r="N1495" s="1">
        <f t="shared" si="96"/>
        <v>-3.3946943425730999E-2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0.26358313271453065</v>
      </c>
      <c r="N1497" s="1">
        <f t="shared" si="96"/>
        <v>0.10993622320127178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-2.7243847559446244E-3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-3.8695202741258947E-3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1.090926853345518E-3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-1.28949051477555E-3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 s="1">
        <v>5.4E-6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-2.2374242971384259E-3</v>
      </c>
      <c r="N1509" s="1">
        <f t="shared" si="96"/>
        <v>1.8235769500796761E-2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4.991423592551851E-2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 s="1">
        <v>4.6999999999999997E-5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-2.1381727973501023E-2</v>
      </c>
      <c r="N1511" s="1">
        <f t="shared" si="96"/>
        <v>0.16498310623686449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8.1300000000000001E-6</v>
      </c>
      <c r="F1512">
        <v>1076702.3910000001</v>
      </c>
      <c r="G1512">
        <v>3384.8458679999999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3.6205613452813978E-2</v>
      </c>
      <c r="N1512" s="1">
        <f t="shared" si="96"/>
        <v>7052903.4787933398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2389.7067189999998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-0.11729479230561292</v>
      </c>
      <c r="N1513" s="1">
        <f t="shared" si="96"/>
        <v>3663397.0111983153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 s="1">
        <v>-2.76E-5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0.15944590112885212</v>
      </c>
      <c r="N1514" s="1">
        <f t="shared" si="96"/>
        <v>-8.0118534405087732E-2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-1.7584338900343444E-2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0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 s="1">
        <v>1.88E-5</v>
      </c>
      <c r="F1521">
        <v>1168832.662</v>
      </c>
      <c r="G1521">
        <v>3483.3158389999999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3.1966459061126558E-2</v>
      </c>
      <c r="N1521" s="1">
        <f t="shared" si="96"/>
        <v>2771234.1066673477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 s="1">
        <v>-2.0999999999999999E-5</v>
      </c>
      <c r="F1522">
        <v>1122352.827</v>
      </c>
      <c r="G1522">
        <v>4489.794226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-3.6716060453683801E-2</v>
      </c>
      <c r="N1522" s="1">
        <f t="shared" si="96"/>
        <v>3672881.3313880474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4.9200000000000003E-5</v>
      </c>
      <c r="F1523">
        <v>985686.48719999997</v>
      </c>
      <c r="G1523">
        <v>2389.7067590000001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0.2760490177231032</v>
      </c>
      <c r="N1523" s="1">
        <f t="shared" si="96"/>
        <v>6273492.6487802528</v>
      </c>
      <c r="O1523" s="1"/>
    </row>
    <row r="1524" spans="1:15" x14ac:dyDescent="0.25">
      <c r="A1524">
        <v>2702</v>
      </c>
      <c r="B1524">
        <v>425740.00020000001</v>
      </c>
      <c r="C1524" s="1">
        <v>-5.9499999999999998E-6</v>
      </c>
      <c r="D1524">
        <v>941538.07109999994</v>
      </c>
      <c r="E1524">
        <v>3220.540399</v>
      </c>
      <c r="F1524">
        <v>1411547.01</v>
      </c>
      <c r="G1524">
        <v>3410.5054070000001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-2.0495281598291497E-2</v>
      </c>
      <c r="M1524" s="1">
        <f t="shared" si="95"/>
        <v>3720564.2813205002</v>
      </c>
      <c r="N1524" s="1">
        <f t="shared" si="96"/>
        <v>1843497.1967198444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 s="1">
        <v>-3.7700000000000002E-5</v>
      </c>
      <c r="F1525">
        <v>918165.39800000004</v>
      </c>
      <c r="G1525">
        <v>520.77395030000002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-0.16657892617559403</v>
      </c>
      <c r="N1525" s="1">
        <f t="shared" si="96"/>
        <v>1076642.7947536088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-1.8E-5</v>
      </c>
      <c r="F1526">
        <v>1083670.6399999999</v>
      </c>
      <c r="G1526">
        <v>4095.9262130000002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-3.9717039245974202E-2</v>
      </c>
      <c r="N1526" s="1">
        <f t="shared" si="96"/>
        <v>4228634.643051534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0</v>
      </c>
      <c r="F1527">
        <v>1061271.909</v>
      </c>
      <c r="G1527">
        <v>5370.9967909999996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0</v>
      </c>
      <c r="N1527" s="1">
        <f t="shared" si="96"/>
        <v>8257364.4316195901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520.77400409999996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-1.6402939310422457E-2</v>
      </c>
      <c r="N1528" s="1">
        <f t="shared" si="96"/>
        <v>436810.9926992507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4177.8221670000003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9.6221084361689246E-2</v>
      </c>
      <c r="N1529" s="1">
        <f t="shared" si="96"/>
        <v>6508277.0509289112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0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0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-2.2113136645033712E-2</v>
      </c>
      <c r="N1531" s="1">
        <f t="shared" si="96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5.5843907155223048E-2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520.77396229999999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9.3324313503998002E-2</v>
      </c>
      <c r="N1533" s="1">
        <f t="shared" si="96"/>
        <v>661042.37749163271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2.4199999999999999E-5</v>
      </c>
      <c r="F1534">
        <v>937190.68590000004</v>
      </c>
      <c r="G1534">
        <v>2784.6612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6.4843690353355091E-2</v>
      </c>
      <c r="N1534" s="1">
        <f t="shared" si="96"/>
        <v>3491149.1159989061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 s="1">
        <v>-4.5000000000000001E-6</v>
      </c>
      <c r="F1535">
        <v>762532.4669</v>
      </c>
      <c r="G1535">
        <v>6940.3855100000001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-4.5579294776613148E-2</v>
      </c>
      <c r="N1535" s="1">
        <f t="shared" si="96"/>
        <v>32891400.057502251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 s="1">
        <v>-4.1300000000000001E-5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0</v>
      </c>
      <c r="N1536" s="1">
        <f t="shared" si="96"/>
        <v>-7.9363911249343139E-2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-1.5800000000000001E-5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-4.5771047151742274E-2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1.0166673154191928E-2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 s="1">
        <v>-4.8999999999999997E-7</v>
      </c>
      <c r="F1539">
        <v>709040.32440000004</v>
      </c>
      <c r="G1539" s="1">
        <v>-3.9100000000000002E-5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-2.176247412518081E-3</v>
      </c>
      <c r="N1539" s="1">
        <f t="shared" ref="N1539:N1602" si="100">$U$4*$K1539*G1539</f>
        <v>-8.125173123576683E-2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 s="1">
        <v>-3.3300000000000003E-5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-4.5364646207995678E-2</v>
      </c>
      <c r="N1540" s="1">
        <f t="shared" si="100"/>
        <v>-0.1647586207631126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3.7700000000000002E-5</v>
      </c>
      <c r="F1543">
        <v>946962.74210000003</v>
      </c>
      <c r="G1543">
        <v>1316.930842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0.15953362223276141</v>
      </c>
      <c r="N1543" s="1">
        <f t="shared" si="100"/>
        <v>2607459.2072054413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1316.9307899999999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-5.9599615871493757E-3</v>
      </c>
      <c r="M1545" s="1">
        <f t="shared" si="99"/>
        <v>-0.12454556414897476</v>
      </c>
      <c r="N1545" s="1">
        <f t="shared" si="100"/>
        <v>3158119.9446788817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0</v>
      </c>
      <c r="F1546">
        <v>916635.02099999995</v>
      </c>
      <c r="G1546" s="1">
        <v>4.5500000000000001E-5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0</v>
      </c>
      <c r="N1546" s="1">
        <f t="shared" si="100"/>
        <v>0.17332134603971461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 s="1">
        <v>1.77E-5</v>
      </c>
      <c r="F1547">
        <v>979750.39939999999</v>
      </c>
      <c r="G1547" s="1">
        <v>-2.9099999999999999E-5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0.11034837537783032</v>
      </c>
      <c r="N1547" s="1">
        <f t="shared" si="100"/>
        <v>-8.4884685584532216E-2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 s="1">
        <v>-1.4399999999999999E-5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3.6061439075344408E-3</v>
      </c>
      <c r="N1548" s="1">
        <f t="shared" si="100"/>
        <v>-6.2299508014427032E-2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 s="1">
        <v>-8.2500000000000006E-6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-1.1472912217690284E-2</v>
      </c>
      <c r="N1549" s="1">
        <f t="shared" si="100"/>
        <v>-2.118970991437245E-2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 s="1">
        <v>4.25E-6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0.21207396344330467</v>
      </c>
      <c r="N1550" s="1">
        <f t="shared" si="100"/>
        <v>1.5447468352433475E-2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 s="1">
        <v>7.6199999999999999E-6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1.5426341578358264E-2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1.91E-5</v>
      </c>
      <c r="F1552">
        <v>974259.37600000005</v>
      </c>
      <c r="G1552">
        <v>2784.6612960000002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-3.5937927179849499E-3</v>
      </c>
      <c r="M1552" s="1">
        <f t="shared" si="99"/>
        <v>8.8543397154708478E-2</v>
      </c>
      <c r="N1552" s="1">
        <f t="shared" si="100"/>
        <v>6040026.8623501305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 s="1">
        <v>-4.7899999999999999E-6</v>
      </c>
      <c r="F1553">
        <v>675373.7426</v>
      </c>
      <c r="G1553" s="1">
        <v>-3.5599999999999998E-5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-1.3463165771860195E-2</v>
      </c>
      <c r="N1553" s="1">
        <f t="shared" si="100"/>
        <v>-4.6817191349312157E-2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723.46585700000003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1401491.2662401777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1.8235022360594478E-2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 s="1">
        <v>-4.9599999999999999E-6</v>
      </c>
      <c r="F1556">
        <v>676231.48739999998</v>
      </c>
      <c r="G1556" s="1">
        <v>-3.9900000000000001E-5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-5.8081199984491528E-3</v>
      </c>
      <c r="N1556" s="1">
        <f t="shared" si="100"/>
        <v>-2.1861022833760322E-2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0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>
        <v>520.77397459999997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-0.15176774023037548</v>
      </c>
      <c r="N1558" s="1">
        <f t="shared" si="100"/>
        <v>1056584.837244425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 s="1">
        <v>-4.8699999999999998E-5</v>
      </c>
      <c r="F1559">
        <v>798083.47919999994</v>
      </c>
      <c r="G1559" s="1">
        <v>-3.6399999999999997E-5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-0.31749242867252681</v>
      </c>
      <c r="N1559" s="1">
        <f t="shared" si="100"/>
        <v>-0.11103233513322133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 s="1">
        <v>4.9400000000000001E-5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-1.8130137926686198E-4</v>
      </c>
      <c r="N1560" s="1">
        <f t="shared" si="100"/>
        <v>6.9842613902894826E-2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1.27483441139628E-3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0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0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-1.5046006983174006E-2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2389.706745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-5.9315408247931224E-2</v>
      </c>
      <c r="N1571" s="1">
        <f t="shared" si="100"/>
        <v>3113695.9942275076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0</v>
      </c>
      <c r="F1572">
        <v>714288.50569999998</v>
      </c>
      <c r="G1572">
        <v>3925.9696140000001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0</v>
      </c>
      <c r="N1572" s="1">
        <f t="shared" si="100"/>
        <v>5066287.2686457261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 s="1">
        <v>-2.2099999999999998E-5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-0.17334543922125503</v>
      </c>
      <c r="N1573" s="1">
        <f t="shared" si="100"/>
        <v>-8.6592050944589188E-2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-4.3699999999999998E-5</v>
      </c>
      <c r="F1574">
        <v>981248.4902</v>
      </c>
      <c r="G1574">
        <v>2784.6612140000002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-0.13854372177917282</v>
      </c>
      <c r="N1574" s="1">
        <f t="shared" si="100"/>
        <v>4130679.099062657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520.77402559999996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741313.99444451765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 s="1">
        <v>3.8399999999999997E-6</v>
      </c>
      <c r="F1576">
        <v>880387.55500000005</v>
      </c>
      <c r="G1576">
        <v>520.77395650000005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1.7267736190064255E-2</v>
      </c>
      <c r="N1576" s="1">
        <f t="shared" si="100"/>
        <v>1095713.7616360809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7.5694500662868369E-2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520.77402070000005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-6.8790896650420555E-2</v>
      </c>
      <c r="N1578" s="1">
        <f t="shared" si="100"/>
        <v>704282.67043638951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 s="1">
        <v>3.3500000000000001E-5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0.10356681405807346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0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0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-1.0269412447202399E-2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-5.4329644620380998E-4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-1.1250817766689E-3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-9.5088329535561889E-3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-9.6874989125734015E-3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-3.011392228354302E-2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4.8779648593393994E-3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 s="1">
        <v>-4.6E-6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-6.9785382159105007E-3</v>
      </c>
      <c r="N1625" s="1">
        <f t="shared" si="104"/>
        <v>-1.00132419905358E-2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-1.5099095946776121E-2</v>
      </c>
      <c r="N1627" s="1">
        <f t="shared" si="104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1.0590227410193199E-3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-8.8899404184251303E-3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5.3888300649049719E-3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0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-6.3034157147561594E-3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4.9671585944206058E-2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0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1.4637356600347949E-3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4.0429380260677203E-3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4.1873706760496001E-3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8.3626823777363194E-3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0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-1.667310298245623E-2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-2.3207290590505244E-2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2.2985006959594684E-2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1.782223589347125E-3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0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1.9889254140781538E-2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2.149279426431135E-2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-5.5837173451387001E-6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3.5871162192376474E-2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2.9875438840012498E-2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-1.0909231250402048E-2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1.3204608214821728E-2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-2.9990752169858199E-2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-8.8623496095639291E-3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-2.2113991642975001E-4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-4.6678860825005893E-3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5.9574827511345201E-3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-1.7234550375402662E-2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3.336799691872451E-2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-6.9694244679133849E-2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9.4236615357346565E-2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-5.5438030167799635E-2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8.552570775883098E-3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4.1377918573877751E-2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-3.4056045473439996E-3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-4.6853411649211675E-2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1.2999636715243798E-3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-1.5419497065751219E-2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-9.947895634701413E-3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-4.3660058077001081E-2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1.252932409847664E-2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-3.1019651011061931E-2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-1.7486346117551001E-3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3.7177444347543422E-2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-9.670241782470718E-3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1.1680238334678961E-3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2.623465124684652E-2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-1.0093911640629376E-2</v>
      </c>
      <c r="M1824" s="1">
        <f t="shared" si="115"/>
        <v>3.0026517624218703E-3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1.3321250277778043E-2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-2.5317296627095875E-2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6.7722064141994165E-2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-2.286997515522856E-2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3.0894708537524507E-2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-2.2931003383735417E-2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0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0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-1.1956113042807448E-2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-9.7201568284118762E-3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-2.111481430792261E-2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-3.2839095458645925E-2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-2.2438773759928428E-2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-1.2010426370253071E-2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-1.6468733320532301E-2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-2.9091706713810377E-2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-1.6685378110897788E-2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3.0892753002420455E-3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-9.5588681986898093E-3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3.9357372890729521E-3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0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3.0456835642589445E-2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1.1244011057056981E-2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-8.6440569307868753E-3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-1.271886213454638E-2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-2.9843672406700501E-2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-2.7201504691712661E-2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1.4697182121748014E-2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0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3.403445226916977E-2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2.5410911327865351E-2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-1.5298376513132607E-2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1.8498958559709192E-2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-1.8878841855740035E-2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1.2458029288904798E-2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2.904338192504706E-2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-1.6902876900826799E-2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1.0119257592640714E-2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-8.5087204985802248E-3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2.5788085108965721E-2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-2.1743640400332311E-2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5.3239611648943962E-3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-1.0042651260415312E-2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-3.4002445792425888E-2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-1.4615701669352976E-2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-3.5894348074563907E-3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5.3403379879863919E-2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-1.8754124293093533E-2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0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1.10087825204968E-3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-5.0999908052578504E-3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4.3871581983582264E-2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0.1194201112086125</v>
      </c>
      <c r="M1903" s="1">
        <f t="shared" si="119"/>
        <v>-5.6499218276175002E-4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-3.9721351922271296E-2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-5.4599675283734141E-3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0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-2.4107831945587E-4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-1.5405957341183999E-4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9.2785503381119505E-4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4.0922478740932803E-4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0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0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0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4.9634818266800001E-3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3.2814742443554947E-4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3.5382450028542421E-2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2.1666839800849019E-2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5.6619786067519905E-3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1.700738731372539E-4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-4.0248624632427746E-2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-4.0957691411269433E-2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-8.1737311847833241E-3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6.4517720859776258E-3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0.12340600686923026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-1.1755924127360842E-2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2.4917329782757753E-2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-2.7449556054142947E-2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-4.7352872211299572E-2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-4.0961220033019163E-2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2.2237827584154646E-2</v>
      </c>
      <c r="M2013" s="1">
        <f t="shared" si="127"/>
        <v>5.9731804003783128E-3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-7.3894396333571049E-3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0.12897646667352233</v>
      </c>
      <c r="M2015" s="1">
        <f t="shared" si="127"/>
        <v>4.8802456344474408E-2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-2.3336628213636083E-2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-3.6939719144108027E-2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-2.5236948534553666E-3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4.6064737401879094E-2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-7.7907771722191446E-2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-4.9762394734075509E-4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7.6509419865178939E-3</v>
      </c>
      <c r="M2029" s="1">
        <f t="shared" si="127"/>
        <v>6.4265791843510806E-4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1.5581451188928692E-2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-2.4873189282073053E-2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-1.9744997229946736E-2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-3.9028659498454597E-2</v>
      </c>
      <c r="M2033" s="1">
        <f t="shared" si="127"/>
        <v>-1.6630244696756381E-2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-5.8837057969852802E-3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-1.4768289267426715E-2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0.12777287840081369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1.0545033967282498E-2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-3.6060005047369864E-2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-0.14428903668126999</v>
      </c>
      <c r="M2039" s="1">
        <f t="shared" si="127"/>
        <v>2.8131681785578101E-2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-2.3530320039784561E-2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3.5412365600345909E-3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-1.3575100943987045E-3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6.7187683285609432E-3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5.9277846157221124E-3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2.8993310771353361E-2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2.365438465865251E-3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-1.6444054727130068E-2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-1.8096730410651872E-2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1.06728157871703E-2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0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-4.8688676436551413E-2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0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4.8735885702569058E-3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-6.7643596501775569E-3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-1.3339164177972172E-2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-3.4265906279097973E-2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2.2748376000220571E-2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3.9408671855994601E-2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0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-1.8957762751393829E-3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-2.8474781611433304E-2</v>
      </c>
      <c r="M2063" s="1">
        <f t="shared" si="131"/>
        <v>-6.6169558659779762E-2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-2.8647703585484748E-2</v>
      </c>
      <c r="M2064" s="1">
        <f t="shared" si="131"/>
        <v>1.4318535547240129E-2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0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-0.10338821828267919</v>
      </c>
      <c r="M2066" s="1">
        <f t="shared" si="131"/>
        <v>-4.3791903545012277E-3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-4.4949484451902739E-3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-6.7135560847606954E-2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-7.9732698803758925E-2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0.22455056874826973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0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-3.3048677937058495E-4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-6.3256961062879993E-2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2.451660825319535E-3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-4.6273226138713293E-3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2.0512732415406368E-2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2.4025038759801019E-2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-5.8159583227028397E-2</v>
      </c>
      <c r="M2081" s="1">
        <f t="shared" si="131"/>
        <v>6.2103761930868955E-3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1.7556733521022133E-2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-5.4846846080742251E-2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1.2935385315405242E-2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1.8073256109814501E-2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4.6255049459403169E-4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-4.1140369797037276E-3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-3.3766954056386853E-3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1.53201619092217E-3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-3.4474039498061625E-2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-1.2389094422876759E-3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2.0697126389015455E-2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0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-4.377240215397387E-2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-2.0926370019689797E-3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1.6382955614583281E-2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5.9414520187202995E-3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3.684692300618317E-3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2.3801673768425562E-2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9.5360188660947322E-4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8.9398988432360226E-3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-3.7112128078446202E-2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-5.9775179523649198E-2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-1.1035199767669001E-3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-2.0192551312732998E-4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-1.2236323078789533E-3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-1.4528946992143358E-2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7.1908288290772372E-4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0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4.7126797992170701E-3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6.1499899224394597E-3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6.67820136788712E-3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-9.0430229822735617E-4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-4.3264391446788398E-4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-7.1481101758161193E-4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-7.1315265160671222E-3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-4.05470834350884E-3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-1.7289713929237401E-3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0.43855390735331035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2.6812981396008248E-3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-1.1310749121813899E-2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3.6531996072917778E-3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5.5406822992513864E-2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3.4397283021749346E-2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0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-5.2095332648158327E-2</v>
      </c>
      <c r="N2198" s="1">
        <f t="shared" si="140"/>
        <v>0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-1.5253790807350053E-2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0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0</v>
      </c>
      <c r="N2200" s="1">
        <f t="shared" si="140"/>
        <v>0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-0.2547570719476912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0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</v>
      </c>
      <c r="N2202" s="1">
        <f t="shared" si="140"/>
        <v>0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-4.619575831216579E-3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0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-2.4358148474186839E-2</v>
      </c>
      <c r="N2204" s="1">
        <f t="shared" si="140"/>
        <v>0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0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0</v>
      </c>
      <c r="N2205" s="1">
        <f t="shared" si="140"/>
        <v>0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-0.36984275128281247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8.1857159824741621E-2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0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0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1.1509976339498471E-2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 s="1">
        <v>-4.49E-5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0.18119799462345901</v>
      </c>
      <c r="N2235" s="1">
        <f t="shared" si="140"/>
        <v>-0.23070630408021062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-0.2632806442268194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 s="1">
        <v>-3.3399999999999999E-5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-2.9338592264277378E-2</v>
      </c>
      <c r="N2238" s="1">
        <f t="shared" si="140"/>
        <v>-9.6932245985938068E-2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0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-8.2672683627846952E-2</v>
      </c>
      <c r="N2240" s="1">
        <f t="shared" si="140"/>
        <v>0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 s="1">
        <v>4.0299999999999997E-5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-0.38286358597428116</v>
      </c>
      <c r="N2241" s="1">
        <f t="shared" si="140"/>
        <v>0.25419935658771808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1.7186128551659706E-2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0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0.56903404992243201</v>
      </c>
      <c r="N2243" s="1">
        <f t="shared" ref="N2243:N2306" si="144">$U$4*$K2243*G2243</f>
        <v>0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3.8383497644204539E-2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 s="1">
        <v>4.6399999999999996E-6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0.44297406274517992</v>
      </c>
      <c r="N2245" s="1">
        <f t="shared" si="144"/>
        <v>2.0952086148191999E-2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-3.8143635689631104E-2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8.1801204709929E-3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-2.7007743815385801E-2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-2.5052196267463687E-3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0.11126182946295547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0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0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6.4853547208171391E-5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0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6.3226442724186056E-3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-1.4499837282109902E-3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-2.1560260011618789E-3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9.2519724175421383E-2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4.8389593474696497E-3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1.0832285824210705E-2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3.7604024451007162E-3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6.4139537215964857E-3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-5.8098407758845928E-2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2.4161541191672478E-2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-6.749589677320646E-3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-6.4807704914195078E-3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2.9534065370671703E-2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9.0536497730142676E-3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-0.10909580145292978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1.2838811791953784E-2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5.0412802261379619E-2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4.4708958397972447E-2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0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0.11462325114410059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4.1714314513730415E-2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3.4183025540230797E-4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 s="1">
        <v>4.4799999999999998E-5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0</v>
      </c>
      <c r="N2322" s="1">
        <f t="shared" si="148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-5.8557795763952633E-2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5.182134765447062E-2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0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-1.5063388036895274E-2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-2.1693558474039885E-2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-2.2954255787256309E-2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5.6167406678924642E-2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-0.19708743431530482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-2.8404037608943753E-2</v>
      </c>
      <c r="M2332" s="1">
        <f t="shared" si="147"/>
        <v>0.18519082932876138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4.2340450034120923E-2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-3.7092867318173857E-2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-9.4585165263722289E-3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1.517233316061474E-2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5.518536104083465E-2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-5.05647587589102E-2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3.7998901447654078E-3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-2.0473438116723267E-2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4.6995244006063044E-2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-6.5762362614203151E-2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9.2319903049293793E-3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5.6007909578426406E-2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2.5253160322186884E-4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7.0232528975443242E-2</v>
      </c>
      <c r="M2348" s="1">
        <f t="shared" si="147"/>
        <v>0.34876463098465516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3.9586058579494439E-4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-0.11872745402275413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-8.924250912535403E-2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0.19297888293410423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8.0053266070947787E-2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3.5256011966720367E-2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-1.028867023373289E-2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-3.916950875473936E-2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-3.18797448191208E-2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1.6174559319803886E-2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9.9469560111168906E-2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3.5586420330666467E-2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-0.21576552065329274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-8.0988829704524354E-2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-0.40352093584514848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-3.4663513205751346E-2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2.4205311427522698E-2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0.23901170904312216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1.1720761865350274E-2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0.1201157144770913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1.66397088987668E-3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4.8277551660190599E-2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6.085823862969994E-2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-1.6880211675817939E-2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-3.1550899222356543E-2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6.3354654170980115E-2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-2.0437644488955749E-2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1.2070119785610121E-2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4.2073716104287402E-2</v>
      </c>
      <c r="M2381" s="1">
        <f t="shared" si="151"/>
        <v>7.3968307344634307E-4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-5.6455812321574185E-2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3.7071274231580249E-2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2.4252803873014927E-3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1.809932594482299E-2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-4.5916276817869507E-2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-5.9022847961744944E-2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-1.0339255886176802E-2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9.1466430870599622E-2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-0.10757257405805197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7.2446812882439052E-2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-8.3073848928079091E-2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-9.0199770248445502E-3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-5.2441439186161634E-2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7.278876365577E-2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-9.2995488433768869E-3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-2.6093888461683902E-2</v>
      </c>
      <c r="M2397" s="1">
        <f t="shared" si="151"/>
        <v>-1.10498595272865E-3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6.2725435369322693E-2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3.2015792171822032E-3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3.3917455835228254E-2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-9.1592221306067943E-3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0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-8.5585912874614981E-3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-6.1352686109535995E-3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-4.84366954114365E-3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-6.6608012472288E-3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1.3412694130133999E-3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-1.6127988861148999E-3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-1.5288995111582E-3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-3.7217520925608497E-3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-1.2759050605129198E-2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8.2786598479764E-5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1.2781431771743399E-3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2.7098652138154002E-5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5.6200917295796994E-3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0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1.4632108880634999E-3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2.3500298385686527E-2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2024-10-24T11:58:01Z</dcterms:modified>
</cp:coreProperties>
</file>