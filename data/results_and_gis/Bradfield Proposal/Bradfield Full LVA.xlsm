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Bradfield Proposal\"/>
    </mc:Choice>
  </mc:AlternateContent>
  <xr:revisionPtr revIDLastSave="0" documentId="13_ncr:1_{763AEAA5-8ECD-4956-8FD7-E1DB32F7F0D1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T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U12" i="1" l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<sst xmlns="http://schemas.openxmlformats.org/spreadsheetml/2006/main" count="2595" uniqueCount="2587">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</sst>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T18" sqref="T18:Y18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0</v>
      </c>
      <c r="F2">
        <v>1099931.1640000001</v>
      </c>
      <c r="G2">
        <v>14723.35605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3.54267329394342E-2</v>
      </c>
      <c r="M2" s="1">
        <f>$U$3*$K2*E2</f>
        <v>0</v>
      </c>
      <c r="N2" s="1">
        <f>$U$4*$K2*G2</f>
        <v>4872091.6740903286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-4.5099999999999998E-5</v>
      </c>
      <c r="D3">
        <v>754544.03890000004</v>
      </c>
      <c r="E3">
        <v>7034.1986690000003</v>
      </c>
      <c r="F3">
        <v>1188749.6769999999</v>
      </c>
      <c r="G3">
        <v>10887.85361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-0.109181732745514</v>
      </c>
      <c r="M3" s="1">
        <f t="shared" ref="M3:M66" si="2">$U$3*$K3*E3</f>
        <v>5711250.4798348499</v>
      </c>
      <c r="N3" s="1">
        <f t="shared" ref="N3:N66" si="3">$U$4*$K3*G3</f>
        <v>4136209.5087146037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 s="1">
        <v>2.9E-5</v>
      </c>
      <c r="D4">
        <v>912192.62890000001</v>
      </c>
      <c r="E4">
        <v>9406.7707150000006</v>
      </c>
      <c r="F4">
        <v>1336597.4709999999</v>
      </c>
      <c r="G4">
        <v>4294.6558359999999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2.9024074489156504E-2</v>
      </c>
      <c r="M4" s="1">
        <f t="shared" si="2"/>
        <v>3157505.2221611436</v>
      </c>
      <c r="N4" s="1">
        <f t="shared" si="3"/>
        <v>674490.07483894855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1.5799999999999999E-6</v>
      </c>
      <c r="D5">
        <v>1001489.622</v>
      </c>
      <c r="E5">
        <v>14622.09196</v>
      </c>
      <c r="F5">
        <v>1434338.5179999999</v>
      </c>
      <c r="G5">
        <v>6153.116591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7.1707451425252495E-4</v>
      </c>
      <c r="M5" s="1">
        <f t="shared" si="2"/>
        <v>2225665.2665305352</v>
      </c>
      <c r="N5" s="1">
        <f t="shared" si="3"/>
        <v>438216.9379204564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3.6399999999999997E-5</v>
      </c>
      <c r="D6">
        <v>987289.85869999998</v>
      </c>
      <c r="E6">
        <v>13666.872090000001</v>
      </c>
      <c r="F6">
        <v>1425828.1129999999</v>
      </c>
      <c r="G6">
        <v>6153.116591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3.9990239927574299E-2</v>
      </c>
      <c r="M6" s="1">
        <f t="shared" si="2"/>
        <v>5035758.4817670332</v>
      </c>
      <c r="N6" s="1">
        <f t="shared" si="3"/>
        <v>1060802.624479952</v>
      </c>
      <c r="O6" s="1"/>
    </row>
    <row r="7" spans="1:25" x14ac:dyDescent="0.25">
      <c r="A7">
        <v>6</v>
      </c>
      <c r="B7">
        <v>342568.37469999999</v>
      </c>
      <c r="C7" s="1">
        <v>-1.2E-5</v>
      </c>
      <c r="D7">
        <v>676491.53819999995</v>
      </c>
      <c r="E7">
        <v>984.7778323</v>
      </c>
      <c r="F7">
        <v>1144015.318</v>
      </c>
      <c r="G7">
        <v>13489.179700000001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-9.1281250476390012E-3</v>
      </c>
      <c r="M7" s="1">
        <f t="shared" si="2"/>
        <v>251235.92218310831</v>
      </c>
      <c r="N7" s="1">
        <f t="shared" si="3"/>
        <v>1610173.5573526542</v>
      </c>
      <c r="O7" s="1"/>
    </row>
    <row r="8" spans="1:25" x14ac:dyDescent="0.25">
      <c r="A8">
        <v>7</v>
      </c>
      <c r="B8">
        <v>447450.14120000001</v>
      </c>
      <c r="C8" s="1">
        <v>6.6800000000000004E-6</v>
      </c>
      <c r="D8">
        <v>797901.67200000002</v>
      </c>
      <c r="E8">
        <v>8038.1691540000002</v>
      </c>
      <c r="F8">
        <v>1224440.2320000001</v>
      </c>
      <c r="G8">
        <v>3751.2344119999998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5.8019893025645208E-3</v>
      </c>
      <c r="M8" s="1">
        <f t="shared" si="2"/>
        <v>2341535.4617064116</v>
      </c>
      <c r="N8" s="1">
        <f t="shared" si="3"/>
        <v>511283.14989480947</v>
      </c>
      <c r="O8" s="1"/>
    </row>
    <row r="9" spans="1:25" x14ac:dyDescent="0.25">
      <c r="A9">
        <v>8</v>
      </c>
      <c r="B9">
        <v>395243.76449999999</v>
      </c>
      <c r="C9" s="1">
        <v>-3.01E-5</v>
      </c>
      <c r="D9">
        <v>770947.84470000002</v>
      </c>
      <c r="E9">
        <v>1178.016345</v>
      </c>
      <c r="F9">
        <v>1203647.425</v>
      </c>
      <c r="G9">
        <v>5655.8218210000005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-2.4814690830486374E-2</v>
      </c>
      <c r="M9" s="1">
        <f t="shared" si="2"/>
        <v>325714.30022932461</v>
      </c>
      <c r="N9" s="1">
        <f t="shared" si="3"/>
        <v>731686.27282413561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6940.3854719999999</v>
      </c>
      <c r="F10">
        <v>1089044.08</v>
      </c>
      <c r="G10">
        <v>12005.15503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1.6511368906021603E-3</v>
      </c>
      <c r="M10" s="1">
        <f t="shared" si="2"/>
        <v>5057038.0047458094</v>
      </c>
      <c r="N10" s="1">
        <f t="shared" si="3"/>
        <v>4092833.4887408307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7.9400000000000002E-6</v>
      </c>
      <c r="D11">
        <v>718636.73510000005</v>
      </c>
      <c r="E11">
        <v>830.83359350000001</v>
      </c>
      <c r="F11">
        <v>1177436.6510000001</v>
      </c>
      <c r="G11">
        <v>4958.9855610000004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8.460134621006055E-3</v>
      </c>
      <c r="M11" s="1">
        <f t="shared" si="2"/>
        <v>296902.56977500487</v>
      </c>
      <c r="N11" s="1">
        <f t="shared" si="3"/>
        <v>829156.34834874934</v>
      </c>
      <c r="O11" s="1"/>
      <c r="S11" s="2" t="str" cm="1">
        <f t="array" ref="S11:S16">TRANSPOSE(L1:Q1)</f>
        <v xml:space="preserve">30 Min Lin </v>
      </c>
      <c r="T11" s="6">
        <f>SUM(L2:L2563)/1000000</f>
        <v>12477.21309912248</v>
      </c>
      <c r="U11" s="3">
        <f>SUM(L$374:L$390,L$395:L$399,L$409:L$418)/1000000</f>
        <v>1129.5653219258884</v>
      </c>
      <c r="V11" s="3">
        <f>SUM(L$352:L$377,L$391:L$394)/1000000</f>
        <v>5859.3329175247118</v>
      </c>
      <c r="W11" s="3">
        <f>SUM(L$419:L$479)/1000000</f>
        <v>4302.9263453121148</v>
      </c>
      <c r="X11" s="3">
        <f>T11-W11-U11-V11</f>
        <v>1185.3885143597654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-2.6E-7</v>
      </c>
      <c r="D12">
        <v>675140.07010000001</v>
      </c>
      <c r="E12" s="1">
        <v>4.6100000000000002E-5</v>
      </c>
      <c r="F12">
        <v>1103143.1740000001</v>
      </c>
      <c r="G12">
        <v>10774.69277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-3.5276936759200502E-4</v>
      </c>
      <c r="M12" s="1">
        <f t="shared" si="2"/>
        <v>2.0977879233290721E-2</v>
      </c>
      <c r="N12" s="1">
        <f t="shared" si="3"/>
        <v>2294083.5417517573</v>
      </c>
      <c r="O12" s="1"/>
      <c r="S12" s="2" t="str">
        <v>45 Min Lin</v>
      </c>
      <c r="T12" s="6">
        <f>SUM(M2:M2563)/1000000</f>
        <v>41367.859044011188</v>
      </c>
      <c r="U12" s="3">
        <f>SUM(M$374:M$390,M$395:M$399,M$409:M$418)/1000000</f>
        <v>6899.9791878805481</v>
      </c>
      <c r="V12" s="3">
        <f>SUM(M$352:M$377,M$391:M$394)/1000000</f>
        <v>15361.605361945718</v>
      </c>
      <c r="W12" s="3">
        <f>SUM(M$419:M$479)/1000000</f>
        <v>14748.621592777661</v>
      </c>
      <c r="X12" s="3">
        <f t="shared" ref="X12:X13" si="4">T12-W12-U12-V12</f>
        <v>4357.6529014072603</v>
      </c>
      <c r="Y12" s="3"/>
    </row>
    <row r="13" spans="1:25" x14ac:dyDescent="0.25">
      <c r="A13">
        <v>12</v>
      </c>
      <c r="B13">
        <v>357991.37280000001</v>
      </c>
      <c r="C13" s="1">
        <v>-1.9400000000000001E-5</v>
      </c>
      <c r="D13">
        <v>692904.25670000003</v>
      </c>
      <c r="E13" s="1">
        <v>-2.4399999999999999E-6</v>
      </c>
      <c r="F13">
        <v>1139271.5209999999</v>
      </c>
      <c r="G13">
        <v>10848.733550000001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-1.9188891281911001E-2</v>
      </c>
      <c r="M13" s="1">
        <f t="shared" si="2"/>
        <v>-8.0943339021999187E-4</v>
      </c>
      <c r="N13" s="1">
        <f t="shared" si="3"/>
        <v>1683891.1341008549</v>
      </c>
      <c r="O13" s="1"/>
      <c r="S13" s="2" t="str">
        <v>60 Min Lin</v>
      </c>
      <c r="T13" s="6">
        <f>SUM(N2:N2563)/1000000</f>
        <v>33468.054367432829</v>
      </c>
      <c r="U13" s="3">
        <f>SUM(N$374:N$390,N$395:N$399,N$409:N$418)/1000000</f>
        <v>6674.902212930444</v>
      </c>
      <c r="V13" s="3">
        <f>SUM(N$352:N$377,N$391:N$394)/1000000</f>
        <v>8811.6937566903234</v>
      </c>
      <c r="W13" s="3">
        <f>SUM(N$419:N$479)/1000000</f>
        <v>12097.254028669293</v>
      </c>
      <c r="X13" s="3">
        <f t="shared" si="4"/>
        <v>5884.2043691427698</v>
      </c>
      <c r="Y13" s="4"/>
    </row>
    <row r="14" spans="1:25" x14ac:dyDescent="0.25">
      <c r="A14">
        <v>13</v>
      </c>
      <c r="B14">
        <v>436547.72960000002</v>
      </c>
      <c r="C14" s="1">
        <v>-6.6200000000000001E-6</v>
      </c>
      <c r="D14">
        <v>839867.22930000001</v>
      </c>
      <c r="E14">
        <v>7835.1851100000003</v>
      </c>
      <c r="F14">
        <v>1260453.6569999999</v>
      </c>
      <c r="G14">
        <v>3399.5278149999999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-2.7495970807245203E-3</v>
      </c>
      <c r="M14" s="1">
        <f t="shared" si="2"/>
        <v>1091449.0492622603</v>
      </c>
      <c r="N14" s="1">
        <f t="shared" si="3"/>
        <v>221572.81875633565</v>
      </c>
      <c r="O14" s="1"/>
      <c r="S14" s="2" t="str">
        <v>30 Min Log</v>
      </c>
      <c r="T14" s="6">
        <f>SUM(U14:X14)</f>
        <v>5536.5695162820202</v>
      </c>
      <c r="U14" s="7">
        <f>$V2*$Y$2*(SUM(C$374:C$390,C$395:C$399,C$409:C$418))/(SUM(B$374:B$390,B$395:B$399,B$409:B$418))</f>
        <v>389.96293345099127</v>
      </c>
      <c r="V14" s="7">
        <f>$V2*$Y$3*(SUM(C$352:C$377,C$391:C$394))/(SUM(B$352:B$377,B$391:B$394))</f>
        <v>1943.4413076363469</v>
      </c>
      <c r="W14" s="8">
        <f>V2*$Y$4*(SUM(C$419:C$479))/(SUM(B$419:B$479))</f>
        <v>2073.3630209090234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1129.802254285659</v>
      </c>
    </row>
    <row r="15" spans="1:25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7980.3906919999999</v>
      </c>
      <c r="F15">
        <v>1280429.3540000001</v>
      </c>
      <c r="G15">
        <v>2506.177263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-3.0201985256563904E-3</v>
      </c>
      <c r="M15" s="1">
        <f t="shared" si="2"/>
        <v>1788398.7052643306</v>
      </c>
      <c r="N15" s="1">
        <f t="shared" si="3"/>
        <v>262782.02628458448</v>
      </c>
      <c r="O15" s="1"/>
      <c r="S15" s="2" t="str">
        <v>45 Min Log</v>
      </c>
      <c r="T15" s="6">
        <f>SUM(U15:X15)</f>
        <v>9506.9129251405084</v>
      </c>
      <c r="U15" s="7">
        <f>$V3*$Y$2*(SUM(E$374:E$390,E$395:E$399,E$409:E$418))/(SUM(D$374:D$390,D$395:D$399,D$409:D$418))</f>
        <v>1481.130328653423</v>
      </c>
      <c r="V15" s="7">
        <f>$V3*$Y$3*(SUM(E$352:E$377,E$391:E$394))/(SUM(D$352:D$377,D$391:D$394))</f>
        <v>3048.8360438489099</v>
      </c>
      <c r="W15" s="8">
        <f>V3*$Y$4*(SUM(E$419:E$479))/(SUM(D$419:D$479))</f>
        <v>3208.340509565397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1768.6060430727789</v>
      </c>
    </row>
    <row r="16" spans="1:25" x14ac:dyDescent="0.25">
      <c r="A16">
        <v>15</v>
      </c>
      <c r="B16">
        <v>380423.7929</v>
      </c>
      <c r="C16" s="1">
        <v>-3.9999999999999998E-6</v>
      </c>
      <c r="D16">
        <v>729459.53590000002</v>
      </c>
      <c r="E16">
        <v>6687.0160150000002</v>
      </c>
      <c r="F16">
        <v>1190614.932</v>
      </c>
      <c r="G16">
        <v>4659.5497830000004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-2.6744599076129996E-3</v>
      </c>
      <c r="M16" s="1">
        <f t="shared" si="2"/>
        <v>1499517.7149780823</v>
      </c>
      <c r="N16" s="1">
        <f t="shared" si="3"/>
        <v>488885.17937706009</v>
      </c>
      <c r="O16" s="1"/>
      <c r="S16" s="2" t="str">
        <v>60 Min Log</v>
      </c>
      <c r="T16" s="6">
        <f>SUM(U16:X16)</f>
        <v>5932.6392992005831</v>
      </c>
      <c r="U16" s="7">
        <f>$V4*$Y$2*(SUM(G$374:G$390,G$395:G$399,G$409:G$418))/(SUM(F$374:F$390,F$395:F$399,F$409:F$418))</f>
        <v>1260.4533728709362</v>
      </c>
      <c r="V16" s="7">
        <f>$V4*$Y$3*(SUM(G$352:G$377,G$391:G$394))/(SUM(F$352:F$377,F$391:F$394))</f>
        <v>1783.6981628423625</v>
      </c>
      <c r="W16" s="8">
        <f>V4*$Y$4*(SUM(G$419:G$479))/(SUM(F$419:F$479))</f>
        <v>1713.6488720197856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1174.838891467499</v>
      </c>
    </row>
    <row r="17" spans="1:25" x14ac:dyDescent="0.25">
      <c r="A17">
        <v>16</v>
      </c>
      <c r="B17">
        <v>500344.1017</v>
      </c>
      <c r="C17" s="1">
        <v>-4.0199999999999996E-6</v>
      </c>
      <c r="D17">
        <v>888591.84479999996</v>
      </c>
      <c r="E17">
        <v>9681.1793359999992</v>
      </c>
      <c r="F17">
        <v>1299324.5079999999</v>
      </c>
      <c r="G17">
        <v>2148.2710310000002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-3.4397928521574146E-3</v>
      </c>
      <c r="M17" s="1">
        <f t="shared" si="2"/>
        <v>2778290.402882915</v>
      </c>
      <c r="N17" s="1">
        <f t="shared" si="3"/>
        <v>288457.69168271159</v>
      </c>
      <c r="O17" s="1"/>
    </row>
    <row r="18" spans="1:25" x14ac:dyDescent="0.25">
      <c r="A18">
        <v>17</v>
      </c>
      <c r="B18">
        <v>405817.66460000002</v>
      </c>
      <c r="C18" s="1">
        <v>3.4499999999999998E-5</v>
      </c>
      <c r="D18">
        <v>779015.06539999996</v>
      </c>
      <c r="E18">
        <v>9608.2811679999995</v>
      </c>
      <c r="F18">
        <v>1207419.095</v>
      </c>
      <c r="G18">
        <v>2847.126037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4.5774605661846747E-2</v>
      </c>
      <c r="M18" s="1">
        <f t="shared" si="2"/>
        <v>4275573.3056245232</v>
      </c>
      <c r="N18" s="1">
        <f t="shared" si="3"/>
        <v>592787.48292315064</v>
      </c>
      <c r="O18" s="1"/>
      <c r="T18" cm="1">
        <f t="array" ref="T18:Y18">TRANSPOSE(T11:T16)</f>
        <v>12477.21309912248</v>
      </c>
      <c r="U18">
        <v>41367.859044011188</v>
      </c>
      <c r="V18">
        <v>33468.054367432829</v>
      </c>
      <c r="W18">
        <v>5536.5695162820202</v>
      </c>
      <c r="X18">
        <v>9506.9129251405084</v>
      </c>
      <c r="Y18">
        <v>5932.6392992005831</v>
      </c>
    </row>
    <row r="19" spans="1:25" x14ac:dyDescent="0.25">
      <c r="A19">
        <v>18</v>
      </c>
      <c r="B19">
        <v>445777.7329</v>
      </c>
      <c r="C19" s="1">
        <v>-3.0499999999999999E-5</v>
      </c>
      <c r="D19">
        <v>828799.30909999995</v>
      </c>
      <c r="E19">
        <v>8355.9591450000007</v>
      </c>
      <c r="F19">
        <v>1258727.352</v>
      </c>
      <c r="G19">
        <v>5990.2608419999997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-3.1323020621884877E-2</v>
      </c>
      <c r="M19" s="1">
        <f t="shared" si="2"/>
        <v>2878082.5207542409</v>
      </c>
      <c r="N19" s="1">
        <f t="shared" si="3"/>
        <v>965375.66286065162</v>
      </c>
      <c r="O19" s="1"/>
    </row>
    <row r="20" spans="1:25" x14ac:dyDescent="0.25">
      <c r="A20">
        <v>19</v>
      </c>
      <c r="B20">
        <v>450878.02289999998</v>
      </c>
      <c r="C20" s="1">
        <v>4.0799999999999999E-6</v>
      </c>
      <c r="D20">
        <v>832070.60530000005</v>
      </c>
      <c r="E20">
        <v>8355.9590520000002</v>
      </c>
      <c r="F20">
        <v>1261316.0549999999</v>
      </c>
      <c r="G20">
        <v>5990.2608419999997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1.5688763405920798E-2</v>
      </c>
      <c r="M20" s="1">
        <f t="shared" si="2"/>
        <v>10776258.251136152</v>
      </c>
      <c r="N20" s="1">
        <f t="shared" si="3"/>
        <v>3614607.11884192</v>
      </c>
      <c r="O20" s="1"/>
    </row>
    <row r="21" spans="1:25" x14ac:dyDescent="0.25">
      <c r="A21">
        <v>20</v>
      </c>
      <c r="B21">
        <v>502288.82179999998</v>
      </c>
      <c r="C21">
        <v>0</v>
      </c>
      <c r="D21">
        <v>932607.06099999999</v>
      </c>
      <c r="E21">
        <v>7789.9708389999996</v>
      </c>
      <c r="F21">
        <v>1315359.115</v>
      </c>
      <c r="G21">
        <v>4317.4255640000001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0</v>
      </c>
      <c r="M21" s="1">
        <f t="shared" si="2"/>
        <v>2357944.0954896244</v>
      </c>
      <c r="N21" s="1">
        <f t="shared" si="3"/>
        <v>611457.40537876391</v>
      </c>
      <c r="O21" s="1"/>
    </row>
    <row r="22" spans="1:25" x14ac:dyDescent="0.25">
      <c r="A22">
        <v>21</v>
      </c>
      <c r="B22">
        <v>541738.39029999997</v>
      </c>
      <c r="C22">
        <v>0</v>
      </c>
      <c r="D22">
        <v>967780.33840000001</v>
      </c>
      <c r="E22">
        <v>8292.6645700000008</v>
      </c>
      <c r="F22">
        <v>1346300.28</v>
      </c>
      <c r="G22">
        <v>4342.624476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0</v>
      </c>
      <c r="M22" s="1">
        <f t="shared" si="2"/>
        <v>1444708.0694260434</v>
      </c>
      <c r="N22" s="1">
        <f t="shared" si="3"/>
        <v>353982.63157513674</v>
      </c>
      <c r="O22" s="1"/>
    </row>
    <row r="23" spans="1:25" x14ac:dyDescent="0.25">
      <c r="A23">
        <v>22</v>
      </c>
      <c r="B23">
        <v>562585.60560000001</v>
      </c>
      <c r="C23" s="1">
        <v>-1.4399999999999999E-5</v>
      </c>
      <c r="D23">
        <v>1004964.159</v>
      </c>
      <c r="E23">
        <v>9355.4262049999998</v>
      </c>
      <c r="F23">
        <v>1408220.392</v>
      </c>
      <c r="G23">
        <v>2689.4293360000001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-9.6029278549308004E-3</v>
      </c>
      <c r="M23" s="1">
        <f t="shared" si="2"/>
        <v>2092415.3068297221</v>
      </c>
      <c r="N23" s="1">
        <f t="shared" si="3"/>
        <v>281441.49361360358</v>
      </c>
      <c r="O23" s="1"/>
    </row>
    <row r="24" spans="1:25" x14ac:dyDescent="0.25">
      <c r="A24">
        <v>23</v>
      </c>
      <c r="B24">
        <v>564141.62809999997</v>
      </c>
      <c r="C24" s="1">
        <v>-2.8799999999999999E-5</v>
      </c>
      <c r="D24">
        <v>999994.98849999998</v>
      </c>
      <c r="E24">
        <v>10911.888800000001</v>
      </c>
      <c r="F24">
        <v>1391814.067</v>
      </c>
      <c r="G24">
        <v>311.4839771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-2.246688673164E-2</v>
      </c>
      <c r="M24" s="1">
        <f t="shared" si="2"/>
        <v>2854916.9334471985</v>
      </c>
      <c r="N24" s="1">
        <f t="shared" si="3"/>
        <v>38130.538124310777</v>
      </c>
      <c r="O24" s="1"/>
    </row>
    <row r="25" spans="1:25" x14ac:dyDescent="0.25">
      <c r="A25">
        <v>24</v>
      </c>
      <c r="B25">
        <v>498597.93070000003</v>
      </c>
      <c r="C25" s="1">
        <v>2.0000000000000002E-5</v>
      </c>
      <c r="D25">
        <v>914110.74549999996</v>
      </c>
      <c r="E25">
        <v>8415.8154589999995</v>
      </c>
      <c r="F25">
        <v>1321500.5060000001</v>
      </c>
      <c r="G25">
        <v>2506.177263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8.2212878798050022E-3</v>
      </c>
      <c r="M25" s="1">
        <f t="shared" si="2"/>
        <v>1160243.6519786147</v>
      </c>
      <c r="N25" s="1">
        <f t="shared" si="3"/>
        <v>161662.19116987434</v>
      </c>
      <c r="O25" s="1"/>
    </row>
    <row r="26" spans="1:25" x14ac:dyDescent="0.25">
      <c r="A26">
        <v>25</v>
      </c>
      <c r="B26">
        <v>560605.33940000006</v>
      </c>
      <c r="C26" s="1">
        <v>-3.4499999999999998E-5</v>
      </c>
      <c r="D26">
        <v>1019757.0060000001</v>
      </c>
      <c r="E26">
        <v>8847.8052989999996</v>
      </c>
      <c r="F26">
        <v>1429100.459</v>
      </c>
      <c r="G26">
        <v>3160.648749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-1.1203361468197762E-2</v>
      </c>
      <c r="M26" s="1">
        <f t="shared" si="2"/>
        <v>963624.7531931015</v>
      </c>
      <c r="N26" s="1">
        <f t="shared" si="3"/>
        <v>161061.70888399173</v>
      </c>
      <c r="O26" s="1"/>
    </row>
    <row r="27" spans="1:25" x14ac:dyDescent="0.25">
      <c r="A27">
        <v>26</v>
      </c>
      <c r="B27">
        <v>634663.14879999997</v>
      </c>
      <c r="C27">
        <v>830.83359329999996</v>
      </c>
      <c r="D27">
        <v>1095423.182</v>
      </c>
      <c r="E27">
        <v>9430.4111200000007</v>
      </c>
      <c r="F27">
        <v>1509892.3740000001</v>
      </c>
      <c r="G27">
        <v>773.74410060000002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737112.17521427991</v>
      </c>
      <c r="M27" s="1">
        <f t="shared" si="2"/>
        <v>2806036.3959111422</v>
      </c>
      <c r="N27" s="1">
        <f t="shared" si="3"/>
        <v>107721.82497652735</v>
      </c>
      <c r="O27" s="1"/>
    </row>
    <row r="28" spans="1:25" x14ac:dyDescent="0.25">
      <c r="A28">
        <v>27</v>
      </c>
      <c r="B28">
        <v>555934.62650000001</v>
      </c>
      <c r="C28" s="1">
        <v>-3.2499999999999997E-5</v>
      </c>
      <c r="D28">
        <v>1002145.927</v>
      </c>
      <c r="E28">
        <v>7966.6026140000004</v>
      </c>
      <c r="F28">
        <v>1439892.5109999999</v>
      </c>
      <c r="G28">
        <v>5249.4498169999997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-7.6363047949475626E-3</v>
      </c>
      <c r="M28" s="1">
        <f t="shared" si="2"/>
        <v>627792.58941913082</v>
      </c>
      <c r="N28" s="1">
        <f t="shared" si="3"/>
        <v>193553.26288549858</v>
      </c>
      <c r="O28" s="1"/>
    </row>
    <row r="29" spans="1:25" x14ac:dyDescent="0.25">
      <c r="A29">
        <v>28</v>
      </c>
      <c r="B29">
        <v>568716.83239999996</v>
      </c>
      <c r="C29" s="1">
        <v>2.3099999999999999E-5</v>
      </c>
      <c r="D29">
        <v>1028686.291</v>
      </c>
      <c r="E29">
        <v>8962.5480470000002</v>
      </c>
      <c r="F29">
        <v>1452619.673</v>
      </c>
      <c r="G29">
        <v>4313.4670960000003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7.0432873202116433E-3</v>
      </c>
      <c r="M29" s="1">
        <f t="shared" si="2"/>
        <v>916511.79630613071</v>
      </c>
      <c r="N29" s="1">
        <f t="shared" si="3"/>
        <v>206384.33476839881</v>
      </c>
      <c r="O29" s="1"/>
    </row>
    <row r="30" spans="1:25" x14ac:dyDescent="0.25">
      <c r="A30">
        <v>29</v>
      </c>
      <c r="B30">
        <v>603337.15549999999</v>
      </c>
      <c r="C30">
        <v>723.46586239999999</v>
      </c>
      <c r="D30">
        <v>1089846.081</v>
      </c>
      <c r="E30">
        <v>10123.013010000001</v>
      </c>
      <c r="F30">
        <v>1497092.192</v>
      </c>
      <c r="G30">
        <v>2786.521385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281572.10587673017</v>
      </c>
      <c r="M30" s="1">
        <f t="shared" si="2"/>
        <v>1321370.2287232657</v>
      </c>
      <c r="N30" s="1">
        <f t="shared" si="3"/>
        <v>170184.80493095997</v>
      </c>
      <c r="O30" s="1"/>
    </row>
    <row r="31" spans="1:25" x14ac:dyDescent="0.25">
      <c r="A31">
        <v>30</v>
      </c>
      <c r="B31">
        <v>575646.05630000005</v>
      </c>
      <c r="C31" s="1">
        <v>-3.6000000000000001E-5</v>
      </c>
      <c r="D31">
        <v>1050928.7930000001</v>
      </c>
      <c r="E31">
        <v>7963.4009839999999</v>
      </c>
      <c r="F31">
        <v>1459115.736</v>
      </c>
      <c r="G31">
        <v>3020.8585509999998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-3.7545672723507E-2</v>
      </c>
      <c r="M31" s="1">
        <f t="shared" si="2"/>
        <v>2785474.0115498821</v>
      </c>
      <c r="N31" s="1">
        <f t="shared" si="3"/>
        <v>494395.59756346431</v>
      </c>
      <c r="O31" s="1"/>
    </row>
    <row r="32" spans="1:25" x14ac:dyDescent="0.25">
      <c r="A32">
        <v>31</v>
      </c>
      <c r="B32">
        <v>586446.74959999998</v>
      </c>
      <c r="C32" s="1">
        <v>3.7200000000000003E-5</v>
      </c>
      <c r="D32">
        <v>1064238.3489999999</v>
      </c>
      <c r="E32">
        <v>12713.16397</v>
      </c>
      <c r="F32">
        <v>1451409.389</v>
      </c>
      <c r="G32">
        <v>2406.2551779999999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3.5080208974406703E-2</v>
      </c>
      <c r="M32" s="1">
        <f t="shared" si="2"/>
        <v>4020832.8303135876</v>
      </c>
      <c r="N32" s="1">
        <f t="shared" si="3"/>
        <v>356080.12067736953</v>
      </c>
      <c r="O32" s="1"/>
    </row>
    <row r="33" spans="1:15" x14ac:dyDescent="0.25">
      <c r="A33">
        <v>32</v>
      </c>
      <c r="B33">
        <v>598863.00379999995</v>
      </c>
      <c r="C33">
        <v>0</v>
      </c>
      <c r="D33">
        <v>1070569.9509999999</v>
      </c>
      <c r="E33">
        <v>12039.050869999999</v>
      </c>
      <c r="F33">
        <v>1475724.1059999999</v>
      </c>
      <c r="G33">
        <v>951.43118010000001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0</v>
      </c>
      <c r="M33" s="1">
        <f t="shared" si="2"/>
        <v>1665980.7226566167</v>
      </c>
      <c r="N33" s="1">
        <f t="shared" si="3"/>
        <v>61602.562831572897</v>
      </c>
      <c r="O33" s="1"/>
    </row>
    <row r="34" spans="1:15" x14ac:dyDescent="0.25">
      <c r="A34">
        <v>33</v>
      </c>
      <c r="B34">
        <v>601496.34459999995</v>
      </c>
      <c r="C34">
        <v>1815.6114580000001</v>
      </c>
      <c r="D34">
        <v>1058122.304</v>
      </c>
      <c r="E34">
        <v>9082.4707789999993</v>
      </c>
      <c r="F34">
        <v>1434478.459</v>
      </c>
      <c r="G34">
        <v>1220.062371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773704.13058883685</v>
      </c>
      <c r="M34" s="1">
        <f t="shared" si="2"/>
        <v>1298073.0902367113</v>
      </c>
      <c r="N34" s="1">
        <f t="shared" si="3"/>
        <v>81586.978289499719</v>
      </c>
      <c r="O34" s="1"/>
    </row>
    <row r="35" spans="1:15" x14ac:dyDescent="0.25">
      <c r="A35">
        <v>34</v>
      </c>
      <c r="B35">
        <v>599859.0514</v>
      </c>
      <c r="C35">
        <v>1815.611431</v>
      </c>
      <c r="D35">
        <v>1055031.0719999999</v>
      </c>
      <c r="E35">
        <v>9082.4707789999993</v>
      </c>
      <c r="F35">
        <v>1425782.25</v>
      </c>
      <c r="G35">
        <v>1220.062371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829916.40237391903</v>
      </c>
      <c r="M35" s="1">
        <f t="shared" si="2"/>
        <v>1392382.5949697304</v>
      </c>
      <c r="N35" s="1">
        <f t="shared" si="3"/>
        <v>87514.554766524729</v>
      </c>
      <c r="O35" s="1"/>
    </row>
    <row r="36" spans="1:15" x14ac:dyDescent="0.25">
      <c r="A36">
        <v>35</v>
      </c>
      <c r="B36">
        <v>468243.08049999998</v>
      </c>
      <c r="C36" s="1">
        <v>-3.7200000000000003E-5</v>
      </c>
      <c r="D36">
        <v>851644.01229999994</v>
      </c>
      <c r="E36">
        <v>14548.074710000001</v>
      </c>
      <c r="F36">
        <v>1265153.023</v>
      </c>
      <c r="G36">
        <v>4545.6113960000002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-0.52186552646572504</v>
      </c>
      <c r="M36" s="1">
        <f t="shared" si="2"/>
        <v>68448562.015554726</v>
      </c>
      <c r="N36" s="1">
        <f t="shared" si="3"/>
        <v>10006790.082579743</v>
      </c>
      <c r="O36" s="1"/>
    </row>
    <row r="37" spans="1:15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11859.53803</v>
      </c>
      <c r="F37">
        <v>1484167.2609999999</v>
      </c>
      <c r="G37">
        <v>3722.5041059999999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469082.76192758552</v>
      </c>
      <c r="M37" s="1">
        <f t="shared" si="2"/>
        <v>2578946.6045654807</v>
      </c>
      <c r="N37" s="1">
        <f t="shared" si="3"/>
        <v>378750.69808799704</v>
      </c>
      <c r="O37" s="1"/>
    </row>
    <row r="38" spans="1:15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13456.363240000001</v>
      </c>
      <c r="F38">
        <v>1533520.737</v>
      </c>
      <c r="G38">
        <v>3722.5041059999999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2893236.5504314178</v>
      </c>
      <c r="M38" s="1">
        <f t="shared" si="2"/>
        <v>1881356.8850229545</v>
      </c>
      <c r="N38" s="1">
        <f t="shared" si="3"/>
        <v>243513.11085485219</v>
      </c>
      <c r="O38" s="1"/>
    </row>
    <row r="39" spans="1:15" x14ac:dyDescent="0.25">
      <c r="A39">
        <v>38</v>
      </c>
      <c r="B39">
        <v>631246.86849999998</v>
      </c>
      <c r="C39" s="1">
        <v>-1.49E-5</v>
      </c>
      <c r="D39">
        <v>1093682.8230000001</v>
      </c>
      <c r="E39">
        <v>15030.7294</v>
      </c>
      <c r="F39">
        <v>1543904.906</v>
      </c>
      <c r="G39">
        <v>2879.3592199999998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-3.6946155540072026E-3</v>
      </c>
      <c r="M39" s="1">
        <f t="shared" si="2"/>
        <v>1249988.9649138162</v>
      </c>
      <c r="N39" s="1">
        <f t="shared" si="3"/>
        <v>112038.07813094236</v>
      </c>
      <c r="O39" s="1"/>
    </row>
    <row r="40" spans="1:15" x14ac:dyDescent="0.25">
      <c r="A40">
        <v>39</v>
      </c>
      <c r="B40">
        <v>634500.60600000003</v>
      </c>
      <c r="C40" s="1">
        <v>-4.3100000000000002E-6</v>
      </c>
      <c r="D40">
        <v>1110085.9909999999</v>
      </c>
      <c r="E40">
        <v>11400.58827</v>
      </c>
      <c r="F40">
        <v>1546883.1910000001</v>
      </c>
      <c r="G40">
        <v>2222.9706809999998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-2.7301918449504077E-3</v>
      </c>
      <c r="M40" s="1">
        <f t="shared" si="2"/>
        <v>2422067.7853583074</v>
      </c>
      <c r="N40" s="1">
        <f t="shared" si="3"/>
        <v>220971.59212302891</v>
      </c>
      <c r="O40" s="1"/>
    </row>
    <row r="41" spans="1:15" x14ac:dyDescent="0.25">
      <c r="A41">
        <v>40</v>
      </c>
      <c r="B41">
        <v>654875.77229999995</v>
      </c>
      <c r="C41" s="1">
        <v>-4.6799999999999999E-5</v>
      </c>
      <c r="D41">
        <v>1143140.983</v>
      </c>
      <c r="E41">
        <v>13130.86738</v>
      </c>
      <c r="F41">
        <v>1548153.882</v>
      </c>
      <c r="G41">
        <v>2049.7599909999999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-2.2165000465502703E-2</v>
      </c>
      <c r="M41" s="1">
        <f t="shared" si="2"/>
        <v>2085731.7089629723</v>
      </c>
      <c r="N41" s="1">
        <f t="shared" si="3"/>
        <v>152339.21688947233</v>
      </c>
      <c r="O41" s="1"/>
    </row>
    <row r="42" spans="1:15" x14ac:dyDescent="0.25">
      <c r="A42">
        <v>41</v>
      </c>
      <c r="B42">
        <v>625705.83499999996</v>
      </c>
      <c r="C42" s="1">
        <v>-8.5399999999999996E-6</v>
      </c>
      <c r="D42">
        <v>1120140.4790000001</v>
      </c>
      <c r="E42">
        <v>13130.86738</v>
      </c>
      <c r="F42">
        <v>1520121.632</v>
      </c>
      <c r="G42">
        <v>2049.7599909999999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-1.9835990377557898E-3</v>
      </c>
      <c r="M42" s="1">
        <f t="shared" si="2"/>
        <v>1022898.5671358282</v>
      </c>
      <c r="N42" s="1">
        <f t="shared" si="3"/>
        <v>74711.222927282928</v>
      </c>
      <c r="O42" s="1"/>
    </row>
    <row r="43" spans="1:15" x14ac:dyDescent="0.25">
      <c r="A43">
        <v>42</v>
      </c>
      <c r="B43">
        <v>623032.63529999997</v>
      </c>
      <c r="C43" s="1">
        <v>2.5899999999999999E-5</v>
      </c>
      <c r="D43">
        <v>1103878.1680000001</v>
      </c>
      <c r="E43">
        <v>14567.565640000001</v>
      </c>
      <c r="F43">
        <v>1498892.7919999999</v>
      </c>
      <c r="G43">
        <v>2049.7599909999999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5.35162714483215E-3</v>
      </c>
      <c r="M43" s="1">
        <f t="shared" si="2"/>
        <v>1009522.9686644665</v>
      </c>
      <c r="N43" s="1">
        <f t="shared" si="3"/>
        <v>66462.38332278606</v>
      </c>
      <c r="O43" s="1"/>
    </row>
    <row r="44" spans="1:15" x14ac:dyDescent="0.25">
      <c r="A44">
        <v>43</v>
      </c>
      <c r="B44">
        <v>613221.04539999994</v>
      </c>
      <c r="C44">
        <v>830.83356660000004</v>
      </c>
      <c r="D44">
        <v>1094689.42</v>
      </c>
      <c r="E44">
        <v>8724.8034850000004</v>
      </c>
      <c r="F44">
        <v>1477008.7290000001</v>
      </c>
      <c r="G44">
        <v>870.83615039999995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172779.75223071076</v>
      </c>
      <c r="M44" s="1">
        <f t="shared" si="2"/>
        <v>608523.84883778647</v>
      </c>
      <c r="N44" s="1">
        <f t="shared" si="3"/>
        <v>28418.560598067848</v>
      </c>
      <c r="O44" s="1"/>
    </row>
    <row r="45" spans="1:15" x14ac:dyDescent="0.25">
      <c r="A45">
        <v>44</v>
      </c>
      <c r="B45">
        <v>623289.37150000001</v>
      </c>
      <c r="C45">
        <v>6687.0159860000003</v>
      </c>
      <c r="D45">
        <v>1093018.0379999999</v>
      </c>
      <c r="E45">
        <v>10240.515299999999</v>
      </c>
      <c r="F45">
        <v>1473073.023</v>
      </c>
      <c r="G45">
        <v>1220.062371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2525928.4462866466</v>
      </c>
      <c r="M45" s="1">
        <f t="shared" si="2"/>
        <v>1297339.4669041708</v>
      </c>
      <c r="N45" s="1">
        <f t="shared" si="3"/>
        <v>72319.852284049586</v>
      </c>
      <c r="O45" s="1"/>
    </row>
    <row r="46" spans="1:15" x14ac:dyDescent="0.25">
      <c r="A46">
        <v>45</v>
      </c>
      <c r="B46">
        <v>623978.84829999995</v>
      </c>
      <c r="C46">
        <v>6687.0159720000001</v>
      </c>
      <c r="D46">
        <v>1081143.4010000001</v>
      </c>
      <c r="E46">
        <v>9942.9566049999994</v>
      </c>
      <c r="F46">
        <v>1448935.466</v>
      </c>
      <c r="G46">
        <v>2965.0218639999998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4821221.8361549824</v>
      </c>
      <c r="M46" s="1">
        <f t="shared" si="2"/>
        <v>2404271.0955427256</v>
      </c>
      <c r="N46" s="1">
        <f t="shared" si="3"/>
        <v>335459.01673321193</v>
      </c>
      <c r="O46" s="1"/>
    </row>
    <row r="47" spans="1:15" x14ac:dyDescent="0.25">
      <c r="A47">
        <v>46</v>
      </c>
      <c r="B47">
        <v>683647.95279999997</v>
      </c>
      <c r="C47">
        <v>1815.611459</v>
      </c>
      <c r="D47">
        <v>1142893.0830000001</v>
      </c>
      <c r="E47">
        <v>11779.92236</v>
      </c>
      <c r="F47">
        <v>1571932.2890000001</v>
      </c>
      <c r="G47">
        <v>3269.8223619999999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361692.26661610859</v>
      </c>
      <c r="M47" s="1">
        <f t="shared" si="2"/>
        <v>787049.18426063634</v>
      </c>
      <c r="N47" s="1">
        <f t="shared" si="3"/>
        <v>102217.97729269261</v>
      </c>
      <c r="O47" s="1"/>
    </row>
    <row r="48" spans="1:15" x14ac:dyDescent="0.25">
      <c r="A48">
        <v>47</v>
      </c>
      <c r="B48">
        <v>706893.60699999996</v>
      </c>
      <c r="C48">
        <v>1815.6113929999999</v>
      </c>
      <c r="D48">
        <v>1181617.9180000001</v>
      </c>
      <c r="E48">
        <v>11033.23453</v>
      </c>
      <c r="F48">
        <v>1576696.86</v>
      </c>
      <c r="G48">
        <v>2162.1909000000001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819494.32652180525</v>
      </c>
      <c r="M48" s="1">
        <f t="shared" si="2"/>
        <v>1670202.1517063412</v>
      </c>
      <c r="N48" s="1">
        <f t="shared" si="3"/>
        <v>153145.38087096531</v>
      </c>
      <c r="O48" s="1"/>
    </row>
    <row r="49" spans="1:15" x14ac:dyDescent="0.25">
      <c r="A49">
        <v>48</v>
      </c>
      <c r="B49">
        <v>683325.00210000004</v>
      </c>
      <c r="C49">
        <v>1815.61148</v>
      </c>
      <c r="D49">
        <v>1178616.9280000001</v>
      </c>
      <c r="E49">
        <v>11033.23453</v>
      </c>
      <c r="F49">
        <v>1583613.334</v>
      </c>
      <c r="G49">
        <v>2522.8640329999998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790694.56639825972</v>
      </c>
      <c r="M49" s="1">
        <f t="shared" si="2"/>
        <v>1611505.6079337373</v>
      </c>
      <c r="N49" s="1">
        <f t="shared" si="3"/>
        <v>172411.60497515806</v>
      </c>
      <c r="O49" s="1"/>
    </row>
    <row r="50" spans="1:15" x14ac:dyDescent="0.25">
      <c r="A50">
        <v>49</v>
      </c>
      <c r="B50">
        <v>640322.72990000003</v>
      </c>
      <c r="C50">
        <v>6687.0159450000001</v>
      </c>
      <c r="D50">
        <v>1134765.5319999999</v>
      </c>
      <c r="E50">
        <v>13507.218409999999</v>
      </c>
      <c r="F50">
        <v>1534006.2720000001</v>
      </c>
      <c r="G50">
        <v>3269.8223619999999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2820412.1991372099</v>
      </c>
      <c r="M50" s="1">
        <f t="shared" si="2"/>
        <v>1910685.8399440406</v>
      </c>
      <c r="N50" s="1">
        <f t="shared" si="3"/>
        <v>216416.91425112655</v>
      </c>
      <c r="O50" s="1"/>
    </row>
    <row r="51" spans="1:15" x14ac:dyDescent="0.25">
      <c r="A51">
        <v>50</v>
      </c>
      <c r="B51">
        <v>646642.72640000004</v>
      </c>
      <c r="C51">
        <v>7964.7018230000003</v>
      </c>
      <c r="D51">
        <v>1141586.9539999999</v>
      </c>
      <c r="E51">
        <v>11464.15933</v>
      </c>
      <c r="F51">
        <v>1537749.9469999999</v>
      </c>
      <c r="G51">
        <v>2965.0218639999998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4335630.6234650267</v>
      </c>
      <c r="M51" s="1">
        <f t="shared" si="2"/>
        <v>2092994.580380907</v>
      </c>
      <c r="N51" s="1">
        <f t="shared" si="3"/>
        <v>253278.00039675302</v>
      </c>
      <c r="O51" s="1"/>
    </row>
    <row r="52" spans="1:15" x14ac:dyDescent="0.25">
      <c r="A52">
        <v>51</v>
      </c>
      <c r="B52">
        <v>636716.86620000005</v>
      </c>
      <c r="C52">
        <v>7964.7018179999995</v>
      </c>
      <c r="D52">
        <v>1129001.483</v>
      </c>
      <c r="E52">
        <v>11327.08293</v>
      </c>
      <c r="F52">
        <v>1523933.8089999999</v>
      </c>
      <c r="G52">
        <v>2965.0218639999998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3299463.0132594411</v>
      </c>
      <c r="M52" s="1">
        <f t="shared" si="2"/>
        <v>1573747.1625463292</v>
      </c>
      <c r="N52" s="1">
        <f t="shared" si="3"/>
        <v>192747.36883331119</v>
      </c>
      <c r="O52" s="1"/>
    </row>
    <row r="53" spans="1:15" x14ac:dyDescent="0.25">
      <c r="A53">
        <v>52</v>
      </c>
      <c r="B53">
        <v>654341.81259999995</v>
      </c>
      <c r="C53">
        <v>7719.1436729999996</v>
      </c>
      <c r="D53">
        <v>1145072.1640000001</v>
      </c>
      <c r="E53">
        <v>13654.82799</v>
      </c>
      <c r="F53">
        <v>1535235.7139999999</v>
      </c>
      <c r="G53">
        <v>2954.1392139999998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3821972.5935883652</v>
      </c>
      <c r="M53" s="1">
        <f t="shared" si="2"/>
        <v>2267502.7103063683</v>
      </c>
      <c r="N53" s="1">
        <f t="shared" si="3"/>
        <v>229528.28774569792</v>
      </c>
      <c r="O53" s="1"/>
    </row>
    <row r="54" spans="1:15" x14ac:dyDescent="0.25">
      <c r="A54">
        <v>53</v>
      </c>
      <c r="B54">
        <v>558219.8077</v>
      </c>
      <c r="C54" s="1">
        <v>-1.0699999999999999E-5</v>
      </c>
      <c r="D54">
        <v>989736.83609999996</v>
      </c>
      <c r="E54">
        <v>13666.87203</v>
      </c>
      <c r="F54">
        <v>1433753.9809999999</v>
      </c>
      <c r="G54">
        <v>6153.116591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-1.0096072549815524E-2</v>
      </c>
      <c r="M54" s="1">
        <f t="shared" si="2"/>
        <v>4324948.5947628403</v>
      </c>
      <c r="N54" s="1">
        <f t="shared" si="3"/>
        <v>911067.68857532379</v>
      </c>
      <c r="O54" s="1"/>
    </row>
    <row r="55" spans="1:15" x14ac:dyDescent="0.25">
      <c r="A55">
        <v>54</v>
      </c>
      <c r="B55">
        <v>657888.67310000001</v>
      </c>
      <c r="C55" s="1">
        <v>-4.9599999999999999E-5</v>
      </c>
      <c r="D55">
        <v>1119389.7080000001</v>
      </c>
      <c r="E55">
        <v>14263.507970000001</v>
      </c>
      <c r="F55">
        <v>1545799.1869999999</v>
      </c>
      <c r="G55">
        <v>3815.3419410000001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-2.7596158378110403E-2</v>
      </c>
      <c r="M55" s="1">
        <f t="shared" si="2"/>
        <v>2661561.0869394564</v>
      </c>
      <c r="N55" s="1">
        <f t="shared" si="3"/>
        <v>333109.66526021349</v>
      </c>
      <c r="O55" s="1"/>
    </row>
    <row r="56" spans="1:15" x14ac:dyDescent="0.25">
      <c r="A56">
        <v>55</v>
      </c>
      <c r="B56">
        <v>667430.5675</v>
      </c>
      <c r="C56">
        <v>1815.611418</v>
      </c>
      <c r="D56">
        <v>1144125.638</v>
      </c>
      <c r="E56">
        <v>11779.92236</v>
      </c>
      <c r="F56">
        <v>1567041.3</v>
      </c>
      <c r="G56">
        <v>3269.8223619999999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645955.55973590049</v>
      </c>
      <c r="M56" s="1">
        <f t="shared" si="2"/>
        <v>1405611.4956391607</v>
      </c>
      <c r="N56" s="1">
        <f t="shared" si="3"/>
        <v>182553.72957226937</v>
      </c>
      <c r="O56" s="1"/>
    </row>
    <row r="57" spans="1:15" x14ac:dyDescent="0.25">
      <c r="A57">
        <v>56</v>
      </c>
      <c r="B57">
        <v>703969.06350000005</v>
      </c>
      <c r="C57">
        <v>830.83359729999995</v>
      </c>
      <c r="D57">
        <v>1151677.375</v>
      </c>
      <c r="E57">
        <v>13035.83626</v>
      </c>
      <c r="F57">
        <v>1574381.389</v>
      </c>
      <c r="G57">
        <v>2162.1909000000001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335131.16734636517</v>
      </c>
      <c r="M57" s="1">
        <f t="shared" si="2"/>
        <v>1763529.8001015398</v>
      </c>
      <c r="N57" s="1">
        <f t="shared" si="3"/>
        <v>136861.60204762337</v>
      </c>
      <c r="O57" s="1"/>
    </row>
    <row r="58" spans="1:15" x14ac:dyDescent="0.25">
      <c r="A58">
        <v>57</v>
      </c>
      <c r="B58">
        <v>716864.38890000002</v>
      </c>
      <c r="C58">
        <v>830.83358050000004</v>
      </c>
      <c r="D58">
        <v>1185634.0719999999</v>
      </c>
      <c r="E58">
        <v>13035.83626</v>
      </c>
      <c r="F58">
        <v>1577632.6470000001</v>
      </c>
      <c r="G58">
        <v>2857.0246379999999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812833.59514492389</v>
      </c>
      <c r="M58" s="1">
        <f t="shared" si="2"/>
        <v>4277299.2673213882</v>
      </c>
      <c r="N58" s="1">
        <f t="shared" si="3"/>
        <v>438619.97353329317</v>
      </c>
      <c r="O58" s="1"/>
    </row>
    <row r="59" spans="1:15" x14ac:dyDescent="0.25">
      <c r="A59">
        <v>58</v>
      </c>
      <c r="B59">
        <v>686818.17420000001</v>
      </c>
      <c r="C59">
        <v>6687.0159510000003</v>
      </c>
      <c r="D59">
        <v>1169405.317</v>
      </c>
      <c r="E59">
        <v>13112.188200000001</v>
      </c>
      <c r="F59">
        <v>1569909.8959999999</v>
      </c>
      <c r="G59">
        <v>1220.062371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4714701.7268066891</v>
      </c>
      <c r="M59" s="1">
        <f t="shared" si="2"/>
        <v>3100560.2459317669</v>
      </c>
      <c r="N59" s="1">
        <f t="shared" si="3"/>
        <v>134986.61639916728</v>
      </c>
      <c r="O59" s="1"/>
    </row>
    <row r="60" spans="1:15" x14ac:dyDescent="0.25">
      <c r="A60">
        <v>59</v>
      </c>
      <c r="B60">
        <v>656568.69330000004</v>
      </c>
      <c r="C60">
        <v>7207.3356229999999</v>
      </c>
      <c r="D60">
        <v>1144579.612</v>
      </c>
      <c r="E60">
        <v>12035.9449</v>
      </c>
      <c r="F60">
        <v>1547928.307</v>
      </c>
      <c r="G60">
        <v>1414.2689969999999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2428119.9073253903</v>
      </c>
      <c r="M60" s="1">
        <f t="shared" si="2"/>
        <v>1359936.7537054147</v>
      </c>
      <c r="N60" s="1">
        <f t="shared" si="3"/>
        <v>74767.734158762716</v>
      </c>
      <c r="O60" s="1"/>
    </row>
    <row r="61" spans="1:15" x14ac:dyDescent="0.25">
      <c r="A61">
        <v>60</v>
      </c>
      <c r="B61">
        <v>659034.6986</v>
      </c>
      <c r="C61" s="1">
        <v>-2.4700000000000001E-5</v>
      </c>
      <c r="D61">
        <v>1077264.7660000001</v>
      </c>
      <c r="E61">
        <v>9526.3337119999997</v>
      </c>
      <c r="F61">
        <v>1464171.1089999999</v>
      </c>
      <c r="G61">
        <v>2156.0450919999998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-8.6826517268825763E-3</v>
      </c>
      <c r="M61" s="1">
        <f t="shared" si="2"/>
        <v>1123115.3318260801</v>
      </c>
      <c r="N61" s="1">
        <f t="shared" si="3"/>
        <v>118932.37255756032</v>
      </c>
      <c r="O61" s="1"/>
    </row>
    <row r="62" spans="1:15" x14ac:dyDescent="0.25">
      <c r="A62">
        <v>61</v>
      </c>
      <c r="B62">
        <v>680583.82539999997</v>
      </c>
      <c r="C62">
        <v>10581.49613</v>
      </c>
      <c r="D62">
        <v>1147397.125</v>
      </c>
      <c r="E62">
        <v>6988.3501560000004</v>
      </c>
      <c r="F62">
        <v>1531584.226</v>
      </c>
      <c r="G62">
        <v>1631.7282310000001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3292289.4062759737</v>
      </c>
      <c r="M62" s="1">
        <f t="shared" si="2"/>
        <v>729237.04330591171</v>
      </c>
      <c r="N62" s="1">
        <f t="shared" si="3"/>
        <v>79668.303596273152</v>
      </c>
      <c r="O62" s="1"/>
    </row>
    <row r="63" spans="1:15" x14ac:dyDescent="0.25">
      <c r="A63">
        <v>62</v>
      </c>
      <c r="B63">
        <v>655803.60019999999</v>
      </c>
      <c r="C63">
        <v>11445.10713</v>
      </c>
      <c r="D63">
        <v>1136514.3940000001</v>
      </c>
      <c r="E63">
        <v>11964.644780000001</v>
      </c>
      <c r="F63">
        <v>1523551.2109999999</v>
      </c>
      <c r="G63">
        <v>1414.2689969999999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5232601.6259902129</v>
      </c>
      <c r="M63" s="1">
        <f t="shared" si="2"/>
        <v>1834597.3249885747</v>
      </c>
      <c r="N63" s="1">
        <f t="shared" si="3"/>
        <v>101465.09021268673</v>
      </c>
      <c r="O63" s="1"/>
    </row>
    <row r="64" spans="1:15" x14ac:dyDescent="0.25">
      <c r="A64">
        <v>63</v>
      </c>
      <c r="B64">
        <v>665915.45920000004</v>
      </c>
      <c r="C64">
        <v>8640.8881760000004</v>
      </c>
      <c r="D64">
        <v>1111753.7879999999</v>
      </c>
      <c r="E64">
        <v>11193.05651</v>
      </c>
      <c r="F64">
        <v>1494529.0360000001</v>
      </c>
      <c r="G64">
        <v>1414.2689969999999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19315424.236165076</v>
      </c>
      <c r="M64" s="1">
        <f t="shared" si="2"/>
        <v>8391463.3039924745</v>
      </c>
      <c r="N64" s="1">
        <f t="shared" si="3"/>
        <v>496094.83168504119</v>
      </c>
      <c r="O64" s="1"/>
    </row>
    <row r="65" spans="1:15" x14ac:dyDescent="0.25">
      <c r="A65">
        <v>64</v>
      </c>
      <c r="B65">
        <v>279396.8028</v>
      </c>
      <c r="C65" s="1">
        <v>-3.8399999999999998E-5</v>
      </c>
      <c r="D65">
        <v>633036.03060000006</v>
      </c>
      <c r="E65">
        <v>8355.9590939999998</v>
      </c>
      <c r="F65">
        <v>1100057.0819999999</v>
      </c>
      <c r="G65">
        <v>12636.12326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-0.17912781452592</v>
      </c>
      <c r="M65" s="1">
        <f t="shared" si="2"/>
        <v>13072879.110144753</v>
      </c>
      <c r="N65" s="1">
        <f t="shared" si="3"/>
        <v>9249802.7504680399</v>
      </c>
      <c r="O65" s="1"/>
    </row>
    <row r="66" spans="1:15" x14ac:dyDescent="0.25">
      <c r="A66">
        <v>65</v>
      </c>
      <c r="B66">
        <v>532611.43290000001</v>
      </c>
      <c r="C66" s="1">
        <v>-4.2599999999999999E-5</v>
      </c>
      <c r="D66">
        <v>938933.34239999996</v>
      </c>
      <c r="E66">
        <v>9782.67533</v>
      </c>
      <c r="F66">
        <v>1367756.4140000001</v>
      </c>
      <c r="G66">
        <v>3316.0430329999999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-1.9930493308016849E-2</v>
      </c>
      <c r="M66" s="1">
        <f t="shared" si="2"/>
        <v>1535002.9921775553</v>
      </c>
      <c r="N66" s="1">
        <f t="shared" si="3"/>
        <v>243453.16340869793</v>
      </c>
      <c r="O66" s="1"/>
    </row>
    <row r="67" spans="1:15" x14ac:dyDescent="0.25">
      <c r="A67">
        <v>66</v>
      </c>
      <c r="B67">
        <v>553286.84589999996</v>
      </c>
      <c r="C67" s="1">
        <v>2.8E-5</v>
      </c>
      <c r="D67">
        <v>975253.5638</v>
      </c>
      <c r="E67">
        <v>14548.07474</v>
      </c>
      <c r="F67">
        <v>1406559.6259999999</v>
      </c>
      <c r="G67">
        <v>5979.9059010000001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1.4992788669131002E-2</v>
      </c>
      <c r="M67" s="1">
        <f t="shared" ref="M67:M130" si="7">$U$3*$K67*E67</f>
        <v>2612600.7585747452</v>
      </c>
      <c r="N67" s="1">
        <f t="shared" ref="N67:N130" si="8">$U$4*$K67*G67</f>
        <v>502464.69639385748</v>
      </c>
      <c r="O67" s="1"/>
    </row>
    <row r="68" spans="1:15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9080.9862990000001</v>
      </c>
      <c r="F68">
        <v>1474977.254</v>
      </c>
      <c r="G68">
        <v>3722.5041059999999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2542438.2990200603</v>
      </c>
      <c r="M68" s="1">
        <f t="shared" si="7"/>
        <v>1972330.2994622139</v>
      </c>
      <c r="N68" s="1">
        <f t="shared" si="8"/>
        <v>378290.54764758336</v>
      </c>
      <c r="O68" s="1"/>
    </row>
    <row r="69" spans="1:15" x14ac:dyDescent="0.25">
      <c r="A69">
        <v>68</v>
      </c>
      <c r="B69">
        <v>624702.1311</v>
      </c>
      <c r="C69">
        <v>6940.3855270000004</v>
      </c>
      <c r="D69">
        <v>1095124.871</v>
      </c>
      <c r="E69">
        <v>12533.228859999999</v>
      </c>
      <c r="F69">
        <v>1511831.5460000001</v>
      </c>
      <c r="G69">
        <v>3342.2378990000002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3187171.0340079055</v>
      </c>
      <c r="M69" s="1">
        <f t="shared" si="7"/>
        <v>1930313.6480937086</v>
      </c>
      <c r="N69" s="1">
        <f t="shared" si="8"/>
        <v>240849.61085532827</v>
      </c>
      <c r="O69" s="1"/>
    </row>
    <row r="70" spans="1:15" x14ac:dyDescent="0.25">
      <c r="A70">
        <v>69</v>
      </c>
      <c r="B70">
        <v>649439.59880000004</v>
      </c>
      <c r="C70">
        <v>830.83355040000004</v>
      </c>
      <c r="D70">
        <v>1110700.0260000001</v>
      </c>
      <c r="E70">
        <v>14263.507970000001</v>
      </c>
      <c r="F70">
        <v>1540817.6769999999</v>
      </c>
      <c r="G70">
        <v>2522.8640329999998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220629.61541691542</v>
      </c>
      <c r="M70" s="1">
        <f t="shared" si="7"/>
        <v>1270337.9381524336</v>
      </c>
      <c r="N70" s="1">
        <f t="shared" si="8"/>
        <v>105130.91461046133</v>
      </c>
      <c r="O70" s="1"/>
    </row>
    <row r="71" spans="1:15" x14ac:dyDescent="0.25">
      <c r="A71">
        <v>70</v>
      </c>
      <c r="B71">
        <v>618703.35389999999</v>
      </c>
      <c r="C71">
        <v>6940.385518</v>
      </c>
      <c r="D71">
        <v>1085522.959</v>
      </c>
      <c r="E71">
        <v>12147.276099999999</v>
      </c>
      <c r="F71">
        <v>1497735.8289999999</v>
      </c>
      <c r="G71">
        <v>2985.7427120000002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1754924.2548557124</v>
      </c>
      <c r="M71" s="1">
        <f t="shared" si="7"/>
        <v>1030141.3527358564</v>
      </c>
      <c r="N71" s="1">
        <f t="shared" si="8"/>
        <v>118471.52463410338</v>
      </c>
      <c r="O71" s="1"/>
    </row>
    <row r="72" spans="1:15" x14ac:dyDescent="0.25">
      <c r="A72">
        <v>71</v>
      </c>
      <c r="B72">
        <v>662425.14839999995</v>
      </c>
      <c r="C72">
        <v>6687.016012</v>
      </c>
      <c r="D72">
        <v>1146003.0649999999</v>
      </c>
      <c r="E72">
        <v>12497.212519999999</v>
      </c>
      <c r="F72">
        <v>1563460.0390000001</v>
      </c>
      <c r="G72">
        <v>1317.154421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1634471.9773528874</v>
      </c>
      <c r="M72" s="1">
        <f t="shared" si="7"/>
        <v>1024475.1021205577</v>
      </c>
      <c r="N72" s="1">
        <f t="shared" si="8"/>
        <v>50520.614572611921</v>
      </c>
      <c r="O72" s="1"/>
    </row>
    <row r="73" spans="1:15" x14ac:dyDescent="0.25">
      <c r="A73">
        <v>72</v>
      </c>
      <c r="B73">
        <v>624109.89859999996</v>
      </c>
      <c r="C73">
        <v>1815.611449</v>
      </c>
      <c r="D73">
        <v>1119524.284</v>
      </c>
      <c r="E73">
        <v>11033.23453</v>
      </c>
      <c r="F73">
        <v>1513477.7</v>
      </c>
      <c r="G73">
        <v>1317.154421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643992.35371239716</v>
      </c>
      <c r="M73" s="1">
        <f t="shared" si="7"/>
        <v>1312513.5182360006</v>
      </c>
      <c r="N73" s="1">
        <f t="shared" si="8"/>
        <v>73313.053320001927</v>
      </c>
      <c r="O73" s="1"/>
    </row>
    <row r="74" spans="1:15" x14ac:dyDescent="0.25">
      <c r="A74">
        <v>73</v>
      </c>
      <c r="B74">
        <v>643838.20460000006</v>
      </c>
      <c r="C74">
        <v>7034.1986909999996</v>
      </c>
      <c r="D74">
        <v>1140932.058</v>
      </c>
      <c r="E74">
        <v>10164.46305</v>
      </c>
      <c r="F74">
        <v>1544322.327</v>
      </c>
      <c r="G74">
        <v>2965.0218639999998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5508515.1246958794</v>
      </c>
      <c r="M74" s="1">
        <f t="shared" si="7"/>
        <v>2669607.9883381878</v>
      </c>
      <c r="N74" s="1">
        <f t="shared" si="8"/>
        <v>364363.30278094258</v>
      </c>
      <c r="O74" s="1"/>
    </row>
    <row r="75" spans="1:15" x14ac:dyDescent="0.25">
      <c r="A75">
        <v>74</v>
      </c>
      <c r="B75">
        <v>653928.64280000003</v>
      </c>
      <c r="C75">
        <v>7207.3355529999999</v>
      </c>
      <c r="D75">
        <v>1127760.9809999999</v>
      </c>
      <c r="E75">
        <v>11426.635319999999</v>
      </c>
      <c r="F75">
        <v>1530798.898</v>
      </c>
      <c r="G75">
        <v>1414.2689969999999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4501827.7375277765</v>
      </c>
      <c r="M75" s="1">
        <f t="shared" si="7"/>
        <v>2393732.6016971413</v>
      </c>
      <c r="N75" s="1">
        <f t="shared" si="8"/>
        <v>138622.25739414484</v>
      </c>
      <c r="O75" s="1"/>
    </row>
    <row r="76" spans="1:15" x14ac:dyDescent="0.25">
      <c r="A76">
        <v>75</v>
      </c>
      <c r="B76">
        <v>661320.95479999995</v>
      </c>
      <c r="C76">
        <v>8640.8881959999999</v>
      </c>
      <c r="D76">
        <v>1129542.2379999999</v>
      </c>
      <c r="E76">
        <v>11131.47969</v>
      </c>
      <c r="F76">
        <v>1519406.298</v>
      </c>
      <c r="G76">
        <v>1158.6241889999999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3031444.8187926398</v>
      </c>
      <c r="M76" s="1">
        <f t="shared" si="7"/>
        <v>1309746.7110856939</v>
      </c>
      <c r="N76" s="1">
        <f t="shared" si="8"/>
        <v>63785.312508529627</v>
      </c>
      <c r="O76" s="1"/>
    </row>
    <row r="77" spans="1:15" x14ac:dyDescent="0.25">
      <c r="A77">
        <v>76</v>
      </c>
      <c r="B77">
        <v>675412.00450000004</v>
      </c>
      <c r="C77">
        <v>11445.1072</v>
      </c>
      <c r="D77">
        <v>1141519.4240000001</v>
      </c>
      <c r="E77">
        <v>5054.319047</v>
      </c>
      <c r="F77">
        <v>1523316.943</v>
      </c>
      <c r="G77">
        <v>2902.5283749999999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3511544.5687104515</v>
      </c>
      <c r="M77" s="1">
        <f t="shared" si="7"/>
        <v>520096.71378565277</v>
      </c>
      <c r="N77" s="1">
        <f t="shared" si="8"/>
        <v>139746.71546544434</v>
      </c>
      <c r="O77" s="1"/>
    </row>
    <row r="78" spans="1:15" x14ac:dyDescent="0.25">
      <c r="A78">
        <v>77</v>
      </c>
      <c r="B78">
        <v>696186.70669999998</v>
      </c>
      <c r="C78">
        <v>10933.299129999999</v>
      </c>
      <c r="D78">
        <v>1136004.969</v>
      </c>
      <c r="E78">
        <v>5054.319047</v>
      </c>
      <c r="F78">
        <v>1508295.5970000001</v>
      </c>
      <c r="G78">
        <v>4864.7425979999998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5036919.2375665139</v>
      </c>
      <c r="M78" s="1">
        <f t="shared" si="7"/>
        <v>780943.37804709643</v>
      </c>
      <c r="N78" s="1">
        <f t="shared" si="8"/>
        <v>351690.3388031607</v>
      </c>
      <c r="O78" s="1"/>
    </row>
    <row r="79" spans="1:15" x14ac:dyDescent="0.25">
      <c r="A79">
        <v>78</v>
      </c>
      <c r="B79">
        <v>559522.71499999997</v>
      </c>
      <c r="C79" s="1">
        <v>-1.1199999999999999E-5</v>
      </c>
      <c r="D79">
        <v>994268.05130000005</v>
      </c>
      <c r="E79">
        <v>8225.3955569999998</v>
      </c>
      <c r="F79">
        <v>1407068.567</v>
      </c>
      <c r="G79">
        <v>3414.9503650000001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-8.1322592474395994E-3</v>
      </c>
      <c r="M79" s="1">
        <f t="shared" si="7"/>
        <v>2003056.140100698</v>
      </c>
      <c r="N79" s="1">
        <f t="shared" si="8"/>
        <v>389102.84229429753</v>
      </c>
      <c r="O79" s="1"/>
    </row>
    <row r="80" spans="1:15" x14ac:dyDescent="0.25">
      <c r="A80">
        <v>79</v>
      </c>
      <c r="B80">
        <v>539763.70719999995</v>
      </c>
      <c r="C80" s="1">
        <v>-1.8300000000000001E-5</v>
      </c>
      <c r="D80">
        <v>972729.84400000004</v>
      </c>
      <c r="E80">
        <v>14548.07473</v>
      </c>
      <c r="F80">
        <v>1384357.105</v>
      </c>
      <c r="G80">
        <v>5979.9059010000001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-2.5274793833730679E-2</v>
      </c>
      <c r="M80" s="1">
        <f t="shared" si="7"/>
        <v>6738840.7319296887</v>
      </c>
      <c r="N80" s="1">
        <f t="shared" si="8"/>
        <v>1296037.8862441545</v>
      </c>
      <c r="O80" s="1"/>
    </row>
    <row r="81" spans="1:15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11303.561030000001</v>
      </c>
      <c r="F81">
        <v>1412382.041</v>
      </c>
      <c r="G81">
        <v>3722.5041059999999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525890.75256437436</v>
      </c>
      <c r="M81" s="1">
        <f t="shared" si="7"/>
        <v>2755725.0085477997</v>
      </c>
      <c r="N81" s="1">
        <f t="shared" si="8"/>
        <v>424619.03368013422</v>
      </c>
      <c r="O81" s="1"/>
    </row>
    <row r="82" spans="1:15" x14ac:dyDescent="0.25">
      <c r="A82">
        <v>81</v>
      </c>
      <c r="B82">
        <v>601412.6483</v>
      </c>
      <c r="C82" s="1">
        <v>4.8199999999999999E-5</v>
      </c>
      <c r="D82">
        <v>1047764.909</v>
      </c>
      <c r="E82">
        <v>13159.64309</v>
      </c>
      <c r="F82">
        <v>1457872.2919999999</v>
      </c>
      <c r="G82">
        <v>3539.2196090000002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2.3637016854895599E-2</v>
      </c>
      <c r="M82" s="1">
        <f t="shared" si="7"/>
        <v>2164376.8210647115</v>
      </c>
      <c r="N82" s="1">
        <f t="shared" si="8"/>
        <v>272357.88516480121</v>
      </c>
      <c r="O82" s="1"/>
    </row>
    <row r="83" spans="1:15" x14ac:dyDescent="0.25">
      <c r="A83">
        <v>82</v>
      </c>
      <c r="B83">
        <v>628226.8848</v>
      </c>
      <c r="C83">
        <v>1815.6114580000001</v>
      </c>
      <c r="D83">
        <v>1084681.236</v>
      </c>
      <c r="E83">
        <v>10769.91647</v>
      </c>
      <c r="F83">
        <v>1514196.9439999999</v>
      </c>
      <c r="G83">
        <v>1415.232571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994057.83055585285</v>
      </c>
      <c r="M83" s="1">
        <f t="shared" si="7"/>
        <v>1977626.2036252988</v>
      </c>
      <c r="N83" s="1">
        <f t="shared" si="8"/>
        <v>121591.54200960671</v>
      </c>
      <c r="O83" s="1"/>
    </row>
    <row r="84" spans="1:15" x14ac:dyDescent="0.25">
      <c r="A84">
        <v>83</v>
      </c>
      <c r="B84">
        <v>622301.30759999994</v>
      </c>
      <c r="C84" s="1">
        <v>4.6300000000000001E-5</v>
      </c>
      <c r="D84">
        <v>1091641.6299999999</v>
      </c>
      <c r="E84">
        <v>13130.86738</v>
      </c>
      <c r="F84">
        <v>1493463.81</v>
      </c>
      <c r="G84">
        <v>2360.5179429999998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2.5672968234935777E-2</v>
      </c>
      <c r="M84" s="1">
        <f t="shared" si="7"/>
        <v>2441921.1951941838</v>
      </c>
      <c r="N84" s="1">
        <f t="shared" si="8"/>
        <v>205394.69085232643</v>
      </c>
      <c r="O84" s="1"/>
    </row>
    <row r="85" spans="1:15" x14ac:dyDescent="0.25">
      <c r="A85">
        <v>84</v>
      </c>
      <c r="B85">
        <v>635368.84180000005</v>
      </c>
      <c r="C85">
        <v>1815.6114769999999</v>
      </c>
      <c r="D85">
        <v>1119773.2690000001</v>
      </c>
      <c r="E85">
        <v>9153.8652020000009</v>
      </c>
      <c r="F85">
        <v>1522926.388</v>
      </c>
      <c r="G85">
        <v>1425.1516469999999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978148.19373771921</v>
      </c>
      <c r="M85" s="1">
        <f t="shared" si="7"/>
        <v>1653976.7016600294</v>
      </c>
      <c r="N85" s="1">
        <f t="shared" si="8"/>
        <v>120484.07064668438</v>
      </c>
      <c r="O85" s="1"/>
    </row>
    <row r="86" spans="1:15" x14ac:dyDescent="0.25">
      <c r="A86">
        <v>85</v>
      </c>
      <c r="B86">
        <v>643156.78170000005</v>
      </c>
      <c r="C86">
        <v>1815.611478</v>
      </c>
      <c r="D86">
        <v>1110231.675</v>
      </c>
      <c r="E86">
        <v>9153.8652020000009</v>
      </c>
      <c r="F86">
        <v>1501429.264</v>
      </c>
      <c r="G86">
        <v>1220.062371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901362.15660511178</v>
      </c>
      <c r="M86" s="1">
        <f t="shared" si="7"/>
        <v>1524137.1558076271</v>
      </c>
      <c r="N86" s="1">
        <f t="shared" si="8"/>
        <v>95048.495910020647</v>
      </c>
      <c r="O86" s="1"/>
    </row>
    <row r="87" spans="1:15" x14ac:dyDescent="0.25">
      <c r="A87">
        <v>86</v>
      </c>
      <c r="B87">
        <v>664435.13749999995</v>
      </c>
      <c r="C87">
        <v>7835.185133</v>
      </c>
      <c r="D87">
        <v>1086262.635</v>
      </c>
      <c r="E87">
        <v>11063.05796</v>
      </c>
      <c r="F87">
        <v>1481142.2990000001</v>
      </c>
      <c r="G87">
        <v>1158.6241889999999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3086931.2252731854</v>
      </c>
      <c r="M87" s="1">
        <f t="shared" si="7"/>
        <v>1461827.1238145952</v>
      </c>
      <c r="N87" s="1">
        <f t="shared" si="8"/>
        <v>71632.003371824991</v>
      </c>
      <c r="O87" s="1"/>
    </row>
    <row r="88" spans="1:15" x14ac:dyDescent="0.25">
      <c r="A88">
        <v>87</v>
      </c>
      <c r="B88">
        <v>681737.19609999994</v>
      </c>
      <c r="C88">
        <v>9827.9191769999998</v>
      </c>
      <c r="D88">
        <v>1109749.132</v>
      </c>
      <c r="E88">
        <v>6390.0857759999999</v>
      </c>
      <c r="F88">
        <v>1487923.7250000001</v>
      </c>
      <c r="G88">
        <v>3873.539264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3785980.0249830275</v>
      </c>
      <c r="M88" s="1">
        <f t="shared" si="7"/>
        <v>825594.07370178937</v>
      </c>
      <c r="N88" s="1">
        <f t="shared" si="8"/>
        <v>234159.35851387252</v>
      </c>
      <c r="O88" s="1"/>
    </row>
    <row r="89" spans="1:15" x14ac:dyDescent="0.25">
      <c r="A89">
        <v>88</v>
      </c>
      <c r="B89">
        <v>540322.37150000001</v>
      </c>
      <c r="C89" s="1">
        <v>4.4299999999999999E-6</v>
      </c>
      <c r="D89">
        <v>948476.53899999999</v>
      </c>
      <c r="E89">
        <v>8038.1691449999998</v>
      </c>
      <c r="F89">
        <v>1376484.825</v>
      </c>
      <c r="G89">
        <v>3909.0005230000002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5.7502758373801652E-3</v>
      </c>
      <c r="M89" s="1">
        <f t="shared" si="7"/>
        <v>3499332.654577699</v>
      </c>
      <c r="N89" s="1">
        <f t="shared" si="8"/>
        <v>796228.09101675975</v>
      </c>
      <c r="O89" s="1"/>
    </row>
    <row r="90" spans="1:15" x14ac:dyDescent="0.25">
      <c r="A90">
        <v>89</v>
      </c>
      <c r="B90">
        <v>500885.06209999998</v>
      </c>
      <c r="C90" s="1">
        <v>-4.9599999999999999E-5</v>
      </c>
      <c r="D90">
        <v>935810.10770000005</v>
      </c>
      <c r="E90">
        <v>14574.043390000001</v>
      </c>
      <c r="F90">
        <v>1341063.328</v>
      </c>
      <c r="G90">
        <v>3758.1090140000001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-0.15124377102628039</v>
      </c>
      <c r="M90" s="1">
        <f t="shared" si="7"/>
        <v>14904555.066567101</v>
      </c>
      <c r="N90" s="1">
        <f t="shared" si="8"/>
        <v>1798258.0359470246</v>
      </c>
      <c r="O90" s="1"/>
    </row>
    <row r="91" spans="1:15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8341.5402799999993</v>
      </c>
      <c r="F91">
        <v>1357029.52</v>
      </c>
      <c r="G91">
        <v>5385.2921699999997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1624261.3044091165</v>
      </c>
      <c r="M91" s="1">
        <f t="shared" si="7"/>
        <v>1157439.6422895249</v>
      </c>
      <c r="N91" s="1">
        <f t="shared" si="8"/>
        <v>349627.06940779422</v>
      </c>
      <c r="O91" s="1"/>
    </row>
    <row r="92" spans="1:15" x14ac:dyDescent="0.25">
      <c r="A92">
        <v>91</v>
      </c>
      <c r="B92">
        <v>507687.76699999999</v>
      </c>
      <c r="C92" s="1">
        <v>3.4E-5</v>
      </c>
      <c r="D92">
        <v>941994.58479999995</v>
      </c>
      <c r="E92">
        <v>14574.04334</v>
      </c>
      <c r="F92">
        <v>1336454.125</v>
      </c>
      <c r="G92">
        <v>4069.9074340000002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3.1366476107492498E-2</v>
      </c>
      <c r="M92" s="1">
        <f t="shared" si="7"/>
        <v>4509309.1096190093</v>
      </c>
      <c r="N92" s="1">
        <f t="shared" si="8"/>
        <v>589193.78902277129</v>
      </c>
      <c r="O92" s="1"/>
    </row>
    <row r="93" spans="1:15" x14ac:dyDescent="0.25">
      <c r="A93">
        <v>92</v>
      </c>
      <c r="B93">
        <v>627792.07209999999</v>
      </c>
      <c r="C93">
        <v>6687.0160059999998</v>
      </c>
      <c r="D93">
        <v>1066481.791</v>
      </c>
      <c r="E93">
        <v>12497.212519999999</v>
      </c>
      <c r="F93">
        <v>1439412.078</v>
      </c>
      <c r="G93">
        <v>1957.1016239999999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4117782.6611624346</v>
      </c>
      <c r="M93" s="1">
        <f t="shared" si="7"/>
        <v>2580996.1103903349</v>
      </c>
      <c r="N93" s="1">
        <f t="shared" si="8"/>
        <v>189117.29625874449</v>
      </c>
      <c r="O93" s="1"/>
    </row>
    <row r="94" spans="1:15" x14ac:dyDescent="0.25">
      <c r="A94">
        <v>93</v>
      </c>
      <c r="B94">
        <v>670392.42839999998</v>
      </c>
      <c r="C94">
        <v>7964.7018900000003</v>
      </c>
      <c r="D94">
        <v>1110217.6100000001</v>
      </c>
      <c r="E94">
        <v>11250.73098</v>
      </c>
      <c r="F94">
        <v>1503735.4680000001</v>
      </c>
      <c r="G94">
        <v>1220.062371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3245315.2438051603</v>
      </c>
      <c r="M94" s="1">
        <f t="shared" si="7"/>
        <v>1537486.2541401123</v>
      </c>
      <c r="N94" s="1">
        <f t="shared" si="8"/>
        <v>78011.065998978345</v>
      </c>
      <c r="O94" s="1"/>
    </row>
    <row r="95" spans="1:15" x14ac:dyDescent="0.25">
      <c r="A95">
        <v>94</v>
      </c>
      <c r="B95">
        <v>694974.45360000001</v>
      </c>
      <c r="C95">
        <v>7835.1850889999996</v>
      </c>
      <c r="D95">
        <v>1127144.4029999999</v>
      </c>
      <c r="E95">
        <v>7260.1923379999998</v>
      </c>
      <c r="F95">
        <v>1508664.743</v>
      </c>
      <c r="G95">
        <v>1414.2689969999999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3932538.6939154384</v>
      </c>
      <c r="M95" s="1">
        <f t="shared" si="7"/>
        <v>1222123.253481867</v>
      </c>
      <c r="N95" s="1">
        <f t="shared" si="8"/>
        <v>111389.07065136894</v>
      </c>
      <c r="O95" s="1"/>
    </row>
    <row r="96" spans="1:15" x14ac:dyDescent="0.25">
      <c r="A96">
        <v>95</v>
      </c>
      <c r="B96">
        <v>709154.72730000003</v>
      </c>
      <c r="C96">
        <v>7835.1851580000002</v>
      </c>
      <c r="D96">
        <v>1158650.7520000001</v>
      </c>
      <c r="E96">
        <v>6650.8827529999999</v>
      </c>
      <c r="F96">
        <v>1536501.4669999999</v>
      </c>
      <c r="G96">
        <v>1414.2689969999999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3052223.7266934104</v>
      </c>
      <c r="M96" s="1">
        <f t="shared" si="7"/>
        <v>868939.47823456908</v>
      </c>
      <c r="N96" s="1">
        <f t="shared" si="8"/>
        <v>86454.168109883947</v>
      </c>
      <c r="O96" s="1"/>
    </row>
    <row r="97" spans="1:15" x14ac:dyDescent="0.25">
      <c r="A97">
        <v>96</v>
      </c>
      <c r="B97">
        <v>703359.34409999999</v>
      </c>
      <c r="C97">
        <v>7835.1850889999996</v>
      </c>
      <c r="D97">
        <v>1127704.2960000001</v>
      </c>
      <c r="E97">
        <v>6238.3344770000003</v>
      </c>
      <c r="F97">
        <v>1500351.817</v>
      </c>
      <c r="G97">
        <v>1414.2689969999999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7146466.5196576323</v>
      </c>
      <c r="M97" s="1">
        <f t="shared" si="7"/>
        <v>1908331.8405517598</v>
      </c>
      <c r="N97" s="1">
        <f t="shared" si="8"/>
        <v>202423.50451565674</v>
      </c>
      <c r="O97" s="1"/>
    </row>
    <row r="98" spans="1:15" x14ac:dyDescent="0.25">
      <c r="A98">
        <v>97</v>
      </c>
      <c r="B98">
        <v>659982.86919999996</v>
      </c>
      <c r="C98">
        <v>6687.0159970000004</v>
      </c>
      <c r="D98">
        <v>1110761.828</v>
      </c>
      <c r="E98">
        <v>9666.7090580000004</v>
      </c>
      <c r="F98">
        <v>1479301.534</v>
      </c>
      <c r="G98">
        <v>964.41756269999996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6252367.941102582</v>
      </c>
      <c r="M98" s="1">
        <f t="shared" si="7"/>
        <v>3031335.1128252638</v>
      </c>
      <c r="N98" s="1">
        <f t="shared" si="8"/>
        <v>141502.49292839237</v>
      </c>
      <c r="O98" s="1"/>
    </row>
    <row r="99" spans="1:15" x14ac:dyDescent="0.25">
      <c r="A99">
        <v>98</v>
      </c>
      <c r="B99">
        <v>672796.68579999998</v>
      </c>
      <c r="C99">
        <v>7034.1986779999997</v>
      </c>
      <c r="D99">
        <v>1135278.43</v>
      </c>
      <c r="E99">
        <v>4884.8073480000003</v>
      </c>
      <c r="F99">
        <v>1479775.085</v>
      </c>
      <c r="G99">
        <v>640.52489679999996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4385814.0455662319</v>
      </c>
      <c r="M99" s="1">
        <f t="shared" si="7"/>
        <v>1021471.2805961999</v>
      </c>
      <c r="N99" s="1">
        <f t="shared" si="8"/>
        <v>62669.815149728449</v>
      </c>
      <c r="O99" s="1"/>
    </row>
    <row r="100" spans="1:15" x14ac:dyDescent="0.25">
      <c r="A100">
        <v>99</v>
      </c>
      <c r="B100">
        <v>579723.35549999995</v>
      </c>
      <c r="C100">
        <v>1815.61142</v>
      </c>
      <c r="D100">
        <v>975062.16680000001</v>
      </c>
      <c r="E100">
        <v>10087.519190000001</v>
      </c>
      <c r="F100">
        <v>1368198.202</v>
      </c>
      <c r="G100">
        <v>1425.1516469999999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1193143.5883767896</v>
      </c>
      <c r="M100" s="1">
        <f t="shared" si="7"/>
        <v>2223296.1551197991</v>
      </c>
      <c r="N100" s="1">
        <f t="shared" si="8"/>
        <v>146966.27957508364</v>
      </c>
      <c r="O100" s="1"/>
    </row>
    <row r="101" spans="1:15" x14ac:dyDescent="0.25">
      <c r="A101">
        <v>100</v>
      </c>
      <c r="B101">
        <v>539643.71189999999</v>
      </c>
      <c r="C101">
        <v>1815.611447</v>
      </c>
      <c r="D101">
        <v>936152.21799999999</v>
      </c>
      <c r="E101">
        <v>12005.27571</v>
      </c>
      <c r="F101">
        <v>1327589.4369999999</v>
      </c>
      <c r="G101">
        <v>2823.5040920000001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11021894.881772401</v>
      </c>
      <c r="M101" s="1">
        <f t="shared" si="7"/>
        <v>24442669.071299527</v>
      </c>
      <c r="N101" s="1">
        <f t="shared" si="8"/>
        <v>2689729.3944467045</v>
      </c>
      <c r="O101" s="1"/>
    </row>
    <row r="102" spans="1:15" x14ac:dyDescent="0.25">
      <c r="A102">
        <v>101</v>
      </c>
      <c r="B102">
        <v>629217.79200000002</v>
      </c>
      <c r="C102">
        <v>6687.0160139999998</v>
      </c>
      <c r="D102">
        <v>1046674.302</v>
      </c>
      <c r="E102">
        <v>12497.212519999999</v>
      </c>
      <c r="F102">
        <v>1429219.1310000001</v>
      </c>
      <c r="G102">
        <v>1957.1016239999999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3441361.5887288158</v>
      </c>
      <c r="M102" s="1">
        <f t="shared" si="7"/>
        <v>2157020.3177800179</v>
      </c>
      <c r="N102" s="1">
        <f t="shared" si="8"/>
        <v>158051.32322033675</v>
      </c>
      <c r="O102" s="1"/>
    </row>
    <row r="103" spans="1:15" x14ac:dyDescent="0.25">
      <c r="A103">
        <v>102</v>
      </c>
      <c r="B103">
        <v>642977.14159999997</v>
      </c>
      <c r="C103">
        <v>7964.7018749999997</v>
      </c>
      <c r="D103">
        <v>1093102.5490000001</v>
      </c>
      <c r="E103">
        <v>11860.040569999999</v>
      </c>
      <c r="F103">
        <v>1464864.8829999999</v>
      </c>
      <c r="G103">
        <v>1220.062371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3578984.924484578</v>
      </c>
      <c r="M103" s="1">
        <f t="shared" si="7"/>
        <v>1787391.3678039666</v>
      </c>
      <c r="N103" s="1">
        <f t="shared" si="8"/>
        <v>86031.836263700199</v>
      </c>
      <c r="O103" s="1"/>
    </row>
    <row r="104" spans="1:15" x14ac:dyDescent="0.25">
      <c r="A104">
        <v>103</v>
      </c>
      <c r="B104">
        <v>738848.34259999997</v>
      </c>
      <c r="C104">
        <v>8640.8882119999998</v>
      </c>
      <c r="D104">
        <v>1185230.487</v>
      </c>
      <c r="E104">
        <v>4219.0207360000004</v>
      </c>
      <c r="F104">
        <v>1552085.429</v>
      </c>
      <c r="G104">
        <v>1631.7282310000001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7496683.4054870633</v>
      </c>
      <c r="M104" s="1">
        <f t="shared" si="7"/>
        <v>1227624.5945538362</v>
      </c>
      <c r="N104" s="1">
        <f t="shared" si="8"/>
        <v>222149.54411224759</v>
      </c>
      <c r="O104" s="1"/>
    </row>
    <row r="105" spans="1:15" x14ac:dyDescent="0.25">
      <c r="A105">
        <v>104</v>
      </c>
      <c r="B105">
        <v>774605.9852</v>
      </c>
      <c r="C105">
        <v>7789.9707760000001</v>
      </c>
      <c r="D105">
        <v>1185163.237</v>
      </c>
      <c r="E105">
        <v>5297.8719419999998</v>
      </c>
      <c r="F105">
        <v>1567817.226</v>
      </c>
      <c r="G105">
        <v>1414.2689969999999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4069223.693276796</v>
      </c>
      <c r="M105" s="1">
        <f t="shared" si="7"/>
        <v>928154.61745164241</v>
      </c>
      <c r="N105" s="1">
        <f t="shared" si="8"/>
        <v>115929.66270404666</v>
      </c>
      <c r="O105" s="1"/>
    </row>
    <row r="106" spans="1:15" x14ac:dyDescent="0.25">
      <c r="A106">
        <v>105</v>
      </c>
      <c r="B106">
        <v>748468.65359999996</v>
      </c>
      <c r="C106">
        <v>9490.8421780000008</v>
      </c>
      <c r="D106">
        <v>1201405.094</v>
      </c>
      <c r="E106">
        <v>6612.9817329999996</v>
      </c>
      <c r="F106">
        <v>1543798.993</v>
      </c>
      <c r="G106">
        <v>3348.846646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4468825.4055293677</v>
      </c>
      <c r="M106" s="1">
        <f t="shared" si="7"/>
        <v>1044309.1801330504</v>
      </c>
      <c r="N106" s="1">
        <f t="shared" si="8"/>
        <v>247440.45817245287</v>
      </c>
      <c r="O106" s="1"/>
    </row>
    <row r="107" spans="1:15" x14ac:dyDescent="0.25">
      <c r="A107">
        <v>106</v>
      </c>
      <c r="B107">
        <v>709353.16830000002</v>
      </c>
      <c r="C107">
        <v>7034.1987259999996</v>
      </c>
      <c r="D107">
        <v>1132742.7590000001</v>
      </c>
      <c r="E107">
        <v>4789.3855329999997</v>
      </c>
      <c r="F107">
        <v>1490605.067</v>
      </c>
      <c r="G107">
        <v>2902.5283749999999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2272858.0768930074</v>
      </c>
      <c r="M107" s="1">
        <f t="shared" si="7"/>
        <v>519015.84847226465</v>
      </c>
      <c r="N107" s="1">
        <f t="shared" si="8"/>
        <v>147170.5706069025</v>
      </c>
      <c r="O107" s="1"/>
    </row>
    <row r="108" spans="1:15" x14ac:dyDescent="0.25">
      <c r="A108">
        <v>107</v>
      </c>
      <c r="B108">
        <v>681985.84909999999</v>
      </c>
      <c r="C108">
        <v>830.83357639999997</v>
      </c>
      <c r="D108">
        <v>1070963.4609999999</v>
      </c>
      <c r="E108">
        <v>4257.0063339999997</v>
      </c>
      <c r="F108">
        <v>1450881.4029999999</v>
      </c>
      <c r="G108">
        <v>0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5213440.9017114425</v>
      </c>
      <c r="M108" s="1">
        <f t="shared" si="7"/>
        <v>8958965.1840012018</v>
      </c>
      <c r="N108" s="1">
        <f t="shared" si="8"/>
        <v>0</v>
      </c>
      <c r="O108" s="1"/>
    </row>
    <row r="109" spans="1:15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9782.6753530000005</v>
      </c>
      <c r="F109">
        <v>1276790.477</v>
      </c>
      <c r="G109">
        <v>2248.5094349999999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0.20054837638855499</v>
      </c>
      <c r="M109" s="1">
        <f t="shared" si="7"/>
        <v>16048560.060568314</v>
      </c>
      <c r="N109" s="1">
        <f t="shared" si="8"/>
        <v>1725904.7460160193</v>
      </c>
      <c r="O109" s="1"/>
    </row>
    <row r="110" spans="1:15" x14ac:dyDescent="0.25">
      <c r="A110">
        <v>109</v>
      </c>
      <c r="B110">
        <v>606152.33869999996</v>
      </c>
      <c r="C110">
        <v>1815.6114640000001</v>
      </c>
      <c r="D110">
        <v>1019048.326</v>
      </c>
      <c r="E110">
        <v>11033.23453</v>
      </c>
      <c r="F110">
        <v>1396045.5549999999</v>
      </c>
      <c r="G110">
        <v>1317.154421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1355591.5721019071</v>
      </c>
      <c r="M110" s="1">
        <f t="shared" si="7"/>
        <v>2762815.7984088296</v>
      </c>
      <c r="N110" s="1">
        <f t="shared" si="8"/>
        <v>154322.57201763161</v>
      </c>
      <c r="O110" s="1"/>
    </row>
    <row r="111" spans="1:15" x14ac:dyDescent="0.25">
      <c r="A111">
        <v>110</v>
      </c>
      <c r="B111">
        <v>635787.79680000001</v>
      </c>
      <c r="C111">
        <v>7964.7018509999998</v>
      </c>
      <c r="D111">
        <v>1079069.145</v>
      </c>
      <c r="E111">
        <v>11860.040569999999</v>
      </c>
      <c r="F111">
        <v>1462937.973</v>
      </c>
      <c r="G111">
        <v>1220.062371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5371391.5070906579</v>
      </c>
      <c r="M111" s="1">
        <f t="shared" si="7"/>
        <v>2682542.409194978</v>
      </c>
      <c r="N111" s="1">
        <f t="shared" si="8"/>
        <v>129117.80457004288</v>
      </c>
      <c r="O111" s="1"/>
    </row>
    <row r="112" spans="1:15" x14ac:dyDescent="0.25">
      <c r="A112">
        <v>111</v>
      </c>
      <c r="B112">
        <v>705289.56099999999</v>
      </c>
      <c r="C112">
        <v>8058.2529979999999</v>
      </c>
      <c r="D112">
        <v>1147428.45</v>
      </c>
      <c r="E112">
        <v>4713.0708930000001</v>
      </c>
      <c r="F112">
        <v>1525919.523</v>
      </c>
      <c r="G112">
        <v>4647.2833639999999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5969458.8316321811</v>
      </c>
      <c r="M112" s="1">
        <f t="shared" si="7"/>
        <v>1170957.6071182259</v>
      </c>
      <c r="N112" s="1">
        <f t="shared" si="8"/>
        <v>540231.65990400279</v>
      </c>
      <c r="O112" s="1"/>
    </row>
    <row r="113" spans="1:15" x14ac:dyDescent="0.25">
      <c r="A113">
        <v>112</v>
      </c>
      <c r="B113">
        <v>746292.40090000001</v>
      </c>
      <c r="C113">
        <v>8640.8881669999992</v>
      </c>
      <c r="D113">
        <v>1176071.172</v>
      </c>
      <c r="E113">
        <v>5297.8719419999998</v>
      </c>
      <c r="F113">
        <v>1547424.129</v>
      </c>
      <c r="G113">
        <v>4174.179322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3202652.3451641751</v>
      </c>
      <c r="M113" s="1">
        <f t="shared" si="7"/>
        <v>658560.99768165289</v>
      </c>
      <c r="N113" s="1">
        <f t="shared" si="8"/>
        <v>242778.00072076582</v>
      </c>
      <c r="O113" s="1"/>
    </row>
    <row r="114" spans="1:15" x14ac:dyDescent="0.25">
      <c r="A114">
        <v>113</v>
      </c>
      <c r="B114">
        <v>699229.30810000002</v>
      </c>
      <c r="C114">
        <v>7835.1850649999997</v>
      </c>
      <c r="D114">
        <v>1121621.2660000001</v>
      </c>
      <c r="E114">
        <v>6650.8827529999999</v>
      </c>
      <c r="F114">
        <v>1493192.1939999999</v>
      </c>
      <c r="G114">
        <v>1414.2689969999999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1333726.3734045373</v>
      </c>
      <c r="M114" s="1">
        <f t="shared" si="7"/>
        <v>379699.39838756935</v>
      </c>
      <c r="N114" s="1">
        <f t="shared" si="8"/>
        <v>37777.769846658091</v>
      </c>
      <c r="O114" s="1"/>
    </row>
    <row r="115" spans="1:15" x14ac:dyDescent="0.25">
      <c r="A115">
        <v>114</v>
      </c>
      <c r="B115">
        <v>646199.41009999998</v>
      </c>
      <c r="C115">
        <v>7964.70183</v>
      </c>
      <c r="D115">
        <v>1090699.76</v>
      </c>
      <c r="E115">
        <v>4886.0047930000001</v>
      </c>
      <c r="F115">
        <v>1462140.9850000001</v>
      </c>
      <c r="G115">
        <v>1220.062371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3950893.2639573137</v>
      </c>
      <c r="M115" s="1">
        <f t="shared" si="7"/>
        <v>812873.19133959222</v>
      </c>
      <c r="N115" s="1">
        <f t="shared" si="8"/>
        <v>94971.78989920103</v>
      </c>
      <c r="O115" s="1"/>
    </row>
    <row r="116" spans="1:15" x14ac:dyDescent="0.25">
      <c r="A116">
        <v>115</v>
      </c>
      <c r="B116">
        <v>679966.50859999994</v>
      </c>
      <c r="C116">
        <v>7034.1987090000002</v>
      </c>
      <c r="D116">
        <v>1062495.635</v>
      </c>
      <c r="E116">
        <v>4884.8073480000003</v>
      </c>
      <c r="F116">
        <v>1441018.446</v>
      </c>
      <c r="G116">
        <v>640.52489679999996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4981362.4054538058</v>
      </c>
      <c r="M116" s="1">
        <f t="shared" si="7"/>
        <v>1160176.5510628961</v>
      </c>
      <c r="N116" s="1">
        <f t="shared" si="8"/>
        <v>71179.730039716669</v>
      </c>
      <c r="O116" s="1"/>
    </row>
    <row r="117" spans="1:15" x14ac:dyDescent="0.25">
      <c r="A117">
        <v>116</v>
      </c>
      <c r="B117">
        <v>695264.42579999997</v>
      </c>
      <c r="C117">
        <v>6687.0159519999997</v>
      </c>
      <c r="D117">
        <v>1082534.1059999999</v>
      </c>
      <c r="E117">
        <v>4187.2623249999997</v>
      </c>
      <c r="F117">
        <v>1459050.0149999999</v>
      </c>
      <c r="G117">
        <v>0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3421621.5358755034</v>
      </c>
      <c r="M117" s="1">
        <f t="shared" si="7"/>
        <v>718576.34763157787</v>
      </c>
      <c r="N117" s="1">
        <f t="shared" si="8"/>
        <v>0</v>
      </c>
      <c r="O117" s="1"/>
    </row>
    <row r="118" spans="1:15" x14ac:dyDescent="0.25">
      <c r="A118">
        <v>117</v>
      </c>
      <c r="B118">
        <v>584761.99340000004</v>
      </c>
      <c r="C118" s="1">
        <v>2.6999999999999999E-5</v>
      </c>
      <c r="D118">
        <v>977111.74540000001</v>
      </c>
      <c r="E118">
        <v>6344.0987940000005</v>
      </c>
      <c r="F118">
        <v>1348966.6359999999</v>
      </c>
      <c r="G118">
        <v>1409.086763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1.7259380127054001E-2</v>
      </c>
      <c r="M118" s="1">
        <f t="shared" si="7"/>
        <v>1360111.4733636654</v>
      </c>
      <c r="N118" s="1">
        <f t="shared" si="8"/>
        <v>141346.79974991106</v>
      </c>
      <c r="O118" s="1"/>
    </row>
    <row r="119" spans="1:15" x14ac:dyDescent="0.25">
      <c r="A119">
        <v>118</v>
      </c>
      <c r="B119">
        <v>632272.4081</v>
      </c>
      <c r="C119">
        <v>6687.0159720000001</v>
      </c>
      <c r="D119">
        <v>1036030.019</v>
      </c>
      <c r="E119">
        <v>4682.6727499999997</v>
      </c>
      <c r="F119">
        <v>1418951.0970000001</v>
      </c>
      <c r="G119">
        <v>1220.062371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4277926.6298701437</v>
      </c>
      <c r="M119" s="1">
        <f t="shared" si="7"/>
        <v>1004703.5025063762</v>
      </c>
      <c r="N119" s="1">
        <f t="shared" si="8"/>
        <v>122481.30902391401</v>
      </c>
      <c r="O119" s="1"/>
    </row>
    <row r="120" spans="1:15" x14ac:dyDescent="0.25">
      <c r="A120">
        <v>119</v>
      </c>
      <c r="B120">
        <v>663612.86560000002</v>
      </c>
      <c r="C120">
        <v>830.83360600000003</v>
      </c>
      <c r="D120">
        <v>1038420.978</v>
      </c>
      <c r="E120">
        <v>2067.9147280000002</v>
      </c>
      <c r="F120">
        <v>1421717.5649999999</v>
      </c>
      <c r="G120">
        <v>746.95832889999997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706078.8031748496</v>
      </c>
      <c r="M120" s="1">
        <f t="shared" si="7"/>
        <v>589406.44775956939</v>
      </c>
      <c r="N120" s="1">
        <f t="shared" si="8"/>
        <v>99614.442440989093</v>
      </c>
      <c r="O120" s="1"/>
    </row>
    <row r="121" spans="1:15" x14ac:dyDescent="0.25">
      <c r="A121">
        <v>120</v>
      </c>
      <c r="B121">
        <v>663586.36159999995</v>
      </c>
      <c r="C121" s="1">
        <v>-1.6699999999999999E-5</v>
      </c>
      <c r="D121">
        <v>1015359.84</v>
      </c>
      <c r="E121">
        <v>3418.3947020000001</v>
      </c>
      <c r="F121">
        <v>1405286.09</v>
      </c>
      <c r="G121">
        <v>746.95832889999997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-8.8726634514303491E-3</v>
      </c>
      <c r="M121" s="1">
        <f t="shared" si="7"/>
        <v>609120.03042189602</v>
      </c>
      <c r="N121" s="1">
        <f t="shared" si="8"/>
        <v>62276.002412381131</v>
      </c>
      <c r="O121" s="1"/>
    </row>
    <row r="122" spans="1:15" x14ac:dyDescent="0.25">
      <c r="A122">
        <v>121</v>
      </c>
      <c r="B122">
        <v>679236.84019999998</v>
      </c>
      <c r="C122">
        <v>984.77784329999997</v>
      </c>
      <c r="D122">
        <v>1059976.821</v>
      </c>
      <c r="E122">
        <v>2678.1377360000001</v>
      </c>
      <c r="F122">
        <v>1451094.6869999999</v>
      </c>
      <c r="G122">
        <v>0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344300.31355330296</v>
      </c>
      <c r="M122" s="1">
        <f t="shared" si="7"/>
        <v>314032.93292804318</v>
      </c>
      <c r="N122" s="1">
        <f t="shared" si="8"/>
        <v>0</v>
      </c>
      <c r="O122" s="1"/>
    </row>
    <row r="123" spans="1:15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2678.1377360000001</v>
      </c>
      <c r="F123">
        <v>1433666.7709999999</v>
      </c>
      <c r="G123">
        <v>935.98272069999996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3038881.9814013112</v>
      </c>
      <c r="M123" s="1">
        <f t="shared" si="7"/>
        <v>393284.00583863439</v>
      </c>
      <c r="N123" s="1">
        <f t="shared" si="8"/>
        <v>64310.944114171827</v>
      </c>
      <c r="O123" s="1"/>
    </row>
    <row r="124" spans="1:15" x14ac:dyDescent="0.25">
      <c r="A124">
        <v>123</v>
      </c>
      <c r="B124">
        <v>626318.17180000001</v>
      </c>
      <c r="C124" s="1">
        <v>-3.82E-5</v>
      </c>
      <c r="D124">
        <v>978561.15289999999</v>
      </c>
      <c r="E124">
        <v>2853.054044</v>
      </c>
      <c r="F124">
        <v>1386317.4650000001</v>
      </c>
      <c r="G124">
        <v>2668.9726329999999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-1.9611354391578951E-2</v>
      </c>
      <c r="M124" s="1">
        <f t="shared" si="7"/>
        <v>491244.11446782539</v>
      </c>
      <c r="N124" s="1">
        <f t="shared" si="8"/>
        <v>215018.16967592575</v>
      </c>
      <c r="O124" s="1"/>
    </row>
    <row r="125" spans="1:15" x14ac:dyDescent="0.25">
      <c r="A125">
        <v>124</v>
      </c>
      <c r="B125">
        <v>614657.81920000003</v>
      </c>
      <c r="C125" s="1">
        <v>4.4299999999999999E-5</v>
      </c>
      <c r="D125">
        <v>960189.37789999996</v>
      </c>
      <c r="E125" s="1">
        <v>2.23E-5</v>
      </c>
      <c r="F125">
        <v>1355654.39</v>
      </c>
      <c r="G125">
        <v>2314.790508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1.4632144705358374E-2</v>
      </c>
      <c r="M125" s="1">
        <f t="shared" si="7"/>
        <v>2.4703145778999548E-3</v>
      </c>
      <c r="N125" s="1">
        <f t="shared" si="8"/>
        <v>119978.31800367753</v>
      </c>
      <c r="O125" s="1"/>
    </row>
    <row r="126" spans="1:15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7802.0705770000004</v>
      </c>
      <c r="F126">
        <v>1327194.1980000001</v>
      </c>
      <c r="G126">
        <v>2985.7427120000002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1.7436592699175E-2</v>
      </c>
      <c r="M126" s="1">
        <f t="shared" si="7"/>
        <v>4517449.0260133818</v>
      </c>
      <c r="N126" s="1">
        <f t="shared" si="8"/>
        <v>808871.33534116764</v>
      </c>
      <c r="O126" s="1"/>
    </row>
    <row r="127" spans="1:15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6084.6428910000004</v>
      </c>
      <c r="F127">
        <v>1333285.6129999999</v>
      </c>
      <c r="G127">
        <v>935.98272069999996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3268481.2049534842</v>
      </c>
      <c r="M127" s="1">
        <f t="shared" si="7"/>
        <v>961038.14887488715</v>
      </c>
      <c r="N127" s="1">
        <f t="shared" si="8"/>
        <v>69169.883221297685</v>
      </c>
      <c r="O127" s="1"/>
    </row>
    <row r="128" spans="1:15" x14ac:dyDescent="0.25">
      <c r="A128">
        <v>127</v>
      </c>
      <c r="B128">
        <v>617046.87990000006</v>
      </c>
      <c r="C128">
        <v>1815.6113889999999</v>
      </c>
      <c r="D128">
        <v>1016686.696</v>
      </c>
      <c r="E128">
        <v>2712.7870670000002</v>
      </c>
      <c r="F128">
        <v>1382263.2620000001</v>
      </c>
      <c r="G128">
        <v>1709.726821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499624.43234032119</v>
      </c>
      <c r="M128" s="1">
        <f t="shared" si="7"/>
        <v>250368.45697396665</v>
      </c>
      <c r="N128" s="1">
        <f t="shared" si="8"/>
        <v>73830.244945925224</v>
      </c>
      <c r="O128" s="1"/>
    </row>
    <row r="129" spans="1:15" x14ac:dyDescent="0.25">
      <c r="A129">
        <v>128</v>
      </c>
      <c r="B129">
        <v>637911.85930000001</v>
      </c>
      <c r="C129">
        <v>830.83356809999998</v>
      </c>
      <c r="D129">
        <v>1033739.204</v>
      </c>
      <c r="E129">
        <v>3659.4976539999998</v>
      </c>
      <c r="F129">
        <v>1395808.2690000001</v>
      </c>
      <c r="G129">
        <v>1220.062371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160085.00944093207</v>
      </c>
      <c r="M129" s="1">
        <f t="shared" si="7"/>
        <v>236483.71596214743</v>
      </c>
      <c r="N129" s="1">
        <f t="shared" si="8"/>
        <v>36889.730201783583</v>
      </c>
      <c r="O129" s="1"/>
    </row>
    <row r="130" spans="1:15" x14ac:dyDescent="0.25">
      <c r="A130">
        <v>129</v>
      </c>
      <c r="B130">
        <v>654747.41839999997</v>
      </c>
      <c r="C130">
        <v>6687.0159789999998</v>
      </c>
      <c r="D130">
        <v>1057052.6910000001</v>
      </c>
      <c r="E130">
        <v>3591.7493420000001</v>
      </c>
      <c r="F130">
        <v>1432855.5519999999</v>
      </c>
      <c r="G130">
        <v>746.95832889999997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3066488.5044593937</v>
      </c>
      <c r="M130" s="1">
        <f t="shared" si="7"/>
        <v>552405.68298450951</v>
      </c>
      <c r="N130" s="1">
        <f t="shared" si="8"/>
        <v>53751.695680952616</v>
      </c>
      <c r="O130" s="1"/>
    </row>
    <row r="131" spans="1:15" x14ac:dyDescent="0.25">
      <c r="A131">
        <v>130</v>
      </c>
      <c r="B131">
        <v>639290.65890000004</v>
      </c>
      <c r="C131">
        <v>830.83358299999998</v>
      </c>
      <c r="D131">
        <v>1034202.718</v>
      </c>
      <c r="E131">
        <v>3184.5839580000002</v>
      </c>
      <c r="F131">
        <v>1405441.311</v>
      </c>
      <c r="G131">
        <v>1220.062371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613056.62817844504</v>
      </c>
      <c r="M131" s="1">
        <f t="shared" ref="M131:M194" si="11">$U$3*$K131*E131</f>
        <v>788101.92717479693</v>
      </c>
      <c r="N131" s="1">
        <f t="shared" ref="N131:N194" si="12">$U$4*$K131*G131</f>
        <v>141271.77357403332</v>
      </c>
      <c r="O131" s="1"/>
    </row>
    <row r="132" spans="1:15" x14ac:dyDescent="0.25">
      <c r="A132">
        <v>131</v>
      </c>
      <c r="B132">
        <v>616418.23600000003</v>
      </c>
      <c r="C132">
        <v>723.46589429999995</v>
      </c>
      <c r="D132">
        <v>993193.01930000004</v>
      </c>
      <c r="E132">
        <v>1885.5600320000001</v>
      </c>
      <c r="F132">
        <v>1404673.152</v>
      </c>
      <c r="G132">
        <v>1709.726821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425338.67307933251</v>
      </c>
      <c r="M132" s="1">
        <f t="shared" si="11"/>
        <v>371792.23091414734</v>
      </c>
      <c r="N132" s="1">
        <f t="shared" si="12"/>
        <v>157735.82778375884</v>
      </c>
      <c r="O132" s="1"/>
    </row>
    <row r="133" spans="1:15" x14ac:dyDescent="0.25">
      <c r="A133">
        <v>132</v>
      </c>
      <c r="B133">
        <v>642089.01930000004</v>
      </c>
      <c r="C133" s="1">
        <v>4.3399999999999998E-5</v>
      </c>
      <c r="D133">
        <v>990589.44629999995</v>
      </c>
      <c r="E133">
        <v>2523.707081</v>
      </c>
      <c r="F133">
        <v>1408307.291</v>
      </c>
      <c r="G133">
        <v>1382.3009910000001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2.8364396497700901E-2</v>
      </c>
      <c r="M133" s="1">
        <f t="shared" si="11"/>
        <v>553179.27568662108</v>
      </c>
      <c r="N133" s="1">
        <f t="shared" si="12"/>
        <v>141766.3809133168</v>
      </c>
      <c r="O133" s="1"/>
    </row>
    <row r="134" spans="1:15" x14ac:dyDescent="0.25">
      <c r="A134">
        <v>133</v>
      </c>
      <c r="B134">
        <v>645309.62470000004</v>
      </c>
      <c r="C134">
        <v>830.83361560000003</v>
      </c>
      <c r="D134">
        <v>1041246.2439999999</v>
      </c>
      <c r="E134">
        <v>3184.5839580000002</v>
      </c>
      <c r="F134">
        <v>1426175.077</v>
      </c>
      <c r="G134">
        <v>1220.062371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318713.12097837002</v>
      </c>
      <c r="M134" s="1">
        <f t="shared" si="11"/>
        <v>409714.86720501189</v>
      </c>
      <c r="N134" s="1">
        <f t="shared" si="12"/>
        <v>73443.73101230069</v>
      </c>
      <c r="O134" s="1"/>
    </row>
    <row r="135" spans="1:15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1663.3336999999999</v>
      </c>
      <c r="F135">
        <v>1473526.0689999999</v>
      </c>
      <c r="G135">
        <v>2156.0450919999998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1485056.7862569359</v>
      </c>
      <c r="M135" s="1">
        <f t="shared" si="11"/>
        <v>1145110.8679357751</v>
      </c>
      <c r="N135" s="1">
        <f t="shared" si="12"/>
        <v>694495.8701275757</v>
      </c>
      <c r="O135" s="1"/>
    </row>
    <row r="136" spans="1:15" x14ac:dyDescent="0.25">
      <c r="A136">
        <v>135</v>
      </c>
      <c r="B136">
        <v>617862.22849999997</v>
      </c>
      <c r="C136">
        <v>0</v>
      </c>
      <c r="D136">
        <v>1006591.963</v>
      </c>
      <c r="E136">
        <v>2327.0432380000002</v>
      </c>
      <c r="F136">
        <v>1401314.7949999999</v>
      </c>
      <c r="G136">
        <v>2156.0450919999998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0</v>
      </c>
      <c r="M136" s="1">
        <f t="shared" si="11"/>
        <v>502400.44180292252</v>
      </c>
      <c r="N136" s="1">
        <f t="shared" si="12"/>
        <v>217794.58487682493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3695.5579229999998</v>
      </c>
      <c r="F137">
        <v>1271853.504</v>
      </c>
      <c r="G137">
        <v>2087.3500610000001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1520657.7948761508</v>
      </c>
      <c r="N137" s="1">
        <f t="shared" si="12"/>
        <v>401874.49627678841</v>
      </c>
      <c r="O137" s="1"/>
    </row>
    <row r="138" spans="1:15" x14ac:dyDescent="0.25">
      <c r="A138">
        <v>137</v>
      </c>
      <c r="B138">
        <v>617862.22849999997</v>
      </c>
      <c r="C138">
        <v>0</v>
      </c>
      <c r="D138">
        <v>1006828.188</v>
      </c>
      <c r="E138">
        <v>2327.0432380000002</v>
      </c>
      <c r="F138">
        <v>1403728.7620000001</v>
      </c>
      <c r="G138">
        <v>2156.0450919999998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0</v>
      </c>
      <c r="M138" s="1">
        <f t="shared" si="11"/>
        <v>157715.21017347494</v>
      </c>
      <c r="N138" s="1">
        <f t="shared" si="12"/>
        <v>68370.797217506275</v>
      </c>
      <c r="O138" s="1"/>
    </row>
    <row r="139" spans="1:15" x14ac:dyDescent="0.25">
      <c r="A139">
        <v>138</v>
      </c>
      <c r="B139">
        <v>684073.38219999999</v>
      </c>
      <c r="C139">
        <v>6687.0160130000004</v>
      </c>
      <c r="D139">
        <v>1065427.6100000001</v>
      </c>
      <c r="E139">
        <v>3370.4979239999998</v>
      </c>
      <c r="F139">
        <v>1445122.47</v>
      </c>
      <c r="G139">
        <v>446.31827040000002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1334624.2660842587</v>
      </c>
      <c r="M139" s="1">
        <f t="shared" si="11"/>
        <v>225612.86194292866</v>
      </c>
      <c r="N139" s="1">
        <f t="shared" si="12"/>
        <v>13978.421576124216</v>
      </c>
      <c r="O139" s="1"/>
    </row>
    <row r="140" spans="1:15" x14ac:dyDescent="0.25">
      <c r="A140">
        <v>139</v>
      </c>
      <c r="B140">
        <v>661278.17319999996</v>
      </c>
      <c r="C140">
        <v>1815.611451</v>
      </c>
      <c r="D140">
        <v>1049835.898</v>
      </c>
      <c r="E140">
        <v>2067.9147280000002</v>
      </c>
      <c r="F140">
        <v>1434412.6259999999</v>
      </c>
      <c r="G140">
        <v>1682.9410499999999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294862.23353361257</v>
      </c>
      <c r="M140" s="1">
        <f t="shared" si="11"/>
        <v>112634.6466797571</v>
      </c>
      <c r="N140" s="1">
        <f t="shared" si="12"/>
        <v>42889.596125001881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1816.7183990000001</v>
      </c>
      <c r="F141">
        <v>1419902.466</v>
      </c>
      <c r="G141">
        <v>1409.086763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2299707.6215716712</v>
      </c>
      <c r="M141" s="1">
        <f t="shared" si="11"/>
        <v>201892.31201188665</v>
      </c>
      <c r="N141" s="1">
        <f t="shared" si="12"/>
        <v>73267.872368234777</v>
      </c>
      <c r="O141" s="1"/>
    </row>
    <row r="142" spans="1:15" x14ac:dyDescent="0.25">
      <c r="A142">
        <v>141</v>
      </c>
      <c r="B142">
        <v>588073.7831</v>
      </c>
      <c r="C142">
        <v>723.46588829999996</v>
      </c>
      <c r="D142">
        <v>989478.98499999999</v>
      </c>
      <c r="E142">
        <v>1885.5600460000001</v>
      </c>
      <c r="F142">
        <v>1380284.493</v>
      </c>
      <c r="G142">
        <v>1409.086763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190429.1436562436</v>
      </c>
      <c r="M142" s="1">
        <f t="shared" si="11"/>
        <v>166455.77217633856</v>
      </c>
      <c r="N142" s="1">
        <f t="shared" si="12"/>
        <v>58202.267670333029</v>
      </c>
      <c r="O142" s="1"/>
    </row>
    <row r="143" spans="1:15" x14ac:dyDescent="0.25">
      <c r="A143">
        <v>142</v>
      </c>
      <c r="B143">
        <v>654730.73620000004</v>
      </c>
      <c r="C143" s="1">
        <v>8.5799999999999992E-6</v>
      </c>
      <c r="D143">
        <v>1026039.214</v>
      </c>
      <c r="E143">
        <v>2327.0432380000002</v>
      </c>
      <c r="F143">
        <v>1431011.3740000001</v>
      </c>
      <c r="G143">
        <v>1682.9410499999999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6.1558931119407145E-3</v>
      </c>
      <c r="M143" s="1">
        <f t="shared" si="11"/>
        <v>559952.73765794281</v>
      </c>
      <c r="N143" s="1">
        <f t="shared" si="12"/>
        <v>189478.3095185085</v>
      </c>
      <c r="O143" s="1"/>
    </row>
    <row r="144" spans="1:15" x14ac:dyDescent="0.25">
      <c r="A144">
        <v>143</v>
      </c>
      <c r="B144">
        <v>691644.60439999995</v>
      </c>
      <c r="C144">
        <v>5856.1823789999999</v>
      </c>
      <c r="D144">
        <v>1077478.1950000001</v>
      </c>
      <c r="E144">
        <v>2327.0432369999999</v>
      </c>
      <c r="F144">
        <v>1464323.0179999999</v>
      </c>
      <c r="G144">
        <v>935.98272069999996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1320345.1320154788</v>
      </c>
      <c r="M144" s="1">
        <f t="shared" si="11"/>
        <v>175962.63819969739</v>
      </c>
      <c r="N144" s="1">
        <f t="shared" si="12"/>
        <v>33115.210609287336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2889.2147570000002</v>
      </c>
      <c r="F145">
        <v>1391643.9450000001</v>
      </c>
      <c r="G145">
        <v>2222.6543630000001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-4.0449970656881495E-2</v>
      </c>
      <c r="M145" s="1">
        <f t="shared" si="11"/>
        <v>828666.97566996992</v>
      </c>
      <c r="N145" s="1">
        <f t="shared" si="12"/>
        <v>298274.28797858011</v>
      </c>
      <c r="O145" s="1"/>
    </row>
    <row r="146" spans="1:15" x14ac:dyDescent="0.25">
      <c r="A146">
        <v>145</v>
      </c>
      <c r="B146">
        <v>695087.51100000006</v>
      </c>
      <c r="C146">
        <v>1815.61142</v>
      </c>
      <c r="D146">
        <v>1091212.442</v>
      </c>
      <c r="E146">
        <v>2067.9147280000002</v>
      </c>
      <c r="F146">
        <v>1467470.861</v>
      </c>
      <c r="G146">
        <v>1382.3009910000001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855145.95610447449</v>
      </c>
      <c r="M146" s="1">
        <f t="shared" si="11"/>
        <v>326657.85345153644</v>
      </c>
      <c r="N146" s="1">
        <f t="shared" si="12"/>
        <v>102166.09053463271</v>
      </c>
      <c r="O146" s="1"/>
    </row>
    <row r="147" spans="1:15" x14ac:dyDescent="0.25">
      <c r="A147">
        <v>146</v>
      </c>
      <c r="B147">
        <v>757147.87699999998</v>
      </c>
      <c r="C147">
        <v>675.22295989999998</v>
      </c>
      <c r="D147">
        <v>1204923.44</v>
      </c>
      <c r="E147">
        <v>3645.9378270000002</v>
      </c>
      <c r="F147">
        <v>1577093.3430000001</v>
      </c>
      <c r="G147">
        <v>746.95832889999997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2921603.7226237278</v>
      </c>
      <c r="M147" s="1">
        <f t="shared" si="11"/>
        <v>5290862.8430804098</v>
      </c>
      <c r="N147" s="1">
        <f t="shared" si="12"/>
        <v>507174.36854564369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-2.9200000000000002E-5</v>
      </c>
      <c r="F148">
        <v>792492.29980000004</v>
      </c>
      <c r="G148" s="1">
        <v>-2.5899999999999999E-5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-2.0428574966363577E-2</v>
      </c>
      <c r="N148" s="1">
        <f t="shared" si="12"/>
        <v>-8.4781025113326788E-3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8779.5416810000006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176442.33329271062</v>
      </c>
      <c r="N149" s="1">
        <f t="shared" si="12"/>
        <v>184616.87073310246</v>
      </c>
      <c r="O149" s="1"/>
    </row>
    <row r="150" spans="1:15" x14ac:dyDescent="0.25">
      <c r="A150">
        <v>149</v>
      </c>
      <c r="B150">
        <v>528047.92740000004</v>
      </c>
      <c r="C150" s="1">
        <v>3.8500000000000001E-5</v>
      </c>
      <c r="D150">
        <v>949631.4523</v>
      </c>
      <c r="E150">
        <v>9749.3199089999998</v>
      </c>
      <c r="F150">
        <v>1389819.6710000001</v>
      </c>
      <c r="G150">
        <v>5876.6512350000003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2.141301935860588E-2</v>
      </c>
      <c r="M150" s="1">
        <f t="shared" si="11"/>
        <v>1818589.3289085152</v>
      </c>
      <c r="N150" s="1">
        <f t="shared" si="12"/>
        <v>512901.4329350919</v>
      </c>
      <c r="O150" s="1"/>
    </row>
    <row r="151" spans="1:15" x14ac:dyDescent="0.25">
      <c r="A151">
        <v>150</v>
      </c>
      <c r="B151">
        <v>521584.07689999999</v>
      </c>
      <c r="C151">
        <v>2403.9397159999999</v>
      </c>
      <c r="D151">
        <v>922666.41509999998</v>
      </c>
      <c r="E151">
        <v>8268.1649550000002</v>
      </c>
      <c r="F151">
        <v>1347281.102</v>
      </c>
      <c r="G151">
        <v>4408.2568670000001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955435.31642314757</v>
      </c>
      <c r="M151" s="1">
        <f t="shared" si="11"/>
        <v>1102122.8008737296</v>
      </c>
      <c r="N151" s="1">
        <f t="shared" si="12"/>
        <v>274935.88333640946</v>
      </c>
      <c r="O151" s="1"/>
    </row>
    <row r="152" spans="1:15" x14ac:dyDescent="0.25">
      <c r="A152">
        <v>151</v>
      </c>
      <c r="B152">
        <v>432159.64059999998</v>
      </c>
      <c r="C152" s="1">
        <v>4.1900000000000002E-5</v>
      </c>
      <c r="D152">
        <v>801522.96759999997</v>
      </c>
      <c r="E152" s="1">
        <v>-4.2200000000000003E-5</v>
      </c>
      <c r="F152">
        <v>1262048.7039999999</v>
      </c>
      <c r="G152">
        <v>12630.00095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0.15261952028129952</v>
      </c>
      <c r="M152" s="1">
        <f t="shared" si="11"/>
        <v>-5.1552727695239324E-2</v>
      </c>
      <c r="N152" s="1">
        <f t="shared" si="12"/>
        <v>7219153.2214583596</v>
      </c>
      <c r="O152" s="1"/>
    </row>
    <row r="153" spans="1:15" x14ac:dyDescent="0.25">
      <c r="A153">
        <v>152</v>
      </c>
      <c r="B153">
        <v>407131.11700000003</v>
      </c>
      <c r="C153" s="1">
        <v>-3.7499999999999997E-5</v>
      </c>
      <c r="D153">
        <v>731423.63950000005</v>
      </c>
      <c r="E153">
        <v>6940.3854849999998</v>
      </c>
      <c r="F153">
        <v>1185115.6839999999</v>
      </c>
      <c r="G153">
        <v>8671.4594899999993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-0.231859403178</v>
      </c>
      <c r="M153" s="1">
        <f t="shared" si="11"/>
        <v>14391967.701754386</v>
      </c>
      <c r="N153" s="1">
        <f t="shared" si="12"/>
        <v>8413417.8891252354</v>
      </c>
      <c r="O153" s="1"/>
    </row>
    <row r="154" spans="1:15" x14ac:dyDescent="0.25">
      <c r="A154">
        <v>153</v>
      </c>
      <c r="B154">
        <v>478992.022</v>
      </c>
      <c r="C154" s="1">
        <v>-4.5199999999999999E-6</v>
      </c>
      <c r="D154">
        <v>891439.9584</v>
      </c>
      <c r="E154">
        <v>830.83358799999996</v>
      </c>
      <c r="F154">
        <v>1314338.6370000001</v>
      </c>
      <c r="G154">
        <v>4165.1815399999996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-2.5106636877159499E-2</v>
      </c>
      <c r="M154" s="1">
        <f t="shared" si="11"/>
        <v>1547773.0801359606</v>
      </c>
      <c r="N154" s="1">
        <f t="shared" si="12"/>
        <v>3630536.9115477386</v>
      </c>
      <c r="O154" s="1"/>
    </row>
    <row r="155" spans="1:15" x14ac:dyDescent="0.25">
      <c r="A155">
        <v>154</v>
      </c>
      <c r="B155">
        <v>577520.01850000001</v>
      </c>
      <c r="C155">
        <v>0</v>
      </c>
      <c r="D155">
        <v>1000663.858</v>
      </c>
      <c r="E155">
        <v>7395.0163240000002</v>
      </c>
      <c r="F155">
        <v>1434643.585</v>
      </c>
      <c r="G155">
        <v>3499.506832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0</v>
      </c>
      <c r="M155" s="1">
        <f t="shared" si="11"/>
        <v>2877104.1776648997</v>
      </c>
      <c r="N155" s="1">
        <f t="shared" si="12"/>
        <v>637040.39865225449</v>
      </c>
      <c r="O155" s="1"/>
    </row>
    <row r="156" spans="1:15" x14ac:dyDescent="0.25">
      <c r="A156">
        <v>155</v>
      </c>
      <c r="B156">
        <v>507464.4423</v>
      </c>
      <c r="C156" s="1">
        <v>-3.2499999999999997E-5</v>
      </c>
      <c r="D156">
        <v>905013.24950000003</v>
      </c>
      <c r="E156">
        <v>8815.6193070000008</v>
      </c>
      <c r="F156">
        <v>1342365.5930000001</v>
      </c>
      <c r="G156">
        <v>4235.5635439999996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-2.7822013567440625E-2</v>
      </c>
      <c r="M156" s="1">
        <f t="shared" si="11"/>
        <v>2531052.5459083798</v>
      </c>
      <c r="N156" s="1">
        <f t="shared" si="12"/>
        <v>568988.13971438294</v>
      </c>
      <c r="O156" s="1"/>
    </row>
    <row r="157" spans="1:15" x14ac:dyDescent="0.25">
      <c r="A157">
        <v>156</v>
      </c>
      <c r="B157">
        <v>461071.71620000002</v>
      </c>
      <c r="C157" s="1">
        <v>-4.3699999999999998E-5</v>
      </c>
      <c r="D157">
        <v>851750.37659999996</v>
      </c>
      <c r="E157">
        <v>7481.5053520000001</v>
      </c>
      <c r="F157">
        <v>1281744.27</v>
      </c>
      <c r="G157">
        <v>5145.1103709999998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-0.18308855806278374</v>
      </c>
      <c r="M157" s="1">
        <f t="shared" si="11"/>
        <v>10512642.488787048</v>
      </c>
      <c r="N157" s="1">
        <f t="shared" si="12"/>
        <v>3382682.8223139225</v>
      </c>
      <c r="O157" s="1"/>
    </row>
    <row r="158" spans="1:15" x14ac:dyDescent="0.25">
      <c r="A158">
        <v>157</v>
      </c>
      <c r="B158">
        <v>428680.88860000001</v>
      </c>
      <c r="C158" s="1">
        <v>4.6300000000000001E-5</v>
      </c>
      <c r="D158">
        <v>790912.8273</v>
      </c>
      <c r="E158">
        <v>6687.016012</v>
      </c>
      <c r="F158">
        <v>1200485.1610000001</v>
      </c>
      <c r="G158">
        <v>4237.1207169999998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0.32502944782163701</v>
      </c>
      <c r="M158" s="1">
        <f t="shared" si="11"/>
        <v>15744077.507431386</v>
      </c>
      <c r="N158" s="1">
        <f t="shared" si="12"/>
        <v>4667661.6950992895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1625.3229779999999</v>
      </c>
      <c r="F159">
        <v>1189368.7180000001</v>
      </c>
      <c r="G159">
        <v>3850.1354120000001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2263935.8908368549</v>
      </c>
      <c r="N159" s="1">
        <f t="shared" si="12"/>
        <v>2509251.1488848631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3115.9009190000002</v>
      </c>
      <c r="F160">
        <v>1236645.5870000001</v>
      </c>
      <c r="G160">
        <v>2307.4804709999999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6332484.25692965</v>
      </c>
      <c r="N160" s="1">
        <f t="shared" si="12"/>
        <v>2194179.6949461391</v>
      </c>
      <c r="O160" s="1"/>
    </row>
    <row r="161" spans="1:15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6765.4010369999996</v>
      </c>
      <c r="F161">
        <v>1329881.0360000001</v>
      </c>
      <c r="G161">
        <v>3174.0855430000001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1.4742503970992202E-2</v>
      </c>
      <c r="M161" s="1">
        <f t="shared" si="11"/>
        <v>1817984.2358215167</v>
      </c>
      <c r="N161" s="1">
        <f t="shared" si="12"/>
        <v>399078.99746141612</v>
      </c>
      <c r="O161" s="1"/>
    </row>
    <row r="162" spans="1:15" x14ac:dyDescent="0.25">
      <c r="A162">
        <v>161</v>
      </c>
      <c r="B162">
        <v>676738.40500000003</v>
      </c>
      <c r="C162">
        <v>7835.1850940000004</v>
      </c>
      <c r="D162">
        <v>1172954.585</v>
      </c>
      <c r="E162">
        <v>13851.74325</v>
      </c>
      <c r="F162">
        <v>1559221.1610000001</v>
      </c>
      <c r="G162">
        <v>3159.2284909999998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3500258.4619099894</v>
      </c>
      <c r="M162" s="1">
        <f t="shared" si="11"/>
        <v>2075383.8064521218</v>
      </c>
      <c r="N162" s="1">
        <f t="shared" si="12"/>
        <v>221471.93811947436</v>
      </c>
      <c r="O162" s="1"/>
    </row>
    <row r="163" spans="1:15" x14ac:dyDescent="0.25">
      <c r="A163">
        <v>162</v>
      </c>
      <c r="B163">
        <v>664079.1875</v>
      </c>
      <c r="C163">
        <v>6687.0160150000002</v>
      </c>
      <c r="D163">
        <v>1125072.8940000001</v>
      </c>
      <c r="E163">
        <v>5524.3063990000001</v>
      </c>
      <c r="F163">
        <v>1518312.091</v>
      </c>
      <c r="G163">
        <v>1220.062371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2203426.7475309032</v>
      </c>
      <c r="M163" s="1">
        <f t="shared" si="11"/>
        <v>610502.08135383995</v>
      </c>
      <c r="N163" s="1">
        <f t="shared" si="12"/>
        <v>63086.30651962883</v>
      </c>
      <c r="O163" s="1"/>
    </row>
    <row r="164" spans="1:15" x14ac:dyDescent="0.25">
      <c r="A164">
        <v>163</v>
      </c>
      <c r="B164">
        <v>102828.5062</v>
      </c>
      <c r="C164" s="1">
        <v>4.9100000000000001E-5</v>
      </c>
      <c r="D164">
        <v>572403.46440000006</v>
      </c>
      <c r="E164">
        <v>9522.0909240000001</v>
      </c>
      <c r="F164">
        <v>956857.34400000004</v>
      </c>
      <c r="G164">
        <v>13205.95505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0.60827765895671448</v>
      </c>
      <c r="M164" s="1">
        <f t="shared" si="11"/>
        <v>39563602.954283759</v>
      </c>
      <c r="N164" s="1">
        <f t="shared" si="12"/>
        <v>25673022.624294642</v>
      </c>
      <c r="O164" s="1"/>
    </row>
    <row r="165" spans="1:15" x14ac:dyDescent="0.25">
      <c r="A165">
        <v>164</v>
      </c>
      <c r="B165">
        <v>245372.50649999999</v>
      </c>
      <c r="C165" s="1">
        <v>1.8E-5</v>
      </c>
      <c r="D165">
        <v>637800.96369999996</v>
      </c>
      <c r="E165">
        <v>21830.340660000002</v>
      </c>
      <c r="F165">
        <v>1051222.3589999999</v>
      </c>
      <c r="G165">
        <v>12334.706200000001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3.0472774981038002E-2</v>
      </c>
      <c r="M165" s="1">
        <f t="shared" si="11"/>
        <v>12394903.48673209</v>
      </c>
      <c r="N165" s="1">
        <f t="shared" si="12"/>
        <v>3276839.154013766</v>
      </c>
      <c r="O165" s="1"/>
    </row>
    <row r="166" spans="1:15" x14ac:dyDescent="0.25">
      <c r="A166">
        <v>165</v>
      </c>
      <c r="B166">
        <v>394722.24339999998</v>
      </c>
      <c r="C166">
        <v>1815.6114319999999</v>
      </c>
      <c r="D166">
        <v>752523.54489999998</v>
      </c>
      <c r="E166">
        <v>14270.51771</v>
      </c>
      <c r="F166">
        <v>1184271.48</v>
      </c>
      <c r="G166">
        <v>6906.8902539999999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8929655.4398830999</v>
      </c>
      <c r="M166" s="1">
        <f t="shared" si="11"/>
        <v>23539360.426147208</v>
      </c>
      <c r="N166" s="1">
        <f t="shared" si="12"/>
        <v>5330662.2113516368</v>
      </c>
      <c r="O166" s="1"/>
    </row>
    <row r="167" spans="1:15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19417.920829999999</v>
      </c>
      <c r="F167">
        <v>1074091.0549999999</v>
      </c>
      <c r="G167">
        <v>9694.9716079999998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19418458.020094287</v>
      </c>
      <c r="M167" s="1">
        <f t="shared" si="11"/>
        <v>18221201.290146325</v>
      </c>
      <c r="N167" s="1">
        <f t="shared" si="12"/>
        <v>4256616.258040349</v>
      </c>
      <c r="O167" s="1"/>
    </row>
    <row r="168" spans="1:15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15379.23091</v>
      </c>
      <c r="F168">
        <v>1010780.121</v>
      </c>
      <c r="G168">
        <v>12277.12005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21711271.358582128</v>
      </c>
      <c r="M168" s="1">
        <f t="shared" si="11"/>
        <v>28524371.522219859</v>
      </c>
      <c r="N168" s="1">
        <f t="shared" si="12"/>
        <v>10654219.683521913</v>
      </c>
      <c r="O168" s="1"/>
    </row>
    <row r="169" spans="1:15" x14ac:dyDescent="0.25">
      <c r="A169">
        <v>168</v>
      </c>
      <c r="B169">
        <v>548999.27469999995</v>
      </c>
      <c r="C169" s="1">
        <v>3.7100000000000001E-6</v>
      </c>
      <c r="D169">
        <v>926535.13150000002</v>
      </c>
      <c r="E169">
        <v>8024.2969469999998</v>
      </c>
      <c r="F169">
        <v>1321189.67</v>
      </c>
      <c r="G169">
        <v>935.98272069999996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1.1025543014869568E-2</v>
      </c>
      <c r="M169" s="1">
        <f t="shared" si="11"/>
        <v>7997904.3713063393</v>
      </c>
      <c r="N169" s="1">
        <f t="shared" si="12"/>
        <v>436496.45876912901</v>
      </c>
      <c r="O169" s="1"/>
    </row>
    <row r="170" spans="1:15" x14ac:dyDescent="0.25">
      <c r="A170">
        <v>169</v>
      </c>
      <c r="B170">
        <v>477002.73109999998</v>
      </c>
      <c r="C170">
        <v>1815.611412</v>
      </c>
      <c r="D170">
        <v>850222.68319999997</v>
      </c>
      <c r="E170">
        <v>11644.54068</v>
      </c>
      <c r="F170">
        <v>1243095.9099999999</v>
      </c>
      <c r="G170">
        <v>2823.5040920000001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5015454.9932585768</v>
      </c>
      <c r="M170" s="1">
        <f t="shared" si="11"/>
        <v>10788297.971989581</v>
      </c>
      <c r="N170" s="1">
        <f t="shared" si="12"/>
        <v>1223947.1639541788</v>
      </c>
      <c r="O170" s="1"/>
    </row>
    <row r="171" spans="1:15" x14ac:dyDescent="0.25">
      <c r="A171">
        <v>170</v>
      </c>
      <c r="B171">
        <v>489271.78539999999</v>
      </c>
      <c r="C171">
        <v>7207.3356059999996</v>
      </c>
      <c r="D171">
        <v>865039.95</v>
      </c>
      <c r="E171">
        <v>26079.664390000002</v>
      </c>
      <c r="F171">
        <v>1252649.8470000001</v>
      </c>
      <c r="G171">
        <v>6812.0562950000003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24044230.281875558</v>
      </c>
      <c r="M171" s="1">
        <f t="shared" si="11"/>
        <v>29179729.981780145</v>
      </c>
      <c r="N171" s="1">
        <f t="shared" si="12"/>
        <v>3566162.8947980609</v>
      </c>
      <c r="O171" s="1"/>
    </row>
    <row r="172" spans="1:15" x14ac:dyDescent="0.25">
      <c r="A172">
        <v>171</v>
      </c>
      <c r="B172">
        <v>532755.79310000001</v>
      </c>
      <c r="C172">
        <v>13775.771940000001</v>
      </c>
      <c r="D172">
        <v>914735.38450000004</v>
      </c>
      <c r="E172">
        <v>16495.560710000002</v>
      </c>
      <c r="F172">
        <v>1307230.7150000001</v>
      </c>
      <c r="G172">
        <v>6112.655256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44525394.620622911</v>
      </c>
      <c r="M172" s="1">
        <f t="shared" si="11"/>
        <v>17881421.98764563</v>
      </c>
      <c r="N172" s="1">
        <f t="shared" si="12"/>
        <v>3100334.4848021781</v>
      </c>
      <c r="O172" s="1"/>
    </row>
    <row r="173" spans="1:15" x14ac:dyDescent="0.25">
      <c r="A173">
        <v>172</v>
      </c>
      <c r="B173">
        <v>450180.64510000002</v>
      </c>
      <c r="C173">
        <v>7835.1850880000002</v>
      </c>
      <c r="D173">
        <v>796820.15319999994</v>
      </c>
      <c r="E173">
        <v>41225.603640000001</v>
      </c>
      <c r="F173">
        <v>1218190.4010000001</v>
      </c>
      <c r="G173">
        <v>9490.7403379999996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8171381.2032596394</v>
      </c>
      <c r="M173" s="1">
        <f t="shared" si="11"/>
        <v>14419704.864612095</v>
      </c>
      <c r="N173" s="1">
        <f t="shared" si="12"/>
        <v>1553220.5136890758</v>
      </c>
      <c r="O173" s="1"/>
    </row>
    <row r="174" spans="1:15" x14ac:dyDescent="0.25">
      <c r="A174">
        <v>173</v>
      </c>
      <c r="B174">
        <v>320642.55940000003</v>
      </c>
      <c r="C174">
        <v>1815.611443</v>
      </c>
      <c r="D174">
        <v>693439.7548</v>
      </c>
      <c r="E174">
        <v>27878.478500000001</v>
      </c>
      <c r="F174">
        <v>1105440.7150000001</v>
      </c>
      <c r="G174">
        <v>15106.562830000001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12124073.268540611</v>
      </c>
      <c r="M174" s="1">
        <f t="shared" si="11"/>
        <v>62436398.798586771</v>
      </c>
      <c r="N174" s="1">
        <f t="shared" si="12"/>
        <v>15829898.034010036</v>
      </c>
      <c r="O174" s="1"/>
    </row>
    <row r="175" spans="1:15" x14ac:dyDescent="0.25">
      <c r="A175">
        <v>174</v>
      </c>
      <c r="B175">
        <v>648546.16240000003</v>
      </c>
      <c r="C175">
        <v>7964.7018500000004</v>
      </c>
      <c r="D175">
        <v>1120177.7490000001</v>
      </c>
      <c r="E175">
        <v>9710.7282780000005</v>
      </c>
      <c r="F175">
        <v>1525823.693</v>
      </c>
      <c r="G175">
        <v>1414.2689969999999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2186911.1123017524</v>
      </c>
      <c r="M175" s="1">
        <f t="shared" si="11"/>
        <v>894245.05496757384</v>
      </c>
      <c r="N175" s="1">
        <f t="shared" si="12"/>
        <v>60936.912284363352</v>
      </c>
      <c r="O175" s="1"/>
    </row>
    <row r="176" spans="1:15" x14ac:dyDescent="0.25">
      <c r="A176">
        <v>175</v>
      </c>
      <c r="B176">
        <v>481084.4472</v>
      </c>
      <c r="C176">
        <v>830.83361739999998</v>
      </c>
      <c r="D176">
        <v>837568.92920000001</v>
      </c>
      <c r="E176">
        <v>3885.7629569999999</v>
      </c>
      <c r="F176">
        <v>1231243.8189999999</v>
      </c>
      <c r="G176">
        <v>2156.0450919999998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1460256.329897207</v>
      </c>
      <c r="M176" s="1">
        <f t="shared" si="11"/>
        <v>2290522.0531838262</v>
      </c>
      <c r="N176" s="1">
        <f t="shared" si="12"/>
        <v>594647.62873648736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9520.0935399999998</v>
      </c>
      <c r="F177">
        <v>1359123.6769999999</v>
      </c>
      <c r="G177">
        <v>2156.0450919999998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10050244.361852577</v>
      </c>
      <c r="M177" s="1">
        <f t="shared" si="11"/>
        <v>4623569.3592163892</v>
      </c>
      <c r="N177" s="1">
        <f t="shared" si="12"/>
        <v>489934.11258561694</v>
      </c>
      <c r="O177" s="1"/>
    </row>
    <row r="178" spans="1:15" x14ac:dyDescent="0.25">
      <c r="A178">
        <v>177</v>
      </c>
      <c r="B178">
        <v>614430.53370000003</v>
      </c>
      <c r="C178" s="1">
        <v>3.6799999999999999E-6</v>
      </c>
      <c r="D178">
        <v>957222.26679999998</v>
      </c>
      <c r="E178">
        <v>1072.775997</v>
      </c>
      <c r="F178">
        <v>1354775.6189999999</v>
      </c>
      <c r="G178">
        <v>1682.9410499999999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9.3737242492108791E-4</v>
      </c>
      <c r="M178" s="1">
        <f t="shared" si="11"/>
        <v>91646.638386160557</v>
      </c>
      <c r="N178" s="1">
        <f t="shared" si="12"/>
        <v>67269.790288398697</v>
      </c>
      <c r="O178" s="1"/>
    </row>
    <row r="179" spans="1:15" x14ac:dyDescent="0.25">
      <c r="A179">
        <v>178</v>
      </c>
      <c r="B179">
        <v>543579.96250000002</v>
      </c>
      <c r="C179" s="1">
        <v>-1.6900000000000001E-5</v>
      </c>
      <c r="D179">
        <v>917518.48730000004</v>
      </c>
      <c r="E179">
        <v>3062.5524599999999</v>
      </c>
      <c r="F179">
        <v>1290791.0630000001</v>
      </c>
      <c r="G179">
        <v>2361.134368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-8.2443465124611509E-2</v>
      </c>
      <c r="M179" s="1">
        <f t="shared" si="11"/>
        <v>5010674.6700382419</v>
      </c>
      <c r="N179" s="1">
        <f t="shared" si="12"/>
        <v>1807494.7737932112</v>
      </c>
      <c r="O179" s="1"/>
    </row>
    <row r="180" spans="1:15" x14ac:dyDescent="0.25">
      <c r="A180">
        <v>179</v>
      </c>
      <c r="B180">
        <v>494666.22379999998</v>
      </c>
      <c r="C180">
        <v>8058.2530269999997</v>
      </c>
      <c r="D180">
        <v>861392.56079999998</v>
      </c>
      <c r="E180">
        <v>23804.014599999999</v>
      </c>
      <c r="F180">
        <v>1253545.3729999999</v>
      </c>
      <c r="G180">
        <v>4208.0661639999998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27170635.644962437</v>
      </c>
      <c r="M180" s="1">
        <f t="shared" si="11"/>
        <v>26918586.024287716</v>
      </c>
      <c r="N180" s="1">
        <f t="shared" si="12"/>
        <v>2226528.5763823418</v>
      </c>
      <c r="O180" s="1"/>
    </row>
    <row r="181" spans="1:15" x14ac:dyDescent="0.25">
      <c r="A181">
        <v>180</v>
      </c>
      <c r="B181">
        <v>388003.53320000001</v>
      </c>
      <c r="C181">
        <v>830.83357279999996</v>
      </c>
      <c r="D181">
        <v>750599.91760000004</v>
      </c>
      <c r="E181">
        <v>12178.8117</v>
      </c>
      <c r="F181">
        <v>1150846.422</v>
      </c>
      <c r="G181">
        <v>8840.8347749999994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5284967.6439374732</v>
      </c>
      <c r="M181" s="1">
        <f t="shared" si="11"/>
        <v>25982225.52266895</v>
      </c>
      <c r="N181" s="1">
        <f t="shared" si="12"/>
        <v>8824871.3851754405</v>
      </c>
      <c r="O181" s="1"/>
    </row>
    <row r="182" spans="1:15" x14ac:dyDescent="0.25">
      <c r="A182">
        <v>181</v>
      </c>
      <c r="B182">
        <v>554074.38130000001</v>
      </c>
      <c r="C182" s="1">
        <v>-1.5500000000000001E-5</v>
      </c>
      <c r="D182">
        <v>931861.77980000002</v>
      </c>
      <c r="E182" s="1">
        <v>-5.0000000000000002E-5</v>
      </c>
      <c r="F182">
        <v>1339014.67</v>
      </c>
      <c r="G182">
        <v>2314.790508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-4.2094447077933254E-3</v>
      </c>
      <c r="M182" s="1">
        <f t="shared" si="11"/>
        <v>-4.5541386913099001E-3</v>
      </c>
      <c r="N182" s="1">
        <f t="shared" si="12"/>
        <v>98648.757385824705</v>
      </c>
      <c r="O182" s="1"/>
    </row>
    <row r="183" spans="1:15" x14ac:dyDescent="0.25">
      <c r="A183">
        <v>182</v>
      </c>
      <c r="B183">
        <v>520149.02399999998</v>
      </c>
      <c r="C183">
        <v>5856.1823569999997</v>
      </c>
      <c r="D183">
        <v>885604.85679999995</v>
      </c>
      <c r="E183">
        <v>1083.7719219999999</v>
      </c>
      <c r="F183">
        <v>1250715.973</v>
      </c>
      <c r="G183">
        <v>1130.189347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18378851.26173836</v>
      </c>
      <c r="M183" s="1">
        <f t="shared" si="11"/>
        <v>1140735.0963528103</v>
      </c>
      <c r="N183" s="1">
        <f t="shared" si="12"/>
        <v>556598.1976928988</v>
      </c>
      <c r="O183" s="1"/>
    </row>
    <row r="184" spans="1:15" x14ac:dyDescent="0.25">
      <c r="A184">
        <v>183</v>
      </c>
      <c r="B184">
        <v>419907.26770000003</v>
      </c>
      <c r="C184">
        <v>830.83358029999999</v>
      </c>
      <c r="D184">
        <v>810270.24639999995</v>
      </c>
      <c r="E184">
        <v>3312.1460729999999</v>
      </c>
      <c r="F184">
        <v>1214547.095</v>
      </c>
      <c r="G184">
        <v>2361.134368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2967337.1656635227</v>
      </c>
      <c r="M184" s="1">
        <f t="shared" si="11"/>
        <v>3967395.2918827976</v>
      </c>
      <c r="N184" s="1">
        <f t="shared" si="12"/>
        <v>1323306.2771593879</v>
      </c>
      <c r="O184" s="1"/>
    </row>
    <row r="185" spans="1:15" x14ac:dyDescent="0.25">
      <c r="A185">
        <v>184</v>
      </c>
      <c r="B185">
        <v>531156.76379999996</v>
      </c>
      <c r="C185">
        <v>5856.1824429999997</v>
      </c>
      <c r="D185">
        <v>885742.26540000003</v>
      </c>
      <c r="E185">
        <v>1083.7719489999999</v>
      </c>
      <c r="F185">
        <v>1255293.19</v>
      </c>
      <c r="G185">
        <v>1340.3431399999999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7188855.4456923846</v>
      </c>
      <c r="M185" s="1">
        <f t="shared" si="11"/>
        <v>446196.53734579403</v>
      </c>
      <c r="N185" s="1">
        <f t="shared" si="12"/>
        <v>258195.08077064555</v>
      </c>
      <c r="O185" s="1"/>
    </row>
    <row r="186" spans="1:15" x14ac:dyDescent="0.25">
      <c r="A186">
        <v>185</v>
      </c>
      <c r="B186">
        <v>441353.17739999999</v>
      </c>
      <c r="C186" s="1">
        <v>-1.8300000000000001E-6</v>
      </c>
      <c r="D186">
        <v>838850.5736</v>
      </c>
      <c r="E186">
        <v>681.8694964</v>
      </c>
      <c r="F186">
        <v>1224997.7320000001</v>
      </c>
      <c r="G186">
        <v>1146.136514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-2.7881349038781228E-3</v>
      </c>
      <c r="M186" s="1">
        <f t="shared" si="11"/>
        <v>348423.2224724465</v>
      </c>
      <c r="N186" s="1">
        <f t="shared" si="12"/>
        <v>274022.2684891508</v>
      </c>
      <c r="O186" s="1"/>
    </row>
    <row r="187" spans="1:15" x14ac:dyDescent="0.25">
      <c r="A187">
        <v>186</v>
      </c>
      <c r="B187">
        <v>404581.50770000002</v>
      </c>
      <c r="C187" s="1">
        <v>4.95E-6</v>
      </c>
      <c r="D187">
        <v>715590.88910000003</v>
      </c>
      <c r="E187" s="1">
        <v>8.6400000000000003E-6</v>
      </c>
      <c r="F187">
        <v>1179532.9909999999</v>
      </c>
      <c r="G187">
        <v>11638.53678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2.297896172468325E-2</v>
      </c>
      <c r="M187" s="1">
        <f t="shared" si="11"/>
        <v>1.3451852055221567E-2</v>
      </c>
      <c r="N187" s="1">
        <f t="shared" si="12"/>
        <v>8478331.6557239164</v>
      </c>
      <c r="O187" s="1"/>
    </row>
    <row r="188" spans="1:15" x14ac:dyDescent="0.25">
      <c r="A188">
        <v>187</v>
      </c>
      <c r="B188">
        <v>531248.28249999997</v>
      </c>
      <c r="C188" s="1">
        <v>3.7499999999999997E-5</v>
      </c>
      <c r="D188">
        <v>944944.00269999995</v>
      </c>
      <c r="E188">
        <v>9206.8764570000003</v>
      </c>
      <c r="F188">
        <v>1370307.1170000001</v>
      </c>
      <c r="G188">
        <v>5083.7958259999996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0.15412628433515624</v>
      </c>
      <c r="M188" s="1">
        <f t="shared" si="11"/>
        <v>12691147.552235976</v>
      </c>
      <c r="N188" s="1">
        <f t="shared" si="12"/>
        <v>3278840.9936392028</v>
      </c>
      <c r="O188" s="1"/>
    </row>
    <row r="189" spans="1:15" x14ac:dyDescent="0.25">
      <c r="A189">
        <v>188</v>
      </c>
      <c r="B189">
        <v>579759.68830000004</v>
      </c>
      <c r="C189" s="1">
        <v>-1.19E-5</v>
      </c>
      <c r="D189">
        <v>939626.61769999994</v>
      </c>
      <c r="E189" s="1">
        <v>-1.01E-5</v>
      </c>
      <c r="F189">
        <v>1342467.5919999999</v>
      </c>
      <c r="G189">
        <v>1923.884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-1.8401534055939126E-2</v>
      </c>
      <c r="M189" s="1">
        <f t="shared" si="11"/>
        <v>-5.2380733916440551E-3</v>
      </c>
      <c r="N189" s="1">
        <f t="shared" si="12"/>
        <v>466845.05862430402</v>
      </c>
      <c r="O189" s="1"/>
    </row>
    <row r="190" spans="1:15" x14ac:dyDescent="0.25">
      <c r="A190">
        <v>189</v>
      </c>
      <c r="B190">
        <v>573563.61809999996</v>
      </c>
      <c r="C190" s="1">
        <v>4.3600000000000003E-5</v>
      </c>
      <c r="D190">
        <v>956348.83589999995</v>
      </c>
      <c r="E190">
        <v>1208.7051309999999</v>
      </c>
      <c r="F190">
        <v>1342688.8049999999</v>
      </c>
      <c r="G190">
        <v>2695.758405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4.1306965288689101E-2</v>
      </c>
      <c r="M190" s="1">
        <f t="shared" si="11"/>
        <v>384061.08377290313</v>
      </c>
      <c r="N190" s="1">
        <f t="shared" si="12"/>
        <v>400778.65504328662</v>
      </c>
      <c r="O190" s="1"/>
    </row>
    <row r="191" spans="1:15" x14ac:dyDescent="0.25">
      <c r="A191">
        <v>190</v>
      </c>
      <c r="B191">
        <v>532768.24300000002</v>
      </c>
      <c r="C191" s="1">
        <v>1.06E-5</v>
      </c>
      <c r="D191">
        <v>896551.15049999999</v>
      </c>
      <c r="E191">
        <v>1747.328812</v>
      </c>
      <c r="F191">
        <v>1282580.7309999999</v>
      </c>
      <c r="G191">
        <v>2060.415743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1.0444085967132352E-2</v>
      </c>
      <c r="M191" s="1">
        <f t="shared" si="11"/>
        <v>577407.40303799743</v>
      </c>
      <c r="N191" s="1">
        <f t="shared" si="12"/>
        <v>318571.00625375001</v>
      </c>
      <c r="O191" s="1"/>
    </row>
    <row r="192" spans="1:15" x14ac:dyDescent="0.25">
      <c r="A192">
        <v>191</v>
      </c>
      <c r="B192">
        <v>514073.04979999998</v>
      </c>
      <c r="C192" s="1">
        <v>4.6100000000000002E-5</v>
      </c>
      <c r="D192">
        <v>876823.60360000003</v>
      </c>
      <c r="E192" s="1">
        <v>-1.13E-5</v>
      </c>
      <c r="F192">
        <v>1258174.6029999999</v>
      </c>
      <c r="G192">
        <v>1288.541338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1.6279188149710529E-2</v>
      </c>
      <c r="M192" s="1">
        <f t="shared" si="11"/>
        <v>-1.3382997526446491E-3</v>
      </c>
      <c r="N192" s="1">
        <f t="shared" si="12"/>
        <v>71403.086993430275</v>
      </c>
      <c r="O192" s="1"/>
    </row>
    <row r="193" spans="1:15" x14ac:dyDescent="0.25">
      <c r="A193">
        <v>192</v>
      </c>
      <c r="B193">
        <v>643873.63230000006</v>
      </c>
      <c r="C193" s="1">
        <v>3.2100000000000001E-5</v>
      </c>
      <c r="D193">
        <v>1009040.7070000001</v>
      </c>
      <c r="E193">
        <v>796.15681199999995</v>
      </c>
      <c r="F193">
        <v>1429353.1980000001</v>
      </c>
      <c r="G193">
        <v>2996.398463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2.9089422312172951E-2</v>
      </c>
      <c r="M193" s="1">
        <f t="shared" si="11"/>
        <v>241975.73435676587</v>
      </c>
      <c r="N193" s="1">
        <f t="shared" si="12"/>
        <v>426104.81817334291</v>
      </c>
      <c r="O193" s="1"/>
    </row>
    <row r="194" spans="1:15" x14ac:dyDescent="0.25">
      <c r="A194">
        <v>193</v>
      </c>
      <c r="B194">
        <v>539487.03980000003</v>
      </c>
      <c r="C194" s="1">
        <v>-4.6400000000000003E-5</v>
      </c>
      <c r="D194">
        <v>942763.63540000003</v>
      </c>
      <c r="E194">
        <v>796.15680150000003</v>
      </c>
      <c r="F194">
        <v>1335857.3759999999</v>
      </c>
      <c r="G194">
        <v>1286.671642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-0.13243712702158122</v>
      </c>
      <c r="M194" s="1">
        <f t="shared" si="11"/>
        <v>762137.8262585738</v>
      </c>
      <c r="N194" s="1">
        <f t="shared" si="12"/>
        <v>576296.94164573238</v>
      </c>
      <c r="O194" s="1"/>
    </row>
    <row r="195" spans="1:15" x14ac:dyDescent="0.25">
      <c r="A195">
        <v>194</v>
      </c>
      <c r="B195">
        <v>745287.24690000003</v>
      </c>
      <c r="C195" s="1">
        <v>1.5299999999999999E-5</v>
      </c>
      <c r="D195">
        <v>1133185.8160000001</v>
      </c>
      <c r="E195">
        <v>2756.5814959999998</v>
      </c>
      <c r="F195">
        <v>1511271.585</v>
      </c>
      <c r="G195">
        <v>935.98272069999996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9.4874674977634479E-3</v>
      </c>
      <c r="M195" s="1">
        <f t="shared" ref="M195:M258" si="15">$U$3*$K195*E195</f>
        <v>573287.99013730313</v>
      </c>
      <c r="N195" s="1">
        <f t="shared" ref="N195:N258" si="16">$U$4*$K195*G195</f>
        <v>91078.006575481588</v>
      </c>
      <c r="O195" s="1"/>
    </row>
    <row r="196" spans="1:15" x14ac:dyDescent="0.25">
      <c r="A196">
        <v>195</v>
      </c>
      <c r="B196">
        <v>617195.20539999998</v>
      </c>
      <c r="C196" s="1">
        <v>-4.7700000000000001E-5</v>
      </c>
      <c r="D196">
        <v>1004056.251</v>
      </c>
      <c r="E196">
        <v>1450.930644</v>
      </c>
      <c r="F196">
        <v>1428525.737</v>
      </c>
      <c r="G196">
        <v>2251.3098300000001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-9.6019650953559452E-2</v>
      </c>
      <c r="M196" s="1">
        <f t="shared" si="15"/>
        <v>979561.10855814558</v>
      </c>
      <c r="N196" s="1">
        <f t="shared" si="16"/>
        <v>711154.27752367558</v>
      </c>
      <c r="O196" s="1"/>
    </row>
    <row r="197" spans="1:15" x14ac:dyDescent="0.25">
      <c r="A197">
        <v>196</v>
      </c>
      <c r="B197">
        <v>439019.63370000001</v>
      </c>
      <c r="C197" s="1">
        <v>-5.7200000000000003E-6</v>
      </c>
      <c r="D197">
        <v>855608.03189999994</v>
      </c>
      <c r="E197">
        <v>441.1871342</v>
      </c>
      <c r="F197">
        <v>1265290.149</v>
      </c>
      <c r="G197">
        <v>932.48951669999997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-3.7298464573298502E-2</v>
      </c>
      <c r="M197" s="1">
        <f t="shared" si="15"/>
        <v>964852.44420213194</v>
      </c>
      <c r="N197" s="1">
        <f t="shared" si="16"/>
        <v>954169.86949110648</v>
      </c>
      <c r="O197" s="1"/>
    </row>
    <row r="198" spans="1:15" x14ac:dyDescent="0.25">
      <c r="A198">
        <v>197</v>
      </c>
      <c r="B198">
        <v>744884.93689999997</v>
      </c>
      <c r="C198">
        <v>830.83353939999995</v>
      </c>
      <c r="D198">
        <v>1145572.598</v>
      </c>
      <c r="E198">
        <v>5519.9200430000001</v>
      </c>
      <c r="F198">
        <v>1526475.977</v>
      </c>
      <c r="G198">
        <v>0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1300236.3128648621</v>
      </c>
      <c r="M198" s="1">
        <f t="shared" si="15"/>
        <v>2897238.1466561737</v>
      </c>
      <c r="N198" s="1">
        <f t="shared" si="16"/>
        <v>0</v>
      </c>
      <c r="O198" s="1"/>
    </row>
    <row r="199" spans="1:15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1849.247644</v>
      </c>
      <c r="F199">
        <v>1422400.8419999999</v>
      </c>
      <c r="G199">
        <v>935.98272069999996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2522565.8676033122</v>
      </c>
      <c r="M199" s="1">
        <f t="shared" si="15"/>
        <v>2162532.7514460534</v>
      </c>
      <c r="N199" s="1">
        <f t="shared" si="16"/>
        <v>512128.71679974912</v>
      </c>
      <c r="O199" s="1"/>
    </row>
    <row r="200" spans="1:15" x14ac:dyDescent="0.25">
      <c r="A200">
        <v>199</v>
      </c>
      <c r="B200">
        <v>419798.50959999999</v>
      </c>
      <c r="C200" s="1">
        <v>1.36E-5</v>
      </c>
      <c r="D200">
        <v>855397.5355</v>
      </c>
      <c r="E200">
        <v>520.77396069999998</v>
      </c>
      <c r="F200">
        <v>1259111.142</v>
      </c>
      <c r="G200">
        <v>3128.0767460000002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9.1584400154312004E-2</v>
      </c>
      <c r="M200" s="1">
        <f t="shared" si="15"/>
        <v>1176183.2619750514</v>
      </c>
      <c r="N200" s="1">
        <f t="shared" si="16"/>
        <v>3305573.4509891793</v>
      </c>
      <c r="O200" s="1"/>
    </row>
    <row r="201" spans="1:15" x14ac:dyDescent="0.25">
      <c r="A201">
        <v>200</v>
      </c>
      <c r="B201">
        <v>629711.44350000005</v>
      </c>
      <c r="C201" s="1">
        <v>1.15E-6</v>
      </c>
      <c r="D201">
        <v>1023370.822</v>
      </c>
      <c r="E201">
        <v>2773.522363</v>
      </c>
      <c r="F201">
        <v>1415433.0819999999</v>
      </c>
      <c r="G201">
        <v>1709.726821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3.3911304020602128E-3</v>
      </c>
      <c r="M201" s="1">
        <f t="shared" si="15"/>
        <v>2742972.5341805667</v>
      </c>
      <c r="N201" s="1">
        <f t="shared" si="16"/>
        <v>791152.4727691072</v>
      </c>
      <c r="O201" s="1"/>
    </row>
    <row r="202" spans="1:15" x14ac:dyDescent="0.25">
      <c r="A202">
        <v>201</v>
      </c>
      <c r="B202">
        <v>580883.29169999994</v>
      </c>
      <c r="C202">
        <v>723.46589100000006</v>
      </c>
      <c r="D202">
        <v>979167.30790000001</v>
      </c>
      <c r="E202">
        <v>1663.333664</v>
      </c>
      <c r="F202">
        <v>1382153.2590000001</v>
      </c>
      <c r="G202">
        <v>1382.3009910000001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4482755.0067837127</v>
      </c>
      <c r="M202" s="1">
        <f t="shared" si="15"/>
        <v>3456602.6462236363</v>
      </c>
      <c r="N202" s="1">
        <f t="shared" si="16"/>
        <v>1344052.9498732702</v>
      </c>
      <c r="O202" s="1"/>
    </row>
    <row r="203" spans="1:15" x14ac:dyDescent="0.25">
      <c r="A203">
        <v>202</v>
      </c>
      <c r="B203">
        <v>415699.413</v>
      </c>
      <c r="C203" s="1">
        <v>1.8300000000000001E-5</v>
      </c>
      <c r="D203">
        <v>860464.37179999996</v>
      </c>
      <c r="E203">
        <v>520.77395839999997</v>
      </c>
      <c r="F203">
        <v>1263096.2590000001</v>
      </c>
      <c r="G203">
        <v>2333.3865300000002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9.1959773801580755E-2</v>
      </c>
      <c r="M203" s="1">
        <f t="shared" si="15"/>
        <v>877686.05975077639</v>
      </c>
      <c r="N203" s="1">
        <f t="shared" si="16"/>
        <v>1840010.5207252169</v>
      </c>
      <c r="O203" s="1"/>
    </row>
    <row r="204" spans="1:15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8302.7688500000004</v>
      </c>
      <c r="F204">
        <v>1333460.08</v>
      </c>
      <c r="G204">
        <v>2959.693616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-1.5147615892182798E-2</v>
      </c>
      <c r="M204" s="1">
        <f t="shared" si="15"/>
        <v>2970448.4763966314</v>
      </c>
      <c r="N204" s="1">
        <f t="shared" si="16"/>
        <v>495438.22421221936</v>
      </c>
      <c r="O204" s="1"/>
    </row>
    <row r="205" spans="1:15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2680.4762689999998</v>
      </c>
      <c r="F205">
        <v>1279752.2649999999</v>
      </c>
      <c r="G205">
        <v>1707.0838530000001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1.6038866637136981E-2</v>
      </c>
      <c r="M205" s="1">
        <f t="shared" si="15"/>
        <v>1980602.8541304581</v>
      </c>
      <c r="N205" s="1">
        <f t="shared" si="16"/>
        <v>590179.29124705179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6687.0160299999998</v>
      </c>
      <c r="F206">
        <v>1261879.8459999999</v>
      </c>
      <c r="G206">
        <v>4369.0947809999998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9.549798740815775E-3</v>
      </c>
      <c r="M206" s="1">
        <f t="shared" si="15"/>
        <v>13641749.420242764</v>
      </c>
      <c r="N206" s="1">
        <f t="shared" si="16"/>
        <v>4170353.2929799655</v>
      </c>
      <c r="O206" s="1"/>
    </row>
    <row r="207" spans="1:15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3168.57942</v>
      </c>
      <c r="F207">
        <v>1474526.3870000001</v>
      </c>
      <c r="G207">
        <v>1267.411936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12618850.965928944</v>
      </c>
      <c r="M207" s="1">
        <f t="shared" si="15"/>
        <v>3415707.0810642554</v>
      </c>
      <c r="N207" s="1">
        <f t="shared" si="16"/>
        <v>639259.94620998634</v>
      </c>
      <c r="O207" s="1"/>
    </row>
    <row r="208" spans="1:15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>
        <v>3277.9865840000002</v>
      </c>
      <c r="F208">
        <v>1331963.4809999999</v>
      </c>
      <c r="G208">
        <v>3074.1350080000002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6.0333623250091423E-2</v>
      </c>
      <c r="M208" s="1">
        <f t="shared" si="15"/>
        <v>2729627.86020794</v>
      </c>
      <c r="N208" s="1">
        <f t="shared" si="16"/>
        <v>1197740.9145960149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7564.7079800000001</v>
      </c>
      <c r="F209">
        <v>1471351.31</v>
      </c>
      <c r="G209">
        <v>4628.909541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-1.3953679763404517E-2</v>
      </c>
      <c r="M209" s="1">
        <f t="shared" si="15"/>
        <v>6794951.0583601845</v>
      </c>
      <c r="N209" s="1">
        <f t="shared" si="16"/>
        <v>1945434.1596533125</v>
      </c>
      <c r="O209" s="1"/>
    </row>
    <row r="210" spans="1:15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9207.3903370000007</v>
      </c>
      <c r="F210">
        <v>1468726.554</v>
      </c>
      <c r="G210">
        <v>1477.5657289999999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6179061.0379040111</v>
      </c>
      <c r="M210" s="1">
        <f t="shared" si="15"/>
        <v>4860212.4408245785</v>
      </c>
      <c r="N210" s="1">
        <f t="shared" si="16"/>
        <v>364929.67923656752</v>
      </c>
      <c r="O210" s="1"/>
    </row>
    <row r="211" spans="1:15" x14ac:dyDescent="0.25">
      <c r="A211">
        <v>212</v>
      </c>
      <c r="B211">
        <v>450404.78600000002</v>
      </c>
      <c r="C211">
        <v>2403.9397100000001</v>
      </c>
      <c r="D211">
        <v>928431.35959999997</v>
      </c>
      <c r="E211">
        <v>1677.359496</v>
      </c>
      <c r="F211">
        <v>1362611.6769999999</v>
      </c>
      <c r="G211">
        <v>3024.9476559999998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14308500.462726841</v>
      </c>
      <c r="M211" s="1">
        <f t="shared" si="15"/>
        <v>3348419.3195377639</v>
      </c>
      <c r="N211" s="1">
        <f t="shared" si="16"/>
        <v>2825369.3494291552</v>
      </c>
      <c r="O211" s="1"/>
    </row>
    <row r="212" spans="1:15" x14ac:dyDescent="0.25">
      <c r="A212">
        <v>213</v>
      </c>
      <c r="B212">
        <v>421201.83020000003</v>
      </c>
      <c r="C212" s="1">
        <v>3.0800000000000003E-5</v>
      </c>
      <c r="D212">
        <v>866398.30330000003</v>
      </c>
      <c r="E212">
        <v>1933.7883549999999</v>
      </c>
      <c r="F212">
        <v>1281586.537</v>
      </c>
      <c r="G212">
        <v>1887.06826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8.4663610036905923E-2</v>
      </c>
      <c r="M212" s="1">
        <f t="shared" si="15"/>
        <v>1782781.6030766875</v>
      </c>
      <c r="N212" s="1">
        <f t="shared" si="16"/>
        <v>813992.66485122789</v>
      </c>
      <c r="O212" s="1"/>
    </row>
    <row r="213" spans="1:15" x14ac:dyDescent="0.25">
      <c r="A213">
        <v>214</v>
      </c>
      <c r="B213">
        <v>263222.04350000003</v>
      </c>
      <c r="C213" s="1">
        <v>1.0699999999999999E-5</v>
      </c>
      <c r="D213">
        <v>798583.83829999994</v>
      </c>
      <c r="E213">
        <v>1148.6235349999999</v>
      </c>
      <c r="F213">
        <v>1180350.307</v>
      </c>
      <c r="G213">
        <v>3509.8790260000001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6.8938843776022996E-2</v>
      </c>
      <c r="M213" s="1">
        <f t="shared" si="15"/>
        <v>2481995.9308739849</v>
      </c>
      <c r="N213" s="1">
        <f t="shared" si="16"/>
        <v>3548617.4246308678</v>
      </c>
      <c r="O213" s="1"/>
    </row>
    <row r="214" spans="1:15" x14ac:dyDescent="0.25">
      <c r="A214">
        <v>215</v>
      </c>
      <c r="B214">
        <v>685872.31259999995</v>
      </c>
      <c r="C214">
        <v>830.83362680000005</v>
      </c>
      <c r="D214">
        <v>1140160.429</v>
      </c>
      <c r="E214">
        <v>3878.2618900000002</v>
      </c>
      <c r="F214">
        <v>1571641.0689999999</v>
      </c>
      <c r="G214">
        <v>2156.0450919999998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3402239.8862241134</v>
      </c>
      <c r="M214" s="1">
        <f t="shared" si="15"/>
        <v>5326367.595399119</v>
      </c>
      <c r="N214" s="1">
        <f t="shared" si="16"/>
        <v>1385464.8779291173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7835.1851269999997</v>
      </c>
      <c r="F215">
        <v>1345783.6669999999</v>
      </c>
      <c r="G215">
        <v>4821.6279860000004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8.1308786490181251E-3</v>
      </c>
      <c r="M215" s="1">
        <f t="shared" si="15"/>
        <v>12209329.936114153</v>
      </c>
      <c r="N215" s="1">
        <f t="shared" si="16"/>
        <v>3515442.0646833568</v>
      </c>
      <c r="O215" s="1"/>
    </row>
    <row r="216" spans="1:15" x14ac:dyDescent="0.25">
      <c r="A216">
        <v>217</v>
      </c>
      <c r="B216">
        <v>517120.9486</v>
      </c>
      <c r="C216" s="1">
        <v>-2.1500000000000001E-5</v>
      </c>
      <c r="D216">
        <v>1016032.284</v>
      </c>
      <c r="E216">
        <v>9261.2911370000002</v>
      </c>
      <c r="F216">
        <v>1427141.686</v>
      </c>
      <c r="G216">
        <v>2695.758405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-3.6045327821449376E-2</v>
      </c>
      <c r="M216" s="1">
        <f t="shared" si="15"/>
        <v>5207451.017395678</v>
      </c>
      <c r="N216" s="1">
        <f t="shared" si="16"/>
        <v>709215.63752676605</v>
      </c>
      <c r="O216" s="1"/>
    </row>
    <row r="217" spans="1:15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2943.7943169999999</v>
      </c>
      <c r="F217">
        <v>1348244.6</v>
      </c>
      <c r="G217">
        <v>1383.763692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-0.12126333076673403</v>
      </c>
      <c r="M217" s="1">
        <f t="shared" si="15"/>
        <v>3218378.7537555592</v>
      </c>
      <c r="N217" s="1">
        <f t="shared" si="16"/>
        <v>707840.3232907895</v>
      </c>
      <c r="O217" s="1"/>
    </row>
    <row r="218" spans="1:15" x14ac:dyDescent="0.25">
      <c r="A218">
        <v>219</v>
      </c>
      <c r="B218">
        <v>433588.02720000001</v>
      </c>
      <c r="C218" s="1">
        <v>-1.8E-5</v>
      </c>
      <c r="D218">
        <v>887833.22770000005</v>
      </c>
      <c r="E218">
        <v>1933.7884340000001</v>
      </c>
      <c r="F218">
        <v>1309968.9439999999</v>
      </c>
      <c r="G218">
        <v>1286.671642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-8.4924201897405002E-2</v>
      </c>
      <c r="M218" s="1">
        <f t="shared" si="15"/>
        <v>3059926.9904531981</v>
      </c>
      <c r="N218" s="1">
        <f t="shared" si="16"/>
        <v>952606.44057171873</v>
      </c>
      <c r="O218" s="1"/>
    </row>
    <row r="219" spans="1:15" x14ac:dyDescent="0.25">
      <c r="A219">
        <v>220</v>
      </c>
      <c r="B219">
        <v>324633.54479999997</v>
      </c>
      <c r="C219" s="1">
        <v>-1.2E-5</v>
      </c>
      <c r="D219">
        <v>806126.68720000004</v>
      </c>
      <c r="E219">
        <v>830.83360560000006</v>
      </c>
      <c r="F219">
        <v>1198479.8529999999</v>
      </c>
      <c r="G219">
        <v>2125.6643220000001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-3.5739148892655004E-2</v>
      </c>
      <c r="M219" s="1">
        <f t="shared" si="15"/>
        <v>829889.27358359448</v>
      </c>
      <c r="N219" s="1">
        <f t="shared" si="16"/>
        <v>993446.44068920263</v>
      </c>
      <c r="O219" s="1"/>
    </row>
    <row r="220" spans="1:15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 s="1">
        <v>-5.0799999999999996E-6</v>
      </c>
      <c r="F220">
        <v>1045809.287</v>
      </c>
      <c r="G220">
        <v>2668.311346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-1.4702731057546482E-2</v>
      </c>
      <c r="M220" s="1">
        <f t="shared" si="15"/>
        <v>-3.2197730833239614E-3</v>
      </c>
      <c r="N220" s="1">
        <f t="shared" si="16"/>
        <v>791301.03579194413</v>
      </c>
      <c r="O220" s="1"/>
    </row>
    <row r="221" spans="1:15" x14ac:dyDescent="0.25">
      <c r="A221">
        <v>222</v>
      </c>
      <c r="B221">
        <v>433501.27429999999</v>
      </c>
      <c r="C221" s="1">
        <v>-7.7300000000000005E-6</v>
      </c>
      <c r="D221">
        <v>913641.94559999998</v>
      </c>
      <c r="E221">
        <v>2559.6329919999998</v>
      </c>
      <c r="F221">
        <v>1351069.3970000001</v>
      </c>
      <c r="G221">
        <v>3808.6287710000001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-2.504871113690257E-2</v>
      </c>
      <c r="M221" s="1">
        <f t="shared" si="15"/>
        <v>2781805.2782196067</v>
      </c>
      <c r="N221" s="1">
        <f t="shared" si="16"/>
        <v>1936695.5269325259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6940.385534</v>
      </c>
      <c r="F222">
        <v>1153734.2279999999</v>
      </c>
      <c r="G222">
        <v>3431.7827649999999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8.4343989725134752E-4</v>
      </c>
      <c r="M222" s="1">
        <f t="shared" si="15"/>
        <v>3218481.6581251207</v>
      </c>
      <c r="N222" s="1">
        <f t="shared" si="16"/>
        <v>744613.50636937108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3208.1391859999999</v>
      </c>
      <c r="F223">
        <v>1432453.6950000001</v>
      </c>
      <c r="G223">
        <v>3208.2321529999999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-4.4851158253537998E-2</v>
      </c>
      <c r="M223" s="1">
        <f t="shared" si="15"/>
        <v>3628426.7572104614</v>
      </c>
      <c r="N223" s="1">
        <f t="shared" si="16"/>
        <v>1697753.4594384937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 s="1">
        <v>-2.7900000000000001E-5</v>
      </c>
      <c r="F224">
        <v>1146856.064</v>
      </c>
      <c r="G224">
        <v>3352.8434000000002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7.1790081559377997E-3</v>
      </c>
      <c r="M224" s="1">
        <f t="shared" si="15"/>
        <v>-4.1723997521304242E-2</v>
      </c>
      <c r="N224" s="1">
        <f t="shared" si="16"/>
        <v>2346057.5171013735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 s="1">
        <v>4.2700000000000001E-5</v>
      </c>
      <c r="F225">
        <v>935771.42350000003</v>
      </c>
      <c r="G225">
        <v>1351.607532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7.4845963587225034E-2</v>
      </c>
      <c r="N225" s="1">
        <f t="shared" si="16"/>
        <v>1108497.6847944581</v>
      </c>
      <c r="O225" s="1"/>
    </row>
    <row r="226" spans="1:15" x14ac:dyDescent="0.25">
      <c r="A226">
        <v>227</v>
      </c>
      <c r="B226">
        <v>208498.3518</v>
      </c>
      <c r="C226" s="1">
        <v>1.31E-5</v>
      </c>
      <c r="D226">
        <v>642340.67420000001</v>
      </c>
      <c r="E226" s="1">
        <v>2.5400000000000001E-5</v>
      </c>
      <c r="F226">
        <v>1052352.6129999999</v>
      </c>
      <c r="G226">
        <v>5348.7159549999997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0.16997674362958901</v>
      </c>
      <c r="M226" s="1">
        <f t="shared" si="15"/>
        <v>0.11053379034947271</v>
      </c>
      <c r="N226" s="1">
        <f t="shared" si="16"/>
        <v>10890669.019884178</v>
      </c>
      <c r="O226" s="1"/>
    </row>
    <row r="227" spans="1:15" x14ac:dyDescent="0.25">
      <c r="A227">
        <v>228</v>
      </c>
      <c r="B227">
        <v>218467.32519999999</v>
      </c>
      <c r="C227" s="1">
        <v>8.3499999999999997E-6</v>
      </c>
      <c r="D227">
        <v>658704.73389999999</v>
      </c>
      <c r="E227" s="1">
        <v>-2.3900000000000002E-5</v>
      </c>
      <c r="F227">
        <v>1069946.9339999999</v>
      </c>
      <c r="G227">
        <v>5348.7159549999997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0.13303243136228013</v>
      </c>
      <c r="M227" s="1">
        <f t="shared" si="15"/>
        <v>-0.12770623194541719</v>
      </c>
      <c r="N227" s="1">
        <f t="shared" si="16"/>
        <v>13372339.786698617</v>
      </c>
      <c r="O227" s="1"/>
    </row>
    <row r="228" spans="1:15" x14ac:dyDescent="0.25">
      <c r="A228">
        <v>229</v>
      </c>
      <c r="B228">
        <v>164668.56630000001</v>
      </c>
      <c r="C228" s="1">
        <v>2.7500000000000001E-5</v>
      </c>
      <c r="D228">
        <v>611497.58909999998</v>
      </c>
      <c r="E228">
        <v>2403.9396670000001</v>
      </c>
      <c r="F228">
        <v>1032709.1139999999</v>
      </c>
      <c r="G228">
        <v>4066.0392400000001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0.28157389463417504</v>
      </c>
      <c r="M228" s="1">
        <f t="shared" si="15"/>
        <v>8255177.1010687687</v>
      </c>
      <c r="N228" s="1">
        <f t="shared" si="16"/>
        <v>6533081.4804644743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 s="1">
        <v>-2.0599999999999999E-5</v>
      </c>
      <c r="F229">
        <v>915157.17830000003</v>
      </c>
      <c r="G229">
        <v>2542.264518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-5.9393170175190427E-2</v>
      </c>
      <c r="N229" s="1">
        <f t="shared" si="16"/>
        <v>3429522.8496232503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>
        <v>723.46589459999996</v>
      </c>
      <c r="F230">
        <v>1036218.785</v>
      </c>
      <c r="G230">
        <v>2869.192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0.25561417355407051</v>
      </c>
      <c r="M230" s="1">
        <f t="shared" si="15"/>
        <v>1366124.4937281017</v>
      </c>
      <c r="N230" s="1">
        <f t="shared" si="16"/>
        <v>2534985.6478648242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 s="1">
        <v>-3.6300000000000001E-5</v>
      </c>
      <c r="F231">
        <v>1051640.0249999999</v>
      </c>
      <c r="G231">
        <v>3258.8690710000001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0.197601660782838</v>
      </c>
      <c r="M231" s="1">
        <f t="shared" si="15"/>
        <v>-9.2172176978420881E-2</v>
      </c>
      <c r="N231" s="1">
        <f t="shared" si="16"/>
        <v>3871718.8300471143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6940.3854840000004</v>
      </c>
      <c r="F232">
        <v>1090560.193</v>
      </c>
      <c r="G232">
        <v>2658.4724529999999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0.27788802429854703</v>
      </c>
      <c r="M232" s="1">
        <f t="shared" si="15"/>
        <v>19781025.743785385</v>
      </c>
      <c r="N232" s="1">
        <f t="shared" si="16"/>
        <v>3545202.5912425662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 s="1">
        <v>-3.79E-5</v>
      </c>
      <c r="F233">
        <v>1027487.201</v>
      </c>
      <c r="G233">
        <v>3772.1046070000002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0.96777391174034999</v>
      </c>
      <c r="M233" s="1">
        <f t="shared" si="15"/>
        <v>-0.27957837809724195</v>
      </c>
      <c r="N233" s="1">
        <f t="shared" si="16"/>
        <v>13019424.194511853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2334.9907450000001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-6.9898831420037749E-2</v>
      </c>
      <c r="N234" s="1">
        <f t="shared" si="16"/>
        <v>2597475.3002113434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>
        <v>2403.9397260000001</v>
      </c>
      <c r="F235">
        <v>990812.9277</v>
      </c>
      <c r="G235">
        <v>2754.6087560000001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3173558.210992998</v>
      </c>
      <c r="N235" s="1">
        <f t="shared" si="16"/>
        <v>1701478.6193731341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7034.1987220000001</v>
      </c>
      <c r="F236">
        <v>1282980.9709999999</v>
      </c>
      <c r="G236">
        <v>3591.7493420000001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12588986.950521246</v>
      </c>
      <c r="N236" s="1">
        <f t="shared" si="16"/>
        <v>3007639.9790972881</v>
      </c>
      <c r="O236" s="1"/>
    </row>
    <row r="237" spans="1:15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3467.94112</v>
      </c>
      <c r="F237">
        <v>1438010.067</v>
      </c>
      <c r="G237">
        <v>4213.228693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3.1186891575655729E-2</v>
      </c>
      <c r="M237" s="1">
        <f t="shared" si="15"/>
        <v>3830336.8055630219</v>
      </c>
      <c r="N237" s="1">
        <f t="shared" si="16"/>
        <v>2177328.5120733222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-3.5299999999999997E-5</v>
      </c>
      <c r="F238">
        <v>1112541.929</v>
      </c>
      <c r="G238">
        <v>7838.1770159999996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-5.9300720565284508E-2</v>
      </c>
      <c r="N238" s="1">
        <f t="shared" si="16"/>
        <v>6160897.8853132091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 s="1">
        <v>-3.3800000000000002E-5</v>
      </c>
      <c r="F239">
        <v>1168448.0589999999</v>
      </c>
      <c r="G239">
        <v>3135.2372970000001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-0.19616904759627174</v>
      </c>
      <c r="M239" s="1">
        <f t="shared" si="15"/>
        <v>-6.718345388372618E-2</v>
      </c>
      <c r="N239" s="1">
        <f t="shared" si="16"/>
        <v>2915813.3619875228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984.77784340000005</v>
      </c>
      <c r="F240">
        <v>1214351.2549999999</v>
      </c>
      <c r="G240">
        <v>5056.561952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1142789.0268545304</v>
      </c>
      <c r="N240" s="1">
        <f t="shared" si="16"/>
        <v>2745533.8557537287</v>
      </c>
      <c r="O240" s="1"/>
    </row>
    <row r="241" spans="1:15" x14ac:dyDescent="0.25">
      <c r="A241">
        <v>244</v>
      </c>
      <c r="B241">
        <v>545795.65090000001</v>
      </c>
      <c r="C241">
        <v>2403.9397060000001</v>
      </c>
      <c r="D241">
        <v>1026367.024</v>
      </c>
      <c r="E241">
        <v>3695.5575880000001</v>
      </c>
      <c r="F241">
        <v>1435883.8049999999</v>
      </c>
      <c r="G241">
        <v>2301.7419880000002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3676457.3825811115</v>
      </c>
      <c r="M241" s="1">
        <f t="shared" si="15"/>
        <v>1895523.0786219046</v>
      </c>
      <c r="N241" s="1">
        <f t="shared" si="16"/>
        <v>552394.5949436333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 s="1">
        <v>1.77E-5</v>
      </c>
      <c r="F242">
        <v>1247363.5049999999</v>
      </c>
      <c r="G242">
        <v>2668.311346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-0.27292301273115455</v>
      </c>
      <c r="M242" s="1">
        <f t="shared" si="15"/>
        <v>5.848934945428675E-2</v>
      </c>
      <c r="N242" s="1">
        <f t="shared" si="16"/>
        <v>4125567.5805839654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 s="1">
        <v>3.98E-6</v>
      </c>
      <c r="F243">
        <v>1226550.5</v>
      </c>
      <c r="G243">
        <v>4824.2378879999997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6.5183503410842173E-3</v>
      </c>
      <c r="N243" s="1">
        <f t="shared" si="16"/>
        <v>3696809.0609435402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830.83355619999998</v>
      </c>
      <c r="F244">
        <v>1264659.6440000001</v>
      </c>
      <c r="G244">
        <v>3396.1804099999999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6.9651113925594504E-2</v>
      </c>
      <c r="M244" s="1">
        <f t="shared" si="15"/>
        <v>1148414.1304859607</v>
      </c>
      <c r="N244" s="1">
        <f t="shared" si="16"/>
        <v>2196437.9027925162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6687.0159510000003</v>
      </c>
      <c r="F245">
        <v>1289923.8529999999</v>
      </c>
      <c r="G245">
        <v>4252.284482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0.22035516084059403</v>
      </c>
      <c r="M245" s="1">
        <f t="shared" si="15"/>
        <v>11995034.639391957</v>
      </c>
      <c r="N245" s="1">
        <f t="shared" si="16"/>
        <v>3568906.2269996023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6687.0160089999999</v>
      </c>
      <c r="F246">
        <v>1295520.952</v>
      </c>
      <c r="G246">
        <v>3899.9631920000002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-7.3452182841488758E-2</v>
      </c>
      <c r="M246" s="1">
        <f t="shared" si="15"/>
        <v>14324595.467215067</v>
      </c>
      <c r="N246" s="1">
        <f t="shared" si="16"/>
        <v>3908896.6641195631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723.46589959999994</v>
      </c>
      <c r="F247">
        <v>1176518.0619999999</v>
      </c>
      <c r="G247">
        <v>2533.804838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884405.23645246436</v>
      </c>
      <c r="N247" s="1">
        <f t="shared" si="16"/>
        <v>1449272.5915072481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2301.480775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-0.15833054275395697</v>
      </c>
      <c r="N248" s="1">
        <f t="shared" si="16"/>
        <v>3848681.7802764564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8985.8634579999998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3.344529882299957E-2</v>
      </c>
      <c r="N249" s="1">
        <f t="shared" si="16"/>
        <v>5602280.5348549271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 s="1">
        <v>3.7400000000000001E-5</v>
      </c>
      <c r="F250">
        <v>1098176.0260000001</v>
      </c>
      <c r="G250">
        <v>3187.4632849999998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3.3082070303327146E-2</v>
      </c>
      <c r="N250" s="1">
        <f t="shared" si="16"/>
        <v>1319197.8876185666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8355.9590719999997</v>
      </c>
      <c r="F251">
        <v>1333610.226</v>
      </c>
      <c r="G251">
        <v>6424.2484439999998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-7.015021500535458E-2</v>
      </c>
      <c r="M251" s="1">
        <f t="shared" si="15"/>
        <v>7590470.2675337084</v>
      </c>
      <c r="N251" s="1">
        <f t="shared" si="16"/>
        <v>2730476.1377267772</v>
      </c>
      <c r="O251" s="1"/>
    </row>
    <row r="252" spans="1:15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830.83353539999996</v>
      </c>
      <c r="F252">
        <v>1283212.915</v>
      </c>
      <c r="G252">
        <v>3873.1392810000002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0.12339630268059383</v>
      </c>
      <c r="M252" s="1">
        <f t="shared" si="15"/>
        <v>890783.15813816513</v>
      </c>
      <c r="N252" s="1">
        <f t="shared" si="16"/>
        <v>1942964.0828346792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 s="1">
        <v>3.5599999999999998E-5</v>
      </c>
      <c r="F253">
        <v>1223839.54</v>
      </c>
      <c r="G253">
        <v>5204.3740719999996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-0.34028460967729801</v>
      </c>
      <c r="M253" s="1">
        <f t="shared" si="15"/>
        <v>8.3256015094059721E-2</v>
      </c>
      <c r="N253" s="1">
        <f t="shared" si="16"/>
        <v>5694791.1970342798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850.91735700000004</v>
      </c>
      <c r="F254">
        <v>1161602.848</v>
      </c>
      <c r="G254">
        <v>3851.647258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1427510.9653341207</v>
      </c>
      <c r="N254" s="1">
        <f t="shared" si="16"/>
        <v>3023307.0395103302</v>
      </c>
      <c r="O254" s="1"/>
    </row>
    <row r="255" spans="1:15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830.8335932</v>
      </c>
      <c r="F255">
        <v>1234967.7509999999</v>
      </c>
      <c r="G255">
        <v>3752.6332649999999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-0.4725999926908131</v>
      </c>
      <c r="M255" s="1">
        <f t="shared" si="15"/>
        <v>3020399.6159507842</v>
      </c>
      <c r="N255" s="1">
        <f t="shared" si="16"/>
        <v>6383078.1322600851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723.46586090000005</v>
      </c>
      <c r="F256">
        <v>1171257.8030000001</v>
      </c>
      <c r="G256">
        <v>2781.5936069999998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1124257.4804179661</v>
      </c>
      <c r="N256" s="1">
        <f t="shared" si="16"/>
        <v>2022484.0310962829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723.46593870000004</v>
      </c>
      <c r="F257">
        <v>1139219.7320000001</v>
      </c>
      <c r="G257">
        <v>2831.1272819999999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1519194.47978777</v>
      </c>
      <c r="N257" s="1">
        <f t="shared" si="16"/>
        <v>2781623.5696868817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>
        <v>8104.3007740000003</v>
      </c>
      <c r="F258">
        <v>1058755.425</v>
      </c>
      <c r="G258">
        <v>11921.331260000001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20519565.257016003</v>
      </c>
      <c r="N258" s="1">
        <f t="shared" si="16"/>
        <v>14122807.47581281</v>
      </c>
      <c r="O258" s="1"/>
    </row>
    <row r="259" spans="1:15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 s="1">
        <v>-1.6699999999999999E-5</v>
      </c>
      <c r="F259">
        <v>1092001.7069999999</v>
      </c>
      <c r="G259">
        <v>3720.157839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5.0731653944283001E-3</v>
      </c>
      <c r="M259" s="1">
        <f t="shared" ref="M259:M322" si="19">$U$3*$K259*E259</f>
        <v>-5.5714527707256919E-2</v>
      </c>
      <c r="N259" s="1">
        <f t="shared" ref="N259:N322" si="20">$U$4*$K259*G259</f>
        <v>5807069.541731067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6548.3175270000002</v>
      </c>
      <c r="F260">
        <v>1005716.439</v>
      </c>
      <c r="G260">
        <v>10092.019340000001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19610279.49282106</v>
      </c>
      <c r="N260" s="1">
        <f t="shared" si="20"/>
        <v>14140859.445439359</v>
      </c>
      <c r="O260" s="1"/>
    </row>
    <row r="261" spans="1:15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8809.6624389999997</v>
      </c>
      <c r="F261">
        <v>1245265.625</v>
      </c>
      <c r="G261">
        <v>10983.88761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-0.28371236968805252</v>
      </c>
      <c r="M261" s="1">
        <f t="shared" si="19"/>
        <v>21493941.817162644</v>
      </c>
      <c r="N261" s="1">
        <f t="shared" si="20"/>
        <v>12538816.875206102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2403.9396879999999</v>
      </c>
      <c r="F262">
        <v>1027556.211</v>
      </c>
      <c r="G262">
        <v>2823.0370750000002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19135765.456650384</v>
      </c>
      <c r="N262" s="1">
        <f t="shared" si="20"/>
        <v>10514352.470314385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>
        <v>38833.121270000003</v>
      </c>
      <c r="F263">
        <v>982278.18259999994</v>
      </c>
      <c r="G263">
        <v>31208.129529999998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-0.10391633259631392</v>
      </c>
      <c r="M263" s="1">
        <f t="shared" si="19"/>
        <v>340909214.86180818</v>
      </c>
      <c r="N263" s="1">
        <f t="shared" si="20"/>
        <v>128188143.97625622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3610.493829</v>
      </c>
      <c r="F264">
        <v>921284.13379999995</v>
      </c>
      <c r="G264">
        <v>10112.7251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17307029.528640434</v>
      </c>
      <c r="N264" s="1">
        <f t="shared" si="20"/>
        <v>22681292.926922064</v>
      </c>
      <c r="O264" s="1"/>
    </row>
    <row r="265" spans="1:15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830.83359989999997</v>
      </c>
      <c r="F265">
        <v>1186794.774</v>
      </c>
      <c r="G265">
        <v>4377.7587629999998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-0.16955408048822102</v>
      </c>
      <c r="M265" s="1">
        <f t="shared" si="19"/>
        <v>972140.78826237202</v>
      </c>
      <c r="N265" s="1">
        <f t="shared" si="20"/>
        <v>2396683.1240674616</v>
      </c>
      <c r="O265" s="1"/>
    </row>
    <row r="266" spans="1:15" x14ac:dyDescent="0.25">
      <c r="A266">
        <v>270</v>
      </c>
      <c r="B266">
        <v>371603.51650000003</v>
      </c>
      <c r="C266" s="1">
        <v>3.3399999999999999E-5</v>
      </c>
      <c r="D266">
        <v>892077.08120000002</v>
      </c>
      <c r="E266">
        <v>7588.8910880000003</v>
      </c>
      <c r="F266">
        <v>1317647.2760000001</v>
      </c>
      <c r="G266">
        <v>2973.8966049999999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0.14144799736414748</v>
      </c>
      <c r="M266" s="1">
        <f t="shared" si="19"/>
        <v>10778834.240509691</v>
      </c>
      <c r="N266" s="1">
        <f t="shared" si="20"/>
        <v>1976346.1700976186</v>
      </c>
      <c r="O266" s="1"/>
    </row>
    <row r="267" spans="1:15" x14ac:dyDescent="0.25">
      <c r="A267">
        <v>271</v>
      </c>
      <c r="B267">
        <v>386853.9118</v>
      </c>
      <c r="C267" s="1">
        <v>1.15E-6</v>
      </c>
      <c r="D267">
        <v>846914.12479999999</v>
      </c>
      <c r="E267">
        <v>3163.6583900000001</v>
      </c>
      <c r="F267">
        <v>1246408.3230000001</v>
      </c>
      <c r="G267">
        <v>2973.8966049999999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7.1690099043712503E-3</v>
      </c>
      <c r="M267" s="1">
        <f t="shared" si="19"/>
        <v>6614454.8981493916</v>
      </c>
      <c r="N267" s="1">
        <f t="shared" si="20"/>
        <v>2909202.9565401282</v>
      </c>
      <c r="O267" s="1"/>
    </row>
    <row r="268" spans="1:15" x14ac:dyDescent="0.25">
      <c r="A268">
        <v>272</v>
      </c>
      <c r="B268">
        <v>146451.09229999999</v>
      </c>
      <c r="C268" s="1">
        <v>-9.7999999999999993E-7</v>
      </c>
      <c r="D268">
        <v>717909.4253</v>
      </c>
      <c r="E268">
        <v>1815.6114709999999</v>
      </c>
      <c r="F268">
        <v>1086133.56</v>
      </c>
      <c r="G268">
        <v>3184.5839580000002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-4.5040361056872995E-3</v>
      </c>
      <c r="M268" s="1">
        <f t="shared" si="19"/>
        <v>2798606.5259088203</v>
      </c>
      <c r="N268" s="1">
        <f t="shared" si="20"/>
        <v>2296758.3596535414</v>
      </c>
      <c r="O268" s="1"/>
    </row>
    <row r="269" spans="1:15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 s="1">
        <v>3.9199999999999997E-6</v>
      </c>
      <c r="F269">
        <v>1046974.578</v>
      </c>
      <c r="G269">
        <v>3184.584163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-0.19836040812424202</v>
      </c>
      <c r="M269" s="1">
        <f t="shared" si="19"/>
        <v>5.4786965212234072E-3</v>
      </c>
      <c r="N269" s="1">
        <f t="shared" si="20"/>
        <v>2082512.3547648715</v>
      </c>
      <c r="O269" s="1"/>
    </row>
    <row r="270" spans="1:15" x14ac:dyDescent="0.25">
      <c r="A270">
        <v>274</v>
      </c>
      <c r="B270">
        <v>327176.9363</v>
      </c>
      <c r="C270" s="1">
        <v>-3.7700000000000002E-5</v>
      </c>
      <c r="D270">
        <v>836929.59219999996</v>
      </c>
      <c r="E270">
        <v>2008.3955390000001</v>
      </c>
      <c r="F270">
        <v>1235154.6880000001</v>
      </c>
      <c r="G270">
        <v>9948.9244880000006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-0.18563338776987551</v>
      </c>
      <c r="M270" s="1">
        <f t="shared" si="19"/>
        <v>3316707.1372883734</v>
      </c>
      <c r="N270" s="1">
        <f t="shared" si="20"/>
        <v>7687368.3269601995</v>
      </c>
      <c r="O270" s="1"/>
    </row>
    <row r="271" spans="1:15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2130.0968800000001</v>
      </c>
      <c r="F271">
        <v>1165050.361</v>
      </c>
      <c r="G271">
        <v>5214.4725330000001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-0.13425166233967997</v>
      </c>
      <c r="M271" s="1">
        <f t="shared" si="19"/>
        <v>2010683.8337182822</v>
      </c>
      <c r="N271" s="1">
        <f t="shared" si="20"/>
        <v>2303024.1506061885</v>
      </c>
      <c r="O271" s="1"/>
    </row>
    <row r="272" spans="1:15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 s="1">
        <v>-2.88E-6</v>
      </c>
      <c r="F272">
        <v>1019031.751</v>
      </c>
      <c r="G272">
        <v>2329.5430080000001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-1.9726856571949804E-2</v>
      </c>
      <c r="M272" s="1">
        <f t="shared" si="19"/>
        <v>-6.1071546499669449E-3</v>
      </c>
      <c r="N272" s="1">
        <f t="shared" si="20"/>
        <v>2311324.0637546647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1558.394757</v>
      </c>
      <c r="F273">
        <v>1179817.0549999999</v>
      </c>
      <c r="G273">
        <v>5339.5274710000003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0</v>
      </c>
      <c r="M273" s="1">
        <f t="shared" si="19"/>
        <v>1639022.4999196343</v>
      </c>
      <c r="N273" s="1">
        <f t="shared" si="20"/>
        <v>2627567.8564711087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>
        <v>3925.969615</v>
      </c>
      <c r="F274">
        <v>1000907.385</v>
      </c>
      <c r="G274">
        <v>4241.5290349999996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1.2479662514104501E-2</v>
      </c>
      <c r="M274" s="1">
        <f t="shared" si="19"/>
        <v>6131378.3766995827</v>
      </c>
      <c r="N274" s="1">
        <f t="shared" si="20"/>
        <v>3099397.6991152032</v>
      </c>
      <c r="O274" s="1"/>
    </row>
    <row r="275" spans="1:15" x14ac:dyDescent="0.25">
      <c r="A275">
        <v>279</v>
      </c>
      <c r="B275">
        <v>418131.7953</v>
      </c>
      <c r="C275" s="1">
        <v>-6.7900000000000002E-6</v>
      </c>
      <c r="D275">
        <v>861999.4817</v>
      </c>
      <c r="E275">
        <v>9251.3803740000003</v>
      </c>
      <c r="F275">
        <v>1285190.3370000001</v>
      </c>
      <c r="G275">
        <v>11520.095160000001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-2.3365082508840802E-2</v>
      </c>
      <c r="M275" s="1">
        <f t="shared" si="19"/>
        <v>10676950.251614669</v>
      </c>
      <c r="N275" s="1">
        <f t="shared" si="20"/>
        <v>6220716.7418502215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>
        <v>2967.2552879999998</v>
      </c>
      <c r="F276">
        <v>977324.74739999999</v>
      </c>
      <c r="G276">
        <v>1519.7578590000001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-5.7099130211214003E-3</v>
      </c>
      <c r="M276" s="1">
        <f t="shared" si="19"/>
        <v>3303688.5278134802</v>
      </c>
      <c r="N276" s="1">
        <f t="shared" si="20"/>
        <v>791702.94202296925</v>
      </c>
      <c r="O276" s="1"/>
    </row>
    <row r="277" spans="1:15" x14ac:dyDescent="0.25">
      <c r="A277">
        <v>281</v>
      </c>
      <c r="B277">
        <v>140439.45259999999</v>
      </c>
      <c r="C277" s="1">
        <v>1.1199999999999999E-5</v>
      </c>
      <c r="D277">
        <v>732244.73439999996</v>
      </c>
      <c r="E277">
        <v>7267.5549609999998</v>
      </c>
      <c r="F277">
        <v>1079465.4569999999</v>
      </c>
      <c r="G277">
        <v>5268.8076540000002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3.8925993453256001E-2</v>
      </c>
      <c r="M277" s="1">
        <f t="shared" si="19"/>
        <v>8471360.1249461509</v>
      </c>
      <c r="N277" s="1">
        <f t="shared" si="20"/>
        <v>2873563.7869641553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1597.079385</v>
      </c>
      <c r="F278">
        <v>946735.58530000004</v>
      </c>
      <c r="G278">
        <v>3329.4768410000001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2185661.3610328515</v>
      </c>
      <c r="N278" s="1">
        <f t="shared" si="20"/>
        <v>2131945.2495652512</v>
      </c>
      <c r="O278" s="1"/>
    </row>
    <row r="279" spans="1:15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9335.7503429999997</v>
      </c>
      <c r="F279">
        <v>1106901.713</v>
      </c>
      <c r="G279">
        <v>7464.7821860000004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-0.2666934830942525</v>
      </c>
      <c r="M279" s="1">
        <f t="shared" si="19"/>
        <v>17880838.847884074</v>
      </c>
      <c r="N279" s="1">
        <f t="shared" si="20"/>
        <v>6689589.6457214756</v>
      </c>
      <c r="O279" s="1"/>
    </row>
    <row r="280" spans="1:15" x14ac:dyDescent="0.25">
      <c r="A280">
        <v>284</v>
      </c>
      <c r="B280">
        <v>170373.04019999999</v>
      </c>
      <c r="C280" s="1">
        <v>-4.5399999999999999E-5</v>
      </c>
      <c r="D280">
        <v>736646.95220000006</v>
      </c>
      <c r="E280">
        <v>11374.29112</v>
      </c>
      <c r="F280">
        <v>1091090.8419999999</v>
      </c>
      <c r="G280">
        <v>7342.5043210000003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-0.25499270693148202</v>
      </c>
      <c r="M280" s="1">
        <f t="shared" si="19"/>
        <v>21425915.266051605</v>
      </c>
      <c r="N280" s="1">
        <f t="shared" si="20"/>
        <v>6471469.8526508007</v>
      </c>
      <c r="O280" s="1"/>
    </row>
    <row r="281" spans="1:15" x14ac:dyDescent="0.25">
      <c r="A281">
        <v>285</v>
      </c>
      <c r="B281">
        <v>106466.5851</v>
      </c>
      <c r="C281" s="1">
        <v>4.1199999999999999E-5</v>
      </c>
      <c r="D281">
        <v>685853.3628</v>
      </c>
      <c r="E281">
        <v>7479.1930060000004</v>
      </c>
      <c r="F281">
        <v>1056841.7309999999</v>
      </c>
      <c r="G281">
        <v>5165.7262039999996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0.19605571424250501</v>
      </c>
      <c r="M281" s="1">
        <f t="shared" si="19"/>
        <v>11936586.961585341</v>
      </c>
      <c r="N281" s="1">
        <f t="shared" si="20"/>
        <v>3857451.6180603923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 s="1">
        <v>-4.1399999999999997E-5</v>
      </c>
      <c r="F282">
        <v>913939.8112</v>
      </c>
      <c r="G282">
        <v>947.29443579999997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-7.3037683605702952E-2</v>
      </c>
      <c r="N282" s="1">
        <f t="shared" si="20"/>
        <v>781943.39304471214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>
        <v>2403.9396689999999</v>
      </c>
      <c r="F283">
        <v>1007924.905</v>
      </c>
      <c r="G283">
        <v>7571.7911560000002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2.9491708106705001E-2</v>
      </c>
      <c r="M283" s="1">
        <f t="shared" si="19"/>
        <v>5491345.0244421363</v>
      </c>
      <c r="N283" s="1">
        <f t="shared" si="20"/>
        <v>8092775.1184947984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3610.4938080000002</v>
      </c>
      <c r="F284">
        <v>921142.37150000001</v>
      </c>
      <c r="G284">
        <v>9273.1769939999995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10216869.214076141</v>
      </c>
      <c r="N284" s="1">
        <f t="shared" si="20"/>
        <v>12277882.045275535</v>
      </c>
      <c r="O284" s="1"/>
    </row>
    <row r="285" spans="1:15" x14ac:dyDescent="0.25">
      <c r="A285">
        <v>289</v>
      </c>
      <c r="B285">
        <v>53395.360630000003</v>
      </c>
      <c r="C285" s="1">
        <v>-4.6399999999999996E-6</v>
      </c>
      <c r="D285">
        <v>512250.7009</v>
      </c>
      <c r="E285">
        <v>11327.589459999999</v>
      </c>
      <c r="F285">
        <v>917126.4277</v>
      </c>
      <c r="G285">
        <v>25981.833699999999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-3.0863746270213998E-2</v>
      </c>
      <c r="M285" s="1">
        <f t="shared" si="19"/>
        <v>25270352.332346391</v>
      </c>
      <c r="N285" s="1">
        <f t="shared" si="20"/>
        <v>27119849.383644871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>
        <v>22698.917249999999</v>
      </c>
      <c r="F286">
        <v>873996.92460000003</v>
      </c>
      <c r="G286">
        <v>18232.809710000001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76424551.111833677</v>
      </c>
      <c r="N286" s="1">
        <f t="shared" si="20"/>
        <v>28722684.808384705</v>
      </c>
      <c r="O286" s="1"/>
    </row>
    <row r="287" spans="1:15" x14ac:dyDescent="0.25">
      <c r="A287">
        <v>291</v>
      </c>
      <c r="B287">
        <v>463595.05170000001</v>
      </c>
      <c r="C287">
        <v>506.28537990000001</v>
      </c>
      <c r="D287">
        <v>879699.49910000002</v>
      </c>
      <c r="E287">
        <v>5669.0924059999998</v>
      </c>
      <c r="F287">
        <v>1297894.122</v>
      </c>
      <c r="G287">
        <v>11631.21012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974606.0076985081</v>
      </c>
      <c r="M287" s="1">
        <f t="shared" si="19"/>
        <v>3660078.2530460879</v>
      </c>
      <c r="N287" s="1">
        <f t="shared" si="20"/>
        <v>3513544.143586067</v>
      </c>
      <c r="O287" s="1"/>
    </row>
    <row r="288" spans="1:15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>
        <v>3261.8530620000001</v>
      </c>
      <c r="F288">
        <v>1186722.081</v>
      </c>
      <c r="G288">
        <v>6656.6848019999998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9.7480024605882107E-2</v>
      </c>
      <c r="M288" s="1">
        <f t="shared" si="19"/>
        <v>2273789.8195935036</v>
      </c>
      <c r="N288" s="1">
        <f t="shared" si="20"/>
        <v>2171138.8363405368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-2.09E-5</v>
      </c>
      <c r="F289">
        <v>916684.57299999997</v>
      </c>
      <c r="G289" s="1">
        <v>-1.5099999999999999E-5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-6.548338239725876E-2</v>
      </c>
      <c r="N289" s="1">
        <f t="shared" si="20"/>
        <v>-2.2136320962261959E-2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>
        <v>6940.3855700000004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-4.4821296773948437E-2</v>
      </c>
      <c r="N290" s="1">
        <f t="shared" si="20"/>
        <v>13731115.760159742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>
        <v>6940.3855590000003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-8.6817046810357373E-2</v>
      </c>
      <c r="N291" s="1">
        <f t="shared" si="20"/>
        <v>12756749.004043007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>
        <v>3255.6154620000002</v>
      </c>
      <c r="F292">
        <v>925275.95120000001</v>
      </c>
      <c r="G292">
        <v>9588.4115160000001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12044178.511901157</v>
      </c>
      <c r="N292" s="1">
        <f t="shared" si="20"/>
        <v>16597184.596985392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>
        <v>7525.579909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-0.233426720413938</v>
      </c>
      <c r="N293" s="1">
        <f t="shared" si="20"/>
        <v>17487847.609977651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>
        <v>500.19959979999999</v>
      </c>
      <c r="F294">
        <v>1117832.6510000001</v>
      </c>
      <c r="G294">
        <v>16077.37211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4386380.1323114578</v>
      </c>
      <c r="N294" s="1">
        <f t="shared" si="20"/>
        <v>65966230.449524976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>
        <v>1698.790301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-0.11221967306610744</v>
      </c>
      <c r="N295" s="1">
        <f t="shared" si="20"/>
        <v>2310814.8266128269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>
        <v>2403.9397009999998</v>
      </c>
      <c r="F296">
        <v>1100476.436</v>
      </c>
      <c r="G296">
        <v>3632.3788679999998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5317164.97433908</v>
      </c>
      <c r="N296" s="1">
        <f t="shared" si="20"/>
        <v>3759164.9607962258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-3.63E-6</v>
      </c>
      <c r="F297">
        <v>1033714.444</v>
      </c>
      <c r="G297">
        <v>9047.0534349999998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-1.3138060235573229E-2</v>
      </c>
      <c r="N297" s="1">
        <f t="shared" si="20"/>
        <v>15320588.829472702</v>
      </c>
      <c r="O297" s="1"/>
    </row>
    <row r="298" spans="1:15" x14ac:dyDescent="0.25">
      <c r="A298">
        <v>309</v>
      </c>
      <c r="B298">
        <v>256002.701</v>
      </c>
      <c r="C298">
        <v>2842.4728289999998</v>
      </c>
      <c r="D298">
        <v>851979.99120000005</v>
      </c>
      <c r="E298">
        <v>8000.586542</v>
      </c>
      <c r="F298">
        <v>1271252.4210000001</v>
      </c>
      <c r="G298">
        <v>8261.3655639999997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41262108.006266192</v>
      </c>
      <c r="M298" s="1">
        <f t="shared" si="19"/>
        <v>38951129.321050026</v>
      </c>
      <c r="N298" s="1">
        <f t="shared" si="20"/>
        <v>18818878.775457431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>
        <v>13933.464099999999</v>
      </c>
      <c r="F299">
        <v>1113076.8759999999</v>
      </c>
      <c r="G299">
        <v>5576.2065510000002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49231737.322243199</v>
      </c>
      <c r="N299" s="1">
        <f t="shared" si="20"/>
        <v>9218676.8002848253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>
        <v>3925.9695820000002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0.23780013513862522</v>
      </c>
      <c r="N300" s="1">
        <f t="shared" si="20"/>
        <v>12588478.16266196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 s="1">
        <v>-2.3300000000000001E-5</v>
      </c>
      <c r="F301">
        <v>949336.66220000002</v>
      </c>
      <c r="G301">
        <v>7655.0965990000004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-6.9311232149540256E-2</v>
      </c>
      <c r="N301" s="1">
        <f t="shared" si="20"/>
        <v>10654720.263229003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-9.0299999999999999E-6</v>
      </c>
      <c r="F302">
        <v>1058851.733</v>
      </c>
      <c r="G302">
        <v>11309.404860000001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-3.6359241761251979E-2</v>
      </c>
      <c r="N302" s="1">
        <f t="shared" si="20"/>
        <v>21306420.656437285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>
        <v>16337.403780000001</v>
      </c>
      <c r="F303">
        <v>1093958.3840000001</v>
      </c>
      <c r="G303">
        <v>5521.7740700000004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31024573.077635884</v>
      </c>
      <c r="N303" s="1">
        <f t="shared" si="20"/>
        <v>4906198.1268996093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>
        <v>2403.9397250000002</v>
      </c>
      <c r="F304">
        <v>1098388.1240000001</v>
      </c>
      <c r="G304">
        <v>1812.9150589999999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3908859.2216235646</v>
      </c>
      <c r="N304" s="1">
        <f t="shared" si="20"/>
        <v>1379264.6002837531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8768.5765389999997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0.39362387550190248</v>
      </c>
      <c r="M305" s="1">
        <f t="shared" si="19"/>
        <v>-8.1940588194666611E-2</v>
      </c>
      <c r="N305" s="1">
        <f t="shared" si="20"/>
        <v>13340475.564662995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7286.1750270000002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-0.13171312959235948</v>
      </c>
      <c r="N306" s="1">
        <f t="shared" si="20"/>
        <v>18554830.045400366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2636.0830369999999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0.12741518688183628</v>
      </c>
      <c r="N307" s="1">
        <f t="shared" si="20"/>
        <v>3155692.0622978285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 s="1">
        <v>-4.6700000000000002E-6</v>
      </c>
      <c r="F308">
        <v>1217356.3589999999</v>
      </c>
      <c r="G308">
        <v>2658.4724529999999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0.4697063693124075</v>
      </c>
      <c r="M308" s="1">
        <f t="shared" si="19"/>
        <v>-1.9410970827773072E-2</v>
      </c>
      <c r="N308" s="1">
        <f t="shared" si="20"/>
        <v>5170186.6153521156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 s="1">
        <v>-4.6100000000000002E-5</v>
      </c>
      <c r="F309">
        <v>1199762.1680000001</v>
      </c>
      <c r="G309">
        <v>2971.9155770000002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-0.20251402296132665</v>
      </c>
      <c r="N309" s="1">
        <f t="shared" si="20"/>
        <v>6108496.3978158413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1.9400000000000001E-5</v>
      </c>
      <c r="F310">
        <v>1140666.629</v>
      </c>
      <c r="G310">
        <v>8358.9510019999998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0.1146956662967567</v>
      </c>
      <c r="N310" s="1">
        <f t="shared" si="20"/>
        <v>23122816.698445536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 s="1">
        <v>-2.58E-5</v>
      </c>
      <c r="F311">
        <v>1114853.929</v>
      </c>
      <c r="G311">
        <v>7838.1770150000002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-3.0784270839118624E-2</v>
      </c>
      <c r="N311" s="1">
        <f t="shared" si="20"/>
        <v>4375905.2591744661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830.83358299999998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6.6289505214630243E-2</v>
      </c>
      <c r="N312" s="1">
        <f t="shared" si="20"/>
        <v>795348.53997372009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>
        <v>1351.607534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-3.5581208559232004E-2</v>
      </c>
      <c r="N313" s="1">
        <f t="shared" si="20"/>
        <v>1184299.0378713887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0</v>
      </c>
      <c r="F314">
        <v>1060292.919</v>
      </c>
      <c r="G314">
        <v>2945.9916370000001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0</v>
      </c>
      <c r="N314" s="1">
        <f t="shared" si="20"/>
        <v>2543392.9426944507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 s="1">
        <v>-4.5599999999999997E-5</v>
      </c>
      <c r="F315">
        <v>1195380.6580000001</v>
      </c>
      <c r="G315">
        <v>3199.458701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0.33299621692346104</v>
      </c>
      <c r="M315" s="1">
        <f t="shared" si="19"/>
        <v>-0.12154392484643807</v>
      </c>
      <c r="N315" s="1">
        <f t="shared" si="20"/>
        <v>3990144.2867948147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>
        <v>511.80804869999997</v>
      </c>
      <c r="F316">
        <v>1095789.554</v>
      </c>
      <c r="G316">
        <v>6535.8833080000004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-1.1763889812047101E-2</v>
      </c>
      <c r="M316" s="1">
        <f t="shared" si="19"/>
        <v>2588848.2461183206</v>
      </c>
      <c r="N316" s="1">
        <f t="shared" si="20"/>
        <v>15468473.230947554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>
        <v>4914.3568409999998</v>
      </c>
      <c r="F317">
        <v>899794.30390000006</v>
      </c>
      <c r="G317">
        <v>8132.8157629999996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24910372.737414382</v>
      </c>
      <c r="N317" s="1">
        <f t="shared" si="20"/>
        <v>19288486.437420003</v>
      </c>
      <c r="O317" s="1"/>
    </row>
    <row r="318" spans="1:15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9811.1827730000005</v>
      </c>
      <c r="F318">
        <v>1287726.5160000001</v>
      </c>
      <c r="G318">
        <v>6197.840064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-0.58104317018299501</v>
      </c>
      <c r="M318" s="1">
        <f t="shared" si="19"/>
        <v>54471055.081471771</v>
      </c>
      <c r="N318" s="1">
        <f t="shared" si="20"/>
        <v>16100095.953781335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>
        <v>2426.9839029999998</v>
      </c>
      <c r="F319">
        <v>874731.12159999995</v>
      </c>
      <c r="G319">
        <v>5612.0413479999997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14628110.376773031</v>
      </c>
      <c r="N319" s="1">
        <f t="shared" si="20"/>
        <v>15826536.113102259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1520.8440149999999</v>
      </c>
      <c r="F320">
        <v>1175916.6910000001</v>
      </c>
      <c r="G320">
        <v>7562.9448940000002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6879616.3138806047</v>
      </c>
      <c r="N320" s="1">
        <f t="shared" si="20"/>
        <v>16007155.313429205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-1.43424259904563E-3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4.8099999999999997E-5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1.6626245886021202E-2</v>
      </c>
      <c r="N322" s="1">
        <f t="shared" si="20"/>
        <v>0.34016550277730279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 s="1">
        <v>3.5599999999999998E-6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2.9409676706962699E-2</v>
      </c>
      <c r="N323" s="1">
        <f t="shared" ref="N323:N386" si="24">$U$4*$K323*G323</f>
        <v>2.129884684051116E-2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7.1638721588154E-2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>
        <v>10007.27284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2.8140425602113422E-2</v>
      </c>
      <c r="N325" s="1">
        <f t="shared" si="24"/>
        <v>33442124.431932151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>
        <v>78239.272670000006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-9.2508274298261067E-3</v>
      </c>
      <c r="N326" s="1">
        <f t="shared" si="24"/>
        <v>163598273.70016968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>
        <v>9740.6756490000007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2.07204458364475E-3</v>
      </c>
      <c r="M327" s="1">
        <f t="shared" si="23"/>
        <v>1.7651269643934937E-2</v>
      </c>
      <c r="N327" s="1">
        <f t="shared" si="24"/>
        <v>31671963.852218121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 s="1">
        <v>-3.2199999999999997E-5</v>
      </c>
      <c r="F328">
        <v>632384.22030000004</v>
      </c>
      <c r="G328">
        <v>14503.64005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1.119130128493E-2</v>
      </c>
      <c r="M328" s="1">
        <f t="shared" si="23"/>
        <v>-0.60429583461303549</v>
      </c>
      <c r="N328" s="1">
        <f t="shared" si="24"/>
        <v>127354536.64483213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>
        <v>19682.385429999998</v>
      </c>
      <c r="F329">
        <v>1004835.983</v>
      </c>
      <c r="G329">
        <v>29858.689989999999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97542559.761842385</v>
      </c>
      <c r="N329" s="1">
        <f t="shared" si="24"/>
        <v>69235820.6326738</v>
      </c>
      <c r="O329" s="1"/>
    </row>
    <row r="330" spans="1:15" x14ac:dyDescent="0.25">
      <c r="A330">
        <v>410</v>
      </c>
      <c r="B330">
        <v>109104.80620000001</v>
      </c>
      <c r="C330">
        <v>12308.46803</v>
      </c>
      <c r="D330">
        <v>742590.87150000001</v>
      </c>
      <c r="E330">
        <v>43485.150900000001</v>
      </c>
      <c r="F330">
        <v>1110394.05</v>
      </c>
      <c r="G330">
        <v>50462.148939999999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122304505.96898705</v>
      </c>
      <c r="M330" s="1">
        <f t="shared" si="23"/>
        <v>144918080.90007281</v>
      </c>
      <c r="N330" s="1">
        <f t="shared" si="24"/>
        <v>78684830.198844284</v>
      </c>
      <c r="O330" s="1"/>
    </row>
    <row r="331" spans="1:15" x14ac:dyDescent="0.25">
      <c r="A331">
        <v>411</v>
      </c>
      <c r="B331">
        <v>421255.3222</v>
      </c>
      <c r="C331">
        <v>41140.653729999998</v>
      </c>
      <c r="D331">
        <v>901882.04070000001</v>
      </c>
      <c r="E331">
        <v>40550.49452</v>
      </c>
      <c r="F331">
        <v>1332042.9509999999</v>
      </c>
      <c r="G331">
        <v>18745.794699999999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399201937.74621457</v>
      </c>
      <c r="M331" s="1">
        <f t="shared" si="23"/>
        <v>131965602.26520376</v>
      </c>
      <c r="N331" s="1">
        <f t="shared" si="24"/>
        <v>28543821.960721832</v>
      </c>
      <c r="O331" s="1"/>
    </row>
    <row r="332" spans="1:15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>
        <v>35815.06652</v>
      </c>
      <c r="F332">
        <v>903907.15209999995</v>
      </c>
      <c r="G332">
        <v>31825.407770000002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6.9812909824663844E-2</v>
      </c>
      <c r="M332" s="1">
        <f t="shared" si="23"/>
        <v>179952847.15512422</v>
      </c>
      <c r="N332" s="1">
        <f t="shared" si="24"/>
        <v>74818778.779655665</v>
      </c>
      <c r="O332" s="1"/>
    </row>
    <row r="333" spans="1:15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>
        <v>6334.3440620000001</v>
      </c>
      <c r="F333">
        <v>767494.17189999996</v>
      </c>
      <c r="G333">
        <v>27605.557390000002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-6.8487595407481262E-3</v>
      </c>
      <c r="M333" s="1">
        <f t="shared" si="23"/>
        <v>26454162.388035841</v>
      </c>
      <c r="N333" s="1">
        <f t="shared" si="24"/>
        <v>53942685.606568135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>
        <v>31300.62559</v>
      </c>
      <c r="F334">
        <v>949689.50730000006</v>
      </c>
      <c r="G334">
        <v>34934.804450000003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198961248.04029423</v>
      </c>
      <c r="N334" s="1">
        <f t="shared" si="24"/>
        <v>103900460.78596219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27152.812000000002</v>
      </c>
      <c r="F335">
        <v>714032.27049999998</v>
      </c>
      <c r="G335">
        <v>42220.698470000003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96903421.498826697</v>
      </c>
      <c r="N335" s="1">
        <f t="shared" si="24"/>
        <v>70500693.768507138</v>
      </c>
      <c r="O335" s="1"/>
    </row>
    <row r="336" spans="1:15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>
        <v>6261.2655350000005</v>
      </c>
      <c r="F336">
        <v>757062.46869999997</v>
      </c>
      <c r="G336">
        <v>21566.355370000001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-6.8940868658843996E-2</v>
      </c>
      <c r="M336" s="1">
        <f t="shared" si="23"/>
        <v>31817834.152248453</v>
      </c>
      <c r="N336" s="1">
        <f t="shared" si="24"/>
        <v>51277746.017696969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 s="1">
        <v>1.7499999999999998E-5</v>
      </c>
      <c r="F337">
        <v>662995.1605</v>
      </c>
      <c r="G337">
        <v>14601.32411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0.51034272721827489</v>
      </c>
      <c r="N337" s="1">
        <f t="shared" si="24"/>
        <v>199232323.94865686</v>
      </c>
      <c r="O337" s="1"/>
    </row>
    <row r="338" spans="1:15" x14ac:dyDescent="0.25">
      <c r="A338">
        <v>418</v>
      </c>
      <c r="B338">
        <v>89858.504159999997</v>
      </c>
      <c r="C338">
        <v>4394.1601019999998</v>
      </c>
      <c r="D338">
        <v>666642.77650000004</v>
      </c>
      <c r="E338">
        <v>32106.925090000001</v>
      </c>
      <c r="F338">
        <v>1058916.5</v>
      </c>
      <c r="G338">
        <v>29524.955699999999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28508397.049411468</v>
      </c>
      <c r="M338" s="1">
        <f t="shared" si="23"/>
        <v>69861639.610295787</v>
      </c>
      <c r="N338" s="1">
        <f t="shared" si="24"/>
        <v>30058893.665581152</v>
      </c>
      <c r="O338" s="1"/>
    </row>
    <row r="339" spans="1:15" x14ac:dyDescent="0.25">
      <c r="A339">
        <v>420</v>
      </c>
      <c r="B339">
        <v>44315.055289999997</v>
      </c>
      <c r="C339">
        <v>850.91740179999999</v>
      </c>
      <c r="D339">
        <v>474478.38459999999</v>
      </c>
      <c r="E339">
        <v>42960.752439999997</v>
      </c>
      <c r="F339">
        <v>844819.72320000001</v>
      </c>
      <c r="G339">
        <v>82840.078120000006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13470062.294896238</v>
      </c>
      <c r="M339" s="1">
        <f t="shared" si="23"/>
        <v>228085257.45266107</v>
      </c>
      <c r="N339" s="1">
        <f t="shared" si="24"/>
        <v>205783009.22647977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2045.072009</v>
      </c>
      <c r="F340">
        <v>585551.13190000004</v>
      </c>
      <c r="G340">
        <v>68081.611390000005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20953623.705440693</v>
      </c>
      <c r="N340" s="1">
        <f t="shared" si="24"/>
        <v>326380377.42199683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5856.1824049999996</v>
      </c>
      <c r="F341">
        <v>549963.11750000005</v>
      </c>
      <c r="G341">
        <v>33098.29118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38599953.543746956</v>
      </c>
      <c r="N341" s="1">
        <f t="shared" si="24"/>
        <v>102075481.46129829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608.86058370000001</v>
      </c>
      <c r="F342">
        <v>563220.57660000003</v>
      </c>
      <c r="G342">
        <v>57011.87977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744297.47872866353</v>
      </c>
      <c r="N342" s="1">
        <f t="shared" si="24"/>
        <v>32609018.481473457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>
        <v>746.68783389999999</v>
      </c>
      <c r="F343">
        <v>522965.44500000001</v>
      </c>
      <c r="G343">
        <v>46401.089160000003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4167159.472840141</v>
      </c>
      <c r="N343" s="1">
        <f t="shared" si="24"/>
        <v>121163803.62668015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 s="1">
        <v>-2.9999999999999999E-7</v>
      </c>
      <c r="F344">
        <v>432077.54300000001</v>
      </c>
      <c r="G344">
        <v>29835.74768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-8.8153930729520998E-4</v>
      </c>
      <c r="N344" s="1">
        <f t="shared" si="24"/>
        <v>41020507.690078147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>
        <v>3906.0493919999999</v>
      </c>
      <c r="F345">
        <v>626506.73400000005</v>
      </c>
      <c r="G345">
        <v>56639.756249999999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8005403.1985147297</v>
      </c>
      <c r="N345" s="1">
        <f t="shared" si="24"/>
        <v>54313843.128264308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>
        <v>0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-1.5523538216171659E-2</v>
      </c>
      <c r="N346" s="1">
        <f t="shared" si="24"/>
        <v>0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 s="1">
        <v>6.0000000000000002E-6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2.0398423611657418E-2</v>
      </c>
      <c r="N347" s="1">
        <f t="shared" si="24"/>
        <v>3.8955985927524001E-2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>
        <v>19678.430649999998</v>
      </c>
      <c r="F349">
        <v>1153027.202</v>
      </c>
      <c r="G349">
        <v>10633.64847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0.6683948791597577</v>
      </c>
      <c r="M349" s="1">
        <f t="shared" si="23"/>
        <v>708074027.96556914</v>
      </c>
      <c r="N349" s="1">
        <f t="shared" si="24"/>
        <v>179025205.77393883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>
        <v>5863.0818220000001</v>
      </c>
      <c r="F350">
        <v>959593.20319999999</v>
      </c>
      <c r="G350">
        <v>7595.7398810000004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141743022.87504378</v>
      </c>
      <c r="N350" s="1">
        <f t="shared" si="24"/>
        <v>85919056.123155534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>
        <v>6707.0998069999996</v>
      </c>
      <c r="D352">
        <v>542329.84180000005</v>
      </c>
      <c r="E352">
        <v>56831.147720000001</v>
      </c>
      <c r="F352">
        <v>889524.22100000002</v>
      </c>
      <c r="G352">
        <v>57084.508849999998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30152621.21128739</v>
      </c>
      <c r="M352" s="1">
        <f t="shared" si="23"/>
        <v>85687972.459495112</v>
      </c>
      <c r="N352" s="1">
        <f t="shared" si="24"/>
        <v>40271275.659765296</v>
      </c>
      <c r="O352" s="1"/>
    </row>
    <row r="353" spans="1:15" x14ac:dyDescent="0.25">
      <c r="A353">
        <v>501</v>
      </c>
      <c r="B353">
        <v>30413.220290000001</v>
      </c>
      <c r="C353" s="1">
        <v>2.9999999999999999E-7</v>
      </c>
      <c r="D353">
        <v>443977.61609999998</v>
      </c>
      <c r="E353">
        <v>26736.615010000001</v>
      </c>
      <c r="F353">
        <v>802580.66070000001</v>
      </c>
      <c r="G353">
        <v>64666.871780000001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2.8025965832279998E-3</v>
      </c>
      <c r="M353" s="1">
        <f t="shared" si="23"/>
        <v>83770072.823362276</v>
      </c>
      <c r="N353" s="1">
        <f t="shared" si="24"/>
        <v>94799926.654689535</v>
      </c>
      <c r="O353" s="1"/>
    </row>
    <row r="354" spans="1:15" x14ac:dyDescent="0.25">
      <c r="A354">
        <v>502</v>
      </c>
      <c r="B354">
        <v>36334.551469999999</v>
      </c>
      <c r="C354" s="1">
        <v>3.1E-6</v>
      </c>
      <c r="D354">
        <v>503379.44270000001</v>
      </c>
      <c r="E354">
        <v>20902.18217</v>
      </c>
      <c r="F354">
        <v>824355.30610000005</v>
      </c>
      <c r="G354">
        <v>73721.286559999993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2.9117836948931251E-2</v>
      </c>
      <c r="M354" s="1">
        <f t="shared" si="23"/>
        <v>65846422.05560106</v>
      </c>
      <c r="N354" s="1">
        <f t="shared" si="24"/>
        <v>108661860.53369266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>
        <v>11083.472379999999</v>
      </c>
      <c r="F355">
        <v>691648.99060000002</v>
      </c>
      <c r="G355">
        <v>75801.660600000003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4.1343492940220251E-2</v>
      </c>
      <c r="M355" s="1">
        <f t="shared" si="23"/>
        <v>49575197.388016388</v>
      </c>
      <c r="N355" s="1">
        <f t="shared" si="24"/>
        <v>158639381.05560958</v>
      </c>
      <c r="O355" s="1"/>
    </row>
    <row r="356" spans="1:15" x14ac:dyDescent="0.25">
      <c r="A356">
        <v>504</v>
      </c>
      <c r="B356">
        <v>25701.549470000002</v>
      </c>
      <c r="C356">
        <v>5856.1824059999999</v>
      </c>
      <c r="D356">
        <v>300424.92950000003</v>
      </c>
      <c r="E356">
        <v>86981.971109999999</v>
      </c>
      <c r="F356">
        <v>704952.58929999999</v>
      </c>
      <c r="G356">
        <v>144167.30840000001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120044817.77285179</v>
      </c>
      <c r="M356" s="1">
        <f t="shared" si="23"/>
        <v>598000026.46988356</v>
      </c>
      <c r="N356" s="1">
        <f t="shared" si="24"/>
        <v>463748402.50110197</v>
      </c>
      <c r="O356" s="1"/>
    </row>
    <row r="357" spans="1:15" x14ac:dyDescent="0.25">
      <c r="A357">
        <v>505</v>
      </c>
      <c r="B357">
        <v>31763.556059999999</v>
      </c>
      <c r="C357">
        <v>1597.079397</v>
      </c>
      <c r="D357">
        <v>331986.72769999999</v>
      </c>
      <c r="E357">
        <v>170250.9454</v>
      </c>
      <c r="F357">
        <v>723507.41489999997</v>
      </c>
      <c r="G357">
        <v>167860.97760000001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38211667.733852066</v>
      </c>
      <c r="M357" s="1">
        <f t="shared" si="23"/>
        <v>1366161853.9343131</v>
      </c>
      <c r="N357" s="1">
        <f t="shared" si="24"/>
        <v>630240123.78239954</v>
      </c>
      <c r="O357" s="1"/>
    </row>
    <row r="358" spans="1:15" x14ac:dyDescent="0.25">
      <c r="A358">
        <v>508</v>
      </c>
      <c r="B358">
        <v>18431.461050000002</v>
      </c>
      <c r="C358">
        <v>11262.09102</v>
      </c>
      <c r="D358">
        <v>176196.9308</v>
      </c>
      <c r="E358">
        <v>320956.83350000001</v>
      </c>
      <c r="F358">
        <v>631804.61739999999</v>
      </c>
      <c r="G358">
        <v>235385.76240000001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173733647.29273382</v>
      </c>
      <c r="M358" s="1">
        <f t="shared" si="23"/>
        <v>1660560365.1896949</v>
      </c>
      <c r="N358" s="1">
        <f t="shared" si="24"/>
        <v>569812418.1367234</v>
      </c>
      <c r="O358" s="1"/>
    </row>
    <row r="359" spans="1:15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>
        <v>81163.221990000005</v>
      </c>
      <c r="F359">
        <v>586817.66379999998</v>
      </c>
      <c r="G359">
        <v>106604.277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-6.1014724871919002E-2</v>
      </c>
      <c r="M359" s="1">
        <f t="shared" si="23"/>
        <v>395446542.768336</v>
      </c>
      <c r="N359" s="1">
        <f t="shared" si="24"/>
        <v>243022682.92862052</v>
      </c>
      <c r="O359" s="1"/>
    </row>
    <row r="360" spans="1:15" x14ac:dyDescent="0.25">
      <c r="A360">
        <v>510</v>
      </c>
      <c r="B360">
        <v>18570.2611</v>
      </c>
      <c r="C360" s="1">
        <v>6.9999999999999997E-7</v>
      </c>
      <c r="D360">
        <v>92394.706980000003</v>
      </c>
      <c r="E360">
        <v>47313.3652</v>
      </c>
      <c r="F360">
        <v>588645.64549999998</v>
      </c>
      <c r="G360">
        <v>78807.691909999994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1.02341166728255E-2</v>
      </c>
      <c r="M360" s="1">
        <f t="shared" si="23"/>
        <v>231995360.26746112</v>
      </c>
      <c r="N360" s="1">
        <f t="shared" si="24"/>
        <v>180803880.43900812</v>
      </c>
      <c r="O360" s="1"/>
    </row>
    <row r="361" spans="1:15" x14ac:dyDescent="0.25">
      <c r="A361">
        <v>511</v>
      </c>
      <c r="B361">
        <v>27598.16689</v>
      </c>
      <c r="C361">
        <v>69720.766130000004</v>
      </c>
      <c r="D361">
        <v>431173.48460000003</v>
      </c>
      <c r="E361">
        <v>171377.56839999999</v>
      </c>
      <c r="F361">
        <v>788134.65850000002</v>
      </c>
      <c r="G361">
        <v>182912.01490000001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836475957.31176972</v>
      </c>
      <c r="M361" s="1">
        <f t="shared" si="23"/>
        <v>689585983.39079988</v>
      </c>
      <c r="N361" s="1">
        <f t="shared" si="24"/>
        <v>344366075.14226305</v>
      </c>
      <c r="O361" s="1"/>
    </row>
    <row r="362" spans="1:15" x14ac:dyDescent="0.25">
      <c r="A362">
        <v>512</v>
      </c>
      <c r="B362">
        <v>24975.755130000001</v>
      </c>
      <c r="C362">
        <v>12012.32137</v>
      </c>
      <c r="D362">
        <v>316544.6471</v>
      </c>
      <c r="E362">
        <v>207414.38519999999</v>
      </c>
      <c r="F362">
        <v>706326.17009999999</v>
      </c>
      <c r="G362">
        <v>201514.19899999999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62014662.680990219</v>
      </c>
      <c r="M362" s="1">
        <f t="shared" si="23"/>
        <v>359128154.48825175</v>
      </c>
      <c r="N362" s="1">
        <f t="shared" si="24"/>
        <v>163252526.43413642</v>
      </c>
      <c r="O362" s="1"/>
    </row>
    <row r="363" spans="1:15" x14ac:dyDescent="0.25">
      <c r="A363">
        <v>513</v>
      </c>
      <c r="B363">
        <v>22105.32417</v>
      </c>
      <c r="C363" s="1">
        <v>5.9999999999999997E-7</v>
      </c>
      <c r="D363">
        <v>172899.4762</v>
      </c>
      <c r="E363">
        <v>44882.356169999999</v>
      </c>
      <c r="F363">
        <v>629597.8885</v>
      </c>
      <c r="G363">
        <v>101215.11689999999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7.4455389898499995E-3</v>
      </c>
      <c r="M363" s="1">
        <f t="shared" si="23"/>
        <v>186794324.49942356</v>
      </c>
      <c r="N363" s="1">
        <f t="shared" si="24"/>
        <v>197095672.10923055</v>
      </c>
      <c r="O363" s="1"/>
    </row>
    <row r="364" spans="1:15" x14ac:dyDescent="0.25">
      <c r="A364">
        <v>514</v>
      </c>
      <c r="B364">
        <v>23988.756819999999</v>
      </c>
      <c r="C364" s="1">
        <v>3.8999999999999999E-6</v>
      </c>
      <c r="D364">
        <v>281840.24690000003</v>
      </c>
      <c r="E364">
        <v>43068.584560000003</v>
      </c>
      <c r="F364">
        <v>673586.57330000005</v>
      </c>
      <c r="G364">
        <v>125051.2206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2.2152613182121503E-2</v>
      </c>
      <c r="M364" s="1">
        <f t="shared" si="23"/>
        <v>82047262.053214669</v>
      </c>
      <c r="N364" s="1">
        <f t="shared" si="24"/>
        <v>111464124.03400485</v>
      </c>
      <c r="O364" s="1"/>
    </row>
    <row r="365" spans="1:15" x14ac:dyDescent="0.25">
      <c r="A365">
        <v>517</v>
      </c>
      <c r="B365">
        <v>505109.76089999999</v>
      </c>
      <c r="C365">
        <v>36496.938280000002</v>
      </c>
      <c r="D365">
        <v>844767.02650000004</v>
      </c>
      <c r="E365">
        <v>63929.313390000003</v>
      </c>
      <c r="F365">
        <v>1242305.476</v>
      </c>
      <c r="G365">
        <v>41069.377679999998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84134749.781537116</v>
      </c>
      <c r="M365" s="1">
        <f t="shared" si="23"/>
        <v>49426760.985680066</v>
      </c>
      <c r="N365" s="1">
        <f t="shared" si="24"/>
        <v>14856753.289810268</v>
      </c>
      <c r="O365" s="1"/>
    </row>
    <row r="366" spans="1:15" x14ac:dyDescent="0.25">
      <c r="A366">
        <v>518</v>
      </c>
      <c r="B366">
        <v>305243.80800000002</v>
      </c>
      <c r="C366">
        <v>11630.39789</v>
      </c>
      <c r="D366">
        <v>713471.58929999999</v>
      </c>
      <c r="E366">
        <v>84455.884309999994</v>
      </c>
      <c r="F366">
        <v>1087121.534</v>
      </c>
      <c r="G366">
        <v>38903.60153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49768640.894339241</v>
      </c>
      <c r="M366" s="1">
        <f t="shared" si="23"/>
        <v>121208829.93151219</v>
      </c>
      <c r="N366" s="1">
        <f t="shared" si="24"/>
        <v>26123889.115699925</v>
      </c>
      <c r="O366" s="1"/>
    </row>
    <row r="367" spans="1:15" x14ac:dyDescent="0.25">
      <c r="A367">
        <v>519</v>
      </c>
      <c r="B367">
        <v>168017.5343</v>
      </c>
      <c r="C367">
        <v>3852.478791</v>
      </c>
      <c r="D367">
        <v>633013.34120000002</v>
      </c>
      <c r="E367">
        <v>67875.803100000005</v>
      </c>
      <c r="F367">
        <v>984017.64969999995</v>
      </c>
      <c r="G367">
        <v>29180.637330000001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22308886.841014836</v>
      </c>
      <c r="M367" s="1">
        <f t="shared" si="23"/>
        <v>131824387.52946834</v>
      </c>
      <c r="N367" s="1">
        <f t="shared" si="24"/>
        <v>26516685.166154988</v>
      </c>
      <c r="O367" s="1"/>
    </row>
    <row r="368" spans="1:15" x14ac:dyDescent="0.25">
      <c r="A368">
        <v>520</v>
      </c>
      <c r="B368">
        <v>215741.15539999999</v>
      </c>
      <c r="C368">
        <v>6332.2751490000001</v>
      </c>
      <c r="D368">
        <v>667620.09450000001</v>
      </c>
      <c r="E368">
        <v>76034.2742</v>
      </c>
      <c r="F368">
        <v>1033573.341</v>
      </c>
      <c r="G368">
        <v>32516.868729999998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55594472.148167975</v>
      </c>
      <c r="M368" s="1">
        <f t="shared" si="23"/>
        <v>223884679.26082158</v>
      </c>
      <c r="N368" s="1">
        <f t="shared" si="24"/>
        <v>44798901.661652051</v>
      </c>
      <c r="O368" s="1"/>
    </row>
    <row r="369" spans="1:15" x14ac:dyDescent="0.25">
      <c r="A369">
        <v>521</v>
      </c>
      <c r="B369">
        <v>110364.02650000001</v>
      </c>
      <c r="C369">
        <v>11239.4913</v>
      </c>
      <c r="D369">
        <v>603252.91819999996</v>
      </c>
      <c r="E369">
        <v>105622.05220000001</v>
      </c>
      <c r="F369">
        <v>958816.42550000001</v>
      </c>
      <c r="G369">
        <v>56412.521849999997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113889671.88928352</v>
      </c>
      <c r="M369" s="1">
        <f t="shared" si="23"/>
        <v>358951212.50031191</v>
      </c>
      <c r="N369" s="1">
        <f t="shared" si="24"/>
        <v>89701564.176422611</v>
      </c>
      <c r="O369" s="1"/>
    </row>
    <row r="370" spans="1:15" x14ac:dyDescent="0.25">
      <c r="A370">
        <v>522</v>
      </c>
      <c r="B370">
        <v>47779.049429999999</v>
      </c>
      <c r="C370">
        <v>187460.86069999999</v>
      </c>
      <c r="D370">
        <v>529601.34730000002</v>
      </c>
      <c r="E370">
        <v>242989.97070000001</v>
      </c>
      <c r="F370">
        <v>844952.8101</v>
      </c>
      <c r="G370">
        <v>256091.72880000001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1700367269.4814985</v>
      </c>
      <c r="M370" s="1">
        <f t="shared" si="23"/>
        <v>739202820.87850857</v>
      </c>
      <c r="N370" s="1">
        <f t="shared" si="24"/>
        <v>364514238.29169691</v>
      </c>
      <c r="O370" s="1"/>
    </row>
    <row r="371" spans="1:15" x14ac:dyDescent="0.25">
      <c r="A371">
        <v>523</v>
      </c>
      <c r="B371">
        <v>56643.795940000004</v>
      </c>
      <c r="C371">
        <v>60015.061459999997</v>
      </c>
      <c r="D371">
        <v>552725.96959999995</v>
      </c>
      <c r="E371">
        <v>153424.4602</v>
      </c>
      <c r="F371">
        <v>906475.28469999996</v>
      </c>
      <c r="G371">
        <v>93487.327910000007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1663164199.8434155</v>
      </c>
      <c r="M371" s="1">
        <f t="shared" si="23"/>
        <v>1425977305.754324</v>
      </c>
      <c r="N371" s="1">
        <f t="shared" si="24"/>
        <v>406550439.42726582</v>
      </c>
      <c r="O371" s="1"/>
    </row>
    <row r="372" spans="1:15" x14ac:dyDescent="0.25">
      <c r="A372">
        <v>524</v>
      </c>
      <c r="B372">
        <v>34616.190430000002</v>
      </c>
      <c r="C372">
        <v>22469.479530000001</v>
      </c>
      <c r="D372">
        <v>361121.76559999998</v>
      </c>
      <c r="E372">
        <v>254852.57389999999</v>
      </c>
      <c r="F372">
        <v>739122.36349999998</v>
      </c>
      <c r="G372">
        <v>206647.49299999999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226459723.49523658</v>
      </c>
      <c r="M372" s="1">
        <f t="shared" si="23"/>
        <v>861450090.60328472</v>
      </c>
      <c r="N372" s="1">
        <f t="shared" si="24"/>
        <v>326824733.65737861</v>
      </c>
      <c r="O372" s="1"/>
    </row>
    <row r="373" spans="1:15" x14ac:dyDescent="0.25">
      <c r="A373">
        <v>525</v>
      </c>
      <c r="B373">
        <v>396580.56969999999</v>
      </c>
      <c r="C373">
        <v>14748.93576</v>
      </c>
      <c r="D373">
        <v>766297.9094</v>
      </c>
      <c r="E373">
        <v>64583.058470000004</v>
      </c>
      <c r="F373">
        <v>1160834.8370000001</v>
      </c>
      <c r="G373">
        <v>33990.036240000001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54846983.152469166</v>
      </c>
      <c r="M373" s="1">
        <f t="shared" si="23"/>
        <v>80547822.682089582</v>
      </c>
      <c r="N373" s="1">
        <f t="shared" si="24"/>
        <v>19834922.275589831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 s="1">
        <v>-3.8399999999999998E-5</v>
      </c>
      <c r="F374">
        <v>755623.93110000005</v>
      </c>
      <c r="G374">
        <v>20825.11981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-0.82668447896471042</v>
      </c>
      <c r="N374" s="1">
        <f t="shared" si="24"/>
        <v>209768245.72221035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10427.01469</v>
      </c>
      <c r="F375">
        <v>832003.87340000004</v>
      </c>
      <c r="G375">
        <v>43711.848299999998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27391261.593253382</v>
      </c>
      <c r="N375" s="1">
        <f t="shared" si="24"/>
        <v>53727285.477398157</v>
      </c>
      <c r="O375" s="1"/>
    </row>
    <row r="376" spans="1:15" x14ac:dyDescent="0.25">
      <c r="A376">
        <v>531</v>
      </c>
      <c r="B376">
        <v>120796.7447</v>
      </c>
      <c r="C376">
        <v>1815.6114319999999</v>
      </c>
      <c r="D376">
        <v>600001.22199999995</v>
      </c>
      <c r="E376">
        <v>33995.062720000002</v>
      </c>
      <c r="F376">
        <v>966621.36049999995</v>
      </c>
      <c r="G376">
        <v>19347.06983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14796182.153199224</v>
      </c>
      <c r="M376" s="1">
        <f t="shared" si="23"/>
        <v>92914981.40553543</v>
      </c>
      <c r="N376" s="1">
        <f t="shared" si="24"/>
        <v>24741656.601677202</v>
      </c>
      <c r="O376" s="1"/>
    </row>
    <row r="377" spans="1:15" x14ac:dyDescent="0.25">
      <c r="A377">
        <v>532</v>
      </c>
      <c r="B377">
        <v>33297.340640000002</v>
      </c>
      <c r="C377">
        <v>723.46588599999995</v>
      </c>
      <c r="D377">
        <v>505881.69329999998</v>
      </c>
      <c r="E377">
        <v>16414.379659999999</v>
      </c>
      <c r="F377">
        <v>855764.68830000004</v>
      </c>
      <c r="G377">
        <v>53036.255069999999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14351441.57036533</v>
      </c>
      <c r="M377" s="1">
        <f t="shared" si="23"/>
        <v>109205643.18449046</v>
      </c>
      <c r="N377" s="1">
        <f t="shared" si="24"/>
        <v>165096222.13905743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10531.24423</v>
      </c>
      <c r="F378">
        <v>767721.87670000002</v>
      </c>
      <c r="G378">
        <v>49558.774790000003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42445386.274240024</v>
      </c>
      <c r="N378" s="1">
        <f t="shared" si="24"/>
        <v>93457690.538374439</v>
      </c>
      <c r="O378" s="1"/>
    </row>
    <row r="379" spans="1:15" x14ac:dyDescent="0.25">
      <c r="A379">
        <v>534</v>
      </c>
      <c r="B379">
        <v>343835.80829999998</v>
      </c>
      <c r="C379">
        <v>7207.335548</v>
      </c>
      <c r="D379">
        <v>731962.8689</v>
      </c>
      <c r="E379">
        <v>41782.363879999997</v>
      </c>
      <c r="F379">
        <v>1141921.3770000001</v>
      </c>
      <c r="G379">
        <v>18326.255290000001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57415206.941882476</v>
      </c>
      <c r="M379" s="1">
        <f t="shared" si="23"/>
        <v>111631905.16998516</v>
      </c>
      <c r="N379" s="1">
        <f t="shared" si="24"/>
        <v>22909348.561429143</v>
      </c>
      <c r="O379" s="1"/>
    </row>
    <row r="380" spans="1:15" x14ac:dyDescent="0.25">
      <c r="A380">
        <v>535</v>
      </c>
      <c r="B380">
        <v>94243.148839999994</v>
      </c>
      <c r="C380" s="1">
        <v>1.08E-6</v>
      </c>
      <c r="D380">
        <v>590101.62470000004</v>
      </c>
      <c r="E380">
        <v>21062.982230000001</v>
      </c>
      <c r="F380">
        <v>950995.43259999994</v>
      </c>
      <c r="G380">
        <v>20894.804830000001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5.1361023450789004E-3</v>
      </c>
      <c r="M380" s="1">
        <f t="shared" si="23"/>
        <v>33594865.910024345</v>
      </c>
      <c r="N380" s="1">
        <f t="shared" si="24"/>
        <v>15593192.764825573</v>
      </c>
      <c r="O380" s="1"/>
    </row>
    <row r="381" spans="1:15" x14ac:dyDescent="0.25">
      <c r="A381">
        <v>536</v>
      </c>
      <c r="B381">
        <v>200645.52729999999</v>
      </c>
      <c r="C381">
        <v>830.83358299999998</v>
      </c>
      <c r="D381">
        <v>639738.95779999997</v>
      </c>
      <c r="E381">
        <v>30541.508559999998</v>
      </c>
      <c r="F381">
        <v>1024634.566</v>
      </c>
      <c r="G381">
        <v>21080.247759999998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2751351.1822054712</v>
      </c>
      <c r="M381" s="1">
        <f t="shared" si="23"/>
        <v>33920762.49813427</v>
      </c>
      <c r="N381" s="1">
        <f t="shared" si="24"/>
        <v>10954549.206419103</v>
      </c>
      <c r="O381" s="1"/>
    </row>
    <row r="382" spans="1:15" x14ac:dyDescent="0.25">
      <c r="A382">
        <v>537</v>
      </c>
      <c r="B382">
        <v>444844.63760000002</v>
      </c>
      <c r="C382">
        <v>13481.56997</v>
      </c>
      <c r="D382">
        <v>802409.20279999997</v>
      </c>
      <c r="E382">
        <v>47560.92009</v>
      </c>
      <c r="F382">
        <v>1219656.855</v>
      </c>
      <c r="G382">
        <v>11090.987870000001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46752348.499750011</v>
      </c>
      <c r="M382" s="1">
        <f t="shared" si="23"/>
        <v>55316710.497283451</v>
      </c>
      <c r="N382" s="1">
        <f t="shared" si="24"/>
        <v>6035593.8444258543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12159.134749999999</v>
      </c>
      <c r="F383">
        <v>771253.88320000004</v>
      </c>
      <c r="G383">
        <v>50716.407910000002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61792284.857825227</v>
      </c>
      <c r="N383" s="1">
        <f t="shared" si="24"/>
        <v>120593457.56267914</v>
      </c>
      <c r="O383" s="1"/>
    </row>
    <row r="384" spans="1:15" x14ac:dyDescent="0.25">
      <c r="A384">
        <v>539</v>
      </c>
      <c r="B384">
        <v>503027.81449999998</v>
      </c>
      <c r="C384">
        <v>20225.413820000002</v>
      </c>
      <c r="D384">
        <v>884773.91429999995</v>
      </c>
      <c r="E384">
        <v>34477.865380000003</v>
      </c>
      <c r="F384">
        <v>1272131.2849999999</v>
      </c>
      <c r="G384">
        <v>16684.352149999999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104219222.29173447</v>
      </c>
      <c r="M384" s="1">
        <f t="shared" si="23"/>
        <v>59584584.933910646</v>
      </c>
      <c r="N384" s="1">
        <f t="shared" si="24"/>
        <v>13491075.560900945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>
        <v>65877.608919999999</v>
      </c>
      <c r="F385">
        <v>653720.53989999997</v>
      </c>
      <c r="G385">
        <v>84275.355609999999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358888807.00943941</v>
      </c>
      <c r="N385" s="1">
        <f t="shared" si="24"/>
        <v>214815867.68317172</v>
      </c>
      <c r="O385" s="1"/>
    </row>
    <row r="386" spans="1:15" x14ac:dyDescent="0.25">
      <c r="A386">
        <v>541</v>
      </c>
      <c r="B386">
        <v>288456.43430000002</v>
      </c>
      <c r="C386">
        <v>8355.9590800000005</v>
      </c>
      <c r="D386">
        <v>694681.9719</v>
      </c>
      <c r="E386">
        <v>57716.273659999999</v>
      </c>
      <c r="F386">
        <v>1100117.1980000001</v>
      </c>
      <c r="G386">
        <v>23379.561280000002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49904342.768437378</v>
      </c>
      <c r="M386" s="1">
        <f t="shared" si="23"/>
        <v>115606820.41317973</v>
      </c>
      <c r="N386" s="1">
        <f t="shared" si="24"/>
        <v>21911151.832286831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16930.169860000002</v>
      </c>
      <c r="F387">
        <v>806393.81310000003</v>
      </c>
      <c r="G387">
        <v>38695.091670000002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55943805.701094098</v>
      </c>
      <c r="N387" s="1">
        <f t="shared" ref="N387:N450" si="28">$U$4*$K387*G387</f>
        <v>59826038.965107851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18652.773809999999</v>
      </c>
      <c r="F388">
        <v>711747.63520000002</v>
      </c>
      <c r="G388">
        <v>106841.29919999999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50531187.432030633</v>
      </c>
      <c r="N388" s="1">
        <f t="shared" si="28"/>
        <v>135425023.17696556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>
        <v>12662.51052</v>
      </c>
      <c r="F389">
        <v>701348.4105</v>
      </c>
      <c r="G389">
        <v>88383.421839999995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48561796.595616363</v>
      </c>
      <c r="N389" s="1">
        <f t="shared" si="28"/>
        <v>158594972.5763731</v>
      </c>
      <c r="O389" s="1"/>
    </row>
    <row r="390" spans="1:15" x14ac:dyDescent="0.25">
      <c r="A390">
        <v>545</v>
      </c>
      <c r="B390">
        <v>36291.227480000001</v>
      </c>
      <c r="C390">
        <v>21218.716960000002</v>
      </c>
      <c r="D390">
        <v>504315.61359999998</v>
      </c>
      <c r="E390">
        <v>52543.97193</v>
      </c>
      <c r="F390">
        <v>826451.88659999997</v>
      </c>
      <c r="G390">
        <v>106126.7751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290266326.32508624</v>
      </c>
      <c r="M390" s="1">
        <f t="shared" si="27"/>
        <v>241070224.74873897</v>
      </c>
      <c r="N390" s="1">
        <f t="shared" si="28"/>
        <v>227818673.73833278</v>
      </c>
      <c r="O390" s="1"/>
    </row>
    <row r="391" spans="1:15" x14ac:dyDescent="0.25">
      <c r="A391">
        <v>548</v>
      </c>
      <c r="B391">
        <v>6632.596415</v>
      </c>
      <c r="C391">
        <v>16907.77087</v>
      </c>
      <c r="D391">
        <v>34289.275399999999</v>
      </c>
      <c r="E391">
        <v>375079.14429999999</v>
      </c>
      <c r="F391">
        <v>240745.09789999999</v>
      </c>
      <c r="G391">
        <v>572744.87040000001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223146044.5059866</v>
      </c>
      <c r="M391" s="1">
        <f t="shared" si="27"/>
        <v>1660232429.3483298</v>
      </c>
      <c r="N391" s="1">
        <f t="shared" si="28"/>
        <v>1186180724.8275976</v>
      </c>
      <c r="O391" s="1"/>
    </row>
    <row r="392" spans="1:15" x14ac:dyDescent="0.25">
      <c r="A392">
        <v>549</v>
      </c>
      <c r="B392">
        <v>6319.2327670000004</v>
      </c>
      <c r="C392">
        <v>17735.27333</v>
      </c>
      <c r="D392">
        <v>36004.943140000003</v>
      </c>
      <c r="E392">
        <v>421252.9117</v>
      </c>
      <c r="F392">
        <v>330597.53779999999</v>
      </c>
      <c r="G392">
        <v>525826.39720000001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329691943.08248216</v>
      </c>
      <c r="M392" s="1">
        <f t="shared" si="27"/>
        <v>2626373578.7063441</v>
      </c>
      <c r="N392" s="1">
        <f t="shared" si="28"/>
        <v>1533909183.8145845</v>
      </c>
      <c r="O392" s="1"/>
    </row>
    <row r="393" spans="1:15" x14ac:dyDescent="0.25">
      <c r="A393">
        <v>550</v>
      </c>
      <c r="B393">
        <v>19062.927169999999</v>
      </c>
      <c r="C393">
        <v>3925.9695790000001</v>
      </c>
      <c r="D393">
        <v>96180.548880000002</v>
      </c>
      <c r="E393">
        <v>218055.7597</v>
      </c>
      <c r="F393">
        <v>585143.9817</v>
      </c>
      <c r="G393">
        <v>197001.2219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46179334.340133995</v>
      </c>
      <c r="M393" s="1">
        <f t="shared" si="27"/>
        <v>860223767.8337543</v>
      </c>
      <c r="N393" s="1">
        <f t="shared" si="28"/>
        <v>363627293.37960052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>
        <v>24062.885160000002</v>
      </c>
      <c r="F394">
        <v>327992.00209999998</v>
      </c>
      <c r="G394">
        <v>241434.35690000001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138190252.78684449</v>
      </c>
      <c r="N394" s="1">
        <f t="shared" si="28"/>
        <v>648742668.25528193</v>
      </c>
      <c r="O394" s="1"/>
    </row>
    <row r="395" spans="1:15" x14ac:dyDescent="0.25">
      <c r="A395">
        <v>554</v>
      </c>
      <c r="B395">
        <v>178435.11730000001</v>
      </c>
      <c r="C395">
        <v>830.83355470000004</v>
      </c>
      <c r="D395">
        <v>611141.28489999997</v>
      </c>
      <c r="E395">
        <v>32429.894909999999</v>
      </c>
      <c r="F395">
        <v>978622.99529999995</v>
      </c>
      <c r="G395">
        <v>16630.329689999999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2996642.8926402321</v>
      </c>
      <c r="M395" s="1">
        <f t="shared" si="27"/>
        <v>39229217.178744346</v>
      </c>
      <c r="N395" s="1">
        <f t="shared" si="28"/>
        <v>9412579.0743717719</v>
      </c>
      <c r="O395" s="1"/>
    </row>
    <row r="396" spans="1:15" x14ac:dyDescent="0.25">
      <c r="A396">
        <v>555</v>
      </c>
      <c r="B396">
        <v>297712.71620000002</v>
      </c>
      <c r="C396" s="1">
        <v>3.5299999999999997E-5</v>
      </c>
      <c r="D396">
        <v>687591.76800000004</v>
      </c>
      <c r="E396">
        <v>15033.770210000001</v>
      </c>
      <c r="F396">
        <v>1064275.1880000001</v>
      </c>
      <c r="G396">
        <v>4396.9919449999998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0.19532802444345448</v>
      </c>
      <c r="M396" s="1">
        <f t="shared" si="27"/>
        <v>27899787.598267268</v>
      </c>
      <c r="N396" s="1">
        <f t="shared" si="28"/>
        <v>3817968.4685676415</v>
      </c>
      <c r="O396" s="1"/>
    </row>
    <row r="397" spans="1:15" x14ac:dyDescent="0.25">
      <c r="A397">
        <v>556</v>
      </c>
      <c r="B397">
        <v>402571.59789999999</v>
      </c>
      <c r="C397">
        <v>830.83359889999997</v>
      </c>
      <c r="D397">
        <v>779965.09959999996</v>
      </c>
      <c r="E397">
        <v>22004.612349999999</v>
      </c>
      <c r="F397">
        <v>1167884.6040000001</v>
      </c>
      <c r="G397">
        <v>2156.0450919999998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4004174.8647889113</v>
      </c>
      <c r="M397" s="1">
        <f t="shared" si="27"/>
        <v>35567704.98366002</v>
      </c>
      <c r="N397" s="1">
        <f t="shared" si="28"/>
        <v>1630585.735299943</v>
      </c>
      <c r="O397" s="1"/>
    </row>
    <row r="398" spans="1:15" x14ac:dyDescent="0.25">
      <c r="A398">
        <v>557</v>
      </c>
      <c r="B398">
        <v>227066.4277</v>
      </c>
      <c r="C398" s="1">
        <v>2.76E-5</v>
      </c>
      <c r="D398">
        <v>660022.7182</v>
      </c>
      <c r="E398">
        <v>21055.96615</v>
      </c>
      <c r="F398">
        <v>1002102.949</v>
      </c>
      <c r="G398">
        <v>7475.4943279999998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0.22616165309349301</v>
      </c>
      <c r="M398" s="1">
        <f t="shared" si="27"/>
        <v>57866631.014954828</v>
      </c>
      <c r="N398" s="1">
        <f t="shared" si="28"/>
        <v>9612505.8974901941</v>
      </c>
      <c r="O398" s="1"/>
    </row>
    <row r="399" spans="1:15" x14ac:dyDescent="0.25">
      <c r="A399">
        <v>558</v>
      </c>
      <c r="B399">
        <v>303165.2181</v>
      </c>
      <c r="C399">
        <v>7004.8058879999999</v>
      </c>
      <c r="D399">
        <v>699025.64450000005</v>
      </c>
      <c r="E399">
        <v>35797.63594</v>
      </c>
      <c r="F399">
        <v>1078378.4380000001</v>
      </c>
      <c r="G399">
        <v>18022.29927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71756682.47709702</v>
      </c>
      <c r="M399" s="1">
        <f t="shared" si="27"/>
        <v>122988280.81295954</v>
      </c>
      <c r="N399" s="1">
        <f t="shared" si="28"/>
        <v>28970984.853717174</v>
      </c>
      <c r="O399" s="1"/>
    </row>
    <row r="400" spans="1:15" x14ac:dyDescent="0.25">
      <c r="A400">
        <v>559</v>
      </c>
      <c r="B400">
        <v>394301.38130000001</v>
      </c>
      <c r="C400" s="1">
        <v>-6.5300000000000002E-6</v>
      </c>
      <c r="D400">
        <v>779948.71719999996</v>
      </c>
      <c r="E400">
        <v>681.86942150000004</v>
      </c>
      <c r="F400">
        <v>1175393.912</v>
      </c>
      <c r="G400">
        <v>1671.7723559999999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-2.090475425248535E-2</v>
      </c>
      <c r="M400" s="1">
        <f t="shared" si="27"/>
        <v>732109.8282826537</v>
      </c>
      <c r="N400" s="1">
        <f t="shared" si="28"/>
        <v>839838.61641286418</v>
      </c>
      <c r="O400" s="1"/>
    </row>
    <row r="401" spans="1:15" x14ac:dyDescent="0.25">
      <c r="A401">
        <v>560</v>
      </c>
      <c r="B401">
        <v>206737.09779999999</v>
      </c>
      <c r="C401" s="1">
        <v>-3.6199999999999999E-5</v>
      </c>
      <c r="D401">
        <v>634570.81019999995</v>
      </c>
      <c r="E401">
        <v>1497.42444</v>
      </c>
      <c r="F401">
        <v>968361.94510000001</v>
      </c>
      <c r="G401">
        <v>6366.6753900000003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-0.1864077542855905</v>
      </c>
      <c r="M401" s="1">
        <f t="shared" si="27"/>
        <v>2586088.9461054499</v>
      </c>
      <c r="N401" s="1">
        <f t="shared" si="28"/>
        <v>5144639.2475543609</v>
      </c>
      <c r="O401" s="1"/>
    </row>
    <row r="402" spans="1:15" x14ac:dyDescent="0.25">
      <c r="A402">
        <v>561</v>
      </c>
      <c r="B402">
        <v>242560.97409999999</v>
      </c>
      <c r="C402">
        <v>5856.1823720000002</v>
      </c>
      <c r="D402">
        <v>659407.01540000003</v>
      </c>
      <c r="E402">
        <v>40172.758199999997</v>
      </c>
      <c r="F402">
        <v>1000601.844</v>
      </c>
      <c r="G402">
        <v>17281.333050000001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28070267.82507892</v>
      </c>
      <c r="M402" s="1">
        <f t="shared" si="27"/>
        <v>64581295.260947585</v>
      </c>
      <c r="N402" s="1">
        <f t="shared" si="28"/>
        <v>12998583.209203841</v>
      </c>
      <c r="O402" s="1"/>
    </row>
    <row r="403" spans="1:15" x14ac:dyDescent="0.25">
      <c r="A403">
        <v>562</v>
      </c>
      <c r="B403">
        <v>283675.45159999997</v>
      </c>
      <c r="C403">
        <v>830.83360279999999</v>
      </c>
      <c r="D403">
        <v>697337.67090000003</v>
      </c>
      <c r="E403">
        <v>11431.13298</v>
      </c>
      <c r="F403">
        <v>1030261.588</v>
      </c>
      <c r="G403">
        <v>14676.605369999999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3445174.9577483139</v>
      </c>
      <c r="M403" s="1">
        <f t="shared" si="27"/>
        <v>15897529.611425718</v>
      </c>
      <c r="N403" s="1">
        <f t="shared" si="28"/>
        <v>9550138.29620599</v>
      </c>
      <c r="O403" s="1"/>
    </row>
    <row r="404" spans="1:15" x14ac:dyDescent="0.25">
      <c r="A404">
        <v>563</v>
      </c>
      <c r="B404">
        <v>340554.25020000001</v>
      </c>
      <c r="C404">
        <v>5856.182382</v>
      </c>
      <c r="D404">
        <v>748919.65910000005</v>
      </c>
      <c r="E404">
        <v>28480.040789999999</v>
      </c>
      <c r="F404">
        <v>1090556.433</v>
      </c>
      <c r="G404">
        <v>14243.03465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13955780.306106169</v>
      </c>
      <c r="M404" s="1">
        <f t="shared" si="27"/>
        <v>22762673.776085578</v>
      </c>
      <c r="N404" s="1">
        <f t="shared" si="28"/>
        <v>5326339.8862868734</v>
      </c>
      <c r="O404" s="1"/>
    </row>
    <row r="405" spans="1:15" x14ac:dyDescent="0.25">
      <c r="A405">
        <v>564</v>
      </c>
      <c r="B405">
        <v>84255.662590000007</v>
      </c>
      <c r="C405">
        <v>5856.1824029999998</v>
      </c>
      <c r="D405">
        <v>603815.84680000006</v>
      </c>
      <c r="E405">
        <v>6751.1357959999996</v>
      </c>
      <c r="F405">
        <v>981813.47979999997</v>
      </c>
      <c r="G405">
        <v>4700.949286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47667676.805759095</v>
      </c>
      <c r="M405" s="1">
        <f t="shared" si="27"/>
        <v>18430171.287194338</v>
      </c>
      <c r="N405" s="1">
        <f t="shared" si="28"/>
        <v>6004568.0626637787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500.1995245</v>
      </c>
      <c r="F406">
        <v>1034483.255</v>
      </c>
      <c r="G406">
        <v>2579.2200659999999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0.25556252000363205</v>
      </c>
      <c r="M406" s="1">
        <f t="shared" si="27"/>
        <v>4665176.3145413566</v>
      </c>
      <c r="N406" s="1">
        <f t="shared" si="28"/>
        <v>11255294.539300445</v>
      </c>
      <c r="O406" s="1"/>
    </row>
    <row r="407" spans="1:15" x14ac:dyDescent="0.25">
      <c r="A407">
        <v>566</v>
      </c>
      <c r="B407">
        <v>168280.97080000001</v>
      </c>
      <c r="C407" s="1">
        <v>-3.8300000000000003E-5</v>
      </c>
      <c r="D407">
        <v>707490.83629999997</v>
      </c>
      <c r="E407" s="1">
        <v>3.1E-6</v>
      </c>
      <c r="F407">
        <v>1077620.0260000001</v>
      </c>
      <c r="G407">
        <v>3114.7904709999998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-0.90893261265677983</v>
      </c>
      <c r="M407" s="1">
        <f t="shared" si="27"/>
        <v>2.4673896751695189E-2</v>
      </c>
      <c r="N407" s="1">
        <f t="shared" si="28"/>
        <v>11599748.276755014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6069.2663329999996</v>
      </c>
      <c r="F408">
        <v>954962.74289999995</v>
      </c>
      <c r="G408">
        <v>3187.4713299999999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18482368.714301839</v>
      </c>
      <c r="N408" s="1">
        <f t="shared" si="28"/>
        <v>4541626.3353578374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>
        <v>95405.783249999993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295073458.8348853</v>
      </c>
      <c r="O409" s="1"/>
    </row>
    <row r="410" spans="1:15" x14ac:dyDescent="0.25">
      <c r="A410">
        <v>571</v>
      </c>
      <c r="B410">
        <v>4219.4067370000002</v>
      </c>
      <c r="C410">
        <v>2403.9396879999999</v>
      </c>
      <c r="D410">
        <v>32003.196240000001</v>
      </c>
      <c r="E410">
        <v>234630.10010000001</v>
      </c>
      <c r="F410">
        <v>298894.8357</v>
      </c>
      <c r="G410">
        <v>409511.98080000002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48566764.082958676</v>
      </c>
      <c r="M410" s="1">
        <f t="shared" si="27"/>
        <v>1589799893.2551577</v>
      </c>
      <c r="N410" s="1">
        <f t="shared" si="28"/>
        <v>1298281976.1140671</v>
      </c>
      <c r="O410" s="1"/>
    </row>
    <row r="411" spans="1:15" x14ac:dyDescent="0.25">
      <c r="A411">
        <v>572</v>
      </c>
      <c r="B411">
        <v>5662.1937090000001</v>
      </c>
      <c r="C411">
        <v>390.90650829999998</v>
      </c>
      <c r="D411">
        <v>33929.631329999997</v>
      </c>
      <c r="E411">
        <v>70188.269589999996</v>
      </c>
      <c r="F411">
        <v>367027.41840000002</v>
      </c>
      <c r="G411">
        <v>240814.80470000001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14027164.448364893</v>
      </c>
      <c r="M411" s="1">
        <f t="shared" si="27"/>
        <v>844704212.14347935</v>
      </c>
      <c r="N411" s="1">
        <f t="shared" si="28"/>
        <v>1356022779.5227842</v>
      </c>
      <c r="O411" s="1"/>
    </row>
    <row r="412" spans="1:15" x14ac:dyDescent="0.25">
      <c r="A412">
        <v>573</v>
      </c>
      <c r="B412">
        <v>9370.5683229999995</v>
      </c>
      <c r="C412">
        <v>8370.3059560000002</v>
      </c>
      <c r="D412">
        <v>53973.093560000001</v>
      </c>
      <c r="E412">
        <v>316632.97529999999</v>
      </c>
      <c r="F412">
        <v>509767.67469999997</v>
      </c>
      <c r="G412">
        <v>286815.79220000003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141240985.22949183</v>
      </c>
      <c r="M412" s="1">
        <f t="shared" si="27"/>
        <v>1791920278.7950094</v>
      </c>
      <c r="N412" s="1">
        <f t="shared" si="28"/>
        <v>759467652.00160325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>
        <v>1784.0847920000001</v>
      </c>
      <c r="F413">
        <v>588063.48190000001</v>
      </c>
      <c r="G413">
        <v>28098.985850000001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29126553.24451372</v>
      </c>
      <c r="N413" s="1">
        <f t="shared" si="28"/>
        <v>214638649.46579254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>
        <v>3528.1798130000002</v>
      </c>
      <c r="F414">
        <v>127784.98540000001</v>
      </c>
      <c r="G414">
        <v>239432.00899999999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29894601.445215706</v>
      </c>
      <c r="N414" s="1">
        <f t="shared" si="28"/>
        <v>949222326.76554763</v>
      </c>
      <c r="O414" s="1"/>
    </row>
    <row r="415" spans="1:15" x14ac:dyDescent="0.25">
      <c r="A415">
        <v>577</v>
      </c>
      <c r="B415">
        <v>100875.2743</v>
      </c>
      <c r="C415" s="1">
        <v>4.0899999999999998E-5</v>
      </c>
      <c r="D415">
        <v>583245.87049999996</v>
      </c>
      <c r="E415">
        <v>28116.62544</v>
      </c>
      <c r="F415">
        <v>945346.68830000004</v>
      </c>
      <c r="G415">
        <v>21484.256450000001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0.53455972420182152</v>
      </c>
      <c r="M415" s="1">
        <f t="shared" si="27"/>
        <v>123247823.50464267</v>
      </c>
      <c r="N415" s="1">
        <f t="shared" si="28"/>
        <v>44063609.428794697</v>
      </c>
      <c r="O415" s="1"/>
    </row>
    <row r="416" spans="1:15" x14ac:dyDescent="0.25">
      <c r="A416">
        <v>578</v>
      </c>
      <c r="B416">
        <v>180165.15100000001</v>
      </c>
      <c r="C416">
        <v>6602.870218</v>
      </c>
      <c r="D416">
        <v>633523.53249999997</v>
      </c>
      <c r="E416">
        <v>75848.561400000006</v>
      </c>
      <c r="F416">
        <v>979334.48360000004</v>
      </c>
      <c r="G416">
        <v>31861.132750000001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95843813.729201511</v>
      </c>
      <c r="M416" s="1">
        <f t="shared" si="27"/>
        <v>369251110.68720812</v>
      </c>
      <c r="N416" s="1">
        <f t="shared" si="28"/>
        <v>72573714.602781847</v>
      </c>
      <c r="O416" s="1"/>
    </row>
    <row r="417" spans="1:15" x14ac:dyDescent="0.25">
      <c r="A417">
        <v>579</v>
      </c>
      <c r="B417">
        <v>340741.16680000001</v>
      </c>
      <c r="C417">
        <v>16451.715779999999</v>
      </c>
      <c r="D417">
        <v>725873.68980000005</v>
      </c>
      <c r="E417">
        <v>85350.500740000003</v>
      </c>
      <c r="F417">
        <v>1137053.7250000001</v>
      </c>
      <c r="G417">
        <v>36231.565170000002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138115665.18547586</v>
      </c>
      <c r="M417" s="1">
        <f t="shared" si="27"/>
        <v>240315039.98113632</v>
      </c>
      <c r="N417" s="1">
        <f t="shared" si="28"/>
        <v>47731562.581771113</v>
      </c>
      <c r="O417" s="1"/>
    </row>
    <row r="418" spans="1:15" x14ac:dyDescent="0.25">
      <c r="A418">
        <v>580</v>
      </c>
      <c r="B418">
        <v>103161.03350000001</v>
      </c>
      <c r="C418">
        <v>5856.1823619999996</v>
      </c>
      <c r="D418">
        <v>608110.09420000005</v>
      </c>
      <c r="E418">
        <v>53507.420960000003</v>
      </c>
      <c r="F418">
        <v>957039.66390000004</v>
      </c>
      <c r="G418">
        <v>33954.313970000003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32557006.191971555</v>
      </c>
      <c r="M418" s="1">
        <f t="shared" si="27"/>
        <v>99767025.805773556</v>
      </c>
      <c r="N418" s="1">
        <f t="shared" si="28"/>
        <v>29621813.631333858</v>
      </c>
      <c r="O418" s="1"/>
    </row>
    <row r="419" spans="1:15" x14ac:dyDescent="0.25">
      <c r="A419">
        <v>600</v>
      </c>
      <c r="B419">
        <v>36623.220020000001</v>
      </c>
      <c r="C419">
        <v>723.46589100000006</v>
      </c>
      <c r="D419">
        <v>358476.56189999997</v>
      </c>
      <c r="E419">
        <v>100447.2317</v>
      </c>
      <c r="F419">
        <v>744860.34979999997</v>
      </c>
      <c r="G419">
        <v>126314.9743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4966484.9910952393</v>
      </c>
      <c r="M419" s="1">
        <f t="shared" si="27"/>
        <v>231266206.22151604</v>
      </c>
      <c r="N419" s="1">
        <f t="shared" si="28"/>
        <v>136073238.22982287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34628.578399999999</v>
      </c>
      <c r="F420">
        <v>644632.75529999996</v>
      </c>
      <c r="G420">
        <v>106304.70299999999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1.0534378858984499E-2</v>
      </c>
      <c r="M420" s="1">
        <f t="shared" si="27"/>
        <v>203908571.79121822</v>
      </c>
      <c r="N420" s="1">
        <f t="shared" si="28"/>
        <v>292884896.46453911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60365.229299999999</v>
      </c>
      <c r="F421">
        <v>746517.67989999999</v>
      </c>
      <c r="G421">
        <v>91114.348429999998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-3.1583917995493496E-2</v>
      </c>
      <c r="M421" s="1">
        <f t="shared" si="27"/>
        <v>304492570.35450464</v>
      </c>
      <c r="N421" s="1">
        <f t="shared" si="28"/>
        <v>215040518.03710338</v>
      </c>
      <c r="O421" s="1"/>
    </row>
    <row r="422" spans="1:15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35109.824399999998</v>
      </c>
      <c r="F422">
        <v>647929.93649999995</v>
      </c>
      <c r="G422">
        <v>117563.28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8.372986919602499E-3</v>
      </c>
      <c r="M422" s="1">
        <f t="shared" si="27"/>
        <v>164323984.3545166</v>
      </c>
      <c r="N422" s="1">
        <f t="shared" si="28"/>
        <v>257446903.02022505</v>
      </c>
      <c r="O422" s="1"/>
    </row>
    <row r="423" spans="1:15" x14ac:dyDescent="0.25">
      <c r="A423">
        <v>604</v>
      </c>
      <c r="B423">
        <v>31793.696479999999</v>
      </c>
      <c r="C423">
        <v>2403.9396879999999</v>
      </c>
      <c r="D423">
        <v>184477.13579999999</v>
      </c>
      <c r="E423">
        <v>188284.57339999999</v>
      </c>
      <c r="F423">
        <v>707446.59510000004</v>
      </c>
      <c r="G423">
        <v>122415.5906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32716839.177298486</v>
      </c>
      <c r="M423" s="1">
        <f t="shared" si="27"/>
        <v>859420378.29189122</v>
      </c>
      <c r="N423" s="1">
        <f t="shared" si="28"/>
        <v>261439569.04484001</v>
      </c>
      <c r="O423" s="1"/>
    </row>
    <row r="424" spans="1:15" x14ac:dyDescent="0.25">
      <c r="A424">
        <v>605</v>
      </c>
      <c r="B424">
        <v>33606.65756</v>
      </c>
      <c r="C424" s="1">
        <v>-3.7000000000000002E-6</v>
      </c>
      <c r="D424">
        <v>192936.33300000001</v>
      </c>
      <c r="E424">
        <v>186231.8829</v>
      </c>
      <c r="F424">
        <v>715113.90009999997</v>
      </c>
      <c r="G424">
        <v>115757.32829999999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-3.6970897075121752E-2</v>
      </c>
      <c r="M424" s="1">
        <f t="shared" si="27"/>
        <v>624101800.79286563</v>
      </c>
      <c r="N424" s="1">
        <f t="shared" si="28"/>
        <v>181507081.73288092</v>
      </c>
      <c r="O424" s="1"/>
    </row>
    <row r="425" spans="1:15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42160.699719999997</v>
      </c>
      <c r="F425">
        <v>695182.20799999998</v>
      </c>
      <c r="G425">
        <v>83183.268450000003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-4.8240683898322506E-2</v>
      </c>
      <c r="M425" s="1">
        <f t="shared" si="27"/>
        <v>151583485.61065498</v>
      </c>
      <c r="N425" s="1">
        <f t="shared" si="28"/>
        <v>139934157.74715447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>
        <v>8911.7391910000006</v>
      </c>
      <c r="F426">
        <v>535576.12309999997</v>
      </c>
      <c r="G426">
        <v>106281.1539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31253797.856991738</v>
      </c>
      <c r="N426" s="1">
        <f t="shared" si="28"/>
        <v>174397505.99520105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12507.01254</v>
      </c>
      <c r="F427">
        <v>587367.99840000004</v>
      </c>
      <c r="G427">
        <v>92595.480670000004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110210618.24451925</v>
      </c>
      <c r="N427" s="1">
        <f t="shared" si="28"/>
        <v>381771339.72518313</v>
      </c>
      <c r="O427" s="1"/>
    </row>
    <row r="428" spans="1:15" x14ac:dyDescent="0.25">
      <c r="A428">
        <v>609</v>
      </c>
      <c r="B428">
        <v>75617.0236</v>
      </c>
      <c r="C428">
        <v>11891.27858</v>
      </c>
      <c r="D428">
        <v>625790.52910000004</v>
      </c>
      <c r="E428">
        <v>63697.61275</v>
      </c>
      <c r="F428">
        <v>952798.62450000003</v>
      </c>
      <c r="G428">
        <v>78807.339439999996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76366769.201520592</v>
      </c>
      <c r="M428" s="1">
        <f t="shared" si="27"/>
        <v>137196223.55382574</v>
      </c>
      <c r="N428" s="1">
        <f t="shared" si="28"/>
        <v>79419901.661541656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29682.14501</v>
      </c>
      <c r="F429">
        <v>762655.40150000004</v>
      </c>
      <c r="G429">
        <v>74577.134349999993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88730007.747208834</v>
      </c>
      <c r="N429" s="1">
        <f t="shared" si="28"/>
        <v>104309678.43621953</v>
      </c>
      <c r="O429" s="1"/>
    </row>
    <row r="430" spans="1:15" x14ac:dyDescent="0.25">
      <c r="A430">
        <v>611</v>
      </c>
      <c r="B430">
        <v>207488.09450000001</v>
      </c>
      <c r="C430" s="1">
        <v>2.1800000000000001E-5</v>
      </c>
      <c r="D430">
        <v>773021.14029999997</v>
      </c>
      <c r="E430">
        <v>15846.80071</v>
      </c>
      <c r="F430">
        <v>1134748.328</v>
      </c>
      <c r="G430">
        <v>7544.1892520000001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0.20881329029334803</v>
      </c>
      <c r="M430" s="1">
        <f t="shared" si="27"/>
        <v>50908039.951970205</v>
      </c>
      <c r="N430" s="1">
        <f t="shared" si="28"/>
        <v>11339686.096767459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>
        <v>5955.9637869999997</v>
      </c>
      <c r="F431">
        <v>911262.47840000002</v>
      </c>
      <c r="G431">
        <v>6740.8319860000001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33567975.50710734</v>
      </c>
      <c r="N431" s="1">
        <f t="shared" si="28"/>
        <v>17775846.110474084</v>
      </c>
      <c r="O431" s="1"/>
    </row>
    <row r="432" spans="1:15" x14ac:dyDescent="0.25">
      <c r="A432">
        <v>613</v>
      </c>
      <c r="B432">
        <v>223122.3921</v>
      </c>
      <c r="C432" s="1">
        <v>3.8099999999999998E-5</v>
      </c>
      <c r="D432">
        <v>794252.72120000003</v>
      </c>
      <c r="E432">
        <v>9967.3751169999996</v>
      </c>
      <c r="F432">
        <v>1140106.689</v>
      </c>
      <c r="G432">
        <v>9248.6097260000006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0.27950132994500926</v>
      </c>
      <c r="M432" s="1">
        <f t="shared" si="27"/>
        <v>24523522.030090034</v>
      </c>
      <c r="N432" s="1">
        <f t="shared" si="28"/>
        <v>10646875.400486715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>
        <v>17468.063880000002</v>
      </c>
      <c r="F433">
        <v>894085.15540000005</v>
      </c>
      <c r="G433">
        <v>8368.1594659999992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0</v>
      </c>
      <c r="M433" s="1">
        <f t="shared" si="27"/>
        <v>74637855.865282118</v>
      </c>
      <c r="N433" s="1">
        <f t="shared" si="28"/>
        <v>16729694.453925237</v>
      </c>
      <c r="O433" s="1"/>
    </row>
    <row r="434" spans="1:15" x14ac:dyDescent="0.25">
      <c r="A434">
        <v>615</v>
      </c>
      <c r="B434">
        <v>60481.518580000004</v>
      </c>
      <c r="C434" s="1">
        <v>4.6500000000000004E-6</v>
      </c>
      <c r="D434">
        <v>567068.78209999995</v>
      </c>
      <c r="E434">
        <v>48286.083850000003</v>
      </c>
      <c r="F434">
        <v>942035.95830000006</v>
      </c>
      <c r="G434">
        <v>25774.262650000001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6.356054894077201E-2</v>
      </c>
      <c r="M434" s="1">
        <f t="shared" si="27"/>
        <v>221360337.15928528</v>
      </c>
      <c r="N434" s="1">
        <f t="shared" si="28"/>
        <v>55285055.689964913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15360.593199999999</v>
      </c>
      <c r="F435">
        <v>780993.34169999999</v>
      </c>
      <c r="G435">
        <v>19047.744920000001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106727195.98098695</v>
      </c>
      <c r="N435" s="1">
        <f t="shared" si="28"/>
        <v>61923337.615876392</v>
      </c>
      <c r="O435" s="1"/>
    </row>
    <row r="436" spans="1:15" x14ac:dyDescent="0.25">
      <c r="A436">
        <v>617</v>
      </c>
      <c r="B436">
        <v>36317.416360000003</v>
      </c>
      <c r="C436">
        <v>2842.4728479999999</v>
      </c>
      <c r="D436">
        <v>538125.93550000002</v>
      </c>
      <c r="E436">
        <v>29264.849149999998</v>
      </c>
      <c r="F436">
        <v>904031.57519999996</v>
      </c>
      <c r="G436">
        <v>27445.871620000002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13866806.015377969</v>
      </c>
      <c r="M436" s="1">
        <f t="shared" si="27"/>
        <v>47881697.884127818</v>
      </c>
      <c r="N436" s="1">
        <f t="shared" si="28"/>
        <v>21010866.241624732</v>
      </c>
      <c r="O436" s="1"/>
    </row>
    <row r="437" spans="1:15" x14ac:dyDescent="0.25">
      <c r="A437">
        <v>618</v>
      </c>
      <c r="B437">
        <v>70816.307310000004</v>
      </c>
      <c r="C437">
        <v>36117.518969999997</v>
      </c>
      <c r="D437">
        <v>606883.22389999998</v>
      </c>
      <c r="E437">
        <v>117437.6461</v>
      </c>
      <c r="F437">
        <v>956780.28119999997</v>
      </c>
      <c r="G437">
        <v>104471.10060000001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191724021.57119003</v>
      </c>
      <c r="M437" s="1">
        <f t="shared" si="27"/>
        <v>209078364.99813485</v>
      </c>
      <c r="N437" s="1">
        <f t="shared" si="28"/>
        <v>87024513.815879568</v>
      </c>
      <c r="O437" s="1"/>
    </row>
    <row r="438" spans="1:15" x14ac:dyDescent="0.25">
      <c r="A438">
        <v>619</v>
      </c>
      <c r="B438">
        <v>32321.082170000001</v>
      </c>
      <c r="C438">
        <v>9175.0572549999997</v>
      </c>
      <c r="D438">
        <v>469484.61550000001</v>
      </c>
      <c r="E438">
        <v>102498.769</v>
      </c>
      <c r="F438">
        <v>872674.35860000004</v>
      </c>
      <c r="G438">
        <v>82750.597089999996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79433548.773271903</v>
      </c>
      <c r="M438" s="1">
        <f t="shared" si="27"/>
        <v>297616475.32008177</v>
      </c>
      <c r="N438" s="1">
        <f t="shared" si="28"/>
        <v>112422472.82161015</v>
      </c>
      <c r="O438" s="1"/>
    </row>
    <row r="439" spans="1:15" x14ac:dyDescent="0.25">
      <c r="A439">
        <v>620</v>
      </c>
      <c r="B439">
        <v>38628.572840000001</v>
      </c>
      <c r="C439">
        <v>21112.137220000001</v>
      </c>
      <c r="D439">
        <v>512226.68040000001</v>
      </c>
      <c r="E439">
        <v>181887.96549999999</v>
      </c>
      <c r="F439">
        <v>877329.43859999999</v>
      </c>
      <c r="G439">
        <v>153535.79749999999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243013618.60294542</v>
      </c>
      <c r="M439" s="1">
        <f t="shared" si="27"/>
        <v>702175245.16546071</v>
      </c>
      <c r="N439" s="1">
        <f t="shared" si="28"/>
        <v>277328738.8321138</v>
      </c>
      <c r="O439" s="1"/>
    </row>
    <row r="440" spans="1:15" x14ac:dyDescent="0.25">
      <c r="A440">
        <v>621</v>
      </c>
      <c r="B440">
        <v>39478.271959999998</v>
      </c>
      <c r="C440">
        <v>2842.472851</v>
      </c>
      <c r="D440">
        <v>536789.08400000003</v>
      </c>
      <c r="E440">
        <v>46131.391049999998</v>
      </c>
      <c r="F440">
        <v>888171.93460000004</v>
      </c>
      <c r="G440">
        <v>70319.380210000003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48764350.833178952</v>
      </c>
      <c r="M440" s="1">
        <f t="shared" si="27"/>
        <v>265427434.43696722</v>
      </c>
      <c r="N440" s="1">
        <f t="shared" si="28"/>
        <v>189307565.78271872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>
        <v>28964.553240000001</v>
      </c>
      <c r="F441">
        <v>859972.71499999997</v>
      </c>
      <c r="G441">
        <v>57150.209470000002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71576933.972093031</v>
      </c>
      <c r="N441" s="1">
        <f t="shared" si="28"/>
        <v>66079654.225630865</v>
      </c>
      <c r="O441" s="1"/>
    </row>
    <row r="442" spans="1:15" x14ac:dyDescent="0.25">
      <c r="A442">
        <v>624</v>
      </c>
      <c r="B442">
        <v>19080.807830000002</v>
      </c>
      <c r="C442">
        <v>0</v>
      </c>
      <c r="D442">
        <v>67832.263229999997</v>
      </c>
      <c r="E442">
        <v>3105.7909100000002</v>
      </c>
      <c r="F442">
        <v>503871.57610000001</v>
      </c>
      <c r="G442">
        <v>76638.989939999999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0</v>
      </c>
      <c r="M442" s="1">
        <f t="shared" si="27"/>
        <v>17781810.577708703</v>
      </c>
      <c r="N442" s="1">
        <f t="shared" si="28"/>
        <v>205303907.62871262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 s="1">
        <v>-2.6000000000000001E-6</v>
      </c>
      <c r="F443">
        <v>454646.54100000003</v>
      </c>
      <c r="G443">
        <v>26810.870470000002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-1.1479799468122961E-2</v>
      </c>
      <c r="N443" s="1">
        <f t="shared" si="28"/>
        <v>55387982.514581516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>
        <v>155.91295969999999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1928421.9772627554</v>
      </c>
      <c r="O444" s="1"/>
    </row>
    <row r="445" spans="1:15" x14ac:dyDescent="0.25">
      <c r="A445">
        <v>627</v>
      </c>
      <c r="B445">
        <v>14787.806500000001</v>
      </c>
      <c r="C445">
        <v>487.41852799999998</v>
      </c>
      <c r="D445">
        <v>50891.689230000004</v>
      </c>
      <c r="E445">
        <v>7159.5069139999996</v>
      </c>
      <c r="F445">
        <v>431776.10930000001</v>
      </c>
      <c r="G445">
        <v>149837.04440000001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10885000.652903846</v>
      </c>
      <c r="M445" s="1">
        <f t="shared" si="27"/>
        <v>53623193.603823051</v>
      </c>
      <c r="N445" s="1">
        <f t="shared" si="28"/>
        <v>525088417.41023356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 s="1">
        <v>-2.43E-6</v>
      </c>
      <c r="F446">
        <v>260402.1256</v>
      </c>
      <c r="G446">
        <v>4102.3603009999997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-1.2023747997366987E-2</v>
      </c>
      <c r="N446" s="1">
        <f t="shared" si="28"/>
        <v>9497538.6760862134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>
        <v>2842.472851</v>
      </c>
      <c r="F447">
        <v>404636.86690000002</v>
      </c>
      <c r="G447">
        <v>102909.8172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41422493.119345956</v>
      </c>
      <c r="N447" s="1">
        <f t="shared" si="28"/>
        <v>701682093.98726463</v>
      </c>
      <c r="O447" s="1"/>
    </row>
    <row r="448" spans="1:15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>
        <v>11358.843929999999</v>
      </c>
      <c r="F448">
        <v>450944.23149999999</v>
      </c>
      <c r="G448">
        <v>156434.04389999999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-1.4120645403198752E-2</v>
      </c>
      <c r="M448" s="1">
        <f t="shared" si="27"/>
        <v>52226941.295034833</v>
      </c>
      <c r="N448" s="1">
        <f t="shared" si="28"/>
        <v>336539007.64127451</v>
      </c>
      <c r="O448" s="1"/>
    </row>
    <row r="449" spans="1:15" x14ac:dyDescent="0.25">
      <c r="A449">
        <v>631</v>
      </c>
      <c r="B449">
        <v>8389.6977330000009</v>
      </c>
      <c r="C449" s="1">
        <v>4.7E-7</v>
      </c>
      <c r="D449">
        <v>42536.300219999997</v>
      </c>
      <c r="E449">
        <v>2842.4728530000002</v>
      </c>
      <c r="F449">
        <v>458714.64299999998</v>
      </c>
      <c r="G449">
        <v>105661.4915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1.09997637790157E-2</v>
      </c>
      <c r="M449" s="1">
        <f t="shared" si="27"/>
        <v>22311304.500869822</v>
      </c>
      <c r="N449" s="1">
        <f t="shared" si="28"/>
        <v>388051219.63314068</v>
      </c>
      <c r="O449" s="1"/>
    </row>
    <row r="450" spans="1:15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7708.4787759999999</v>
      </c>
      <c r="F450">
        <v>182262.26329999999</v>
      </c>
      <c r="G450">
        <v>150338.34820000001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7.4984703449175001E-3</v>
      </c>
      <c r="M450" s="1">
        <f t="shared" si="27"/>
        <v>114034319.3879195</v>
      </c>
      <c r="N450" s="1">
        <f t="shared" si="28"/>
        <v>1040591672.9368443</v>
      </c>
      <c r="O450" s="1"/>
    </row>
    <row r="451" spans="1:15" x14ac:dyDescent="0.25">
      <c r="A451">
        <v>633</v>
      </c>
      <c r="B451">
        <v>5557.3761029999996</v>
      </c>
      <c r="C451" s="1">
        <v>1.6999999999999999E-7</v>
      </c>
      <c r="D451">
        <v>33280.225680000003</v>
      </c>
      <c r="E451">
        <v>1001.378967</v>
      </c>
      <c r="F451">
        <v>188164.80910000001</v>
      </c>
      <c r="G451">
        <v>86255.492209999997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5.6092188679605004E-3</v>
      </c>
      <c r="M451" s="1">
        <f t="shared" ref="M451:M514" si="31">$U$3*$K451*E451</f>
        <v>11081411.108209888</v>
      </c>
      <c r="N451" s="1">
        <f t="shared" ref="N451:N514" si="32">$U$4*$K451*G451</f>
        <v>446608554.80266333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>
        <v>64567.61911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4.2085528907987507E-3</v>
      </c>
      <c r="M452" s="1">
        <f t="shared" si="31"/>
        <v>1.924075411500235E-2</v>
      </c>
      <c r="N452" s="1">
        <f t="shared" si="32"/>
        <v>224429931.05953911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0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3.6772870771751205E-3</v>
      </c>
      <c r="N453" s="1">
        <f t="shared" si="32"/>
        <v>0</v>
      </c>
      <c r="O453" s="1"/>
    </row>
    <row r="454" spans="1:15" x14ac:dyDescent="0.25">
      <c r="A454">
        <v>636</v>
      </c>
      <c r="B454">
        <v>33288.516130000004</v>
      </c>
      <c r="C454">
        <v>3589.1606849999998</v>
      </c>
      <c r="D454">
        <v>407756.9253</v>
      </c>
      <c r="E454">
        <v>91960.655889999995</v>
      </c>
      <c r="F454">
        <v>813690.16090000002</v>
      </c>
      <c r="G454">
        <v>90401.182490000007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39340858.880879015</v>
      </c>
      <c r="M454" s="1">
        <f t="shared" si="31"/>
        <v>338061825.48716927</v>
      </c>
      <c r="N454" s="1">
        <f t="shared" si="32"/>
        <v>155493364.80400163</v>
      </c>
      <c r="O454" s="1"/>
    </row>
    <row r="455" spans="1:15" x14ac:dyDescent="0.25">
      <c r="A455">
        <v>637</v>
      </c>
      <c r="B455">
        <v>34250.602720000003</v>
      </c>
      <c r="C455">
        <v>6225.4244319999998</v>
      </c>
      <c r="D455">
        <v>431063.75219999999</v>
      </c>
      <c r="E455">
        <v>133460.8322</v>
      </c>
      <c r="F455">
        <v>848985.83860000002</v>
      </c>
      <c r="G455">
        <v>83431.325119999994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46718146.754758887</v>
      </c>
      <c r="M455" s="1">
        <f t="shared" si="31"/>
        <v>335902786.33849269</v>
      </c>
      <c r="N455" s="1">
        <f t="shared" si="32"/>
        <v>98250008.669959739</v>
      </c>
      <c r="O455" s="1"/>
    </row>
    <row r="456" spans="1:15" x14ac:dyDescent="0.25">
      <c r="A456">
        <v>638</v>
      </c>
      <c r="B456">
        <v>11018.893609999999</v>
      </c>
      <c r="C456">
        <v>7242.8174449999997</v>
      </c>
      <c r="D456">
        <v>91931.688380000007</v>
      </c>
      <c r="E456">
        <v>79551.139769999994</v>
      </c>
      <c r="F456">
        <v>640522.61990000005</v>
      </c>
      <c r="G456">
        <v>125216.696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113936531.06100436</v>
      </c>
      <c r="M456" s="1">
        <f t="shared" si="31"/>
        <v>419705825.3398543</v>
      </c>
      <c r="N456" s="1">
        <f t="shared" si="32"/>
        <v>309103917.3663733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>
        <v>6445.4051470000004</v>
      </c>
      <c r="F457">
        <v>536722.9264</v>
      </c>
      <c r="G457">
        <v>84264.181840000005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27334750.409822624</v>
      </c>
      <c r="N457" s="1">
        <f t="shared" si="32"/>
        <v>167205892.27129403</v>
      </c>
      <c r="O457" s="1"/>
    </row>
    <row r="458" spans="1:15" x14ac:dyDescent="0.25">
      <c r="A458">
        <v>640</v>
      </c>
      <c r="B458">
        <v>27721.051100000001</v>
      </c>
      <c r="C458">
        <v>5856.1823990000003</v>
      </c>
      <c r="D458">
        <v>191680.34760000001</v>
      </c>
      <c r="E458">
        <v>144344.7444</v>
      </c>
      <c r="F458">
        <v>706479.13619999995</v>
      </c>
      <c r="G458">
        <v>101474.00290000001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161917498.88526246</v>
      </c>
      <c r="M458" s="1">
        <f t="shared" si="31"/>
        <v>1338515191.3707685</v>
      </c>
      <c r="N458" s="1">
        <f t="shared" si="32"/>
        <v>440271729.27627903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>
        <v>9635.2050849999996</v>
      </c>
      <c r="F459">
        <v>548632.82539999997</v>
      </c>
      <c r="G459">
        <v>93472.824250000005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0</v>
      </c>
      <c r="M459" s="1">
        <f t="shared" si="31"/>
        <v>62796616.558209233</v>
      </c>
      <c r="N459" s="1">
        <f t="shared" si="32"/>
        <v>285039025.73961526</v>
      </c>
      <c r="O459" s="1"/>
    </row>
    <row r="460" spans="1:15" x14ac:dyDescent="0.25">
      <c r="A460">
        <v>642</v>
      </c>
      <c r="B460">
        <v>16338.67324</v>
      </c>
      <c r="C460">
        <v>155.91295690000001</v>
      </c>
      <c r="D460">
        <v>139304.74479999999</v>
      </c>
      <c r="E460">
        <v>128836.5877</v>
      </c>
      <c r="F460">
        <v>671484.39020000002</v>
      </c>
      <c r="G460">
        <v>132514.3046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1596757.9014062036</v>
      </c>
      <c r="M460" s="1">
        <f t="shared" si="31"/>
        <v>442526432.50865304</v>
      </c>
      <c r="N460" s="1">
        <f t="shared" si="32"/>
        <v>212964121.35138977</v>
      </c>
      <c r="O460" s="1"/>
    </row>
    <row r="461" spans="1:15" x14ac:dyDescent="0.25">
      <c r="A461">
        <v>643</v>
      </c>
      <c r="B461">
        <v>12034.13349</v>
      </c>
      <c r="C461" s="1">
        <v>2.9699999999999999E-6</v>
      </c>
      <c r="D461">
        <v>73876.642080000005</v>
      </c>
      <c r="E461">
        <v>48784.650690000002</v>
      </c>
      <c r="F461">
        <v>639023.99419999996</v>
      </c>
      <c r="G461">
        <v>89737.639930000005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4.8950268164933849E-2</v>
      </c>
      <c r="M461" s="1">
        <f t="shared" si="31"/>
        <v>269665235.91119987</v>
      </c>
      <c r="N461" s="1">
        <f t="shared" si="32"/>
        <v>232091953.88982189</v>
      </c>
      <c r="O461" s="1"/>
    </row>
    <row r="462" spans="1:15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>
        <v>24973.494989999999</v>
      </c>
      <c r="F462">
        <v>623786.56149999995</v>
      </c>
      <c r="G462">
        <v>69134.398879999993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8.433152137610167E-2</v>
      </c>
      <c r="M462" s="1">
        <f t="shared" si="31"/>
        <v>169385543.69878745</v>
      </c>
      <c r="N462" s="1">
        <f t="shared" si="32"/>
        <v>219399122.5866856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>
        <v>20816.558550000002</v>
      </c>
      <c r="F463">
        <v>598318.3382</v>
      </c>
      <c r="G463">
        <v>77425.442630000005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9.1812463996825661E-2</v>
      </c>
      <c r="M463" s="1">
        <f t="shared" si="31"/>
        <v>146680464.02580959</v>
      </c>
      <c r="N463" s="1">
        <f t="shared" si="32"/>
        <v>255264674.42996898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>
        <v>11473.377039999999</v>
      </c>
      <c r="F464">
        <v>564316.99639999995</v>
      </c>
      <c r="G464">
        <v>66456.560010000001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2.9853153624036281E-2</v>
      </c>
      <c r="M464" s="1">
        <f t="shared" si="31"/>
        <v>68787281.662672594</v>
      </c>
      <c r="N464" s="1">
        <f t="shared" si="32"/>
        <v>186422538.29659939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>
        <v>3032.8927480000002</v>
      </c>
      <c r="F465">
        <v>519095.32740000001</v>
      </c>
      <c r="G465">
        <v>82093.287450000003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12634977.382420871</v>
      </c>
      <c r="N465" s="1">
        <f t="shared" si="32"/>
        <v>160017964.54305241</v>
      </c>
      <c r="O465" s="1"/>
    </row>
    <row r="466" spans="1:15" x14ac:dyDescent="0.25">
      <c r="A466">
        <v>650</v>
      </c>
      <c r="B466">
        <v>30705.845700000002</v>
      </c>
      <c r="C466">
        <v>2403.9396879999999</v>
      </c>
      <c r="D466">
        <v>472798.94280000002</v>
      </c>
      <c r="E466">
        <v>26921.467369999998</v>
      </c>
      <c r="F466">
        <v>861827.21</v>
      </c>
      <c r="G466">
        <v>33460.449159999996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26041817.365604505</v>
      </c>
      <c r="M466" s="1">
        <f t="shared" si="31"/>
        <v>97811424.952514723</v>
      </c>
      <c r="N466" s="1">
        <f t="shared" si="32"/>
        <v>56880879.496554345</v>
      </c>
      <c r="O466" s="1"/>
    </row>
    <row r="467" spans="1:15" x14ac:dyDescent="0.25">
      <c r="A467">
        <v>651</v>
      </c>
      <c r="B467">
        <v>45071.268219999998</v>
      </c>
      <c r="C467">
        <v>723.46588710000003</v>
      </c>
      <c r="D467">
        <v>480779.71500000003</v>
      </c>
      <c r="E467">
        <v>37465.607389999997</v>
      </c>
      <c r="F467">
        <v>867778.02339999995</v>
      </c>
      <c r="G467">
        <v>38071.327169999997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9425491.2762172353</v>
      </c>
      <c r="M467" s="1">
        <f t="shared" si="31"/>
        <v>163704965.4282645</v>
      </c>
      <c r="N467" s="1">
        <f t="shared" si="32"/>
        <v>77834254.392862171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21895.580959999999</v>
      </c>
      <c r="F468">
        <v>885015.75560000003</v>
      </c>
      <c r="G468">
        <v>24752.373899999999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74828375.894677132</v>
      </c>
      <c r="N468" s="1">
        <f t="shared" si="32"/>
        <v>39579507.073659629</v>
      </c>
      <c r="O468" s="1"/>
    </row>
    <row r="469" spans="1:15" x14ac:dyDescent="0.25">
      <c r="A469">
        <v>653</v>
      </c>
      <c r="B469">
        <v>45654.624470000002</v>
      </c>
      <c r="C469">
        <v>1597.0793980000001</v>
      </c>
      <c r="D469">
        <v>437161.72690000001</v>
      </c>
      <c r="E469">
        <v>89952.714869999996</v>
      </c>
      <c r="F469">
        <v>836965.28639999998</v>
      </c>
      <c r="G469">
        <v>73140.804560000004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8702334.9374773204</v>
      </c>
      <c r="M469" s="1">
        <f t="shared" si="31"/>
        <v>164386708.38834795</v>
      </c>
      <c r="N469" s="1">
        <f t="shared" si="32"/>
        <v>62539706.037856787</v>
      </c>
      <c r="O469" s="1"/>
    </row>
    <row r="470" spans="1:15" x14ac:dyDescent="0.25">
      <c r="A470">
        <v>654</v>
      </c>
      <c r="B470">
        <v>162619.7028</v>
      </c>
      <c r="C470">
        <v>21096.60959</v>
      </c>
      <c r="D470">
        <v>639860.3358</v>
      </c>
      <c r="E470">
        <v>93899.433609999993</v>
      </c>
      <c r="F470">
        <v>992389.61679999996</v>
      </c>
      <c r="G470">
        <v>75188.729120000004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195870543.05436692</v>
      </c>
      <c r="M470" s="1">
        <f t="shared" si="31"/>
        <v>292390037.55550271</v>
      </c>
      <c r="N470" s="1">
        <f t="shared" si="32"/>
        <v>109545873.01232016</v>
      </c>
      <c r="O470" s="1"/>
    </row>
    <row r="471" spans="1:15" x14ac:dyDescent="0.25">
      <c r="A471">
        <v>655</v>
      </c>
      <c r="B471">
        <v>31310.227640000001</v>
      </c>
      <c r="C471">
        <v>6940.3855249999997</v>
      </c>
      <c r="D471">
        <v>422992.3873</v>
      </c>
      <c r="E471">
        <v>43004.013529999997</v>
      </c>
      <c r="F471">
        <v>836755.81310000003</v>
      </c>
      <c r="G471">
        <v>55442.859259999997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97421545.219502315</v>
      </c>
      <c r="M471" s="1">
        <f t="shared" si="31"/>
        <v>202452686.97670034</v>
      </c>
      <c r="N471" s="1">
        <f t="shared" si="32"/>
        <v>122124796.42767893</v>
      </c>
      <c r="O471" s="1"/>
    </row>
    <row r="472" spans="1:15" x14ac:dyDescent="0.25">
      <c r="A472">
        <v>656</v>
      </c>
      <c r="B472">
        <v>220385.34830000001</v>
      </c>
      <c r="C472">
        <v>8429.6551930000005</v>
      </c>
      <c r="D472">
        <v>744627.52049999998</v>
      </c>
      <c r="E472">
        <v>30157.865699999998</v>
      </c>
      <c r="F472">
        <v>1104564.1640000001</v>
      </c>
      <c r="G472">
        <v>16253.707909999999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238702750.44530711</v>
      </c>
      <c r="M472" s="1">
        <f t="shared" si="31"/>
        <v>286412093.95645821</v>
      </c>
      <c r="N472" s="1">
        <f t="shared" si="32"/>
        <v>72224888.263865054</v>
      </c>
      <c r="O472" s="1"/>
    </row>
    <row r="473" spans="1:15" x14ac:dyDescent="0.25">
      <c r="A473">
        <v>657</v>
      </c>
      <c r="B473">
        <v>50289.980539999997</v>
      </c>
      <c r="C473">
        <v>142468.41320000001</v>
      </c>
      <c r="D473">
        <v>549606.08510000003</v>
      </c>
      <c r="E473">
        <v>242095.04060000001</v>
      </c>
      <c r="F473">
        <v>922206.03929999995</v>
      </c>
      <c r="G473">
        <v>192703.0705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1973675679.3823011</v>
      </c>
      <c r="M473" s="1">
        <f t="shared" si="31"/>
        <v>1124828294.2570434</v>
      </c>
      <c r="N473" s="1">
        <f t="shared" si="32"/>
        <v>418921502.17866498</v>
      </c>
      <c r="O473" s="1"/>
    </row>
    <row r="474" spans="1:15" x14ac:dyDescent="0.25">
      <c r="A474">
        <v>658</v>
      </c>
      <c r="B474">
        <v>31434.613359999999</v>
      </c>
      <c r="C474">
        <v>23550.029480000001</v>
      </c>
      <c r="D474">
        <v>347926.40710000001</v>
      </c>
      <c r="E474">
        <v>274049.43459999998</v>
      </c>
      <c r="F474">
        <v>790822.29509999999</v>
      </c>
      <c r="G474">
        <v>186213.19200000001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186315717.83559692</v>
      </c>
      <c r="M474" s="1">
        <f t="shared" si="31"/>
        <v>727160176.41569722</v>
      </c>
      <c r="N474" s="1">
        <f t="shared" si="32"/>
        <v>231182682.53778189</v>
      </c>
      <c r="O474" s="1"/>
    </row>
    <row r="475" spans="1:15" x14ac:dyDescent="0.25">
      <c r="A475">
        <v>659</v>
      </c>
      <c r="B475">
        <v>29674.379949999999</v>
      </c>
      <c r="C475">
        <v>11557.06079</v>
      </c>
      <c r="D475">
        <v>291904.86139999999</v>
      </c>
      <c r="E475">
        <v>273300.4632</v>
      </c>
      <c r="F475">
        <v>797337.68480000005</v>
      </c>
      <c r="G475">
        <v>141147.05230000001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77475636.388346449</v>
      </c>
      <c r="M475" s="1">
        <f t="shared" si="31"/>
        <v>614470813.43270934</v>
      </c>
      <c r="N475" s="1">
        <f t="shared" si="32"/>
        <v>148482879.96651489</v>
      </c>
      <c r="O475" s="1"/>
    </row>
    <row r="476" spans="1:15" x14ac:dyDescent="0.25">
      <c r="A476">
        <v>660</v>
      </c>
      <c r="B476">
        <v>34998.118540000003</v>
      </c>
      <c r="C476">
        <v>30124.340560000001</v>
      </c>
      <c r="D476">
        <v>441757.5454</v>
      </c>
      <c r="E476">
        <v>216819.70319999999</v>
      </c>
      <c r="F476">
        <v>853986.71660000004</v>
      </c>
      <c r="G476">
        <v>136333.2934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373571351.6474967</v>
      </c>
      <c r="M476" s="1">
        <f t="shared" si="31"/>
        <v>901774390.46038604</v>
      </c>
      <c r="N476" s="1">
        <f t="shared" si="32"/>
        <v>265304585.43124369</v>
      </c>
      <c r="O476" s="1"/>
    </row>
    <row r="477" spans="1:15" x14ac:dyDescent="0.25">
      <c r="A477">
        <v>661</v>
      </c>
      <c r="B477">
        <v>35998.752699999997</v>
      </c>
      <c r="C477">
        <v>2842.472855</v>
      </c>
      <c r="D477">
        <v>298925.78000000003</v>
      </c>
      <c r="E477">
        <v>153803.22889999999</v>
      </c>
      <c r="F477">
        <v>773754.88329999999</v>
      </c>
      <c r="G477">
        <v>89695.324359999999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30131056.729693186</v>
      </c>
      <c r="M477" s="1">
        <f t="shared" si="31"/>
        <v>546797634.5561825</v>
      </c>
      <c r="N477" s="1">
        <f t="shared" si="32"/>
        <v>149202004.21555284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7095.3060580000001</v>
      </c>
      <c r="F478">
        <v>509482.50900000002</v>
      </c>
      <c r="G478">
        <v>96779.631110000002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53481392.61374025</v>
      </c>
      <c r="N478" s="1">
        <f t="shared" si="32"/>
        <v>341318017.45612705</v>
      </c>
      <c r="O478" s="1"/>
    </row>
    <row r="479" spans="1:15" x14ac:dyDescent="0.25">
      <c r="A479">
        <v>663</v>
      </c>
      <c r="B479">
        <v>31694.657729999999</v>
      </c>
      <c r="C479">
        <v>2842.472851</v>
      </c>
      <c r="D479">
        <v>263689.72610000003</v>
      </c>
      <c r="E479">
        <v>225647.57829999999</v>
      </c>
      <c r="F479">
        <v>761800.27359999996</v>
      </c>
      <c r="G479">
        <v>173061.34039999999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20345186.752388168</v>
      </c>
      <c r="M479" s="1">
        <f t="shared" si="31"/>
        <v>541675470.5021745</v>
      </c>
      <c r="N479" s="1">
        <f t="shared" si="32"/>
        <v>194380293.50417838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4.5000000000000001E-6</v>
      </c>
      <c r="F480">
        <v>671864.20689999999</v>
      </c>
      <c r="G480" s="1">
        <v>1.2300000000000001E-5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1.3295176348062149E-2</v>
      </c>
      <c r="N480" s="1">
        <f t="shared" si="32"/>
        <v>1.700318883412719E-2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-3.0800000000000003E-5</v>
      </c>
      <c r="F481">
        <v>1054766.544</v>
      </c>
      <c r="G481">
        <v>0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-0.11519539245092034</v>
      </c>
      <c r="N481" s="1">
        <f t="shared" si="32"/>
        <v>0</v>
      </c>
      <c r="O481" s="1"/>
    </row>
    <row r="482" spans="1:15" x14ac:dyDescent="0.25">
      <c r="A482">
        <v>666</v>
      </c>
      <c r="B482">
        <v>292110.3162</v>
      </c>
      <c r="C482" s="1">
        <v>2.5000000000000002E-6</v>
      </c>
      <c r="D482">
        <v>837432.28890000004</v>
      </c>
      <c r="E482" s="1">
        <v>3.67E-6</v>
      </c>
      <c r="F482">
        <v>1425845.378</v>
      </c>
      <c r="G482">
        <v>5803.8233380000001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1.3806642265162501E-2</v>
      </c>
      <c r="M482" s="1">
        <f t="shared" si="31"/>
        <v>6.7976259757944069E-3</v>
      </c>
      <c r="N482" s="1">
        <f t="shared" si="32"/>
        <v>5029780.852303179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0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-0.16610418371328584</v>
      </c>
      <c r="N483" s="1">
        <f t="shared" si="32"/>
        <v>0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-3.8899999999999997E-5</v>
      </c>
      <c r="F484">
        <v>1396795.28</v>
      </c>
      <c r="G484">
        <v>0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-4.8008969730373684E-2</v>
      </c>
      <c r="N484" s="1">
        <f t="shared" si="32"/>
        <v>0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4.5000000000000001E-6</v>
      </c>
      <c r="F485">
        <v>656567.8371</v>
      </c>
      <c r="G485" s="1">
        <v>-2.7900000000000001E-5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1.35731454954327E-2</v>
      </c>
      <c r="N485" s="1">
        <f t="shared" si="32"/>
        <v>-3.9374574363814863E-2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 s="1">
        <v>-1.29E-5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5.4326152402157301E-3</v>
      </c>
      <c r="N486" s="1">
        <f t="shared" si="32"/>
        <v>-4.6842956311113099E-2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-3.2100000000000001E-5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-0.14036099677912431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0.287502983432742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-2.6000000000000001E-6</v>
      </c>
      <c r="F489">
        <v>718207.58649999998</v>
      </c>
      <c r="G489" s="1">
        <v>-4.2899999999999996E-6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-2.292836157832168E-2</v>
      </c>
      <c r="N489" s="1">
        <f t="shared" si="32"/>
        <v>-1.7701115842346505E-2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 s="1">
        <v>9.5000000000000001E-7</v>
      </c>
      <c r="F490">
        <v>1182686.344</v>
      </c>
      <c r="G490">
        <v>0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6.0104487253882207E-3</v>
      </c>
      <c r="N490" s="1">
        <f t="shared" si="32"/>
        <v>0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3.4499999999999998E-5</v>
      </c>
      <c r="F491">
        <v>1125994.219</v>
      </c>
      <c r="G491">
        <v>0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0.24286334148175173</v>
      </c>
      <c r="N491" s="1">
        <f t="shared" si="32"/>
        <v>0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3.3399999999999999E-5</v>
      </c>
      <c r="F492">
        <v>1133504.2379999999</v>
      </c>
      <c r="G492">
        <v>0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0.22868505513296081</v>
      </c>
      <c r="N492" s="1">
        <f t="shared" si="32"/>
        <v>0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0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-6.2040199506571074E-2</v>
      </c>
      <c r="N493" s="1">
        <f t="shared" si="32"/>
        <v>0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-3.0599999999999999E-6</v>
      </c>
      <c r="F494">
        <v>1414763.8640000001</v>
      </c>
      <c r="G494">
        <v>1698.790301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-7.3941157667050559E-3</v>
      </c>
      <c r="N494" s="1">
        <f t="shared" si="32"/>
        <v>1920650.1756803864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-1.7200000000000001E-5</v>
      </c>
      <c r="F495">
        <v>1220735.7209999999</v>
      </c>
      <c r="G495">
        <v>0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-3.5213959069479085E-2</v>
      </c>
      <c r="N495" s="1">
        <f t="shared" si="32"/>
        <v>0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 s="1">
        <v>2.44E-5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6.0327817074526328E-2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-9.5799999999999998E-6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-1.1125984171380101E-2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 s="1">
        <v>3.82E-5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2.5995718184659796E-3</v>
      </c>
      <c r="N498" s="1">
        <f t="shared" si="32"/>
        <v>0.15487724210200068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-8.8799999999999997E-6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-2.2713840886980887E-2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-0.15344760091740661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-1.7399999999999999E-5</v>
      </c>
      <c r="F501">
        <v>1156202.5179999999</v>
      </c>
      <c r="G501">
        <v>0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-0.11294336467962515</v>
      </c>
      <c r="N501" s="1">
        <f t="shared" si="32"/>
        <v>0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0</v>
      </c>
      <c r="F502">
        <v>1478434.932</v>
      </c>
      <c r="G502">
        <v>3061.6915979999999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0</v>
      </c>
      <c r="N502" s="1">
        <f t="shared" si="32"/>
        <v>2581282.0890300632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2.6400000000000001E-5</v>
      </c>
      <c r="F503">
        <v>1190381.48</v>
      </c>
      <c r="G503">
        <v>0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4.5615174017537521E-2</v>
      </c>
      <c r="N503" s="1">
        <f t="shared" si="32"/>
        <v>0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 s="1">
        <v>-7.96E-6</v>
      </c>
      <c r="F504">
        <v>1094792.3230000001</v>
      </c>
      <c r="G504">
        <v>8586.1276089999992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-3.645190643382798E-2</v>
      </c>
      <c r="N504" s="1">
        <f t="shared" si="32"/>
        <v>18397050.311005641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-3.1000000000000001E-5</v>
      </c>
      <c r="F505">
        <v>919138.26280000003</v>
      </c>
      <c r="G505" s="1">
        <v>8.4300000000000006E-6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-9.7570747745580916E-2</v>
      </c>
      <c r="N505" s="1">
        <f t="shared" si="32"/>
        <v>1.2414498839377806E-2</v>
      </c>
      <c r="O505" s="1"/>
    </row>
    <row r="506" spans="1:15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 s="1">
        <v>3.6999999999999998E-5</v>
      </c>
      <c r="F506">
        <v>1113954.3810000001</v>
      </c>
      <c r="G506">
        <v>11272.484210000001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-1.6515543317273E-2</v>
      </c>
      <c r="M506" s="1">
        <f t="shared" si="31"/>
        <v>0.29277884043323954</v>
      </c>
      <c r="N506" s="1">
        <f t="shared" si="32"/>
        <v>41735082.481055282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 s="1">
        <v>-2.48E-5</v>
      </c>
      <c r="F507">
        <v>819309.12410000002</v>
      </c>
      <c r="G507" s="1">
        <v>-3.4400000000000003E-5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-0.17483543677168584</v>
      </c>
      <c r="N507" s="1">
        <f t="shared" si="32"/>
        <v>-0.11346969897611929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-3.1099999999999997E-5</v>
      </c>
      <c r="F508">
        <v>880030.08790000004</v>
      </c>
      <c r="G508" s="1">
        <v>-8.8200000000000003E-6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-0.17877094257834844</v>
      </c>
      <c r="N508" s="1">
        <f t="shared" si="32"/>
        <v>-2.3721863592021216E-2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0</v>
      </c>
      <c r="F509">
        <v>870999.06740000006</v>
      </c>
      <c r="G509" s="1">
        <v>-4.9799999999999998E-5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0</v>
      </c>
      <c r="N509" s="1">
        <f t="shared" si="32"/>
        <v>-0.18926918567290224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-8.0800000000000006E-6</v>
      </c>
      <c r="F510">
        <v>941581.09640000004</v>
      </c>
      <c r="G510" s="1">
        <v>-3.6399999999999997E-5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-3.8270901330702677E-2</v>
      </c>
      <c r="N510" s="1">
        <f t="shared" si="32"/>
        <v>-8.0668204685162642E-2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-9.9999999999999995E-7</v>
      </c>
      <c r="F511">
        <v>806528.34299999999</v>
      </c>
      <c r="G511">
        <v>723.46586939999997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-5.2155581632054001E-3</v>
      </c>
      <c r="N511" s="1">
        <f t="shared" si="32"/>
        <v>1765478.8474168142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-3.0800000000000003E-5</v>
      </c>
      <c r="F512">
        <v>1059884.294</v>
      </c>
      <c r="G512">
        <v>8355.9590960000005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-0.17853146116599333</v>
      </c>
      <c r="N512" s="1">
        <f t="shared" si="32"/>
        <v>22662302.195120871</v>
      </c>
      <c r="O512" s="1"/>
    </row>
    <row r="513" spans="1:15" x14ac:dyDescent="0.25">
      <c r="A513">
        <v>734</v>
      </c>
      <c r="B513">
        <v>96731.795029999994</v>
      </c>
      <c r="C513">
        <v>0</v>
      </c>
      <c r="D513">
        <v>642789.57620000001</v>
      </c>
      <c r="E513" s="1">
        <v>-2.7900000000000001E-5</v>
      </c>
      <c r="F513">
        <v>1100479.395</v>
      </c>
      <c r="G513">
        <v>7622.82827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0</v>
      </c>
      <c r="M513" s="1">
        <f t="shared" si="31"/>
        <v>-0.20213956261322391</v>
      </c>
      <c r="N513" s="1">
        <f t="shared" si="32"/>
        <v>25840858.173374582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4.46E-5</v>
      </c>
      <c r="F514">
        <v>888504.04229999997</v>
      </c>
      <c r="G514" s="1">
        <v>4.99E-5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0.39535109593853296</v>
      </c>
      <c r="N514" s="1">
        <f t="shared" si="32"/>
        <v>0.20696280990125737</v>
      </c>
      <c r="O514" s="1"/>
    </row>
    <row r="515" spans="1:15" x14ac:dyDescent="0.25">
      <c r="A515">
        <v>736</v>
      </c>
      <c r="B515">
        <v>527613.74470000004</v>
      </c>
      <c r="C515" s="1">
        <v>-3.3099999999999998E-5</v>
      </c>
      <c r="D515">
        <v>973510.88419999997</v>
      </c>
      <c r="E515">
        <v>830.83357860000001</v>
      </c>
      <c r="F515">
        <v>1494061.423</v>
      </c>
      <c r="G515">
        <v>11239.056769999999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-4.0761057397298225E-2</v>
      </c>
      <c r="M515" s="1">
        <f t="shared" ref="M515:M578" si="35">$U$3*$K515*E515</f>
        <v>343142.59030034713</v>
      </c>
      <c r="N515" s="1">
        <f t="shared" ref="N515:N578" si="36">$U$4*$K515*G515</f>
        <v>2171871.5075776549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3.5800000000000003E-5</v>
      </c>
      <c r="F516">
        <v>1161913.196</v>
      </c>
      <c r="G516">
        <v>8776.5475040000001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0.33881915467530443</v>
      </c>
      <c r="N516" s="1">
        <f t="shared" si="36"/>
        <v>38864431.018379264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3.93E-5</v>
      </c>
      <c r="F517">
        <v>1296339.426</v>
      </c>
      <c r="G517">
        <v>3798.9051979999999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-0.350739904884525</v>
      </c>
      <c r="M517" s="1">
        <f t="shared" si="35"/>
        <v>0.14268419093578724</v>
      </c>
      <c r="N517" s="1">
        <f t="shared" si="36"/>
        <v>6453353.2800004017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-2.6599999999999999E-5</v>
      </c>
      <c r="F518">
        <v>1285517.7239999999</v>
      </c>
      <c r="G518">
        <v>830.83358299999998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-4.1666362037384559E-2</v>
      </c>
      <c r="N518" s="1">
        <f t="shared" si="36"/>
        <v>608922.00316164212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3.7299999999999999E-5</v>
      </c>
      <c r="F519">
        <v>1314005.852</v>
      </c>
      <c r="G519">
        <v>6687.0159860000003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4.3023263609128483E-2</v>
      </c>
      <c r="N519" s="1">
        <f t="shared" si="36"/>
        <v>3608864.3598226248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-2.58E-5</v>
      </c>
      <c r="F520">
        <v>1369110.0449999999</v>
      </c>
      <c r="G520">
        <v>8038.1691739999997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-3.7858160500706818E-2</v>
      </c>
      <c r="N520" s="1">
        <f t="shared" si="36"/>
        <v>5518748.7500097519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8.6000000000000007E-6</v>
      </c>
      <c r="F521">
        <v>1372938.9569999999</v>
      </c>
      <c r="G521">
        <v>8038.1691739999997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1.2665841169223702E-2</v>
      </c>
      <c r="N521" s="1">
        <f t="shared" si="36"/>
        <v>5539064.3018038599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0</v>
      </c>
      <c r="F522">
        <v>1017598.987</v>
      </c>
      <c r="G522">
        <v>8038.1691739999997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0</v>
      </c>
      <c r="N522" s="1">
        <f t="shared" si="36"/>
        <v>14101234.670644503</v>
      </c>
      <c r="O522" s="1"/>
    </row>
    <row r="523" spans="1:15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>
        <v>2403.939711</v>
      </c>
      <c r="F523">
        <v>1203552.3219999999</v>
      </c>
      <c r="G523">
        <v>8640.8436500000007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-0.51493436069130571</v>
      </c>
      <c r="M523" s="1">
        <f t="shared" si="35"/>
        <v>11760989.866763199</v>
      </c>
      <c r="N523" s="1">
        <f t="shared" si="36"/>
        <v>19779719.532626741</v>
      </c>
      <c r="O523" s="1"/>
    </row>
    <row r="524" spans="1:15" x14ac:dyDescent="0.25">
      <c r="A524">
        <v>745</v>
      </c>
      <c r="B524">
        <v>49689.949919999999</v>
      </c>
      <c r="C524">
        <v>0</v>
      </c>
      <c r="D524">
        <v>529637.23959999997</v>
      </c>
      <c r="E524" s="1">
        <v>2.8900000000000001E-5</v>
      </c>
      <c r="F524">
        <v>959678.84439999994</v>
      </c>
      <c r="G524">
        <v>7525.5799340000003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0</v>
      </c>
      <c r="M524" s="1">
        <f t="shared" si="35"/>
        <v>5.162678061444298E-2</v>
      </c>
      <c r="N524" s="1">
        <f t="shared" si="36"/>
        <v>6290147.8291808786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 s="1">
        <v>2.2799999999999999E-5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-3.3137594802467701E-4</v>
      </c>
      <c r="N525" s="1">
        <f t="shared" si="36"/>
        <v>2.0794600775126522E-2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4.74E-5</v>
      </c>
      <c r="F526">
        <v>890066.26139999996</v>
      </c>
      <c r="G526">
        <v>830.83357230000001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0.29691010582295951</v>
      </c>
      <c r="N526" s="1">
        <f t="shared" si="36"/>
        <v>2435030.2089412548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-2.0599999999999999E-5</v>
      </c>
      <c r="F527">
        <v>992475.56449999998</v>
      </c>
      <c r="G527">
        <v>8776.5475029999998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-5.4943762735859616E-2</v>
      </c>
      <c r="N527" s="1">
        <f t="shared" si="36"/>
        <v>10952633.707084036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-7.4599999999999997E-6</v>
      </c>
      <c r="F528">
        <v>946680.06319999998</v>
      </c>
      <c r="G528">
        <v>1351.6076109999999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-1.8532273328144586E-2</v>
      </c>
      <c r="N528" s="1">
        <f t="shared" si="36"/>
        <v>1571028.907263299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2.3200000000000001E-5</v>
      </c>
      <c r="F529">
        <v>1101459.385</v>
      </c>
      <c r="G529">
        <v>9948.2800060000009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8.6472785780486477E-2</v>
      </c>
      <c r="N529" s="1">
        <f t="shared" si="36"/>
        <v>17349347.428819947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3.1099999999999999E-6</v>
      </c>
      <c r="F530">
        <v>850004.07279999997</v>
      </c>
      <c r="G530">
        <v>830.83358250000003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9.9530883577896509E-3</v>
      </c>
      <c r="N530" s="1">
        <f t="shared" si="36"/>
        <v>1244099.7165677818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-3.67E-6</v>
      </c>
      <c r="F531">
        <v>974089.47149999999</v>
      </c>
      <c r="G531">
        <v>8038.1691780000001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-9.8527176617672525E-3</v>
      </c>
      <c r="N531" s="1">
        <f t="shared" si="36"/>
        <v>10096963.684838742</v>
      </c>
      <c r="O531" s="1"/>
    </row>
    <row r="532" spans="1:15" x14ac:dyDescent="0.25">
      <c r="A532">
        <v>807</v>
      </c>
      <c r="B532">
        <v>387054.18469999998</v>
      </c>
      <c r="C532">
        <v>0</v>
      </c>
      <c r="D532">
        <v>762026.59909999999</v>
      </c>
      <c r="E532" s="1">
        <v>-7.6799999999999999E-7</v>
      </c>
      <c r="F532">
        <v>1270614.585</v>
      </c>
      <c r="G532">
        <v>13851.81523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0</v>
      </c>
      <c r="M532" s="1">
        <f t="shared" si="35"/>
        <v>-1.8084908517647614E-3</v>
      </c>
      <c r="N532" s="1">
        <f t="shared" si="36"/>
        <v>15261789.675474612</v>
      </c>
      <c r="O532" s="1"/>
    </row>
    <row r="533" spans="1:15" x14ac:dyDescent="0.25">
      <c r="A533">
        <v>808</v>
      </c>
      <c r="B533">
        <v>270232.13260000001</v>
      </c>
      <c r="C533" s="1">
        <v>4.8099999999999997E-5</v>
      </c>
      <c r="D533">
        <v>696350.03390000004</v>
      </c>
      <c r="E533" s="1">
        <v>1.26E-5</v>
      </c>
      <c r="F533">
        <v>1193933.8729999999</v>
      </c>
      <c r="G533">
        <v>4939.9448329999996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0.13831024383596224</v>
      </c>
      <c r="M533" s="1">
        <f t="shared" si="35"/>
        <v>1.215130586178222E-2</v>
      </c>
      <c r="N533" s="1">
        <f t="shared" si="36"/>
        <v>2229041.6564087654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 s="1">
        <v>-1.6399999999999999E-5</v>
      </c>
      <c r="F534">
        <v>947210.98380000005</v>
      </c>
      <c r="G534">
        <v>8038.1691879999998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-9.1445386973421874E-2</v>
      </c>
      <c r="N534" s="1">
        <f t="shared" si="36"/>
        <v>20970982.372834705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 s="1">
        <v>-4.6699999999999997E-5</v>
      </c>
      <c r="F535">
        <v>890907.67879999999</v>
      </c>
      <c r="G535">
        <v>830.83359159999998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-0.30570549637666899</v>
      </c>
      <c r="N535" s="1">
        <f t="shared" si="36"/>
        <v>2544743.9584800354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 s="1">
        <v>2.0200000000000001E-7</v>
      </c>
      <c r="F536">
        <v>824462.60309999995</v>
      </c>
      <c r="G536">
        <v>984.77780970000003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1.15240457451634E-3</v>
      </c>
      <c r="N536" s="1">
        <f t="shared" si="36"/>
        <v>2628666.7768100444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 s="1">
        <v>-7.7700000000000001E-6</v>
      </c>
      <c r="F537">
        <v>765344.65289999999</v>
      </c>
      <c r="G537" s="1">
        <v>2.3799999999999999E-5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-2.4072924659802628E-2</v>
      </c>
      <c r="N537" s="1">
        <f t="shared" si="36"/>
        <v>3.4500744987269828E-2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 s="1">
        <v>2.8600000000000001E-5</v>
      </c>
      <c r="F538">
        <v>934704.92079999996</v>
      </c>
      <c r="G538" s="1">
        <v>4.8600000000000002E-5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0.11074836378429251</v>
      </c>
      <c r="N538" s="1">
        <f t="shared" si="36"/>
        <v>8.8054434617228283E-2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 s="1">
        <v>3.2700000000000002E-5</v>
      </c>
      <c r="F539">
        <v>968497.2635</v>
      </c>
      <c r="G539">
        <v>1278.140228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7.52662012971681E-2</v>
      </c>
      <c r="N539" s="1">
        <f t="shared" si="36"/>
        <v>1376494.3310101486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 s="1">
        <v>-2.62E-5</v>
      </c>
      <c r="F540">
        <v>865398.9693</v>
      </c>
      <c r="G540">
        <v>6687.0160299999998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-0.12489607592979665</v>
      </c>
      <c r="N540" s="1">
        <f t="shared" si="36"/>
        <v>14915009.858239027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 s="1">
        <v>-3.0199999999999999E-5</v>
      </c>
      <c r="F541">
        <v>950898.42379999999</v>
      </c>
      <c r="G541">
        <v>2499.7767319999998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-0.12043362998253661</v>
      </c>
      <c r="N541" s="1">
        <f t="shared" si="36"/>
        <v>4664292.0241244221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3081.6785759999998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1.9260368158123025E-2</v>
      </c>
      <c r="N542" s="1">
        <f t="shared" si="36"/>
        <v>8441112.7962320521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 s="1">
        <v>-3.8500000000000001E-5</v>
      </c>
      <c r="F543">
        <v>992707.06449999998</v>
      </c>
      <c r="G543" s="1">
        <v>1.5999999999999999E-5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-0.26771901096104012</v>
      </c>
      <c r="N543" s="1">
        <f t="shared" si="36"/>
        <v>5.2057360406102406E-2</v>
      </c>
      <c r="O543" s="1"/>
    </row>
    <row r="544" spans="1:15" x14ac:dyDescent="0.25">
      <c r="A544">
        <v>824</v>
      </c>
      <c r="B544">
        <v>275614.56390000001</v>
      </c>
      <c r="C544">
        <v>0</v>
      </c>
      <c r="D544">
        <v>711584.32310000004</v>
      </c>
      <c r="E544" s="1">
        <v>-3.1099999999999997E-5</v>
      </c>
      <c r="F544">
        <v>1172868.523</v>
      </c>
      <c r="G544">
        <v>13259.037050000001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</v>
      </c>
      <c r="M544" s="1">
        <f t="shared" si="35"/>
        <v>-8.6368331106017548E-2</v>
      </c>
      <c r="N544" s="1">
        <f t="shared" si="36"/>
        <v>17228592.585665971</v>
      </c>
      <c r="O544" s="1"/>
    </row>
    <row r="545" spans="1:15" x14ac:dyDescent="0.25">
      <c r="A545">
        <v>825</v>
      </c>
      <c r="B545">
        <v>282809.29830000002</v>
      </c>
      <c r="C545" s="1">
        <v>2.1500000000000001E-5</v>
      </c>
      <c r="D545">
        <v>726990.39569999999</v>
      </c>
      <c r="E545" s="1">
        <v>4.8999999999999998E-5</v>
      </c>
      <c r="F545">
        <v>1189934.2879999999</v>
      </c>
      <c r="G545">
        <v>13259.037050000001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0.15797891060313377</v>
      </c>
      <c r="M545" s="1">
        <f t="shared" si="35"/>
        <v>0.12075354011181928</v>
      </c>
      <c r="N545" s="1">
        <f t="shared" si="36"/>
        <v>15288309.076076565</v>
      </c>
      <c r="O545" s="1"/>
    </row>
    <row r="546" spans="1:15" x14ac:dyDescent="0.25">
      <c r="A546">
        <v>826</v>
      </c>
      <c r="B546">
        <v>439768.94699999999</v>
      </c>
      <c r="C546" s="1">
        <v>4.4700000000000002E-5</v>
      </c>
      <c r="D546">
        <v>839954.20750000002</v>
      </c>
      <c r="E546">
        <v>6687.0160130000004</v>
      </c>
      <c r="F546">
        <v>1302781.389</v>
      </c>
      <c r="G546">
        <v>10530.22581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0.46078982161813575</v>
      </c>
      <c r="M546" s="1">
        <f t="shared" si="35"/>
        <v>23119096.322208207</v>
      </c>
      <c r="N546" s="1">
        <f t="shared" si="36"/>
        <v>17034125.933713168</v>
      </c>
      <c r="O546" s="1"/>
    </row>
    <row r="547" spans="1:15" x14ac:dyDescent="0.25">
      <c r="A547">
        <v>827</v>
      </c>
      <c r="B547">
        <v>384295.02720000001</v>
      </c>
      <c r="C547" s="1">
        <v>-1.2E-5</v>
      </c>
      <c r="D547">
        <v>771764.36120000004</v>
      </c>
      <c r="E547">
        <v>6940.3855279999998</v>
      </c>
      <c r="F547">
        <v>1281372.4620000001</v>
      </c>
      <c r="G547">
        <v>11698.147010000001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-2.0109261725201999E-2</v>
      </c>
      <c r="M547" s="1">
        <f t="shared" si="35"/>
        <v>3900691.5813186755</v>
      </c>
      <c r="N547" s="1">
        <f t="shared" si="36"/>
        <v>3076229.7682366516</v>
      </c>
      <c r="O547" s="1"/>
    </row>
    <row r="548" spans="1:15" x14ac:dyDescent="0.25">
      <c r="A548">
        <v>828</v>
      </c>
      <c r="B548">
        <v>509968.62050000002</v>
      </c>
      <c r="C548" s="1">
        <v>3.6199999999999999E-5</v>
      </c>
      <c r="D548">
        <v>946018.53989999997</v>
      </c>
      <c r="E548">
        <v>830.83354770000005</v>
      </c>
      <c r="F548">
        <v>1408322.97</v>
      </c>
      <c r="G548">
        <v>11388.407800000001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9.5682198891760634E-2</v>
      </c>
      <c r="M548" s="1">
        <f t="shared" si="35"/>
        <v>736511.848917183</v>
      </c>
      <c r="N548" s="1">
        <f t="shared" si="36"/>
        <v>4723592.2574742036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 s="1">
        <v>4.2599999999999999E-5</v>
      </c>
      <c r="F549">
        <v>774910.73129999998</v>
      </c>
      <c r="G549" s="1">
        <v>-1.7200000000000001E-5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0.30124861168806444</v>
      </c>
      <c r="N549" s="1">
        <f t="shared" si="36"/>
        <v>-5.6909868237233534E-2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 s="1">
        <v>3.6000000000000001E-5</v>
      </c>
      <c r="F550">
        <v>886091.98490000004</v>
      </c>
      <c r="G550">
        <v>8058.2529809999996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0.104759919205146</v>
      </c>
      <c r="N550" s="1">
        <f t="shared" si="36"/>
        <v>10971783.509794477</v>
      </c>
      <c r="O550" s="1"/>
    </row>
    <row r="551" spans="1:15" x14ac:dyDescent="0.25">
      <c r="A551">
        <v>831</v>
      </c>
      <c r="B551">
        <v>357179.94919999997</v>
      </c>
      <c r="C551" s="1">
        <v>-2.2200000000000001E-5</v>
      </c>
      <c r="D551">
        <v>781191.27930000005</v>
      </c>
      <c r="E551">
        <v>830.83357220000005</v>
      </c>
      <c r="F551">
        <v>1227997.4469999999</v>
      </c>
      <c r="G551">
        <v>14554.3174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-0.26335866488566056</v>
      </c>
      <c r="M551" s="1">
        <f t="shared" si="35"/>
        <v>3305611.5058251685</v>
      </c>
      <c r="N551" s="1">
        <f t="shared" si="36"/>
        <v>27094010.469590165</v>
      </c>
      <c r="O551" s="1"/>
    </row>
    <row r="552" spans="1:15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 s="1">
        <v>1.1600000000000001E-5</v>
      </c>
      <c r="F552">
        <v>1077406.531</v>
      </c>
      <c r="G552">
        <v>9891.905874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8.9826774743730395E-2</v>
      </c>
      <c r="M552" s="1">
        <f t="shared" si="35"/>
        <v>1.2262021482966014E-2</v>
      </c>
      <c r="N552" s="1">
        <f t="shared" si="36"/>
        <v>4892465.1052339058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 s="1">
        <v>-1.03E-5</v>
      </c>
      <c r="F553">
        <v>977630.06909999996</v>
      </c>
      <c r="G553">
        <v>7568.0677020000003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-4.5093793180229338E-2</v>
      </c>
      <c r="N553" s="1">
        <f t="shared" si="36"/>
        <v>15502731.688007519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 s="1">
        <v>3.1600000000000002E-5</v>
      </c>
      <c r="F554">
        <v>971616.03079999995</v>
      </c>
      <c r="G554">
        <v>6376.9563740000003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0.19131447764061976</v>
      </c>
      <c r="N554" s="1">
        <f t="shared" si="36"/>
        <v>18064164.428948544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 s="1">
        <v>3.68E-5</v>
      </c>
      <c r="F555">
        <v>921653.97140000004</v>
      </c>
      <c r="G555">
        <v>8038.16914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6.4639956911905438E-2</v>
      </c>
      <c r="N555" s="1">
        <f t="shared" si="36"/>
        <v>6606235.602779869</v>
      </c>
      <c r="O555" s="1"/>
    </row>
    <row r="556" spans="1:15" x14ac:dyDescent="0.25">
      <c r="A556">
        <v>836</v>
      </c>
      <c r="B556">
        <v>518818.85230000003</v>
      </c>
      <c r="C556" s="1">
        <v>2.4199999999999999E-5</v>
      </c>
      <c r="D556">
        <v>979112.55900000001</v>
      </c>
      <c r="E556">
        <v>8436.3536669999994</v>
      </c>
      <c r="F556">
        <v>1414478.6910000001</v>
      </c>
      <c r="G556">
        <v>3395.7890360000001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2.9769164079940999E-2</v>
      </c>
      <c r="M556" s="1">
        <f t="shared" si="35"/>
        <v>3480560.5116182463</v>
      </c>
      <c r="N556" s="1">
        <f t="shared" si="36"/>
        <v>655509.19906814781</v>
      </c>
      <c r="O556" s="1"/>
    </row>
    <row r="557" spans="1:15" x14ac:dyDescent="0.25">
      <c r="A557">
        <v>837</v>
      </c>
      <c r="B557">
        <v>321856.37209999998</v>
      </c>
      <c r="C557" s="1">
        <v>-2.8399999999999999E-5</v>
      </c>
      <c r="D557">
        <v>748248.54429999995</v>
      </c>
      <c r="E557">
        <v>830.83359599999994</v>
      </c>
      <c r="F557">
        <v>1178496.3529999999</v>
      </c>
      <c r="G557">
        <v>14554.3174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-0.12264718472856198</v>
      </c>
      <c r="M557" s="1">
        <f t="shared" si="35"/>
        <v>1203362.379899947</v>
      </c>
      <c r="N557" s="1">
        <f t="shared" si="36"/>
        <v>9863201.3859753124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2181.9867709999999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1.1531991570570055E-2</v>
      </c>
      <c r="N558" s="1">
        <f t="shared" si="36"/>
        <v>811955.27084064286</v>
      </c>
      <c r="O558" s="1"/>
    </row>
    <row r="559" spans="1:15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 s="1">
        <v>2.58E-5</v>
      </c>
      <c r="F559">
        <v>1467284.923</v>
      </c>
      <c r="G559">
        <v>2334.9907330000001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-0.15860527196301452</v>
      </c>
      <c r="M559" s="1">
        <f t="shared" si="35"/>
        <v>2.9641451790290041E-2</v>
      </c>
      <c r="N559" s="1">
        <f t="shared" si="36"/>
        <v>1255187.4964058988</v>
      </c>
      <c r="O559" s="1"/>
    </row>
    <row r="560" spans="1:15" x14ac:dyDescent="0.25">
      <c r="A560">
        <v>896</v>
      </c>
      <c r="B560">
        <v>176718.43460000001</v>
      </c>
      <c r="C560" s="1">
        <v>-4.9299999999999999E-5</v>
      </c>
      <c r="D560">
        <v>952114.31940000004</v>
      </c>
      <c r="E560" s="1">
        <v>-2.0599999999999999E-5</v>
      </c>
      <c r="F560">
        <v>1531125.3060000001</v>
      </c>
      <c r="G560">
        <v>7574.8589570000004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-0.11189723119063581</v>
      </c>
      <c r="M560" s="1">
        <f t="shared" si="35"/>
        <v>-1.5681325817784593E-2</v>
      </c>
      <c r="N560" s="1">
        <f t="shared" si="36"/>
        <v>2697949.3176060081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 s="1">
        <v>-4.4199999999999997E-5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-8.0878630375103483E-2</v>
      </c>
      <c r="N561" s="1">
        <f t="shared" si="36"/>
        <v>-7.9271537280559259E-2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4.7600000000000002E-6</v>
      </c>
      <c r="F562">
        <v>1170011.639</v>
      </c>
      <c r="G562">
        <v>1669.3974920000001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1.2345011577673823E-2</v>
      </c>
      <c r="N562" s="1">
        <f t="shared" si="36"/>
        <v>2025759.963939677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>
        <v>7663.8513679999996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0.13599419730192147</v>
      </c>
      <c r="N563" s="1">
        <f t="shared" si="36"/>
        <v>15432065.110513303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5.3600000000000004E-6</v>
      </c>
      <c r="F564">
        <v>921892.33779999998</v>
      </c>
      <c r="G564" s="1">
        <v>3.2100000000000001E-5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2.8551540822841642E-2</v>
      </c>
      <c r="N564" s="1">
        <f t="shared" si="36"/>
        <v>8.000432610070185E-2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 s="1">
        <v>2.55E-5</v>
      </c>
      <c r="F565">
        <v>1013672.794</v>
      </c>
      <c r="G565">
        <v>984.77784910000003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8.3304289425727651E-2</v>
      </c>
      <c r="N565" s="1">
        <f t="shared" si="36"/>
        <v>1505251.7240637059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0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-8.1721303157700959E-2</v>
      </c>
      <c r="N566" s="1">
        <f t="shared" si="36"/>
        <v>0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 s="1">
        <v>4.0500000000000002E-5</v>
      </c>
      <c r="F567">
        <v>1031875.76</v>
      </c>
      <c r="G567">
        <v>0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0.13257074574168212</v>
      </c>
      <c r="N567" s="1">
        <f t="shared" si="36"/>
        <v>0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6956.9743310000003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-7.7058630689751925E-2</v>
      </c>
      <c r="N568" s="1">
        <f t="shared" si="36"/>
        <v>7291668.6313796844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 s="1">
        <v>1.33E-5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-0.13467627535612015</v>
      </c>
      <c r="N569" s="1">
        <f t="shared" si="36"/>
        <v>3.4488963481729265E-2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>
        <v>6940.3854970000002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0.17315144103480704</v>
      </c>
      <c r="N570" s="1">
        <f t="shared" si="36"/>
        <v>18805383.466992088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-0.32063363703079906</v>
      </c>
      <c r="N571" s="1">
        <f t="shared" si="36"/>
        <v>-8.9328001545924962E-2</v>
      </c>
      <c r="O571" s="1"/>
    </row>
    <row r="572" spans="1:15" x14ac:dyDescent="0.25">
      <c r="A572">
        <v>910</v>
      </c>
      <c r="B572">
        <v>114709.05379999999</v>
      </c>
      <c r="C572">
        <v>0</v>
      </c>
      <c r="D572">
        <v>781465.2439</v>
      </c>
      <c r="E572" s="1">
        <v>2.1999999999999999E-5</v>
      </c>
      <c r="F572">
        <v>1404221.4480000001</v>
      </c>
      <c r="G572">
        <v>8038.1691739999997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</v>
      </c>
      <c r="M572" s="1">
        <f t="shared" si="35"/>
        <v>8.4887152345402006E-2</v>
      </c>
      <c r="N572" s="1">
        <f t="shared" si="36"/>
        <v>14511760.572904112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 s="1">
        <v>-3.0199999999999999E-5</v>
      </c>
      <c r="F573">
        <v>1085209.325</v>
      </c>
      <c r="G573">
        <v>0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-0.18685956547066893</v>
      </c>
      <c r="N573" s="1">
        <f t="shared" si="36"/>
        <v>0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4.3399999999999998E-5</v>
      </c>
      <c r="F574">
        <v>951361.49140000006</v>
      </c>
      <c r="G574" s="1">
        <v>-1.42E-5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0.19408254196928884</v>
      </c>
      <c r="N574" s="1">
        <f t="shared" si="36"/>
        <v>-2.9711786431775883E-2</v>
      </c>
      <c r="O574" s="1"/>
    </row>
    <row r="575" spans="1:15" x14ac:dyDescent="0.25">
      <c r="A575">
        <v>913</v>
      </c>
      <c r="B575">
        <v>196519.514</v>
      </c>
      <c r="C575" s="1">
        <v>-3.2199999999999997E-5</v>
      </c>
      <c r="D575">
        <v>907269.33</v>
      </c>
      <c r="E575">
        <v>2403.93968</v>
      </c>
      <c r="F575">
        <v>1503592.9110000001</v>
      </c>
      <c r="G575">
        <v>3531.3490809999998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-9.0059400936254738E-2</v>
      </c>
      <c r="M575" s="1">
        <f t="shared" si="35"/>
        <v>2254965.4136625342</v>
      </c>
      <c r="N575" s="1">
        <f t="shared" si="36"/>
        <v>1549889.1848365352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1.63E-5</v>
      </c>
      <c r="F576">
        <v>1078164.527</v>
      </c>
      <c r="G576">
        <v>6940.3855210000002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5.7744277250076317E-2</v>
      </c>
      <c r="N576" s="1">
        <f t="shared" si="36"/>
        <v>11503993.264534816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3.2400000000000001E-5</v>
      </c>
      <c r="F577">
        <v>1437621.0390000001</v>
      </c>
      <c r="G577">
        <v>2334.9907330000001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4.412384961523956E-2</v>
      </c>
      <c r="N577" s="1">
        <f t="shared" si="36"/>
        <v>1487843.4074497027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-1.0300000000000001E-6</v>
      </c>
      <c r="F578">
        <v>1086950.43</v>
      </c>
      <c r="G578">
        <v>850.9174064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-3.7317328595337339E-3</v>
      </c>
      <c r="N578" s="1">
        <f t="shared" si="36"/>
        <v>1442462.0892207813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 s="1">
        <v>-3.0199999999999999E-5</v>
      </c>
      <c r="F579">
        <v>1381109.7949999999</v>
      </c>
      <c r="G579">
        <v>3218.1302289999999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-8.2403219683150383E-2</v>
      </c>
      <c r="N579" s="1">
        <f t="shared" ref="N579:N642" si="40">$U$4*$K579*G579</f>
        <v>4108511.7272291686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 s="1">
        <v>-7.8299999999999996E-6</v>
      </c>
      <c r="F580">
        <v>1238590.6000000001</v>
      </c>
      <c r="G580">
        <v>0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-1.1548674041281251E-2</v>
      </c>
      <c r="N580" s="1">
        <f t="shared" si="40"/>
        <v>0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-4.74E-5</v>
      </c>
      <c r="F581">
        <v>1064059.0930000001</v>
      </c>
      <c r="G581">
        <v>850.9174064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-0.11275190153054843</v>
      </c>
      <c r="N581" s="1">
        <f t="shared" si="40"/>
        <v>947058.09167908598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-2.5999999999999998E-5</v>
      </c>
      <c r="F582">
        <v>1131263.098</v>
      </c>
      <c r="G582">
        <v>6940.3855210000002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-0.11926707763914579</v>
      </c>
      <c r="N582" s="1">
        <f t="shared" si="40"/>
        <v>14896165.997782016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 s="1">
        <v>-6.5699999999999998E-6</v>
      </c>
      <c r="F583">
        <v>1302510.075</v>
      </c>
      <c r="G583">
        <v>1351.6075699999999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-3.1272646715855001E-2</v>
      </c>
      <c r="N583" s="1">
        <f t="shared" si="40"/>
        <v>3010187.6025153925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 s="1">
        <v>9.4299999999999995E-6</v>
      </c>
      <c r="F584">
        <v>1125036.0109999999</v>
      </c>
      <c r="G584">
        <v>0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4.1614437954992332E-2</v>
      </c>
      <c r="N584" s="1">
        <f t="shared" si="40"/>
        <v>0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3880.7518009999999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-5.7174325220132112E-2</v>
      </c>
      <c r="N585" s="1">
        <f t="shared" si="40"/>
        <v>2798251.1051258338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0.10762040404174454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0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3.6243636999328503E-4</v>
      </c>
      <c r="N587" s="1">
        <f t="shared" si="40"/>
        <v>0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 s="1">
        <v>-2.9099999999999999E-5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4.1830447846406854E-2</v>
      </c>
      <c r="N588" s="1">
        <f t="shared" si="40"/>
        <v>-3.8224596791362857E-2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 s="1">
        <v>-3.15E-5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-9.5939603455520009E-2</v>
      </c>
      <c r="N589" s="1">
        <f t="shared" si="40"/>
        <v>-6.9655612126041905E-2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-4.9400000000000001E-5</v>
      </c>
      <c r="F590">
        <v>953439.78480000002</v>
      </c>
      <c r="G590" s="1">
        <v>4.4400000000000002E-5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-0.2805215670217493</v>
      </c>
      <c r="N590" s="1">
        <f t="shared" si="40"/>
        <v>0.11796847237753022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-4.7899999999999999E-5</v>
      </c>
      <c r="F591">
        <v>909519.73369999998</v>
      </c>
      <c r="G591" s="1">
        <v>2.6100000000000001E-5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-0.37861095835973535</v>
      </c>
      <c r="N591" s="1">
        <f t="shared" si="40"/>
        <v>9.6525453768869354E-2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-2.8799999999999999E-5</v>
      </c>
      <c r="F592">
        <v>968801.72580000001</v>
      </c>
      <c r="G592">
        <v>723.46588670000006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-0.1093913125537392</v>
      </c>
      <c r="N592" s="1">
        <f t="shared" si="40"/>
        <v>1285736.8213660668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0.11956052486379926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 s="1">
        <v>-4.9400000000000001E-6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-2.1952850141448488E-2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 s="1">
        <v>3.0700000000000001E-5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-5.0926375697698707E-2</v>
      </c>
      <c r="N595" s="1">
        <f t="shared" si="40"/>
        <v>0.14778134821589636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 s="1">
        <v>3.2400000000000001E-5</v>
      </c>
      <c r="F596">
        <v>1311662.7080000001</v>
      </c>
      <c r="G596">
        <v>2971.9155770000002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0.18065811544256521</v>
      </c>
      <c r="N596" s="1">
        <f t="shared" si="40"/>
        <v>7753407.5311916461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 s="1">
        <v>-3.8800000000000001E-6</v>
      </c>
      <c r="F597">
        <v>981646.17209999997</v>
      </c>
      <c r="G597">
        <v>984.77789629999995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-1.3866513094537632E-2</v>
      </c>
      <c r="N597" s="1">
        <f t="shared" si="40"/>
        <v>1646711.4709803597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 s="1">
        <v>1.49E-5</v>
      </c>
      <c r="F598">
        <v>988115.28220000002</v>
      </c>
      <c r="G598">
        <v>984.77783299999999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5.714668266773159E-2</v>
      </c>
      <c r="N598" s="1">
        <f t="shared" si="40"/>
        <v>1767204.0529241033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>
        <v>6940.3855469999999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0.13175328586132298</v>
      </c>
      <c r="N599" s="1">
        <f t="shared" si="40"/>
        <v>13287181.220880382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-0.12602515521758065</v>
      </c>
      <c r="N600" s="1">
        <f t="shared" si="40"/>
        <v>5.4485206951656963E-2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>
        <v>10808.967500000001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7.2273800052933573E-2</v>
      </c>
      <c r="N601" s="1">
        <f t="shared" si="40"/>
        <v>19339577.180504117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-1.8300000000000001E-5</v>
      </c>
      <c r="F602">
        <v>994329.02309999999</v>
      </c>
      <c r="G602">
        <v>9389.7514319999991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-4.5607353113022393E-2</v>
      </c>
      <c r="N602" s="1">
        <f t="shared" si="40"/>
        <v>10949178.908777919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9074.3126319999992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0.10861434150612</v>
      </c>
      <c r="N603" s="1">
        <f t="shared" si="40"/>
        <v>9223050.4675986562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 s="1">
        <v>9.4099999999999997E-6</v>
      </c>
      <c r="F604">
        <v>827276.49080000003</v>
      </c>
      <c r="G604" s="1">
        <v>-5.49E-6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6.6919083644030569E-2</v>
      </c>
      <c r="N604" s="1">
        <f t="shared" si="40"/>
        <v>-1.8267385106116002E-2</v>
      </c>
      <c r="O604" s="1"/>
    </row>
    <row r="605" spans="1:15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 s="1">
        <v>1.7E-5</v>
      </c>
      <c r="F605">
        <v>1096811.7849999999</v>
      </c>
      <c r="G605">
        <v>8038.1691739999997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-8.7627747848130749E-3</v>
      </c>
      <c r="M605" s="1">
        <f t="shared" si="39"/>
        <v>0.17228033608762466</v>
      </c>
      <c r="N605" s="1">
        <f t="shared" si="40"/>
        <v>38114270.279612057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 s="1">
        <v>3.68E-5</v>
      </c>
      <c r="F606">
        <v>978930.29150000005</v>
      </c>
      <c r="G606">
        <v>6940.3855169999997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0.3193084306716712</v>
      </c>
      <c r="N606" s="1">
        <f t="shared" si="40"/>
        <v>28176681.290430028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723.46593780000001</v>
      </c>
      <c r="F607">
        <v>1295351.902</v>
      </c>
      <c r="G607">
        <v>2523.707081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-0.54990959517651306</v>
      </c>
      <c r="M607" s="1">
        <f t="shared" si="39"/>
        <v>2756812.0690893694</v>
      </c>
      <c r="N607" s="1">
        <f t="shared" si="40"/>
        <v>4499577.0948567884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2454.8654729999998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0</v>
      </c>
      <c r="N608" s="1">
        <f t="shared" si="40"/>
        <v>1374024.8333657391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1848.4391350000001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-8.0760063380068622E-2</v>
      </c>
      <c r="N609" s="1">
        <f t="shared" si="40"/>
        <v>2343846.7910032514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 s="1">
        <v>2.5700000000000001E-5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-0.20117064327429215</v>
      </c>
      <c r="N610" s="1">
        <f t="shared" si="40"/>
        <v>5.0083454354400959E-2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2.2400000000000002E-6</v>
      </c>
      <c r="F611">
        <v>1059638.862</v>
      </c>
      <c r="G611">
        <v>723.46583029999999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2.3057960460120319E-2</v>
      </c>
      <c r="N611" s="1">
        <f t="shared" si="40"/>
        <v>3484452.7030413719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2.2684854413738041E-2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5.3064087504438688E-2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0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4.6481090828680797E-3</v>
      </c>
      <c r="N614" s="1">
        <f t="shared" si="40"/>
        <v>0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 s="1">
        <v>7.3000000000000004E-6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-6.4484889577136245E-2</v>
      </c>
      <c r="N615" s="1">
        <f t="shared" si="40"/>
        <v>8.2184459775324608E-3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-2.0499999999999999E-6</v>
      </c>
      <c r="F616">
        <v>1339829.706</v>
      </c>
      <c r="G616">
        <v>1669.3974920000001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-2.7361493848975598E-3</v>
      </c>
      <c r="N616" s="1">
        <f t="shared" si="40"/>
        <v>1042531.9622517423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 s="1">
        <v>-3.54E-5</v>
      </c>
      <c r="F617">
        <v>1229459.7050000001</v>
      </c>
      <c r="G617">
        <v>0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-9.5863268943351412E-2</v>
      </c>
      <c r="N617" s="1">
        <f t="shared" si="40"/>
        <v>0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>
        <v>2403.9396959999999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5.7998515919016252E-2</v>
      </c>
      <c r="N618" s="1">
        <f t="shared" si="40"/>
        <v>4693202.8718021018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3925.9695780000002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0.20250197542548481</v>
      </c>
      <c r="N619" s="1">
        <f t="shared" si="40"/>
        <v>8941832.7331671678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6940.3855210000002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5.6452523378126278E-2</v>
      </c>
      <c r="N620" s="1">
        <f t="shared" si="40"/>
        <v>4927965.8848156612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-2.97E-5</v>
      </c>
      <c r="F621">
        <v>1193329.1510000001</v>
      </c>
      <c r="G621">
        <v>0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-4.5777574055388785E-2</v>
      </c>
      <c r="N621" s="1">
        <f t="shared" si="40"/>
        <v>0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7838.1770150000002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3.8226340276328395E-2</v>
      </c>
      <c r="N622" s="1">
        <f t="shared" si="40"/>
        <v>6551001.4180724462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4649.435469</v>
      </c>
      <c r="F623">
        <v>1582930.62</v>
      </c>
      <c r="G623">
        <v>11327.531230000001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11932116.453646246</v>
      </c>
      <c r="N623" s="1">
        <f t="shared" si="40"/>
        <v>13601794.379741456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-8.6799999999999999E-6</v>
      </c>
      <c r="F624">
        <v>1558722.6540000001</v>
      </c>
      <c r="G624">
        <v>8715.0761210000001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-6.6896081708076654E-3</v>
      </c>
      <c r="N624" s="1">
        <f t="shared" si="40"/>
        <v>3142648.5708376011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4.4700000000000004E-6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2.0553962815024165E-2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-0.13565985360121025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3476.6330400000002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-6.7792509395616471E-2</v>
      </c>
      <c r="N627" s="1">
        <f t="shared" si="40"/>
        <v>10306245.030862425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8.4100000000000008E-6</v>
      </c>
      <c r="F628">
        <v>1214880.43</v>
      </c>
      <c r="G628">
        <v>830.83358299999998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2.4063350028404359E-2</v>
      </c>
      <c r="N628" s="1">
        <f t="shared" si="40"/>
        <v>1112289.4386075987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4.3838260109890191E-3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 s="1">
        <v>-2.4199999999999999E-5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0</v>
      </c>
      <c r="N631" s="1">
        <f t="shared" si="40"/>
        <v>-0.11309978530628383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0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-9.4093193284921252E-3</v>
      </c>
      <c r="N632" s="1">
        <f t="shared" si="40"/>
        <v>0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-3.8399999999999998E-5</v>
      </c>
      <c r="F633">
        <v>1137815.531</v>
      </c>
      <c r="G633">
        <v>0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-0.104397083482464</v>
      </c>
      <c r="N633" s="1">
        <f t="shared" si="40"/>
        <v>0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-0.10827831995954627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0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-0.18025423577550323</v>
      </c>
      <c r="N635" s="1">
        <f t="shared" si="40"/>
        <v>0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 s="1">
        <v>4.9299999999999999E-5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</v>
      </c>
      <c r="N636" s="1">
        <f t="shared" si="40"/>
        <v>0.22357766775893143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0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6.8261011600045052E-2</v>
      </c>
      <c r="N638" s="1">
        <f t="shared" si="40"/>
        <v>0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2.7920548299899166E-3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3.217360162291464E-2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0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-6.9956527826547002E-2</v>
      </c>
      <c r="N642" s="1">
        <f t="shared" si="40"/>
        <v>0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0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-0.11506532703267247</v>
      </c>
      <c r="N645" s="1">
        <f t="shared" si="44"/>
        <v>0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2.27E-5</v>
      </c>
      <c r="F646">
        <v>1303767.1680000001</v>
      </c>
      <c r="G646">
        <v>0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7.9900161622489196E-2</v>
      </c>
      <c r="N646" s="1">
        <f t="shared" si="44"/>
        <v>0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0</v>
      </c>
      <c r="F648">
        <v>1135935.004</v>
      </c>
      <c r="G648">
        <v>0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0</v>
      </c>
      <c r="N648" s="1">
        <f t="shared" si="44"/>
        <v>0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0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0</v>
      </c>
      <c r="N649" s="1">
        <f t="shared" si="44"/>
        <v>0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0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</v>
      </c>
      <c r="N650" s="1">
        <f t="shared" si="44"/>
        <v>0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0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0</v>
      </c>
      <c r="N652" s="1">
        <f t="shared" si="44"/>
        <v>0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6.3235156776916504E-2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 s="1">
        <v>1.6699999999999999E-5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0</v>
      </c>
      <c r="N656" s="1">
        <f t="shared" si="44"/>
        <v>2.3159213626091579E-2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 s="1">
        <v>-3.68E-5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-8.4690897669903273E-2</v>
      </c>
      <c r="N657" s="1">
        <f t="shared" si="44"/>
        <v>-8.9462417260581129E-2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-1.04E-5</v>
      </c>
      <c r="F658">
        <v>951475.64480000001</v>
      </c>
      <c r="G658">
        <v>0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-2.5749021313894321E-2</v>
      </c>
      <c r="N658" s="1">
        <f t="shared" si="44"/>
        <v>0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 s="1">
        <v>-3.3599999999999997E-5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-0.2103211836018109</v>
      </c>
      <c r="N659" s="1">
        <f t="shared" si="44"/>
        <v>-6.6395191816820159E-2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0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4.6268159786358717E-2</v>
      </c>
      <c r="N660" s="1">
        <f t="shared" si="44"/>
        <v>0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-4.8000000000000001E-5</v>
      </c>
      <c r="F662">
        <v>935330.77879999997</v>
      </c>
      <c r="G662">
        <v>0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-6.1815850300550403E-2</v>
      </c>
      <c r="N662" s="1">
        <f t="shared" si="44"/>
        <v>0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0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-6.4046827429909137E-2</v>
      </c>
      <c r="N663" s="1">
        <f t="shared" si="44"/>
        <v>0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0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-3.1580115218117898E-2</v>
      </c>
      <c r="N664" s="1">
        <f t="shared" si="44"/>
        <v>0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1.33E-5</v>
      </c>
      <c r="F665">
        <v>1029765.633</v>
      </c>
      <c r="G665">
        <v>0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1.8045858712765241E-2</v>
      </c>
      <c r="N665" s="1">
        <f t="shared" si="44"/>
        <v>0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-4.4199999999999997E-5</v>
      </c>
      <c r="F666">
        <v>929514.86029999994</v>
      </c>
      <c r="G666">
        <v>0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-0.18328767459990311</v>
      </c>
      <c r="N666" s="1">
        <f t="shared" si="44"/>
        <v>0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 s="1">
        <v>-1.8300000000000001E-5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-4.9784060327801805E-2</v>
      </c>
      <c r="N667" s="1">
        <f t="shared" si="44"/>
        <v>-2.7679890089322902E-2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0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0.12271949535693961</v>
      </c>
      <c r="N668" s="1">
        <f t="shared" si="44"/>
        <v>0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8.7199999999999995E-6</v>
      </c>
      <c r="F669">
        <v>1527692.63</v>
      </c>
      <c r="G669">
        <v>7173.1132019999995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4.5534015359709815E-3</v>
      </c>
      <c r="N669" s="1">
        <f t="shared" si="44"/>
        <v>1752551.656274416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 s="1">
        <v>-4.6400000000000003E-5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0.29856521072365355</v>
      </c>
      <c r="N670" s="1">
        <f t="shared" si="44"/>
        <v>-0.39284109794631844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-3.2257150457603495E-2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2.3967716547911E-3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0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8.4920240476896613E-2</v>
      </c>
      <c r="N675" s="1">
        <f t="shared" si="44"/>
        <v>0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0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-3.6253236666831043E-2</v>
      </c>
      <c r="N676" s="1">
        <f t="shared" si="44"/>
        <v>0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0.21764898875028535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0.22367275418098151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2.2841314892938759E-2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0.26559091794699285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0.1014823710919083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 s="1">
        <v>-3.8600000000000003E-5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6.1646394639958399E-2</v>
      </c>
      <c r="N682" s="1">
        <f t="shared" si="44"/>
        <v>-3.6623941480028406E-2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 s="1">
        <v>-1.6500000000000001E-5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-0.15329302336504624</v>
      </c>
      <c r="N683" s="1">
        <f t="shared" si="44"/>
        <v>-5.6896647477808059E-2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0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0.30108730158064179</v>
      </c>
      <c r="N684" s="1">
        <f t="shared" si="44"/>
        <v>0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 s="1">
        <v>3.6900000000000002E-5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-1.208199428616466E-2</v>
      </c>
      <c r="N685" s="1">
        <f t="shared" si="44"/>
        <v>2.7887338771443452E-2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0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3.6936831601224171E-2</v>
      </c>
      <c r="N686" s="1">
        <f t="shared" si="44"/>
        <v>0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0</v>
      </c>
      <c r="F687">
        <v>1084773.4720000001</v>
      </c>
      <c r="G687">
        <v>0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0</v>
      </c>
      <c r="N687" s="1">
        <f t="shared" si="44"/>
        <v>0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 s="1">
        <v>4.8099999999999997E-5</v>
      </c>
      <c r="F688">
        <v>1252087.183</v>
      </c>
      <c r="G688">
        <v>0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4.1410188110003764E-2</v>
      </c>
      <c r="N688" s="1">
        <f t="shared" si="44"/>
        <v>0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-2.9200000000000002E-5</v>
      </c>
      <c r="F689">
        <v>1359188.3929999999</v>
      </c>
      <c r="G689">
        <v>0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-1.6274330507459772E-2</v>
      </c>
      <c r="N689" s="1">
        <f t="shared" si="44"/>
        <v>0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>
        <v>0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0.12465887436753025</v>
      </c>
      <c r="N690" s="1">
        <f t="shared" si="44"/>
        <v>0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4.8999999999999998E-5</v>
      </c>
      <c r="F691">
        <v>1286554.51</v>
      </c>
      <c r="G691">
        <v>0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4.6324482869611591E-2</v>
      </c>
      <c r="N691" s="1">
        <f t="shared" si="44"/>
        <v>0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0</v>
      </c>
      <c r="F692">
        <v>1287319.922</v>
      </c>
      <c r="G692">
        <v>3925.9695780000002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0</v>
      </c>
      <c r="N692" s="1">
        <f t="shared" si="44"/>
        <v>1710540.3835747708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-3.5599999999999998E-5</v>
      </c>
      <c r="F693">
        <v>1275241.5759999999</v>
      </c>
      <c r="G693">
        <v>3925.9695780000002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-2.6269307912695643E-2</v>
      </c>
      <c r="N693" s="1">
        <f t="shared" si="44"/>
        <v>1355467.9127714275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0</v>
      </c>
      <c r="F694">
        <v>1544090.405</v>
      </c>
      <c r="G694">
        <v>6687.0159860000003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0</v>
      </c>
      <c r="N694" s="1">
        <f t="shared" si="44"/>
        <v>1838098.0439313485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0</v>
      </c>
      <c r="F695">
        <v>1177859.8829999999</v>
      </c>
      <c r="G695">
        <v>2403.9396879999999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0</v>
      </c>
      <c r="N695" s="1">
        <f t="shared" si="44"/>
        <v>4225789.0951343207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0</v>
      </c>
      <c r="F696">
        <v>1377311.9450000001</v>
      </c>
      <c r="G696">
        <v>0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0</v>
      </c>
      <c r="N696" s="1">
        <f t="shared" si="44"/>
        <v>0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0</v>
      </c>
      <c r="F697">
        <v>1313881.5789999999</v>
      </c>
      <c r="G697">
        <v>4649.435469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0.12524231360338425</v>
      </c>
      <c r="M697" s="1">
        <f t="shared" si="43"/>
        <v>0</v>
      </c>
      <c r="N697" s="1">
        <f t="shared" si="44"/>
        <v>2603340.6802057414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0</v>
      </c>
      <c r="F698">
        <v>1457460.057</v>
      </c>
      <c r="G698">
        <v>0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0</v>
      </c>
      <c r="N698" s="1">
        <f t="shared" si="44"/>
        <v>0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0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-0.13713477147105496</v>
      </c>
      <c r="N699" s="1">
        <f t="shared" si="44"/>
        <v>0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0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-2.0264676850920343E-2</v>
      </c>
      <c r="N700" s="1">
        <f t="shared" si="44"/>
        <v>0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-1.1800000000000001E-5</v>
      </c>
      <c r="F701">
        <v>1189617.3060000001</v>
      </c>
      <c r="G701">
        <v>0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-1.5442241225050501E-2</v>
      </c>
      <c r="N701" s="1">
        <f t="shared" si="44"/>
        <v>0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0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0</v>
      </c>
      <c r="N702" s="1">
        <f t="shared" si="44"/>
        <v>0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0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5.2820234036461194E-3</v>
      </c>
      <c r="N703" s="1">
        <f t="shared" si="44"/>
        <v>0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0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3.0546816035256722E-2</v>
      </c>
      <c r="N704" s="1">
        <f t="shared" si="44"/>
        <v>0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0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</v>
      </c>
      <c r="N705" s="1">
        <f t="shared" si="44"/>
        <v>0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-7.8323533695450545E-3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2.0679989571358966E-2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0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-4.5819634459848213E-2</v>
      </c>
      <c r="N708" s="1">
        <f t="shared" si="48"/>
        <v>0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-9.5692738311034128E-2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0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6.15590574477188E-2</v>
      </c>
      <c r="N711" s="1">
        <f t="shared" si="48"/>
        <v>0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-4.5500000000000001E-5</v>
      </c>
      <c r="F712">
        <v>1007351.741</v>
      </c>
      <c r="G712">
        <v>0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-1.8335528725508997E-2</v>
      </c>
      <c r="N712" s="1">
        <f t="shared" si="48"/>
        <v>0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2.1999999999999999E-5</v>
      </c>
      <c r="F713">
        <v>1253946.916</v>
      </c>
      <c r="G713">
        <v>3925.9695780000002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1.134704232187988E-2</v>
      </c>
      <c r="N713" s="1">
        <f t="shared" si="48"/>
        <v>947437.56912215333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0.21083322955935208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 s="1">
        <v>-3.3899999999999997E-5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-0.31296532388019199</v>
      </c>
      <c r="N715" s="1">
        <f t="shared" si="48"/>
        <v>-0.19390974356954702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-7.6233353896066391E-2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1.895696761591889E-2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2.7836442815632349E-2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-0.1182016841268264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 s="1">
        <v>3.3000000000000003E-5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-0.2120356758491799</v>
      </c>
      <c r="N721" s="1">
        <f t="shared" si="48"/>
        <v>9.5449231672551912E-2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0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-0.19884712670598129</v>
      </c>
      <c r="N723" s="1">
        <f t="shared" si="48"/>
        <v>0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1.7E-5</v>
      </c>
      <c r="F724">
        <v>1149879.649</v>
      </c>
      <c r="G724">
        <v>0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7.7227269864918102E-3</v>
      </c>
      <c r="N724" s="1">
        <f t="shared" si="48"/>
        <v>0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-3.7581768615772379E-2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0.70905804137497808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-0.30695320843990004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8.6602483412779683E-3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4.5000000000000003E-5</v>
      </c>
      <c r="F731">
        <v>1227401.588</v>
      </c>
      <c r="G731">
        <v>0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2.9997611122262853E-2</v>
      </c>
      <c r="N731" s="1">
        <f t="shared" si="48"/>
        <v>0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-3.4400000000000003E-5</v>
      </c>
      <c r="F732">
        <v>1160440.7379999999</v>
      </c>
      <c r="G732">
        <v>0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-2.4260463818058128E-2</v>
      </c>
      <c r="N732" s="1">
        <f t="shared" si="48"/>
        <v>0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0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-1.5492583939898533E-2</v>
      </c>
      <c r="N734" s="1">
        <f t="shared" si="48"/>
        <v>0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-3.3500000000000001E-5</v>
      </c>
      <c r="F735">
        <v>1208211.254</v>
      </c>
      <c r="G735">
        <v>0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-3.486885152549115E-2</v>
      </c>
      <c r="N735" s="1">
        <f t="shared" si="48"/>
        <v>0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0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-2.4174569759076248E-3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8.4299485348407407E-3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-6.796995452248196E-2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8.1618485026494367E-2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-2.0503162392108451E-3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-3.513449887716472E-3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-4.4832721049126618E-2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-8.6527081695592159E-2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0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3.3736928398085529E-2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-0.67269231172036803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0.38144049415531456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-0.2176946730127437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 s="1">
        <v>-3.96E-5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7.7684701142434379E-2</v>
      </c>
      <c r="N761" s="1">
        <f t="shared" si="48"/>
        <v>-0.11798166824128475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 s="1">
        <v>-3.9799999999999998E-5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9.9621016953676117E-2</v>
      </c>
      <c r="N762" s="1">
        <f t="shared" si="48"/>
        <v>-4.8060735896889237E-2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2.5164801255922176E-2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-1.2322798315495874E-2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-1.8934196550945814E-2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-2.5504488871786146E-2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9.4514138410795E-3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2.0674770053785756E-2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-4.5449748892425E-2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-8.6251894757210044E-3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4.9300495628625341E-3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3.2074900354977155E-2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-5.2362681780536414E-2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4.2899733313781921E-3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-6.0114343108964678E-3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-1.4461219828906399E-2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-2.3669217937422483E-3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-8.5786248605425504E-3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2.5683814974364907E-3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-8.0713532241716762E-2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0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-2.3955711218216401E-2</v>
      </c>
      <c r="N791" s="1">
        <f t="shared" si="52"/>
        <v>0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0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-3.1176282508339318E-2</v>
      </c>
      <c r="N792" s="1">
        <f t="shared" si="52"/>
        <v>0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 s="1">
        <v>-4.74E-5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-8.8465320807537134E-2</v>
      </c>
      <c r="N793" s="1">
        <f t="shared" si="52"/>
        <v>-5.6541275551949946E-2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0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-0.14201578405394286</v>
      </c>
      <c r="N794" s="1">
        <f t="shared" si="52"/>
        <v>0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0.17311289174698369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0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-0.1495914643417392</v>
      </c>
      <c r="N796" s="1">
        <f t="shared" si="52"/>
        <v>0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1.4068877025787232E-2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5.536533747843228E-2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0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-7.0485494558643447E-2</v>
      </c>
      <c r="N799" s="1">
        <f t="shared" si="52"/>
        <v>0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9.0334105432427633E-2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2.9430152009339897E-4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0.22774848463096359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2.6798859859234546E-2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-2.3018690525736338E-2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-3.0878229032903617E-2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6.0126788572301146E-3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1.2668466457675592E-2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3.1032112071930872E-2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-3.1179056162440311E-2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-4.0019025252757502E-2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1.5187315523421631E-2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2.1410204740610651E-2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4.9026536396804779E-2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7.3540026939296942E-3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-5.0219924290664623E-3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1.2969797233091889E-2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6.6842448119299597E-4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0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-9.6010783380109932E-2</v>
      </c>
      <c r="N821" s="1">
        <f t="shared" si="52"/>
        <v>0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-1.4030731722246691E-2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-3.3436618102891939E-2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-2.9124235001255518E-2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-2.6221013858205178E-2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-1.3743663724919676E-2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3.3001444153684149E-4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-1.8270069446434625E-2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2.749995006965732E-2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3.973144645799483E-3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9.8241685004621493E-2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-4.0854882337018568E-2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0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0</v>
      </c>
      <c r="N841" s="1">
        <f t="shared" si="56"/>
        <v>0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1.4520352700008891E-2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1.8787052563026006E-2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-1.3906894248722138E-2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0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0</v>
      </c>
      <c r="N845" s="1">
        <f t="shared" si="56"/>
        <v>0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-1.9987061991551664E-2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-2.10614288907978E-2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-4.8684590650893603E-2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-3.7354586152467999E-2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8.7988577866677881E-2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 s="1">
        <v>-3.8999999999999999E-5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4.4584014283788394E-2</v>
      </c>
      <c r="N851" s="1">
        <f t="shared" si="56"/>
        <v>-0.14272912346765673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0.20215718636747418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4.3305225304919343E-2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 s="1">
        <v>-3.0199999999999999E-5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-5.829345552302001E-2</v>
      </c>
      <c r="N856" s="1">
        <f t="shared" si="56"/>
        <v>-2.5189681058428139E-2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2403.9396879999999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-4.9460646058988311E-2</v>
      </c>
      <c r="N857" s="1">
        <f t="shared" si="56"/>
        <v>3253350.9913737127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5.5615053763220486E-3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-5.0371047013301661E-2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6940.3855210000002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-3.996232453364728E-2</v>
      </c>
      <c r="N860" s="1">
        <f t="shared" si="56"/>
        <v>4788601.8035547119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-1.587418869728412E-2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-1.251757855398E-4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 s="1">
        <v>-4.8199999999999999E-5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-2.1972466783063203E-3</v>
      </c>
      <c r="N867" s="1">
        <f t="shared" si="56"/>
        <v>-3.3940378186581605E-2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-2.2242860353554961E-3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 s="1">
        <v>1.59E-5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-2.610020196255056E-2</v>
      </c>
      <c r="N869" s="1">
        <f t="shared" si="56"/>
        <v>1.8670301492089144E-2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-2.0335452074325597E-3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-2.2349145479934E-2</v>
      </c>
      <c r="N871" s="1">
        <f t="shared" si="56"/>
        <v>0.26515811200144501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 s="1">
        <v>-2.26E-5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4.1531432894136869E-2</v>
      </c>
      <c r="N872" s="1">
        <f t="shared" si="56"/>
        <v>-6.1507888820936642E-2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-9.9876995683482513E-3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0.10518704061792425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-1.1656749952259775E-2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 s="1">
        <v>2.02E-5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-9.2641294739302646E-2</v>
      </c>
      <c r="N876" s="1">
        <f t="shared" si="56"/>
        <v>4.7586289310146392E-2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4.5399999999999999E-5</v>
      </c>
      <c r="F877">
        <v>1322404.5660000001</v>
      </c>
      <c r="G877">
        <v>7525.5798949999999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0.90636288919773456</v>
      </c>
      <c r="N877" s="1">
        <f t="shared" si="56"/>
        <v>70295886.344127595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 s="1">
        <v>3.0499999999999999E-5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4.0443944011209002E-3</v>
      </c>
      <c r="N878" s="1">
        <f t="shared" si="56"/>
        <v>7.6954807228667405E-2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 s="1">
        <v>3.8999999999999999E-5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-7.5629349768148502E-2</v>
      </c>
      <c r="N879" s="1">
        <f t="shared" si="56"/>
        <v>0.18351890577889832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 s="1">
        <v>2.48E-5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4.1944019560209008E-3</v>
      </c>
      <c r="N880" s="1">
        <f t="shared" si="56"/>
        <v>1.6223484996866162E-2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3.7472123993535E-2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 s="1">
        <v>-3.7499999999999997E-5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0.12055628661909119</v>
      </c>
      <c r="N882" s="1">
        <f t="shared" si="56"/>
        <v>-0.44068023348434998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-1.8199999999999999E-5</v>
      </c>
      <c r="F883">
        <v>843882.82189999998</v>
      </c>
      <c r="G883" s="1">
        <v>-4.4400000000000002E-5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-4.2908866034670999E-2</v>
      </c>
      <c r="N883" s="1">
        <f t="shared" si="56"/>
        <v>-4.8978141067098004E-2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0.23935188773137006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 s="1">
        <v>-1.9899999999999999E-5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5.2166611620576252E-2</v>
      </c>
      <c r="N886" s="1">
        <f t="shared" si="56"/>
        <v>-3.8857903951356215E-2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0.24850951563607501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4.1246727483594932E-2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 s="1">
        <v>-3.0300000000000001E-5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-9.4626850613514113E-2</v>
      </c>
      <c r="N889" s="1">
        <f t="shared" si="56"/>
        <v>-6.7754087782903982E-2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-0.14749035005548425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4649.435469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-9.4774512204111594E-3</v>
      </c>
      <c r="N892" s="1">
        <f t="shared" si="56"/>
        <v>8181537.3920734897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0.30448703284779527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8.1717949672898388E-2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0.14088493547541428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-0.10444561265596733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4.7252524527025809E-2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-5.1691149744618001E-3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6940.3858049999999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1.3715760376809218E-2</v>
      </c>
      <c r="N908" s="1">
        <f t="shared" si="60"/>
        <v>8435547.1570464894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2.3750999999999999E-4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1.8317483850931435E-2</v>
      </c>
      <c r="N909" s="1">
        <f t="shared" si="60"/>
        <v>0.10827633469703836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-0.10276916037929501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-0.52195309662597966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-0.32108740247059919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2.4346415268874971E-2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-4.9605410138323619E-2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-5.5093731104353824E-2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-9.3822086219661448E-3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0.27164102477947516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4.1233800309476501E-2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0.10018434593078801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-0.22030579972809219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0.10582988277441521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-1.6978605401392951E-2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 s="1">
        <v>1.56E-5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0.17363559819930882</v>
      </c>
      <c r="N924" s="1">
        <f t="shared" si="60"/>
        <v>3.9605642754406561E-2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-0.27411364270364386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-1.8693654133604059E-2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-1.6155627015353748E-2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2403.9401069999999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2.9558294161303116E-2</v>
      </c>
      <c r="N929" s="1">
        <f t="shared" si="60"/>
        <v>6191165.3430917338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0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0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-0.14577047229865414</v>
      </c>
      <c r="N933" s="1">
        <f t="shared" si="60"/>
        <v>0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 s="1">
        <v>4.7899999999999999E-5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-4.0552320064544685E-2</v>
      </c>
      <c r="N935" s="1">
        <f t="shared" si="60"/>
        <v>0.2174295743946188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 s="1">
        <v>-3.9900000000000001E-5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-9.9435330083106604E-3</v>
      </c>
      <c r="N936" s="1">
        <f t="shared" si="60"/>
        <v>-8.4379046366185845E-2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-8.8231044967914004E-4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0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0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0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-3.441262284474924E-2</v>
      </c>
      <c r="N939" s="1">
        <f t="shared" si="60"/>
        <v>0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-3.8000000000000002E-5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-0.10705867879843141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0</v>
      </c>
      <c r="F941">
        <v>780317.56030000001</v>
      </c>
      <c r="G941" s="1">
        <v>3.3399999999999999E-5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</v>
      </c>
      <c r="N941" s="1">
        <f t="shared" si="60"/>
        <v>0.1599572507774957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-3.7299999999999999E-5</v>
      </c>
      <c r="F942">
        <v>890798.45460000006</v>
      </c>
      <c r="G942" s="1">
        <v>3.1700000000000001E-6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-0.19786896646914481</v>
      </c>
      <c r="N942" s="1">
        <f t="shared" si="60"/>
        <v>7.8681348375597426E-3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723.46585330000005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1932456.3883948252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 s="1">
        <v>-4.6999999999999997E-5</v>
      </c>
      <c r="F944">
        <v>885090.15419999999</v>
      </c>
      <c r="G944" s="1">
        <v>-4.6799999999999999E-5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-0.67690698850597697</v>
      </c>
      <c r="N944" s="1">
        <f t="shared" si="60"/>
        <v>-0.31537021279837318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2.5900000000000002E-6</v>
      </c>
      <c r="F945">
        <v>864960.78139999998</v>
      </c>
      <c r="G945">
        <v>0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2.5376211455759544E-2</v>
      </c>
      <c r="N945" s="1">
        <f t="shared" si="60"/>
        <v>0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-9.4508142538414594E-2</v>
      </c>
      <c r="N946" s="1">
        <f t="shared" si="60"/>
        <v>13457677.861995641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-0.10803763912125748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-3.8617523663524625E-2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-9.119703032033355E-3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 s="1">
        <v>3.9499999999999998E-5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0.27395123833439416</v>
      </c>
      <c r="N950" s="1">
        <f t="shared" si="60"/>
        <v>0.15158896050778364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0.25870073570147167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0.40746793488031618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0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0.15925744879495488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-7.7611284261865201E-3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2403.9400679999999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0.11332177496198784</v>
      </c>
      <c r="N956" s="1">
        <f t="shared" si="60"/>
        <v>6040852.4395878464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 s="1">
        <v>-1.6699999999999999E-5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3.5430691759326234E-2</v>
      </c>
      <c r="N957" s="1">
        <f t="shared" si="60"/>
        <v>-1.4494605971188892E-2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2.8730018684880697E-3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6.6219554520501461E-2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-8.0434949394537991E-2</v>
      </c>
      <c r="N960" s="1">
        <f t="shared" si="60"/>
        <v>0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-4.70083941348362E-2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8.3690895503766502E-2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 s="1">
        <v>2.8799999999999999E-5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0.11352486608253352</v>
      </c>
      <c r="N963" s="1">
        <f t="shared" ref="N963:N1026" si="64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-4.8599572002266875E-2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 s="1">
        <v>9.6600000000000007E-6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0.35604501888214229</v>
      </c>
      <c r="N965" s="1">
        <f t="shared" si="64"/>
        <v>4.6510351329075737E-2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0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8.4337239267410907E-3</v>
      </c>
      <c r="N966" s="1">
        <f t="shared" si="64"/>
        <v>0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>
        <v>2403.9397180000001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17651396.752854239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-1.9729E-4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-5.7737104834680315E-2</v>
      </c>
      <c r="N968" s="1">
        <f t="shared" si="64"/>
        <v>-0.20819188075348985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1178.016756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2.3137834201166659E-2</v>
      </c>
      <c r="N969" s="1">
        <f t="shared" si="64"/>
        <v>419511.88306154456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 s="1">
        <v>-4.0800000000000002E-5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0.34353240798765811</v>
      </c>
      <c r="N970" s="1">
        <f t="shared" si="64"/>
        <v>-0.13864697995242531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-3.1306077304798771E-2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 s="1">
        <v>1.9700000000000001E-5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0.17685204064112561</v>
      </c>
      <c r="N972" s="1">
        <f t="shared" si="64"/>
        <v>4.2561919474965598E-2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 s="1">
        <v>-8.9500000000000007E-6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0.20589761630552042</v>
      </c>
      <c r="N973" s="1">
        <f t="shared" si="64"/>
        <v>-4.0290648616417221E-2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0.45972204312524223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 s="1">
        <v>4.8300000000000002E-5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0.16165291003914123</v>
      </c>
      <c r="N975" s="1">
        <f t="shared" si="64"/>
        <v>0.11345364787150737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 s="1">
        <v>-3.5800000000000003E-5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3.2611568618192796E-2</v>
      </c>
      <c r="N976" s="1">
        <f t="shared" si="64"/>
        <v>-0.23545635077149801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 s="1">
        <v>-1.52E-5</v>
      </c>
      <c r="F978">
        <v>1387757.9210000001</v>
      </c>
      <c r="G978">
        <v>2199.3038029999998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-6.7438544972093593E-3</v>
      </c>
      <c r="N978" s="1">
        <f t="shared" si="64"/>
        <v>456555.42429511773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4.1356890274462876E-2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0.41038665303567412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-1.9311976927189722E-2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 s="1">
        <v>-2.6999999999999999E-5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0.11130363419583879</v>
      </c>
      <c r="N984" s="1">
        <f t="shared" si="64"/>
        <v>-3.0768093527326203E-2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 s="1">
        <v>3.1399999999999998E-5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0.20235278937985335</v>
      </c>
      <c r="N985" s="1">
        <f t="shared" si="64"/>
        <v>0.14023184910546005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-2.3345119949877601E-2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 s="1">
        <v>4.5000000000000003E-5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-0.22244078150999649</v>
      </c>
      <c r="N987" s="1">
        <f t="shared" si="64"/>
        <v>0.11738097389470051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 s="1">
        <v>4.4199999999999997E-5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7.5025275964392998E-2</v>
      </c>
      <c r="N989" s="1">
        <f t="shared" si="64"/>
        <v>7.7968732229466001E-2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3.1300000000000002E-5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8.3349895462062742E-2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-9.099639156087945E-2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2403.9396879999999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-3.6174345686931272E-2</v>
      </c>
      <c r="N992" s="1">
        <f t="shared" si="64"/>
        <v>1027478.5028024585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-5.3927738951913447E-2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0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3.2304657207640641E-2</v>
      </c>
      <c r="N994" s="1">
        <f t="shared" si="64"/>
        <v>0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 s="1">
        <v>-2.7100000000000001E-5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-1.4619191166925449E-2</v>
      </c>
      <c r="N995" s="1">
        <f t="shared" si="64"/>
        <v>-1.5577198451782952E-2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2403.9396879999999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0.1965104719049087</v>
      </c>
      <c r="N997" s="1">
        <f t="shared" si="64"/>
        <v>5000698.5446699262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0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0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 s="1">
        <v>4.6400000000000003E-5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-0.18158245043278257</v>
      </c>
      <c r="N999" s="1">
        <f t="shared" si="64"/>
        <v>0.11838353326835185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0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0.14436720518661869</v>
      </c>
      <c r="N1000" s="1">
        <f t="shared" si="64"/>
        <v>0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0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-5.3496823011477297E-2</v>
      </c>
      <c r="N1001" s="1">
        <f t="shared" si="64"/>
        <v>0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-6.9601982129940893E-3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1.6200000000000001E-5</v>
      </c>
      <c r="F1003">
        <v>1325242.1499999999</v>
      </c>
      <c r="G1003">
        <v>0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3.9541577687507705E-2</v>
      </c>
      <c r="N1003" s="1">
        <f t="shared" si="64"/>
        <v>0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0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-0.1559901286543271</v>
      </c>
      <c r="N1004" s="1">
        <f t="shared" si="64"/>
        <v>0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3925.9695780000002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3.3468285022954077E-2</v>
      </c>
      <c r="N1005" s="1">
        <f t="shared" si="64"/>
        <v>2056140.9316147061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-2.0118407641573598E-2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5.2939958795970923E-2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-2.0299106369703001E-3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-6.2510781304875758E-3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4.7610026660867199E-3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0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-7.7707607935564069E-2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-1.4378859081958092E-2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3.8931523853130298E-2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-0.32968586636656871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3.4711289489131993E-3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 s="1">
        <v>2.9899999999999998E-5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0.58793806618830036</v>
      </c>
      <c r="N1052" s="1">
        <f t="shared" si="68"/>
        <v>0.20511719717461832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4.6588667309668749E-2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 s="1">
        <v>-3.7500000000000001E-6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8.8279907519445519E-2</v>
      </c>
      <c r="N1054" s="1">
        <f t="shared" si="68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 s="1">
        <v>-3.6699999999999998E-5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-0.41401906583253545</v>
      </c>
      <c r="N1055" s="1">
        <f t="shared" si="68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-0.19467470513387508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 s="1">
        <v>-3.1900000000000003E-5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9.1372460935278371E-2</v>
      </c>
      <c r="N1058" s="1">
        <f t="shared" si="68"/>
        <v>-0.40468749270575344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>
        <v>723.46588750000001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-0.2032488028619632</v>
      </c>
      <c r="N1059" s="1">
        <f t="shared" si="68"/>
        <v>5548403.6348312972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723.46592869999995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7480794.8744345587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 s="1">
        <v>8.8000000000000004E-6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0.50669313574682084</v>
      </c>
      <c r="N1061" s="1">
        <f t="shared" si="68"/>
        <v>7.0482233859153615E-2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0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-0.51187065657527653</v>
      </c>
      <c r="N1062" s="1">
        <f t="shared" si="68"/>
        <v>0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723.46586139999999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-0.18870691708638851</v>
      </c>
      <c r="N1064" s="1">
        <f t="shared" si="68"/>
        <v>3608911.8480403069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-0.1239624309262293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-7.4000503856621574E-2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9.8702885838752655E-2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0.75932591569046726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1.3906267656240761E-2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0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-5.6320996663851319E-2</v>
      </c>
      <c r="N1080" s="1">
        <f t="shared" si="68"/>
        <v>0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-2.2235668171256399E-3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3.4544357510844594E-2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0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3.3105099976640439E-3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-2.2363445227297019E-3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0.21027623536232015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2.3350036469194E-3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 s="1">
        <v>3.3099999999999998E-5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0.10980368890357627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1.2300000000000001E-5</v>
      </c>
      <c r="F1097">
        <v>830617.76500000001</v>
      </c>
      <c r="G1097">
        <v>830.83360249999998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5.259329561183862E-2</v>
      </c>
      <c r="N1097" s="1">
        <f t="shared" si="72"/>
        <v>1662198.9559835142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 s="1">
        <v>-3.1699999999999998E-5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-0.1788198304948983</v>
      </c>
      <c r="N1098" s="1">
        <f t="shared" si="72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1178.016314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8.41166889282839E-3</v>
      </c>
      <c r="N1099" s="1">
        <f t="shared" si="72"/>
        <v>1170797.9852878004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 s="1">
        <v>-4.9499999999999997E-5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-0.34529322713079436</v>
      </c>
      <c r="N1100" s="1">
        <f t="shared" si="72"/>
        <v>-0.18384324620725304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 s="1">
        <v>-4.35E-5</v>
      </c>
      <c r="F1101">
        <v>1266958.1669999999</v>
      </c>
      <c r="G1101">
        <v>4483.7424119999996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-1.9285551623390001E-2</v>
      </c>
      <c r="M1101" s="1">
        <f t="shared" si="71"/>
        <v>-5.7656017038022499E-2</v>
      </c>
      <c r="N1101" s="1">
        <f t="shared" si="72"/>
        <v>2780607.6503045834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 s="1">
        <v>3.7100000000000001E-5</v>
      </c>
      <c r="F1102">
        <v>1338934.3</v>
      </c>
      <c r="G1102">
        <v>10040.697480000001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-8.7872180606671499E-2</v>
      </c>
      <c r="M1102" s="1">
        <f t="shared" si="71"/>
        <v>3.7702526382527204E-2</v>
      </c>
      <c r="N1102" s="1">
        <f t="shared" si="72"/>
        <v>4774238.4192419192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 s="1">
        <v>1.6900000000000001E-5</v>
      </c>
      <c r="F1103">
        <v>1142420.5009999999</v>
      </c>
      <c r="G1103">
        <v>8355.9590960000005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0.10570846663970984</v>
      </c>
      <c r="N1103" s="1">
        <f t="shared" si="72"/>
        <v>24454740.128362793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2.7399999999999999E-5</v>
      </c>
      <c r="F1104">
        <v>1064046.8740000001</v>
      </c>
      <c r="G1104">
        <v>8058.2529979999999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0.27940522075216812</v>
      </c>
      <c r="N1104" s="1">
        <f t="shared" si="72"/>
        <v>38447537.617000453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 s="1">
        <v>5.9599999999999997E-6</v>
      </c>
      <c r="F1105">
        <v>1121986.2690000001</v>
      </c>
      <c r="G1105">
        <v>8586.1276089999992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1.9165513364347665E-2</v>
      </c>
      <c r="N1105" s="1">
        <f t="shared" si="72"/>
        <v>12918592.93663026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-3.7400000000000001E-5</v>
      </c>
      <c r="F1106">
        <v>1115925.9839999999</v>
      </c>
      <c r="G1106">
        <v>9451.7704240000003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-0.17339254851139121</v>
      </c>
      <c r="N1106" s="1">
        <f t="shared" si="72"/>
        <v>20502917.786846787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 s="1">
        <v>9.8700000000000004E-6</v>
      </c>
      <c r="F1107">
        <v>1252113.926</v>
      </c>
      <c r="G1107">
        <v>3900.5243129999999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8.9613154634178502E-3</v>
      </c>
      <c r="N1107" s="1">
        <f t="shared" si="72"/>
        <v>1656995.3160980204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 s="1">
        <v>4.9799999999999998E-5</v>
      </c>
      <c r="F1108">
        <v>1227221.128</v>
      </c>
      <c r="G1108">
        <v>2199.3038029999998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3.88723432309383E-2</v>
      </c>
      <c r="N1108" s="1">
        <f t="shared" si="72"/>
        <v>803230.6671208723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 s="1">
        <v>1.73E-5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-0.22289571604849917</v>
      </c>
      <c r="N1109" s="1">
        <f t="shared" si="72"/>
        <v>6.5134597512532991E-2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2.1429020883976059E-2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>
        <v>4649.4354670000002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2.4762407258422908E-2</v>
      </c>
      <c r="N1111" s="1">
        <f t="shared" si="72"/>
        <v>16626152.288866509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 s="1">
        <v>-1.3900000000000001E-5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-0.34049768856017282</v>
      </c>
      <c r="N1112" s="1">
        <f t="shared" si="72"/>
        <v>-7.7974806635323218E-2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 s="1">
        <v>3.65E-5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0.33558632064828281</v>
      </c>
      <c r="N1113" s="1">
        <f t="shared" si="72"/>
        <v>0.11744133250992227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-3.2199999999999997E-5</v>
      </c>
      <c r="F1114">
        <v>839123.76269999996</v>
      </c>
      <c r="G1114" s="1">
        <v>3.1600000000000002E-5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-9.1248862055428689E-2</v>
      </c>
      <c r="N1114" s="1">
        <f t="shared" si="72"/>
        <v>4.1898873465305408E-2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2.79E-6</v>
      </c>
      <c r="F1115">
        <v>879176.70860000001</v>
      </c>
      <c r="G1115" s="1">
        <v>5.9200000000000001E-6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7.8332668736666757E-3</v>
      </c>
      <c r="N1115" s="1">
        <f t="shared" si="72"/>
        <v>7.7768568429102724E-3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0</v>
      </c>
      <c r="F1116">
        <v>991880.97420000006</v>
      </c>
      <c r="G1116">
        <v>8003.4923710000003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0</v>
      </c>
      <c r="N1116" s="1">
        <f t="shared" si="72"/>
        <v>22680360.20396325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3.79E-5</v>
      </c>
      <c r="F1117">
        <v>860512.82609999995</v>
      </c>
      <c r="G1117" s="1">
        <v>-9.7000000000000003E-6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7.6595528362651072E-2</v>
      </c>
      <c r="N1117" s="1">
        <f t="shared" si="72"/>
        <v>-9.1723288908531608E-3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 s="1">
        <v>2.2399999999999999E-5</v>
      </c>
      <c r="F1118">
        <v>777270.67249999999</v>
      </c>
      <c r="G1118">
        <v>6940.3854709999996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0.22275353666284767</v>
      </c>
      <c r="N1118" s="1">
        <f t="shared" si="72"/>
        <v>32292662.959904727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-2.3499999999999999E-5</v>
      </c>
      <c r="F1119">
        <v>822168.95030000003</v>
      </c>
      <c r="G1119">
        <v>723.46592299999998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-0.13867822175281022</v>
      </c>
      <c r="N1119" s="1">
        <f t="shared" si="72"/>
        <v>1997570.7018232178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-3.1600000000000002E-5</v>
      </c>
      <c r="F1120">
        <v>968225.46219999995</v>
      </c>
      <c r="G1120">
        <v>8038.1691819999996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-4.7537987614952121E-2</v>
      </c>
      <c r="N1120" s="1">
        <f t="shared" si="72"/>
        <v>5657890.4128617747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 s="1">
        <v>-4.5000000000000001E-6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-4.7475291240440171E-2</v>
      </c>
      <c r="N1121" s="1">
        <f t="shared" si="72"/>
        <v>-1.9951984727208001E-2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0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6.5322588900247605E-3</v>
      </c>
      <c r="N1122" s="1">
        <f t="shared" si="72"/>
        <v>0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1.33E-5</v>
      </c>
      <c r="F1123">
        <v>796029.72690000001</v>
      </c>
      <c r="G1123" s="1">
        <v>4.2400000000000001E-5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0.10012935971673557</v>
      </c>
      <c r="N1123" s="1">
        <f t="shared" si="72"/>
        <v>0.14935485097017936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>
        <v>723.46584780000001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7.8405701728248053E-2</v>
      </c>
      <c r="N1124" s="1">
        <f t="shared" si="72"/>
        <v>2348718.2115224702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-0.18087503258391632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4.5800000000000002E-5</v>
      </c>
      <c r="F1126">
        <v>870536.10719999997</v>
      </c>
      <c r="G1126" s="1">
        <v>2.2799999999999999E-5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0.39133490681524769</v>
      </c>
      <c r="N1126" s="1">
        <f t="shared" si="72"/>
        <v>9.1151041553777887E-2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9127.0918610000008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-8.7658988754523201E-2</v>
      </c>
      <c r="N1127" s="1">
        <f t="shared" si="72"/>
        <v>11108173.51783134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 s="1">
        <v>7.0700000000000001E-6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-3.3663000746128858E-3</v>
      </c>
      <c r="N1128" s="1">
        <f t="shared" si="72"/>
        <v>1.374772701215504E-2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 s="1">
        <v>1.6999999999999999E-7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-0.39763061347333051</v>
      </c>
      <c r="N1129" s="1">
        <f t="shared" si="72"/>
        <v>8.5945787265999602E-4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 s="1">
        <v>-4.6799999999999999E-5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0.33259145646031141</v>
      </c>
      <c r="N1130" s="1">
        <f t="shared" si="72"/>
        <v>-0.16292701358279893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10751.829680000001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3.8594746098752901E-2</v>
      </c>
      <c r="N1131" s="1">
        <f t="shared" si="72"/>
        <v>13390174.607041074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 s="1">
        <v>2.4600000000000002E-5</v>
      </c>
      <c r="F1132">
        <v>1144468.5460000001</v>
      </c>
      <c r="G1132">
        <v>10601.865900000001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1.5686169216120021E-2</v>
      </c>
      <c r="N1132" s="1">
        <f t="shared" si="72"/>
        <v>3163062.500266518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 s="1">
        <v>-1.4600000000000001E-5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-2.0197932042486006E-2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-2.0400000000000001E-5</v>
      </c>
      <c r="F1134">
        <v>1015590.349</v>
      </c>
      <c r="G1134">
        <v>7395.0163240000002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-8.8431050161711558E-2</v>
      </c>
      <c r="N1134" s="1">
        <f t="shared" si="72"/>
        <v>14998831.639777979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 s="1">
        <v>-2.8900000000000001E-5</v>
      </c>
      <c r="F1135">
        <v>881380.74380000005</v>
      </c>
      <c r="G1135">
        <v>6687.0159800000001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-0.17680993520331073</v>
      </c>
      <c r="N1135" s="1">
        <f t="shared" si="72"/>
        <v>19141891.99342639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 s="1">
        <v>-2.2900000000000001E-5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0.25008250759070649</v>
      </c>
      <c r="N1136" s="1">
        <f t="shared" si="72"/>
        <v>-6.3951163892883037E-2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4.2599999999999999E-5</v>
      </c>
      <c r="F1137">
        <v>1076810.389</v>
      </c>
      <c r="G1137">
        <v>8640.8436500000007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0.13244812834488989</v>
      </c>
      <c r="N1137" s="1">
        <f t="shared" si="72"/>
        <v>12570022.398873601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 s="1">
        <v>4.0399999999999999E-5</v>
      </c>
      <c r="F1138">
        <v>1056097.8770000001</v>
      </c>
      <c r="G1138">
        <v>8586.1276089999992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0.10231167343871382</v>
      </c>
      <c r="N1138" s="1">
        <f t="shared" si="72"/>
        <v>10173838.515258374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830.83353399999999</v>
      </c>
      <c r="F1139">
        <v>1337335.9539999999</v>
      </c>
      <c r="G1139">
        <v>14475.719150000001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724498.14709219255</v>
      </c>
      <c r="N1139" s="1">
        <f t="shared" si="72"/>
        <v>5906185.576377633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3925.9695400000001</v>
      </c>
      <c r="F1140">
        <v>1174570.3049999999</v>
      </c>
      <c r="G1140">
        <v>10650.226350000001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3347838.3582323287</v>
      </c>
      <c r="N1140" s="1">
        <f t="shared" si="72"/>
        <v>4249326.2035164833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13753.019270000001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9918999.3155746348</v>
      </c>
      <c r="N1141" s="1">
        <f t="shared" si="72"/>
        <v>9196572.4687473644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0.10521535698911536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 s="1">
        <v>-2.09E-5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7.9395037794568E-3</v>
      </c>
      <c r="N1144" s="1">
        <f t="shared" si="72"/>
        <v>-9.7049507781227118E-2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2403.9397300000001</v>
      </c>
      <c r="F1145">
        <v>1077350.463</v>
      </c>
      <c r="G1145">
        <v>8686.3678450000007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20280952.871026289</v>
      </c>
      <c r="N1145" s="1">
        <f t="shared" si="72"/>
        <v>34288357.004717529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>
        <v>723.46585640000001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5.0277690119834788E-2</v>
      </c>
      <c r="N1146" s="1">
        <f t="shared" si="72"/>
        <v>2626407.009794944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3.5759851233265444E-2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2.9099999999999999E-5</v>
      </c>
      <c r="F1148">
        <v>963410.88219999999</v>
      </c>
      <c r="G1148">
        <v>7227.8738439999997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0.18423557506975968</v>
      </c>
      <c r="N1148" s="1">
        <f t="shared" si="72"/>
        <v>21410891.327983778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 s="1">
        <v>-4.9200000000000003E-5</v>
      </c>
      <c r="F1149">
        <v>981907.60789999994</v>
      </c>
      <c r="G1149">
        <v>7789.9707790000002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-0.29472336083446393</v>
      </c>
      <c r="N1149" s="1">
        <f t="shared" si="72"/>
        <v>21833781.757336933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-1.0499999999999999E-5</v>
      </c>
      <c r="F1150">
        <v>886451.59169999999</v>
      </c>
      <c r="G1150">
        <v>8686.1025300000001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-7.0186528543944748E-2</v>
      </c>
      <c r="N1150" s="1">
        <f t="shared" si="72"/>
        <v>27166462.68329512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 s="1">
        <v>-2.37E-5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-0.51132093684851154</v>
      </c>
      <c r="N1151" s="1">
        <f t="shared" si="72"/>
        <v>-0.17500102400294371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 s="1">
        <v>2.2800000000000002E-6</v>
      </c>
      <c r="F1152">
        <v>1068878.2169999999</v>
      </c>
      <c r="G1152">
        <v>10563.975259999999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-0.16222318973075411</v>
      </c>
      <c r="M1152" s="1">
        <f t="shared" si="71"/>
        <v>1.7926059187144069E-2</v>
      </c>
      <c r="N1152" s="1">
        <f t="shared" si="72"/>
        <v>38861631.795737036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 s="1">
        <v>-6.8199999999999999E-6</v>
      </c>
      <c r="F1153">
        <v>1040347.374</v>
      </c>
      <c r="G1153">
        <v>12142.176659999999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-8.5407548352724003E-2</v>
      </c>
      <c r="M1153" s="1">
        <f t="shared" si="71"/>
        <v>-1.8784101566404723E-2</v>
      </c>
      <c r="N1153" s="1">
        <f t="shared" si="72"/>
        <v>15647547.500002842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2.73E-5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5.345679449166147E-2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 s="1">
        <v>-4.2899999999999999E-5</v>
      </c>
      <c r="F1155">
        <v>902760.99230000004</v>
      </c>
      <c r="G1155">
        <v>9213.3267790000009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-0.43997849305361092</v>
      </c>
      <c r="N1155" s="1">
        <f t="shared" ref="N1155:N1218" si="76">$U$4*$K1155*G1155</f>
        <v>44211404.21376358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 s="1">
        <v>3.4700000000000003E-5</v>
      </c>
      <c r="F1156">
        <v>1008634.988</v>
      </c>
      <c r="G1156">
        <v>9658.9035839999997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0.16698904768733797</v>
      </c>
      <c r="N1156" s="1">
        <f t="shared" si="76"/>
        <v>21748535.724557746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-2.0299999999999999E-5</v>
      </c>
      <c r="F1157">
        <v>926311.81980000006</v>
      </c>
      <c r="G1157">
        <v>8038.1691700000001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-8.7667722583204946E-2</v>
      </c>
      <c r="N1157" s="1">
        <f t="shared" si="76"/>
        <v>16242187.024221078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4.6400000000000003E-5</v>
      </c>
      <c r="F1158">
        <v>1078270.976</v>
      </c>
      <c r="G1158">
        <v>9616.3237669999999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0.1522797226272154</v>
      </c>
      <c r="N1158" s="1">
        <f t="shared" si="76"/>
        <v>14766475.583783852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4.4400000000000002E-5</v>
      </c>
      <c r="F1159">
        <v>948456.81140000001</v>
      </c>
      <c r="G1159">
        <v>8854.4097689999999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9.3692031074037951E-2</v>
      </c>
      <c r="N1159" s="1">
        <f t="shared" si="76"/>
        <v>8742245.1021138281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 s="1">
        <v>3.3899999999999997E-5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1.7191816367299554E-2</v>
      </c>
      <c r="N1160" s="1">
        <f t="shared" si="76"/>
        <v>5.587857444244284E-2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9658.9035839999997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1.98659899903725E-2</v>
      </c>
      <c r="N1161" s="1">
        <f t="shared" si="76"/>
        <v>5868002.5051289629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-2.48E-5</v>
      </c>
      <c r="F1162">
        <v>946225.47600000002</v>
      </c>
      <c r="G1162">
        <v>8355.9590779999999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-6.8381738238372874E-2</v>
      </c>
      <c r="N1162" s="1">
        <f t="shared" si="76"/>
        <v>10780240.206614358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8191.1731360000003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3.4760603689437196E-2</v>
      </c>
      <c r="N1163" s="1">
        <f t="shared" si="76"/>
        <v>4049311.5863291835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2403.9397290000002</v>
      </c>
      <c r="F1164">
        <v>1053737.2139999999</v>
      </c>
      <c r="G1164">
        <v>9658.9035839999997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4626121.0359906536</v>
      </c>
      <c r="N1164" s="1">
        <f t="shared" si="76"/>
        <v>8696908.9913780633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-4.4499999999999997E-5</v>
      </c>
      <c r="F1165">
        <v>1159791.1299999999</v>
      </c>
      <c r="G1165">
        <v>5332.0403050000004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-0.18107681574894569</v>
      </c>
      <c r="N1165" s="1">
        <f t="shared" si="76"/>
        <v>10151727.218554026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1.34E-5</v>
      </c>
      <c r="F1166">
        <v>1114619.8459999999</v>
      </c>
      <c r="G1166">
        <v>10936.404689999999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1.6945055645656459E-2</v>
      </c>
      <c r="N1166" s="1">
        <f t="shared" si="76"/>
        <v>6470777.2749615796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 s="1">
        <v>4.5099999999999998E-5</v>
      </c>
      <c r="F1167">
        <v>1082876.497</v>
      </c>
      <c r="G1167">
        <v>11108.01564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8.438157737160272E-2</v>
      </c>
      <c r="N1167" s="1">
        <f t="shared" si="76"/>
        <v>9724141.2436691746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 s="1">
        <v>4.5599999999999997E-5</v>
      </c>
      <c r="F1168">
        <v>1231100.067</v>
      </c>
      <c r="G1168">
        <v>13055.00936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0.21446870497520709</v>
      </c>
      <c r="N1168" s="1">
        <f t="shared" si="76"/>
        <v>28728963.160872124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 s="1">
        <v>1.17E-5</v>
      </c>
      <c r="F1169">
        <v>1238182.557</v>
      </c>
      <c r="G1169">
        <v>13055.00936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5.1794573112351805E-2</v>
      </c>
      <c r="N1169" s="1">
        <f t="shared" si="76"/>
        <v>27040782.933997352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984.77788580000004</v>
      </c>
      <c r="F1170">
        <v>1246894.149</v>
      </c>
      <c r="G1170">
        <v>16403.184440000001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2794898.9301193124</v>
      </c>
      <c r="N1170" s="1">
        <f t="shared" si="76"/>
        <v>21782095.92542794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984.77783250000005</v>
      </c>
      <c r="F1171">
        <v>1228771.6089999999</v>
      </c>
      <c r="G1171">
        <v>16452.493740000002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5920874.4482536828</v>
      </c>
      <c r="N1171" s="1">
        <f t="shared" si="76"/>
        <v>46283159.73054675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3.0599999999999998E-5</v>
      </c>
      <c r="F1172">
        <v>835523.58790000004</v>
      </c>
      <c r="G1172">
        <v>1698.7902959999999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0.30613431850969247</v>
      </c>
      <c r="N1172" s="1">
        <f t="shared" si="76"/>
        <v>7951957.3326733755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0</v>
      </c>
      <c r="F1173">
        <v>812611.6152</v>
      </c>
      <c r="G1173">
        <v>2255.4288200000001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0</v>
      </c>
      <c r="N1173" s="1">
        <f t="shared" si="76"/>
        <v>7913046.9076446611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 s="1">
        <v>-2.6999999999999999E-5</v>
      </c>
      <c r="F1174">
        <v>758196.98910000001</v>
      </c>
      <c r="G1174">
        <v>0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-0.20408158590231781</v>
      </c>
      <c r="N1174" s="1">
        <f t="shared" si="76"/>
        <v>0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8834.3259859999998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4.6895988577602049E-2</v>
      </c>
      <c r="N1175" s="1">
        <f t="shared" si="76"/>
        <v>14797266.599232242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-4.0299999999999997E-5</v>
      </c>
      <c r="F1176">
        <v>1019127.36</v>
      </c>
      <c r="G1176">
        <v>9658.9035839999997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-2.2661804020961209E-2</v>
      </c>
      <c r="N1176" s="1">
        <f t="shared" si="76"/>
        <v>2541329.2926847632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2.5299999999999998E-5</v>
      </c>
      <c r="F1177">
        <v>1015212.3419999999</v>
      </c>
      <c r="G1177">
        <v>9658.9035839999997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7.6101041331043409E-2</v>
      </c>
      <c r="N1177" s="1">
        <f t="shared" si="76"/>
        <v>13593822.266303774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6940.3855210000002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9108302.640069114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1.8600000000000001E-5</v>
      </c>
      <c r="F1179">
        <v>938302.85739999998</v>
      </c>
      <c r="G1179">
        <v>8038.1691739999997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6.3578005159361892E-2</v>
      </c>
      <c r="N1179" s="1">
        <f t="shared" si="76"/>
        <v>12855671.70861013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1.1600000000000001E-5</v>
      </c>
      <c r="F1180">
        <v>819871.09620000003</v>
      </c>
      <c r="G1180">
        <v>1734.6548459999999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3.0819199113058245E-2</v>
      </c>
      <c r="N1180" s="1">
        <f t="shared" si="76"/>
        <v>2156354.2610381008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9.0799999999999995E-6</v>
      </c>
      <c r="F1181">
        <v>795773.66830000002</v>
      </c>
      <c r="G1181" s="1">
        <v>-4.5899999999999998E-5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2.3161562094672072E-2</v>
      </c>
      <c r="N1181" s="1">
        <f t="shared" si="76"/>
        <v>-5.4782060287169969E-2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-0.27353475017122053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-1.38E-5</v>
      </c>
      <c r="F1183">
        <v>792956.56299999997</v>
      </c>
      <c r="G1183" s="1">
        <v>4.5200000000000001E-5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-7.6590336145287957E-2</v>
      </c>
      <c r="N1183" s="1">
        <f t="shared" si="76"/>
        <v>0.11737537753099177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4.5599999999999997E-5</v>
      </c>
      <c r="F1184">
        <v>806057.06480000005</v>
      </c>
      <c r="G1184">
        <v>984.77784910000003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0.16839160530150454</v>
      </c>
      <c r="N1184" s="1">
        <f t="shared" si="76"/>
        <v>1701521.9029939047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 s="1">
        <v>8.2800000000000003E-6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-1.823330475142378E-2</v>
      </c>
      <c r="N1185" s="1">
        <f t="shared" si="76"/>
        <v>2.435798775840315E-2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0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0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-2.8286698114099229E-2</v>
      </c>
      <c r="N1187" s="1">
        <f t="shared" si="76"/>
        <v>3.8008379117321758E-2</v>
      </c>
      <c r="O1187" s="1"/>
    </row>
    <row r="1188" spans="1:15" x14ac:dyDescent="0.25">
      <c r="A1188">
        <v>1940</v>
      </c>
      <c r="B1188">
        <v>400095.93150000001</v>
      </c>
      <c r="C1188">
        <v>0</v>
      </c>
      <c r="D1188">
        <v>738755.72620000003</v>
      </c>
      <c r="E1188" s="1">
        <v>2.7800000000000001E-5</v>
      </c>
      <c r="F1188">
        <v>1229026.149</v>
      </c>
      <c r="G1188">
        <v>14005.443929999999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0</v>
      </c>
      <c r="M1188" s="1">
        <f t="shared" si="75"/>
        <v>4.6002483909033082E-2</v>
      </c>
      <c r="N1188" s="1">
        <f t="shared" si="76"/>
        <v>10843688.753370469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3925.9695969999998</v>
      </c>
      <c r="F1189">
        <v>1160795.0619999999</v>
      </c>
      <c r="G1189">
        <v>12133.94462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18640604.527781978</v>
      </c>
      <c r="N1189" s="1">
        <f t="shared" si="76"/>
        <v>26956204.800482608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 s="1">
        <v>3.3699999999999999E-5</v>
      </c>
      <c r="F1190">
        <v>930250.10629999998</v>
      </c>
      <c r="G1190">
        <v>8917.8740409999991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0.19946225685130306</v>
      </c>
      <c r="N1190" s="1">
        <f t="shared" si="76"/>
        <v>24696524.490025047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984.77782049999996</v>
      </c>
      <c r="F1191">
        <v>1205344.74</v>
      </c>
      <c r="G1191">
        <v>15685.27232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-5.2390123189914255E-2</v>
      </c>
      <c r="M1191" s="1">
        <f t="shared" si="75"/>
        <v>1713205.4272795853</v>
      </c>
      <c r="N1191" s="1">
        <f t="shared" si="76"/>
        <v>12767531.090546766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0</v>
      </c>
      <c r="F1192">
        <v>859946.40350000001</v>
      </c>
      <c r="G1192">
        <v>8889.0865470000008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0</v>
      </c>
      <c r="N1192" s="1">
        <f t="shared" si="76"/>
        <v>17606053.407974813</v>
      </c>
      <c r="O1192" s="1"/>
    </row>
    <row r="1193" spans="1:15" x14ac:dyDescent="0.25">
      <c r="A1193">
        <v>1945</v>
      </c>
      <c r="B1193">
        <v>519230.30839999998</v>
      </c>
      <c r="C1193" s="1">
        <v>1.8199999999999999E-5</v>
      </c>
      <c r="D1193">
        <v>913221.14599999995</v>
      </c>
      <c r="E1193">
        <v>8731.5477719999999</v>
      </c>
      <c r="F1193">
        <v>1345850.9709999999</v>
      </c>
      <c r="G1193">
        <v>4294.6558359999999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0.1802933314873145</v>
      </c>
      <c r="M1193" s="1">
        <f t="shared" si="75"/>
        <v>29009660.560801774</v>
      </c>
      <c r="N1193" s="1">
        <f t="shared" si="76"/>
        <v>6676109.5894265035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 s="1">
        <v>-1.8600000000000001E-5</v>
      </c>
      <c r="F1194">
        <v>1121695.422</v>
      </c>
      <c r="G1194">
        <v>15490.16151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-4.5169456706463607E-2</v>
      </c>
      <c r="N1194" s="1">
        <f t="shared" si="76"/>
        <v>17600765.100525681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8698.9034429999992</v>
      </c>
      <c r="F1195">
        <v>1425049.8060000001</v>
      </c>
      <c r="G1195">
        <v>5927.316331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-5.0838277784809136E-2</v>
      </c>
      <c r="M1195" s="1">
        <f t="shared" si="75"/>
        <v>9328275.2574306428</v>
      </c>
      <c r="N1195" s="1">
        <f t="shared" si="76"/>
        <v>2973983.9887459115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830.83362069999998</v>
      </c>
      <c r="F1196">
        <v>1335064.415</v>
      </c>
      <c r="G1196">
        <v>5324.3788070000001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-0.14505145596579302</v>
      </c>
      <c r="M1196" s="1">
        <f t="shared" si="75"/>
        <v>1086516.5650882912</v>
      </c>
      <c r="N1196" s="1">
        <f t="shared" si="76"/>
        <v>3257878.7263446543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>
        <v>723.46593410000003</v>
      </c>
      <c r="F1197">
        <v>1210524.4550000001</v>
      </c>
      <c r="G1197">
        <v>11113.931850000001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495156.82601217739</v>
      </c>
      <c r="N1197" s="1">
        <f t="shared" si="76"/>
        <v>3559066.409498774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 s="1">
        <v>-2.41E-5</v>
      </c>
      <c r="F1198">
        <v>1263959.1159999999</v>
      </c>
      <c r="G1198">
        <v>10951.05452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-0.33736372722935026</v>
      </c>
      <c r="M1198" s="1">
        <f t="shared" si="75"/>
        <v>-8.0437556165988661E-2</v>
      </c>
      <c r="N1198" s="1">
        <f t="shared" si="76"/>
        <v>17101785.075371925</v>
      </c>
      <c r="O1198" s="1"/>
    </row>
    <row r="1199" spans="1:15" x14ac:dyDescent="0.25">
      <c r="A1199">
        <v>1951</v>
      </c>
      <c r="B1199">
        <v>573376.3811</v>
      </c>
      <c r="C1199" s="1">
        <v>3.3500000000000001E-5</v>
      </c>
      <c r="D1199">
        <v>1026006.527</v>
      </c>
      <c r="E1199">
        <v>7835.185109</v>
      </c>
      <c r="F1199">
        <v>1441035.5390000001</v>
      </c>
      <c r="G1199">
        <v>3991.5606170000001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9.4273189926103521E-2</v>
      </c>
      <c r="M1199" s="1">
        <f t="shared" si="75"/>
        <v>7394959.3968933104</v>
      </c>
      <c r="N1199" s="1">
        <f t="shared" si="76"/>
        <v>1762677.819476261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830.83357530000001</v>
      </c>
      <c r="F1200">
        <v>1355897.716</v>
      </c>
      <c r="G1200">
        <v>4797.9786320000003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4.662070961325245E-3</v>
      </c>
      <c r="M1200" s="1">
        <f t="shared" si="75"/>
        <v>467295.13478242123</v>
      </c>
      <c r="N1200" s="1">
        <f t="shared" si="76"/>
        <v>1262639.0254771637</v>
      </c>
      <c r="O1200" s="1"/>
    </row>
    <row r="1201" spans="1:15" x14ac:dyDescent="0.25">
      <c r="A1201">
        <v>1953</v>
      </c>
      <c r="B1201">
        <v>510026.8469</v>
      </c>
      <c r="C1201" s="1">
        <v>-2.0999999999999999E-5</v>
      </c>
      <c r="D1201">
        <v>917272.58669999999</v>
      </c>
      <c r="E1201">
        <v>8368.3125849999997</v>
      </c>
      <c r="F1201">
        <v>1375388.037</v>
      </c>
      <c r="G1201">
        <v>4729.6137010000002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-3.1029431521451996E-2</v>
      </c>
      <c r="M1201" s="1">
        <f t="shared" si="75"/>
        <v>4147014.5159550924</v>
      </c>
      <c r="N1201" s="1">
        <f t="shared" si="76"/>
        <v>1096647.3915550378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984.77788869999995</v>
      </c>
      <c r="F1202">
        <v>1261973.69</v>
      </c>
      <c r="G1202">
        <v>15664.95269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-0.13748039916641874</v>
      </c>
      <c r="M1202" s="1">
        <f t="shared" si="75"/>
        <v>1932210.0998929704</v>
      </c>
      <c r="N1202" s="1">
        <f t="shared" si="76"/>
        <v>14380991.343496894</v>
      </c>
      <c r="O1202" s="1"/>
    </row>
    <row r="1203" spans="1:15" x14ac:dyDescent="0.25">
      <c r="A1203">
        <v>1955</v>
      </c>
      <c r="B1203">
        <v>580875.98620000004</v>
      </c>
      <c r="C1203" s="1">
        <v>3.8800000000000001E-5</v>
      </c>
      <c r="D1203">
        <v>999974.48219999997</v>
      </c>
      <c r="E1203">
        <v>10930.828149999999</v>
      </c>
      <c r="F1203">
        <v>1416672.784</v>
      </c>
      <c r="G1203">
        <v>6370.5679749999999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3.1771730541248107E-2</v>
      </c>
      <c r="M1203" s="1">
        <f t="shared" si="75"/>
        <v>3001963.0925154127</v>
      </c>
      <c r="N1203" s="1">
        <f t="shared" si="76"/>
        <v>818604.47453740146</v>
      </c>
      <c r="O1203" s="1"/>
    </row>
    <row r="1204" spans="1:15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9076.3129700000009</v>
      </c>
      <c r="F1204">
        <v>1327578.591</v>
      </c>
      <c r="G1204">
        <v>4930.8583840000001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-0.10807703363780959</v>
      </c>
      <c r="M1204" s="1">
        <f t="shared" si="75"/>
        <v>9164136.8807449378</v>
      </c>
      <c r="N1204" s="1">
        <f t="shared" si="76"/>
        <v>2329422.7485727891</v>
      </c>
      <c r="O1204" s="1"/>
    </row>
    <row r="1205" spans="1:15" x14ac:dyDescent="0.25">
      <c r="A1205">
        <v>1957</v>
      </c>
      <c r="B1205">
        <v>540194.6237</v>
      </c>
      <c r="C1205" s="1">
        <v>4.8399999999999997E-5</v>
      </c>
      <c r="D1205">
        <v>940906.2463</v>
      </c>
      <c r="E1205">
        <v>8731.5478029999995</v>
      </c>
      <c r="F1205">
        <v>1377150.0560000001</v>
      </c>
      <c r="G1205">
        <v>4294.6558359999999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0.166344713440334</v>
      </c>
      <c r="M1205" s="1">
        <f t="shared" si="75"/>
        <v>10064634.651791913</v>
      </c>
      <c r="N1205" s="1">
        <f t="shared" si="76"/>
        <v>2316214.7496871068</v>
      </c>
      <c r="O1205" s="1"/>
    </row>
    <row r="1206" spans="1:15" x14ac:dyDescent="0.25">
      <c r="A1206">
        <v>1958</v>
      </c>
      <c r="B1206">
        <v>440354.11109999998</v>
      </c>
      <c r="C1206" s="1">
        <v>1.7E-5</v>
      </c>
      <c r="D1206">
        <v>794380.27159999998</v>
      </c>
      <c r="E1206">
        <v>7993.3133930000004</v>
      </c>
      <c r="F1206">
        <v>1246931.5190000001</v>
      </c>
      <c r="G1206">
        <v>13787.27361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0.13628116572021251</v>
      </c>
      <c r="M1206" s="1">
        <f t="shared" si="75"/>
        <v>21491013.451762527</v>
      </c>
      <c r="N1206" s="1">
        <f t="shared" si="76"/>
        <v>17344114.335455287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 s="1">
        <v>4.1899999999999997E-6</v>
      </c>
      <c r="F1207">
        <v>1147216.709</v>
      </c>
      <c r="G1207">
        <v>15956.829299999999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1.2708992613767451E-2</v>
      </c>
      <c r="M1207" s="1">
        <f t="shared" si="75"/>
        <v>7.5039741650080559E-3</v>
      </c>
      <c r="N1207" s="1">
        <f t="shared" si="76"/>
        <v>13371113.783264706</v>
      </c>
      <c r="O1207" s="1"/>
    </row>
    <row r="1208" spans="1:15" x14ac:dyDescent="0.25">
      <c r="A1208">
        <v>1960</v>
      </c>
      <c r="B1208">
        <v>575404.92590000003</v>
      </c>
      <c r="C1208" s="1">
        <v>8.0000000000000002E-8</v>
      </c>
      <c r="D1208">
        <v>992720.52339999995</v>
      </c>
      <c r="E1208">
        <v>13666.872090000001</v>
      </c>
      <c r="F1208">
        <v>1410977.077</v>
      </c>
      <c r="G1208">
        <v>7661.8373670000001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5.2496383863040008E-4</v>
      </c>
      <c r="M1208" s="1">
        <f t="shared" si="75"/>
        <v>30078187.92898621</v>
      </c>
      <c r="N1208" s="1">
        <f t="shared" si="76"/>
        <v>7889675.588932693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 s="1">
        <v>4.0899999999999998E-5</v>
      </c>
      <c r="F1209">
        <v>1301455.496</v>
      </c>
      <c r="G1209">
        <v>9129.4472440000009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5.1209877296933548E-2</v>
      </c>
      <c r="M1209" s="1">
        <f t="shared" si="75"/>
        <v>2.8907724466914773E-2</v>
      </c>
      <c r="N1209" s="1">
        <f t="shared" si="76"/>
        <v>3019108.7725049038</v>
      </c>
      <c r="O1209" s="1"/>
    </row>
    <row r="1210" spans="1:15" x14ac:dyDescent="0.25">
      <c r="A1210">
        <v>1962</v>
      </c>
      <c r="B1210">
        <v>583195.08609999996</v>
      </c>
      <c r="C1210" s="1">
        <v>-8.5199999999999997E-6</v>
      </c>
      <c r="D1210">
        <v>1031766.632</v>
      </c>
      <c r="E1210">
        <v>8038.1691739999997</v>
      </c>
      <c r="F1210">
        <v>1440112.9950000001</v>
      </c>
      <c r="G1210">
        <v>3415.083783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-1.1168377873934579E-2</v>
      </c>
      <c r="M1210" s="1">
        <f t="shared" si="75"/>
        <v>3533871.7485493179</v>
      </c>
      <c r="N1210" s="1">
        <f t="shared" si="76"/>
        <v>702487.63241032511</v>
      </c>
      <c r="O1210" s="1"/>
    </row>
    <row r="1211" spans="1:15" x14ac:dyDescent="0.25">
      <c r="A1211">
        <v>1963</v>
      </c>
      <c r="B1211">
        <v>584528.87049999996</v>
      </c>
      <c r="C1211" s="1">
        <v>3.8099999999999998E-5</v>
      </c>
      <c r="D1211">
        <v>995534.37670000002</v>
      </c>
      <c r="E1211">
        <v>9739.5447239999994</v>
      </c>
      <c r="F1211">
        <v>1426713.8859999999</v>
      </c>
      <c r="G1211">
        <v>4394.8942390000002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2.2581609409144499E-2</v>
      </c>
      <c r="M1211" s="1">
        <f t="shared" si="75"/>
        <v>1936028.3328123211</v>
      </c>
      <c r="N1211" s="1">
        <f t="shared" si="76"/>
        <v>408756.95861736045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-2.1223721373516001E-3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2.9014425848008997E-3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2.5534883330045877E-2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0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-1.328013828349516E-3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0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-1.8556885240230902E-3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-2.5239321424694001E-2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0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1.4118982304008799E-2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0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-9.7611642452551991E-3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-1.6846210016447998E-4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7.3173325974058793E-3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0</v>
      </c>
      <c r="N1294" s="1">
        <f t="shared" si="84"/>
        <v>0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0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0</v>
      </c>
      <c r="N1295" s="1">
        <f t="shared" si="84"/>
        <v>0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0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0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0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0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-5.4426307683627009E-2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1.44903951453597E-2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 s="1">
        <v>3.3800000000000002E-5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6.4389381648681174E-2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0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0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 s="1">
        <v>-3.2700000000000002E-5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0</v>
      </c>
      <c r="N1310" s="1">
        <f t="shared" si="84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0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0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 s="1">
        <v>2.8399999999999999E-5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-4.3080752321273806E-2</v>
      </c>
      <c r="N1312" s="1">
        <f t="shared" si="84"/>
        <v>0.19740006852936723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-3.1378575982135199E-3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 s="1">
        <v>4.6800000000000001E-6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5.2979580240429969E-3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0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0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 s="1">
        <v>5.7799999999999997E-6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8.1362845878196303E-3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0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0</v>
      </c>
      <c r="N1320" s="1">
        <f t="shared" si="84"/>
        <v>0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0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0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0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0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 s="1">
        <v>-2.76E-5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-2.2373949574597499E-4</v>
      </c>
      <c r="N1325" s="1">
        <f t="shared" si="84"/>
        <v>-2.6266531627359003E-3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0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-1.6909719692825505E-2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7.1330936377421873E-3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-1.5470972686809018E-3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0.10656179462553804</v>
      </c>
      <c r="N1333" s="1">
        <f t="shared" si="84"/>
        <v>1.2307583420921303E-2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3.6368334625826502E-4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0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-7.3173976774930594E-2</v>
      </c>
      <c r="N1335" s="1">
        <f t="shared" si="84"/>
        <v>0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0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-1.9072242714106478E-2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0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-3.4441593566424747E-2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-2.2282017177100846E-2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-8.4342113878010348E-3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3.0875484490157912E-2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-0.11210667731749833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0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-4.5921557767842382E-3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0.141795490883904</v>
      </c>
      <c r="M1365" s="1">
        <f t="shared" si="87"/>
        <v>-4.1171189326020159E-2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2.6945917533037246E-2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3.43701512171136E-3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-3.9652492209529674E-3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>
        <v>3850.1813379999999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-0.21773106990469712</v>
      </c>
      <c r="N1377" s="1">
        <f t="shared" si="88"/>
        <v>13341293.516988629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-5.4092582967952014E-3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-4.2543840412846623E-3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-4.9229249974254846E-2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8.7054302409613565E-2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-6.7929857167011276E-2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3.8067057629905268E-2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0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0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2.2505875344288308E-2</v>
      </c>
      <c r="N1387" s="1">
        <f t="shared" si="88"/>
        <v>0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4.0795189375122005E-2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-3.1680922172614721E-2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0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-1.6588630248887778E-2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 s="1">
        <v>-1.06E-5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-4.0941001912274642E-3</v>
      </c>
      <c r="N1397" s="1">
        <f t="shared" si="88"/>
        <v>-2.3339350030344482E-2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>
        <v>2403.9397079999999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1.3038744381020406E-2</v>
      </c>
      <c r="N1398" s="1">
        <f t="shared" si="88"/>
        <v>7260251.2642376171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 s="1">
        <v>-3.8000000000000002E-5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8.3191737135040272E-2</v>
      </c>
      <c r="N1399" s="1">
        <f t="shared" si="88"/>
        <v>-6.6328870929241807E-2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 s="1">
        <v>4.4299999999999999E-5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6.9243454063801025E-3</v>
      </c>
      <c r="N1400" s="1">
        <f t="shared" si="88"/>
        <v>7.4365040531608903E-2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-3.5783770651557495E-2</v>
      </c>
      <c r="N1403" s="1">
        <f t="shared" si="88"/>
        <v>-0.247794404475189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2.3580122356049284E-3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-1.6859523518629651E-3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-6.1295180374018104E-3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-8.7543498691821348E-2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1.3035691342191981E-3</v>
      </c>
      <c r="N1412" s="1">
        <f t="shared" si="92"/>
        <v>0.12170812904934791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-1.2933166900356478E-2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-1.2603457872702872E-2</v>
      </c>
      <c r="N1414" s="1">
        <f t="shared" si="92"/>
        <v>0.11402931905142943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-3.9537286710651633E-2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>
        <v>4649.4354789999998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-3.0688666628457067E-2</v>
      </c>
      <c r="N1416" s="1">
        <f t="shared" si="92"/>
        <v>7124958.3843646338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1.8940251302785448E-2</v>
      </c>
      <c r="N1417" s="1">
        <f t="shared" si="92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8.9401154863129689E-2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0.1455295521148581</v>
      </c>
      <c r="N1419" s="1">
        <f t="shared" si="92"/>
        <v>-6.2279093403371254E-2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>
        <v>0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-6.5855895908687234E-2</v>
      </c>
      <c r="N1420" s="1">
        <f t="shared" si="92"/>
        <v>0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 s="1">
        <v>-4.4499999999999997E-5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-5.2861333491380155E-3</v>
      </c>
      <c r="N1421" s="1">
        <f t="shared" si="92"/>
        <v>-9.4881996487414785E-2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 s="1">
        <v>-1.5699999999999999E-5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0.23806031218058823</v>
      </c>
      <c r="N1422" s="1">
        <f t="shared" si="92"/>
        <v>-4.602001254538797E-2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7682.7036690000004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-8.8595863804796324E-2</v>
      </c>
      <c r="N1423" s="1">
        <f t="shared" si="92"/>
        <v>8358844.2205393808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3.7865458427913272E-2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0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3.9054680291744884E-3</v>
      </c>
      <c r="N1425" s="1">
        <f t="shared" si="92"/>
        <v>0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-1.4894719720043898E-2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0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6.8382015146172648E-2</v>
      </c>
      <c r="N1427" s="1">
        <f t="shared" si="92"/>
        <v>0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 s="1">
        <v>2.1100000000000001E-5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3.7282736922806601E-3</v>
      </c>
      <c r="N1428" s="1">
        <f t="shared" si="92"/>
        <v>6.0339830354387412E-2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-1.5999999999999999E-5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-3.3328511757009606E-2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2.3983122941921881E-3</v>
      </c>
      <c r="N1430" s="1">
        <f t="shared" si="92"/>
        <v>9.9462951483491713E-2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>
        <v>0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4.6510603031261885E-3</v>
      </c>
      <c r="N1431" s="1">
        <f t="shared" si="92"/>
        <v>0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 s="1">
        <v>1.6500000000000001E-5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2.0994143638633018E-2</v>
      </c>
      <c r="N1432" s="1">
        <f t="shared" si="92"/>
        <v>8.4857927239107012E-2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9.8512302099433794E-3</v>
      </c>
      <c r="N1433" s="1">
        <f t="shared" si="92"/>
        <v>-0.13978176571328715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2.4510342592750738E-2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7602.7444459999997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0.17500515208370337</v>
      </c>
      <c r="N1435" s="1">
        <f t="shared" si="92"/>
        <v>24606190.61149285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7306.0044189999999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-0.18375627464226188</v>
      </c>
      <c r="N1436" s="1">
        <f t="shared" si="92"/>
        <v>42157953.255539991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 s="1">
        <v>1.1600000000000001E-5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0.11963031917297416</v>
      </c>
      <c r="N1437" s="1">
        <f t="shared" si="92"/>
        <v>3.7749784949184725E-2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>
        <v>8992.2944439999992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4.6498468334506349E-3</v>
      </c>
      <c r="N1438" s="1">
        <f t="shared" si="92"/>
        <v>45497170.559853762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6.9227084111166794E-3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>
        <v>8992.294484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18069417.287743229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-6.6037410083313302E-3</v>
      </c>
      <c r="N1441" s="1">
        <f t="shared" si="92"/>
        <v>-1.6231352739673983E-2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>
        <v>2403.9396750000001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-1.27234797815066E-2</v>
      </c>
      <c r="N1442" s="1">
        <f t="shared" si="92"/>
        <v>4031296.9902882199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0.12406632310042971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2.1644559703532158E-3</v>
      </c>
      <c r="N1444" s="1">
        <f t="shared" si="92"/>
        <v>2.806098021197604E-2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>
        <v>3925.969603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8.7806658956722364E-2</v>
      </c>
      <c r="N1445" s="1">
        <f t="shared" si="92"/>
        <v>5886640.3181742001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-5.4046640984367005E-2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-8.0259586346787842E-2</v>
      </c>
      <c r="N1447" s="1">
        <f t="shared" si="92"/>
        <v>3.2337004590792966E-2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-1.1315251345283992E-2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0</v>
      </c>
      <c r="N1449" s="1">
        <f t="shared" si="92"/>
        <v>1.8625724395579264E-2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8.2751419916154874E-3</v>
      </c>
      <c r="N1450" s="1">
        <f t="shared" si="92"/>
        <v>3.5542422867514196E-2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-2.9774321778783122E-3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-6.2944934989152511E-3</v>
      </c>
      <c r="N1455" s="1">
        <f t="shared" si="92"/>
        <v>3.0283257480397743E-2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-6.5415273144514927E-3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-1.0675910291294655E-2</v>
      </c>
      <c r="N1462" s="1">
        <f t="shared" si="92"/>
        <v>1.8500558099083503E-4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0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>
        <v>1940.5965349999999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4383920.2320864573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>
        <v>6940.3855169999997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21725859.980530519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7452.1125400000001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-6.7363935062747168E-2</v>
      </c>
      <c r="N1474" s="1">
        <f t="shared" si="92"/>
        <v>9103970.1608943306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>
        <v>984.77784380000003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5.4582395172131419E-2</v>
      </c>
      <c r="N1475" s="1">
        <f t="shared" ref="N1475:N1538" si="96">$U$4*$K1475*G1475</f>
        <v>1809338.1326510508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7630.8698430000004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-1.0010011512332669E-2</v>
      </c>
      <c r="N1476" s="1">
        <f t="shared" si="96"/>
        <v>7249455.391731305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-1.713894736337988E-2</v>
      </c>
      <c r="N1477" s="1">
        <f t="shared" si="96"/>
        <v>2.655461002039845E-2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 s="1">
        <v>5.0000000000000002E-5</v>
      </c>
      <c r="F1478">
        <v>983047.76919999998</v>
      </c>
      <c r="G1478">
        <v>7525.5798990000003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8.4600925267665009E-2</v>
      </c>
      <c r="N1478" s="1">
        <f t="shared" si="96"/>
        <v>5957838.9273739802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>
        <v>2403.9397309999999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-3.7011495128861434E-2</v>
      </c>
      <c r="N1479" s="1">
        <f t="shared" si="96"/>
        <v>9149397.2897331007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5.7472424329165998E-3</v>
      </c>
      <c r="N1480" s="1">
        <f t="shared" si="96"/>
        <v>4.2756320081211663E-2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2.1034385882573881E-3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>
        <v>830.83362599999998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-6.0766197244565522E-2</v>
      </c>
      <c r="N1482" s="1">
        <f t="shared" si="96"/>
        <v>1675331.251051866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 s="1">
        <v>1.61E-6</v>
      </c>
      <c r="F1483">
        <v>754201.09920000006</v>
      </c>
      <c r="G1483" s="1">
        <v>-3.0800000000000003E-5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1.048530231860258E-2</v>
      </c>
      <c r="N1483" s="1">
        <f t="shared" si="96"/>
        <v>-9.3853284415413629E-2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7004.8059139999996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4.4461291087169702E-2</v>
      </c>
      <c r="N1484" s="1">
        <f t="shared" si="96"/>
        <v>12782535.371258307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 s="1">
        <v>4.4100000000000001E-6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-4.1545291149940799E-3</v>
      </c>
      <c r="N1486" s="1">
        <f t="shared" si="96"/>
        <v>1.7859234389398293E-2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>
        <v>11731.74447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47155632.668622926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>
        <v>13530.62213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0.33370680994558755</v>
      </c>
      <c r="N1489" s="1">
        <f t="shared" si="96"/>
        <v>50784734.061100699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 s="1">
        <v>-4.32E-5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-0.14089133619033842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7004.8059579999999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7.0525542917165521E-2</v>
      </c>
      <c r="N1493" s="1">
        <f t="shared" si="96"/>
        <v>16749704.097915594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 s="1">
        <v>-2.1799999999999999E-6</v>
      </c>
      <c r="F1494">
        <v>707657.99789999996</v>
      </c>
      <c r="G1494" s="1">
        <v>2.34E-6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-1.3987418864964648E-2</v>
      </c>
      <c r="N1494" s="1">
        <f t="shared" si="96"/>
        <v>7.0249076986149362E-3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 s="1">
        <v>-1.0499999999999999E-5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-0.21144096190883879</v>
      </c>
      <c r="N1495" s="1">
        <f t="shared" si="96"/>
        <v>-3.3946943425730999E-2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0.26358313271453065</v>
      </c>
      <c r="N1497" s="1">
        <f t="shared" si="96"/>
        <v>0.10993622320127178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-2.7243847559446244E-3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-3.8695202741258947E-3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1.090926853345518E-3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-1.28949051477555E-3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 s="1">
        <v>5.4E-6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-2.2374242971384259E-3</v>
      </c>
      <c r="N1509" s="1">
        <f t="shared" si="96"/>
        <v>1.8235769500796761E-2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4.991423592551851E-2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>
        <v>1446.2417069999999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-2.1381727973501023E-2</v>
      </c>
      <c r="N1511" s="1">
        <f t="shared" si="96"/>
        <v>5076711.6848971331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8.1300000000000001E-6</v>
      </c>
      <c r="F1512">
        <v>1076702.3910000001</v>
      </c>
      <c r="G1512">
        <v>4562.7519069999998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3.6205613452813978E-2</v>
      </c>
      <c r="N1512" s="1">
        <f t="shared" si="96"/>
        <v>9507271.5428445172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7630.8702030000004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-0.11729479230561292</v>
      </c>
      <c r="N1513" s="1">
        <f t="shared" si="96"/>
        <v>11698049.334778007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>
        <v>6940.3854929999998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0.15944590112885212</v>
      </c>
      <c r="N1514" s="1">
        <f t="shared" si="96"/>
        <v>20146866.44585117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-1.7584338900343444E-2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0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6940.3855400000002</v>
      </c>
      <c r="F1521">
        <v>1168832.662</v>
      </c>
      <c r="G1521">
        <v>5438.8604459999997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11801039.906002382</v>
      </c>
      <c r="N1521" s="1">
        <f t="shared" si="96"/>
        <v>4327013.7610278241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4437.777599</v>
      </c>
      <c r="F1522">
        <v>1122352.827</v>
      </c>
      <c r="G1522">
        <v>5060.6888269999999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7758938.6002327502</v>
      </c>
      <c r="N1522" s="1">
        <f t="shared" si="96"/>
        <v>4139902.3164613908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4.9200000000000003E-5</v>
      </c>
      <c r="F1523">
        <v>985686.48719999997</v>
      </c>
      <c r="G1523">
        <v>11123.230439999999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0.2760490177231032</v>
      </c>
      <c r="N1523" s="1">
        <f t="shared" si="96"/>
        <v>29200864.973587636</v>
      </c>
      <c r="O1523" s="1"/>
    </row>
    <row r="1524" spans="1:15" x14ac:dyDescent="0.25">
      <c r="A1524">
        <v>2702</v>
      </c>
      <c r="B1524">
        <v>425740.00020000001</v>
      </c>
      <c r="C1524" s="1">
        <v>-5.9499999999999998E-6</v>
      </c>
      <c r="D1524">
        <v>941538.07109999994</v>
      </c>
      <c r="E1524">
        <v>7330.64696</v>
      </c>
      <c r="F1524">
        <v>1411547.01</v>
      </c>
      <c r="G1524">
        <v>5786.6528660000004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-2.0495281598291497E-2</v>
      </c>
      <c r="M1524" s="1">
        <f t="shared" si="95"/>
        <v>8468809.5348269865</v>
      </c>
      <c r="N1524" s="1">
        <f t="shared" si="96"/>
        <v>3127887.824181905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>
        <v>11095.44793</v>
      </c>
      <c r="F1525">
        <v>918165.39800000004</v>
      </c>
      <c r="G1525">
        <v>3959.1853369999999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49025671.130414255</v>
      </c>
      <c r="N1525" s="1">
        <f t="shared" si="96"/>
        <v>8185179.6997903492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-1.8E-5</v>
      </c>
      <c r="F1526">
        <v>1083670.6399999999</v>
      </c>
      <c r="G1526">
        <v>11320.032289999999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-3.9717039245974202E-2</v>
      </c>
      <c r="N1526" s="1">
        <f t="shared" si="96"/>
        <v>11686802.499036128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0</v>
      </c>
      <c r="F1527">
        <v>1061271.909</v>
      </c>
      <c r="G1527">
        <v>11823.36507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0</v>
      </c>
      <c r="N1527" s="1">
        <f t="shared" si="96"/>
        <v>18177228.173858996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830.83360040000002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-1.6402939310422457E-2</v>
      </c>
      <c r="N1528" s="1">
        <f t="shared" si="96"/>
        <v>696880.50267756556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10615.34333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9.6221084361689246E-2</v>
      </c>
      <c r="N1529" s="1">
        <f t="shared" si="96"/>
        <v>16536748.722356588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0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0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-2.2113136645033712E-2</v>
      </c>
      <c r="N1531" s="1">
        <f t="shared" si="96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5.5843907155223048E-2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830.83355859999995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9.3324313503998002E-2</v>
      </c>
      <c r="N1533" s="1">
        <f t="shared" si="96"/>
        <v>1054615.3045961871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2.4199999999999999E-5</v>
      </c>
      <c r="F1534">
        <v>937190.68590000004</v>
      </c>
      <c r="G1534">
        <v>9494.9009910000004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6.4843690353355091E-2</v>
      </c>
      <c r="N1534" s="1">
        <f t="shared" si="96"/>
        <v>11903823.41709174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 s="1">
        <v>-4.5000000000000001E-6</v>
      </c>
      <c r="F1535">
        <v>762532.4669</v>
      </c>
      <c r="G1535">
        <v>6940.3855100000001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-4.5579294776613148E-2</v>
      </c>
      <c r="N1535" s="1">
        <f t="shared" si="96"/>
        <v>32891400.057502251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 s="1">
        <v>-4.1300000000000001E-5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0</v>
      </c>
      <c r="N1536" s="1">
        <f t="shared" si="96"/>
        <v>-7.9363911249343139E-2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-1.5800000000000001E-5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-4.5771047151742274E-2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1.0166673154191928E-2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 s="1">
        <v>-4.8999999999999997E-7</v>
      </c>
      <c r="F1539">
        <v>709040.32440000004</v>
      </c>
      <c r="G1539" s="1">
        <v>-3.9100000000000002E-5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-2.176247412518081E-3</v>
      </c>
      <c r="N1539" s="1">
        <f t="shared" ref="N1539:N1602" si="100">$U$4*$K1539*G1539</f>
        <v>-8.125173123576683E-2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>
        <v>2403.9396550000001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-4.5364646207995678E-2</v>
      </c>
      <c r="N1540" s="1">
        <f t="shared" si="100"/>
        <v>11893987.446112694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3.7700000000000002E-5</v>
      </c>
      <c r="F1543">
        <v>946962.74210000003</v>
      </c>
      <c r="G1543">
        <v>10090.61397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0.15953362223276141</v>
      </c>
      <c r="N1543" s="1">
        <f t="shared" si="100"/>
        <v>19978926.351572495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10090.61392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-5.9599615871493757E-3</v>
      </c>
      <c r="M1545" s="1">
        <f t="shared" si="99"/>
        <v>-0.12454556414897476</v>
      </c>
      <c r="N1545" s="1">
        <f t="shared" si="100"/>
        <v>24198210.95898772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0</v>
      </c>
      <c r="F1546">
        <v>916635.02099999995</v>
      </c>
      <c r="G1546">
        <v>12911.831759999999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0</v>
      </c>
      <c r="N1546" s="1">
        <f t="shared" si="100"/>
        <v>49184528.801792026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>
        <v>6980.6233339999999</v>
      </c>
      <c r="F1547">
        <v>979750.39939999999</v>
      </c>
      <c r="G1547">
        <v>1835.299422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43519799.097823359</v>
      </c>
      <c r="N1547" s="1">
        <f t="shared" si="100"/>
        <v>5353567.504809062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>
        <v>9724.5269200000002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3.6061439075344408E-3</v>
      </c>
      <c r="N1548" s="1">
        <f t="shared" si="100"/>
        <v>42071752.971461907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 s="1">
        <v>-8.2500000000000006E-6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-1.1472912217690284E-2</v>
      </c>
      <c r="N1549" s="1">
        <f t="shared" si="100"/>
        <v>-2.118970991437245E-2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>
        <v>13530.622170000001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0.21207396344330467</v>
      </c>
      <c r="N1550" s="1">
        <f t="shared" si="100"/>
        <v>49179731.237602293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>
        <v>14474.93158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29303837.122893054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1.91E-5</v>
      </c>
      <c r="F1552">
        <v>974259.37600000005</v>
      </c>
      <c r="G1552">
        <v>8277.9674149999992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-3.5937927179849499E-3</v>
      </c>
      <c r="M1552" s="1">
        <f t="shared" si="99"/>
        <v>8.8543397154708478E-2</v>
      </c>
      <c r="N1552" s="1">
        <f t="shared" si="100"/>
        <v>17955198.222519863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 s="1">
        <v>-4.7899999999999999E-6</v>
      </c>
      <c r="F1553">
        <v>675373.7426</v>
      </c>
      <c r="G1553" s="1">
        <v>-3.5599999999999998E-5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-1.3463165771860195E-2</v>
      </c>
      <c r="N1553" s="1">
        <f t="shared" si="100"/>
        <v>-4.6817191349312157E-2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723.46585700000003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1401491.2662401777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1.8235022360594478E-2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 s="1">
        <v>-4.9599999999999999E-6</v>
      </c>
      <c r="F1556">
        <v>676231.48739999998</v>
      </c>
      <c r="G1556" s="1">
        <v>-3.9900000000000001E-5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-5.8081199984491528E-3</v>
      </c>
      <c r="N1556" s="1">
        <f t="shared" si="100"/>
        <v>-2.1861022833760322E-2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0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 s="1">
        <v>-1.2099999999999999E-5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-0.15176774023037548</v>
      </c>
      <c r="N1558" s="1">
        <f t="shared" si="100"/>
        <v>-2.454937680109167E-2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 s="1">
        <v>-4.8699999999999998E-5</v>
      </c>
      <c r="F1559">
        <v>798083.47919999994</v>
      </c>
      <c r="G1559" s="1">
        <v>-3.6399999999999997E-5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-0.31749242867252681</v>
      </c>
      <c r="N1559" s="1">
        <f t="shared" si="100"/>
        <v>-0.11103233513322133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 s="1">
        <v>4.9400000000000001E-5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-1.8130137926686198E-4</v>
      </c>
      <c r="N1560" s="1">
        <f t="shared" si="100"/>
        <v>6.9842613902894826E-2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1.27483441139628E-3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0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0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-1.5046006983174006E-2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3990.4519679999999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-5.9315408247931224E-2</v>
      </c>
      <c r="N1571" s="1">
        <f t="shared" si="100"/>
        <v>5199405.4642545162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0</v>
      </c>
      <c r="F1572">
        <v>714288.50569999998</v>
      </c>
      <c r="G1572">
        <v>4649.4355050000004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0</v>
      </c>
      <c r="N1572" s="1">
        <f t="shared" si="100"/>
        <v>5999887.4727334846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 s="1">
        <v>-2.2099999999999998E-5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-0.17334543922125503</v>
      </c>
      <c r="N1573" s="1">
        <f t="shared" si="100"/>
        <v>-8.6592050944589188E-2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-4.3699999999999998E-5</v>
      </c>
      <c r="F1574">
        <v>981248.4902</v>
      </c>
      <c r="G1574">
        <v>9494.9010049999997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-0.13854372177917282</v>
      </c>
      <c r="N1574" s="1">
        <f t="shared" si="100"/>
        <v>14084438.326587226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830.83362190000003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1182679.1673411278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 s="1">
        <v>3.8399999999999997E-6</v>
      </c>
      <c r="F1576">
        <v>880387.55500000005</v>
      </c>
      <c r="G1576">
        <v>6687.0159560000002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1.7267736190064255E-2</v>
      </c>
      <c r="N1576" s="1">
        <f t="shared" si="100"/>
        <v>14069550.360222848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7.5694500662868369E-2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8038.1692080000003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-6.8790896650420555E-2</v>
      </c>
      <c r="N1578" s="1">
        <f t="shared" si="100"/>
        <v>10870633.038914565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>
        <v>2403.9397220000001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7431891.8864236064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0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0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-1.0269412447202399E-2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-5.4329644620380998E-4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-1.1250817766689E-3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-9.5088329535561889E-3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-9.6874989125734015E-3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-3.011392228354302E-2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4.8779648593393994E-3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>
        <v>2403.9396830000001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-6.9785382159105007E-3</v>
      </c>
      <c r="N1625" s="1">
        <f t="shared" si="104"/>
        <v>5232876.0383762876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-1.5099095946776121E-2</v>
      </c>
      <c r="N1627" s="1">
        <f t="shared" si="104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1.0590227410193199E-3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-8.8899404184251303E-3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5.3888300649049719E-3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0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-6.3034157147561594E-3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4.9671585944206058E-2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0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1.4637356600347949E-3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4.0429380260677203E-3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4.1873706760496001E-3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8.3626823777363194E-3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0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-1.667310298245623E-2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-2.3207290590505244E-2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2.2985006959594684E-2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1.782223589347125E-3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0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1.9889254140781538E-2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2.149279426431135E-2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-5.5837173451387001E-6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3.5871162192376474E-2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2.9875438840012498E-2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-1.0909231250402048E-2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1.3204608214821728E-2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-2.9990752169858199E-2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-8.8623496095639291E-3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-2.2113991642975001E-4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-4.6678860825005893E-3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5.9574827511345201E-3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-1.7234550375402662E-2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3.336799691872451E-2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-6.9694244679133849E-2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9.4236615357346565E-2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-5.5438030167799635E-2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8.552570775883098E-3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4.1377918573877751E-2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-3.4056045473439996E-3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-4.6853411649211675E-2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1.2999636715243798E-3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-1.5419497065751219E-2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-9.947895634701413E-3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-4.3660058077001081E-2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1.252932409847664E-2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-3.1019651011061931E-2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-1.7486346117551001E-3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3.7177444347543422E-2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-9.670241782470718E-3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1.1680238334678961E-3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2.623465124684652E-2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-1.0093911640629376E-2</v>
      </c>
      <c r="M1824" s="1">
        <f t="shared" si="115"/>
        <v>3.0026517624218703E-3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1.3321250277778043E-2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-2.5317296627095875E-2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6.7722064141994165E-2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-2.286997515522856E-2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3.0894708537524507E-2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-2.2931003383735417E-2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0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0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-1.1956113042807448E-2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-9.7201568284118762E-3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-2.111481430792261E-2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-3.2839095458645925E-2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-2.2438773759928428E-2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-1.2010426370253071E-2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-1.6468733320532301E-2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-2.9091706713810377E-2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-1.6685378110897788E-2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3.0892753002420455E-3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-9.5588681986898093E-3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3.9357372890729521E-3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0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3.0456835642589445E-2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1.1244011057056981E-2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-8.6440569307868753E-3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-1.271886213454638E-2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-2.9843672406700501E-2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-2.7201504691712661E-2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1.4697182121748014E-2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0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3.403445226916977E-2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2.5410911327865351E-2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-1.5298376513132607E-2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1.8498958559709192E-2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-1.8878841855740035E-2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1.2458029288904798E-2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2.904338192504706E-2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-1.6902876900826799E-2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1.0119257592640714E-2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-8.5087204985802248E-3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2.5788085108965721E-2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-2.1743640400332311E-2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5.3239611648943962E-3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-1.0042651260415312E-2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-3.4002445792425888E-2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-1.4615701669352976E-2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-3.5894348074563907E-3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5.3403379879863919E-2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-1.8754124293093533E-2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0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1.10087825204968E-3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-5.0999908052578504E-3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4.3871581983582264E-2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0.1194201112086125</v>
      </c>
      <c r="M1903" s="1">
        <f t="shared" si="119"/>
        <v>-5.6499218276175002E-4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-3.9721351922271296E-2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-5.4599675283734141E-3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0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-2.4107831945587E-4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-1.5405957341183999E-4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9.2785503381119505E-4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4.0922478740932803E-4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0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0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0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4.9634818266800001E-3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3.2814742443554947E-4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3.5382450028542421E-2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2.1666839800849019E-2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5.6619786067519905E-3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1.700738731372539E-4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-4.0248624632427746E-2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-4.0957691411269433E-2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-8.1737311847833241E-3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6.4517720859776258E-3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0.12340600686923026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-1.1755924127360842E-2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2.4917329782757753E-2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-2.7449556054142947E-2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-4.7352872211299572E-2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-4.0961220033019163E-2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2.2237827584154646E-2</v>
      </c>
      <c r="M2013" s="1">
        <f t="shared" si="127"/>
        <v>5.9731804003783128E-3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-7.3894396333571049E-3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0.12897646667352233</v>
      </c>
      <c r="M2015" s="1">
        <f t="shared" si="127"/>
        <v>4.8802456344474408E-2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-2.3336628213636083E-2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-3.6939719144108027E-2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-2.5236948534553666E-3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4.6064737401879094E-2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-7.7907771722191446E-2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-4.9762394734075509E-4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7.6509419865178939E-3</v>
      </c>
      <c r="M2029" s="1">
        <f t="shared" si="127"/>
        <v>6.4265791843510806E-4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1.5581451188928692E-2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-2.4873189282073053E-2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-1.9744997229946736E-2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-3.9028659498454597E-2</v>
      </c>
      <c r="M2033" s="1">
        <f t="shared" si="127"/>
        <v>-1.6630244696756381E-2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-5.8837057969852802E-3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-1.4768289267426715E-2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0.12777287840081369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1.0545033967282498E-2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-3.6060005047369864E-2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-0.14428903668126999</v>
      </c>
      <c r="M2039" s="1">
        <f t="shared" si="127"/>
        <v>2.8131681785578101E-2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-2.3530320039784561E-2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3.5412365600345909E-3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-1.3575100943987045E-3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6.7187683285609432E-3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5.9277846157221124E-3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2.8993310771353361E-2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2.365438465865251E-3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-1.6444054727130068E-2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-1.8096730410651872E-2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1.06728157871703E-2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0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-4.8688676436551413E-2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0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4.8735885702569058E-3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-6.7643596501775569E-3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-1.3339164177972172E-2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-3.4265906279097973E-2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2.2748376000220571E-2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3.9408671855994601E-2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0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-1.8957762751393829E-3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-2.8474781611433304E-2</v>
      </c>
      <c r="M2063" s="1">
        <f t="shared" si="131"/>
        <v>-6.6169558659779762E-2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-2.8647703585484748E-2</v>
      </c>
      <c r="M2064" s="1">
        <f t="shared" si="131"/>
        <v>1.4318535547240129E-2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0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-0.10338821828267919</v>
      </c>
      <c r="M2066" s="1">
        <f t="shared" si="131"/>
        <v>-4.3791903545012277E-3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-4.4949484451902739E-3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-6.7135560847606954E-2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-7.9732698803758925E-2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0.22455056874826973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0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-3.3048677937058495E-4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-6.3256961062879993E-2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2.451660825319535E-3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-4.6273226138713293E-3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2.0512732415406368E-2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2.4025038759801019E-2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-5.8159583227028397E-2</v>
      </c>
      <c r="M2081" s="1">
        <f t="shared" si="131"/>
        <v>6.2103761930868955E-3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1.7556733521022133E-2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-5.4846846080742251E-2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1.2935385315405242E-2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1.8073256109814501E-2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4.6255049459403169E-4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-4.1140369797037276E-3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-3.3766954056386853E-3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1.53201619092217E-3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-3.4474039498061625E-2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-1.2389094422876759E-3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2.0697126389015455E-2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0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-4.377240215397387E-2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-2.0926370019689797E-3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1.6382955614583281E-2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5.9414520187202995E-3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3.684692300618317E-3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2.3801673768425562E-2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9.5360188660947322E-4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8.9398988432360226E-3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-3.7112128078446202E-2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-5.9775179523649198E-2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-1.1035199767669001E-3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-2.0192551312732998E-4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-1.2236323078789533E-3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-1.4528946992143358E-2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7.1908288290772372E-4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0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4.7126797992170701E-3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6.1499899224394597E-3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6.67820136788712E-3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-9.0430229822735617E-4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-4.3264391446788398E-4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-7.1481101758161193E-4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-7.1315265160671222E-3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-4.05470834350884E-3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-1.7289713929237401E-3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0.43855390735331035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2.6812981396008248E-3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-1.1310749121813899E-2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3.6531996072917778E-3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5.5406822992513864E-2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3.4397283021749346E-2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0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-5.2095332648158327E-2</v>
      </c>
      <c r="N2198" s="1">
        <f t="shared" si="140"/>
        <v>0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-1.5253790807350053E-2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0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0</v>
      </c>
      <c r="N2200" s="1">
        <f t="shared" si="140"/>
        <v>0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-0.2547570719476912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0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</v>
      </c>
      <c r="N2202" s="1">
        <f t="shared" si="140"/>
        <v>0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-4.619575831216579E-3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0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-2.4358148474186839E-2</v>
      </c>
      <c r="N2204" s="1">
        <f t="shared" si="140"/>
        <v>0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0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0</v>
      </c>
      <c r="N2205" s="1">
        <f t="shared" si="140"/>
        <v>0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-0.36984275128281247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8.1857159824741621E-2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0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0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1.1509976339498471E-2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 s="1">
        <v>-4.49E-5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0.18119799462345901</v>
      </c>
      <c r="N2235" s="1">
        <f t="shared" si="140"/>
        <v>-0.23070630408021062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-0.2632806442268194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 s="1">
        <v>-3.3399999999999999E-5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-2.9338592264277378E-2</v>
      </c>
      <c r="N2238" s="1">
        <f t="shared" si="140"/>
        <v>-9.6932245985938068E-2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0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-8.2672683627846952E-2</v>
      </c>
      <c r="N2240" s="1">
        <f t="shared" si="140"/>
        <v>0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 s="1">
        <v>4.0299999999999997E-5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-0.38286358597428116</v>
      </c>
      <c r="N2241" s="1">
        <f t="shared" si="140"/>
        <v>0.25419935658771808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1.7186128551659706E-2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0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0.56903404992243201</v>
      </c>
      <c r="N2243" s="1">
        <f t="shared" ref="N2243:N2306" si="144">$U$4*$K2243*G2243</f>
        <v>0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3.8383497644204539E-2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 s="1">
        <v>4.6399999999999996E-6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0.44297406274517992</v>
      </c>
      <c r="N2245" s="1">
        <f t="shared" si="144"/>
        <v>2.0952086148191999E-2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-3.8143635689631104E-2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8.1801204709929E-3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-2.7007743815385801E-2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-2.5052196267463687E-3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0.11126182946295547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0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0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6.4853547208171391E-5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0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6.3226442724186056E-3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-1.4499837282109902E-3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-2.1560260011618789E-3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9.2519724175421383E-2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4.8389593474696497E-3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1.0832285824210705E-2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3.7604024451007162E-3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6.4139537215964857E-3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-5.8098407758845928E-2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2.4161541191672478E-2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-6.749589677320646E-3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-6.4807704914195078E-3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2.9534065370671703E-2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9.0536497730142676E-3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-0.10909580145292978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1.2838811791953784E-2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5.0412802261379619E-2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4.4708958397972447E-2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0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0.11462325114410059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4.1714314513730415E-2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3.4183025540230797E-4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 s="1">
        <v>4.4799999999999998E-5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0</v>
      </c>
      <c r="N2322" s="1">
        <f t="shared" si="148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-5.8557795763952633E-2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5.182134765447062E-2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0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-1.5063388036895274E-2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-2.1693558474039885E-2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-2.2954255787256309E-2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5.6167406678924642E-2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-0.19708743431530482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-2.8404037608943753E-2</v>
      </c>
      <c r="M2332" s="1">
        <f t="shared" si="147"/>
        <v>0.18519082932876138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4.2340450034120923E-2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-3.7092867318173857E-2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-9.4585165263722289E-3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1.517233316061474E-2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5.518536104083465E-2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-5.05647587589102E-2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3.7998901447654078E-3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-2.0473438116723267E-2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4.6995244006063044E-2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-6.5762362614203151E-2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9.2319903049293793E-3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5.6007909578426406E-2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2.5253160322186884E-4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7.0232528975443242E-2</v>
      </c>
      <c r="M2348" s="1">
        <f t="shared" si="147"/>
        <v>0.34876463098465516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3.9586058579494439E-4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-0.11872745402275413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-8.924250912535403E-2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0.19297888293410423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8.0053266070947787E-2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3.5256011966720367E-2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-1.028867023373289E-2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-3.916950875473936E-2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-3.18797448191208E-2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1.6174559319803886E-2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9.9469560111168906E-2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3.5586420330666467E-2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-0.21576552065329274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-8.0988829704524354E-2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-0.40352093584514848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-3.4663513205751346E-2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2.4205311427522698E-2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0.23901170904312216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1.1720761865350274E-2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0.1201157144770913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1.66397088987668E-3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4.8277551660190599E-2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6.085823862969994E-2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-1.6880211675817939E-2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-3.1550899222356543E-2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6.3354654170980115E-2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-2.0437644488955749E-2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1.2070119785610121E-2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4.2073716104287402E-2</v>
      </c>
      <c r="M2381" s="1">
        <f t="shared" si="151"/>
        <v>7.3968307344634307E-4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-5.6455812321574185E-2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3.7071274231580249E-2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2.4252803873014927E-3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1.809932594482299E-2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-4.5916276817869507E-2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-5.9022847961744944E-2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-1.0339255886176802E-2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9.1466430870599622E-2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-0.10757257405805197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7.2446812882439052E-2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-8.3073848928079091E-2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-9.0199770248445502E-3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-5.2441439186161634E-2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7.278876365577E-2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-9.2995488433768869E-3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-2.6093888461683902E-2</v>
      </c>
      <c r="M2397" s="1">
        <f t="shared" si="151"/>
        <v>-1.10498595272865E-3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6.2725435369322693E-2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3.2015792171822032E-3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3.3917455835228254E-2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-9.1592221306067943E-3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0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-8.5585912874614981E-3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-6.1352686109535995E-3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-4.84366954114365E-3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-6.6608012472288E-3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1.3412694130133999E-3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-1.6127988861148999E-3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-1.5288995111582E-3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-3.7217520925608497E-3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-1.2759050605129198E-2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8.2786598479764E-5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1.2781431771743399E-3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2.7098652138154002E-5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5.6200917295796994E-3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0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1.4632108880634999E-3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2.3500298385686527E-2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2024-10-24T12:05:49Z</dcterms:modified>
</cp:coreProperties>
</file>