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Bradfield Proposal\Stage 2\"/>
    </mc:Choice>
  </mc:AlternateContent>
  <xr:revisionPtr revIDLastSave="0" documentId="13_ncr:1_{5F5C9CEE-3352-458F-99E9-EEF8F9CED1D9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U12" i="1" l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T16" i="1"/>
  <c r="X12" i="1" l="1"/>
  <c r="T14" i="1"/>
  <c r="X13" i="1"/>
  <c r="T18" i="1" a="1"/>
  <c r="T18" i="1" s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<sst xmlns="http://schemas.openxmlformats.org/spreadsheetml/2006/main" count="2595" uniqueCount="2587">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</sst>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21" sqref="T21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830.83358299999998</v>
      </c>
      <c r="F2">
        <v>1099931.1640000001</v>
      </c>
      <c r="G2">
        <v>9463.5636300000006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587596.23101903149</v>
      </c>
      <c r="N2" s="1">
        <f>$U$4*$K2*G2</f>
        <v>3131578.7930664797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7034.1986690000003</v>
      </c>
      <c r="F3">
        <v>1188749.6769999999</v>
      </c>
      <c r="G3">
        <v>8360.5277330000008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5711250.4798348499</v>
      </c>
      <c r="N3" s="1">
        <f t="shared" ref="N3:N66" si="3">$U$4*$K3*G3</f>
        <v>3176098.3886985555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 s="1">
        <v>2.9E-5</v>
      </c>
      <c r="D4">
        <v>912192.62890000001</v>
      </c>
      <c r="E4">
        <v>8817.5683950000002</v>
      </c>
      <c r="F4">
        <v>1336597.4709999999</v>
      </c>
      <c r="G4">
        <v>1487.9458099999999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2.9024074489156504E-2</v>
      </c>
      <c r="M4" s="1">
        <f t="shared" si="2"/>
        <v>2959731.7822979968</v>
      </c>
      <c r="N4" s="1">
        <f t="shared" si="3"/>
        <v>233686.87016325557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 s="1">
        <v>1.5799999999999999E-6</v>
      </c>
      <c r="D5">
        <v>1001489.622</v>
      </c>
      <c r="E5">
        <v>13439.17648</v>
      </c>
      <c r="F5">
        <v>1434338.5179999999</v>
      </c>
      <c r="G5">
        <v>520.65061479999997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7.1707451425252495E-4</v>
      </c>
      <c r="M5" s="1">
        <f t="shared" si="2"/>
        <v>2045610.7364209259</v>
      </c>
      <c r="N5" s="1">
        <f t="shared" si="3"/>
        <v>37080.057686178021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 s="1">
        <v>3.6399999999999997E-5</v>
      </c>
      <c r="D6">
        <v>987289.85869999998</v>
      </c>
      <c r="E6">
        <v>13439.176509999999</v>
      </c>
      <c r="F6">
        <v>1425828.1129999999</v>
      </c>
      <c r="G6">
        <v>520.65061479999997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3.9990239927574299E-2</v>
      </c>
      <c r="M6" s="1">
        <f t="shared" si="2"/>
        <v>4951860.722228854</v>
      </c>
      <c r="N6" s="1">
        <f t="shared" si="3"/>
        <v>89760.61650201559</v>
      </c>
      <c r="O6" s="1"/>
    </row>
    <row r="7" spans="1:25" x14ac:dyDescent="0.25">
      <c r="A7">
        <v>6</v>
      </c>
      <c r="B7">
        <v>342568.37469999999</v>
      </c>
      <c r="C7" s="1">
        <v>-1.2E-5</v>
      </c>
      <c r="D7">
        <v>676491.53819999995</v>
      </c>
      <c r="E7">
        <v>830.83356619999995</v>
      </c>
      <c r="F7">
        <v>1144015.318</v>
      </c>
      <c r="G7">
        <v>8126.3180709999997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-9.1281250476390012E-3</v>
      </c>
      <c r="M7" s="1">
        <f t="shared" si="2"/>
        <v>211961.75455881812</v>
      </c>
      <c r="N7" s="1">
        <f t="shared" si="3"/>
        <v>970020.62153277034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>
        <v>9386.3725080000004</v>
      </c>
      <c r="F8">
        <v>1224440.2320000001</v>
      </c>
      <c r="G8">
        <v>960.62230350000004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2734269.9143537018</v>
      </c>
      <c r="N8" s="1">
        <f t="shared" si="3"/>
        <v>130930.23342436957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>
        <v>7034.1987479999998</v>
      </c>
      <c r="F9">
        <v>1203647.425</v>
      </c>
      <c r="G9">
        <v>2458.0733340000002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1944912.8465860221</v>
      </c>
      <c r="N9" s="1">
        <f t="shared" si="3"/>
        <v>317997.7327795059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6940.3854719999999</v>
      </c>
      <c r="F10">
        <v>1089044.08</v>
      </c>
      <c r="G10">
        <v>10169.56436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5057038.0047458094</v>
      </c>
      <c r="N10" s="1">
        <f t="shared" si="3"/>
        <v>3467038.4076258959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6687.0159960000001</v>
      </c>
      <c r="F11">
        <v>1177436.6510000001</v>
      </c>
      <c r="G11">
        <v>1703.5459269999999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2389638.8505130466</v>
      </c>
      <c r="N11" s="1">
        <f t="shared" si="3"/>
        <v>284837.67550855043</v>
      </c>
      <c r="O11" s="1"/>
      <c r="S11" s="2" t="str" cm="1">
        <f t="array" ref="S11:S16">TRANSPOSE(L1:Q1)</f>
        <v xml:space="preserve">30 Min Lin </v>
      </c>
      <c r="T11" s="6">
        <f>SUM(L2:L2563)/1000000</f>
        <v>20618.220504676367</v>
      </c>
      <c r="U11" s="3">
        <f>SUM(L$374:L$390,L$395:L$399,L$409:L$418)/1000000</f>
        <v>917.43349229026649</v>
      </c>
      <c r="V11" s="3">
        <f>SUM(L$352:L$377,L$391:L$394)/1000000</f>
        <v>6769.5936196261273</v>
      </c>
      <c r="W11" s="3">
        <f>SUM(L$419:L$479)/1000000</f>
        <v>10765.060250286549</v>
      </c>
      <c r="X11" s="3">
        <f>T11-W11-U11-V11</f>
        <v>2166.1331424734226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 s="1">
        <v>4.6100000000000002E-5</v>
      </c>
      <c r="F12">
        <v>1103143.1740000001</v>
      </c>
      <c r="G12">
        <v>8939.1021020000007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2.0977879233290721E-2</v>
      </c>
      <c r="N12" s="1">
        <f t="shared" si="3"/>
        <v>1903260.4871421072</v>
      </c>
      <c r="O12" s="1"/>
      <c r="S12" s="2" t="str">
        <v>45 Min Lin</v>
      </c>
      <c r="T12" s="6">
        <f>SUM(M2:M2563)/1000000</f>
        <v>50745.720086375681</v>
      </c>
      <c r="U12" s="3">
        <f>SUM(M$374:M$390,M$395:M$399,M$409:M$418)/1000000</f>
        <v>2764.7772410411039</v>
      </c>
      <c r="V12" s="3">
        <f>SUM(M$352:M$377,M$391:M$394)/1000000</f>
        <v>8414.8572878436189</v>
      </c>
      <c r="W12" s="3">
        <f>SUM(M$419:M$479)/1000000</f>
        <v>34385.932949754948</v>
      </c>
      <c r="X12" s="3">
        <f t="shared" ref="X12:X13" si="4">T12-W12-U12-V12</f>
        <v>5180.1526077360104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>
        <v>830.8335806</v>
      </c>
      <c r="F13">
        <v>1139271.5209999999</v>
      </c>
      <c r="G13">
        <v>6470.9747909999996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275616.57453019382</v>
      </c>
      <c r="N13" s="1">
        <f t="shared" si="3"/>
        <v>1004395.3083864826</v>
      </c>
      <c r="O13" s="1"/>
      <c r="S13" s="2" t="str">
        <v>60 Min Lin</v>
      </c>
      <c r="T13" s="6">
        <f>SUM(N2:N2563)/1000000</f>
        <v>37616.20065855448</v>
      </c>
      <c r="U13" s="3">
        <f>SUM(N$374:N$390,N$395:N$399,N$409:N$418)/1000000</f>
        <v>2238.9763387342928</v>
      </c>
      <c r="V13" s="3">
        <f>SUM(N$352:N$377,N$391:N$394)/1000000</f>
        <v>5039.5514821312372</v>
      </c>
      <c r="W13" s="3">
        <f>SUM(N$419:N$479)/1000000</f>
        <v>23036.657793836152</v>
      </c>
      <c r="X13" s="3">
        <f t="shared" si="4"/>
        <v>7301.015043852798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8853.2450439999993</v>
      </c>
      <c r="F14">
        <v>1260453.6569999999</v>
      </c>
      <c r="G14">
        <v>0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1233265.8068061415</v>
      </c>
      <c r="N14" s="1">
        <f t="shared" si="3"/>
        <v>0</v>
      </c>
      <c r="O14" s="1"/>
      <c r="S14" s="2" t="str">
        <v>30 Min Log</v>
      </c>
      <c r="T14" s="6">
        <f>SUM(U14:X14)</f>
        <v>9164.4846182495512</v>
      </c>
      <c r="U14" s="7">
        <f>$V2*$Y$2*(SUM(C$374:C$390,C$395:C$399,C$409:C$418))/(SUM(B$374:B$390,B$395:B$399,B$409:B$418))</f>
        <v>402.80298418584653</v>
      </c>
      <c r="V14" s="7">
        <f>$V2*$Y$3*(SUM(C$352:C$377,C$391:C$394))/(SUM(B$352:B$377,B$391:B$394))</f>
        <v>2336.8515410849263</v>
      </c>
      <c r="W14" s="8">
        <f>V2*$Y$4*(SUM(C$419:C$479))/(SUM(B$419:B$479))</f>
        <v>5079.2945162221295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1345.5355767566496</v>
      </c>
    </row>
    <row r="15" spans="1:25" x14ac:dyDescent="0.25">
      <c r="A15">
        <v>14</v>
      </c>
      <c r="B15">
        <v>477278.10139999999</v>
      </c>
      <c r="C15" s="1">
        <v>-4.5199999999999999E-6</v>
      </c>
      <c r="D15">
        <v>886862.5466</v>
      </c>
      <c r="E15">
        <v>8692.5527500000007</v>
      </c>
      <c r="F15">
        <v>1280429.3540000001</v>
      </c>
      <c r="G15">
        <v>183.28449660000001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-3.0201985256563904E-3</v>
      </c>
      <c r="M15" s="1">
        <f t="shared" si="2"/>
        <v>1947993.6112809421</v>
      </c>
      <c r="N15" s="1">
        <f t="shared" si="3"/>
        <v>19218.062550549137</v>
      </c>
      <c r="O15" s="1"/>
      <c r="S15" s="2" t="str">
        <v>45 Min Log</v>
      </c>
      <c r="T15" s="6">
        <f>SUM(U15:X15)</f>
        <v>10845.475316345679</v>
      </c>
      <c r="U15" s="7">
        <f>$V3*$Y$2*(SUM(E$374:E$390,E$395:E$399,E$409:E$418))/(SUM(D$374:D$390,D$395:D$399,D$409:D$418))</f>
        <v>947.42617382056392</v>
      </c>
      <c r="V15" s="7">
        <f>$V3*$Y$3*(SUM(E$352:E$377,E$391:E$394))/(SUM(D$352:D$377,D$391:D$394))</f>
        <v>1728.4016997331498</v>
      </c>
      <c r="W15" s="8">
        <f>V3*$Y$4*(SUM(E$419:E$479))/(SUM(D$419:D$479))</f>
        <v>6393.961421378327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1775.6860214136382</v>
      </c>
    </row>
    <row r="16" spans="1:25" x14ac:dyDescent="0.25">
      <c r="A16">
        <v>15</v>
      </c>
      <c r="B16">
        <v>380423.7929</v>
      </c>
      <c r="C16" s="1">
        <v>-3.9999999999999998E-6</v>
      </c>
      <c r="D16">
        <v>729459.53590000002</v>
      </c>
      <c r="E16">
        <v>6687.0160150000002</v>
      </c>
      <c r="F16">
        <v>1190614.932</v>
      </c>
      <c r="G16">
        <v>2039.835304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-2.6744599076129996E-3</v>
      </c>
      <c r="M16" s="1">
        <f t="shared" si="2"/>
        <v>1499517.7149780823</v>
      </c>
      <c r="N16" s="1">
        <f t="shared" si="3"/>
        <v>214021.80359443105</v>
      </c>
      <c r="O16" s="1"/>
      <c r="S16" s="2" t="str">
        <v>60 Min Log</v>
      </c>
      <c r="T16" s="6">
        <f>SUM(U16:X16)</f>
        <v>5822.2154436708197</v>
      </c>
      <c r="U16" s="7">
        <f>$V4*$Y$2*(SUM(G$374:G$390,G$395:G$399,G$409:G$418))/(SUM(F$374:F$390,F$395:F$399,F$409:F$418))</f>
        <v>596.12812482152356</v>
      </c>
      <c r="V16" s="7">
        <f>$V4*$Y$3*(SUM(G$352:G$377,G$391:G$394))/(SUM(F$352:F$377,F$391:F$394))</f>
        <v>1082.7276420209676</v>
      </c>
      <c r="W16" s="8">
        <f>V4*$Y$4*(SUM(G$419:G$479))/(SUM(F$419:F$479))</f>
        <v>2950.2763154723157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1193.0833613560128</v>
      </c>
    </row>
    <row r="17" spans="1:25" x14ac:dyDescent="0.25">
      <c r="A17">
        <v>16</v>
      </c>
      <c r="B17">
        <v>500344.1017</v>
      </c>
      <c r="C17" s="1">
        <v>-4.0199999999999996E-6</v>
      </c>
      <c r="D17">
        <v>888591.84479999996</v>
      </c>
      <c r="E17">
        <v>9160.4053500000009</v>
      </c>
      <c r="F17">
        <v>1299324.5079999999</v>
      </c>
      <c r="G17">
        <v>420.41221139999999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-3.4397928521574146E-3</v>
      </c>
      <c r="M17" s="1">
        <f t="shared" si="2"/>
        <v>2628839.4613024155</v>
      </c>
      <c r="N17" s="1">
        <f t="shared" si="3"/>
        <v>56450.575511981646</v>
      </c>
      <c r="O17" s="1"/>
    </row>
    <row r="18" spans="1:25" x14ac:dyDescent="0.25">
      <c r="A18">
        <v>17</v>
      </c>
      <c r="B18">
        <v>405817.66460000002</v>
      </c>
      <c r="C18" s="1">
        <v>3.4499999999999998E-5</v>
      </c>
      <c r="D18">
        <v>779015.06539999996</v>
      </c>
      <c r="E18">
        <v>8955.8707670000003</v>
      </c>
      <c r="F18">
        <v>1207419.095</v>
      </c>
      <c r="G18">
        <v>183.28449660000001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4.5774605661846747E-2</v>
      </c>
      <c r="M18" s="1">
        <f t="shared" si="2"/>
        <v>3985258.2694536969</v>
      </c>
      <c r="N18" s="1">
        <f t="shared" si="3"/>
        <v>38160.852026358945</v>
      </c>
      <c r="O18" s="1"/>
      <c r="T18" cm="1">
        <f t="array" ref="T18:Y18">TRANSPOSE(T11:T16)</f>
        <v>20618.220504676367</v>
      </c>
      <c r="U18">
        <v>50745.720086375681</v>
      </c>
      <c r="V18">
        <v>37616.20065855448</v>
      </c>
      <c r="W18">
        <v>9164.4846182495512</v>
      </c>
      <c r="X18">
        <v>10845.475316345679</v>
      </c>
      <c r="Y18">
        <v>5822.2154436708197</v>
      </c>
    </row>
    <row r="19" spans="1:25" x14ac:dyDescent="0.25">
      <c r="A19">
        <v>18</v>
      </c>
      <c r="B19">
        <v>445777.7329</v>
      </c>
      <c r="C19" s="1">
        <v>-3.0499999999999999E-5</v>
      </c>
      <c r="D19">
        <v>828799.30909999995</v>
      </c>
      <c r="E19">
        <v>8853.2450919999992</v>
      </c>
      <c r="F19">
        <v>1258727.352</v>
      </c>
      <c r="G19">
        <v>1591.7885369999999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-3.1323020621884877E-2</v>
      </c>
      <c r="M19" s="1">
        <f t="shared" si="2"/>
        <v>3049365.0709727672</v>
      </c>
      <c r="N19" s="1">
        <f t="shared" si="3"/>
        <v>256528.71462059813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>
        <v>8853.2450000000008</v>
      </c>
      <c r="F20">
        <v>1261316.0549999999</v>
      </c>
      <c r="G20">
        <v>1591.7885369999999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11417582.815672694</v>
      </c>
      <c r="N20" s="1">
        <f t="shared" si="3"/>
        <v>960507.45189422346</v>
      </c>
      <c r="O20" s="1"/>
    </row>
    <row r="21" spans="1:25" x14ac:dyDescent="0.25">
      <c r="A21">
        <v>20</v>
      </c>
      <c r="B21">
        <v>502288.82179999998</v>
      </c>
      <c r="C21">
        <v>0</v>
      </c>
      <c r="D21">
        <v>932607.06099999999</v>
      </c>
      <c r="E21">
        <v>8765.4509560000006</v>
      </c>
      <c r="F21">
        <v>1315359.115</v>
      </c>
      <c r="G21">
        <v>183.28449660000001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0</v>
      </c>
      <c r="M21" s="1">
        <f t="shared" si="2"/>
        <v>2653211.8993987525</v>
      </c>
      <c r="N21" s="1">
        <f t="shared" si="3"/>
        <v>25957.752154818361</v>
      </c>
      <c r="O21" s="1"/>
    </row>
    <row r="22" spans="1:25" x14ac:dyDescent="0.25">
      <c r="A22">
        <v>21</v>
      </c>
      <c r="B22">
        <v>541738.39029999997</v>
      </c>
      <c r="C22">
        <v>0</v>
      </c>
      <c r="D22">
        <v>967780.33840000001</v>
      </c>
      <c r="E22">
        <v>7496.5077579999997</v>
      </c>
      <c r="F22">
        <v>1346300.28</v>
      </c>
      <c r="G22">
        <v>420.41221139999999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0</v>
      </c>
      <c r="M22" s="1">
        <f t="shared" si="2"/>
        <v>1306005.4653214482</v>
      </c>
      <c r="N22" s="1">
        <f t="shared" si="3"/>
        <v>34269.281573886357</v>
      </c>
      <c r="O22" s="1"/>
    </row>
    <row r="23" spans="1:25" x14ac:dyDescent="0.25">
      <c r="A23">
        <v>22</v>
      </c>
      <c r="B23">
        <v>562585.60560000001</v>
      </c>
      <c r="C23" s="1">
        <v>-1.4399999999999999E-5</v>
      </c>
      <c r="D23">
        <v>1004964.159</v>
      </c>
      <c r="E23">
        <v>8949.6031939999993</v>
      </c>
      <c r="F23">
        <v>1408220.392</v>
      </c>
      <c r="G23">
        <v>777.94263120000005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-9.6029278549308004E-3</v>
      </c>
      <c r="M23" s="1">
        <f t="shared" si="2"/>
        <v>2001649.7701803816</v>
      </c>
      <c r="N23" s="1">
        <f t="shared" si="3"/>
        <v>81409.58869596594</v>
      </c>
      <c r="O23" s="1"/>
    </row>
    <row r="24" spans="1:25" x14ac:dyDescent="0.25">
      <c r="A24">
        <v>23</v>
      </c>
      <c r="B24">
        <v>564141.62809999997</v>
      </c>
      <c r="C24" s="1">
        <v>-2.8799999999999999E-5</v>
      </c>
      <c r="D24">
        <v>999994.98849999998</v>
      </c>
      <c r="E24">
        <v>8071.5384089999998</v>
      </c>
      <c r="F24">
        <v>1391814.067</v>
      </c>
      <c r="G24">
        <v>311.4839771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-2.246688673164E-2</v>
      </c>
      <c r="M24" s="1">
        <f t="shared" si="2"/>
        <v>2111785.7875186154</v>
      </c>
      <c r="N24" s="1">
        <f t="shared" si="3"/>
        <v>38130.538124310777</v>
      </c>
      <c r="O24" s="1"/>
    </row>
    <row r="25" spans="1:25" x14ac:dyDescent="0.25">
      <c r="A25">
        <v>24</v>
      </c>
      <c r="B25">
        <v>498597.93070000003</v>
      </c>
      <c r="C25" s="1">
        <v>2.0000000000000002E-5</v>
      </c>
      <c r="D25">
        <v>914110.74549999996</v>
      </c>
      <c r="E25">
        <v>9786.2500490000002</v>
      </c>
      <c r="F25">
        <v>1321500.5060000001</v>
      </c>
      <c r="G25">
        <v>420.41221139999999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8.2212878798050022E-3</v>
      </c>
      <c r="M25" s="1">
        <f t="shared" si="2"/>
        <v>1349178.169524268</v>
      </c>
      <c r="N25" s="1">
        <f t="shared" si="3"/>
        <v>27118.895495899495</v>
      </c>
      <c r="O25" s="1"/>
    </row>
    <row r="26" spans="1:25" x14ac:dyDescent="0.25">
      <c r="A26">
        <v>25</v>
      </c>
      <c r="B26">
        <v>560605.33940000006</v>
      </c>
      <c r="C26" s="1">
        <v>-3.4499999999999998E-5</v>
      </c>
      <c r="D26">
        <v>1019757.0060000001</v>
      </c>
      <c r="E26">
        <v>8940.5537359999998</v>
      </c>
      <c r="F26">
        <v>1429100.459</v>
      </c>
      <c r="G26">
        <v>563.55070390000003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-1.1203361468197762E-2</v>
      </c>
      <c r="M26" s="1">
        <f t="shared" si="2"/>
        <v>973726.09320826584</v>
      </c>
      <c r="N26" s="1">
        <f t="shared" si="3"/>
        <v>28717.661031339874</v>
      </c>
      <c r="O26" s="1"/>
    </row>
    <row r="27" spans="1:25" x14ac:dyDescent="0.25">
      <c r="A27">
        <v>26</v>
      </c>
      <c r="B27">
        <v>634663.14879999997</v>
      </c>
      <c r="C27">
        <v>830.83359329999996</v>
      </c>
      <c r="D27">
        <v>1095423.182</v>
      </c>
      <c r="E27">
        <v>7247.4464829999997</v>
      </c>
      <c r="F27">
        <v>1509892.3740000001</v>
      </c>
      <c r="G27">
        <v>0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737112.17521427991</v>
      </c>
      <c r="M27" s="1">
        <f t="shared" si="2"/>
        <v>2156491.2017023708</v>
      </c>
      <c r="N27" s="1">
        <f t="shared" si="3"/>
        <v>0</v>
      </c>
      <c r="O27" s="1"/>
    </row>
    <row r="28" spans="1:25" x14ac:dyDescent="0.25">
      <c r="A28">
        <v>27</v>
      </c>
      <c r="B28">
        <v>555934.62650000001</v>
      </c>
      <c r="C28" s="1">
        <v>-3.2499999999999997E-5</v>
      </c>
      <c r="D28">
        <v>1002145.927</v>
      </c>
      <c r="E28">
        <v>7582.9940770000003</v>
      </c>
      <c r="F28">
        <v>1439892.5109999999</v>
      </c>
      <c r="G28">
        <v>900.91682209999999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-7.6363047949475626E-3</v>
      </c>
      <c r="M28" s="1">
        <f t="shared" si="2"/>
        <v>597563.0664423852</v>
      </c>
      <c r="N28" s="1">
        <f t="shared" si="3"/>
        <v>33217.841218557034</v>
      </c>
      <c r="O28" s="1"/>
    </row>
    <row r="29" spans="1:25" x14ac:dyDescent="0.25">
      <c r="A29">
        <v>28</v>
      </c>
      <c r="B29">
        <v>568716.83239999996</v>
      </c>
      <c r="C29" s="1">
        <v>2.3099999999999999E-5</v>
      </c>
      <c r="D29">
        <v>1028686.291</v>
      </c>
      <c r="E29">
        <v>7367.084296</v>
      </c>
      <c r="F29">
        <v>1452619.673</v>
      </c>
      <c r="G29">
        <v>900.91682209999999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7.0432873202116433E-3</v>
      </c>
      <c r="M29" s="1">
        <f t="shared" si="2"/>
        <v>753359.38242760382</v>
      </c>
      <c r="N29" s="1">
        <f t="shared" si="3"/>
        <v>43105.723278425205</v>
      </c>
      <c r="O29" s="1"/>
    </row>
    <row r="30" spans="1:25" x14ac:dyDescent="0.25">
      <c r="A30">
        <v>29</v>
      </c>
      <c r="B30">
        <v>603337.15549999999</v>
      </c>
      <c r="C30" s="1">
        <v>-2.8600000000000001E-5</v>
      </c>
      <c r="D30">
        <v>1089846.081</v>
      </c>
      <c r="E30">
        <v>10441.9498</v>
      </c>
      <c r="F30">
        <v>1497092.192</v>
      </c>
      <c r="G30">
        <v>777.94263120000005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-1.113108806732065E-2</v>
      </c>
      <c r="M30" s="1">
        <f t="shared" si="2"/>
        <v>1363001.4682301448</v>
      </c>
      <c r="N30" s="1">
        <f t="shared" si="3"/>
        <v>47512.291005887877</v>
      </c>
      <c r="O30" s="1"/>
    </row>
    <row r="31" spans="1:25" x14ac:dyDescent="0.25">
      <c r="A31">
        <v>30</v>
      </c>
      <c r="B31">
        <v>575646.05630000005</v>
      </c>
      <c r="C31" s="1">
        <v>-3.6000000000000001E-5</v>
      </c>
      <c r="D31">
        <v>1050928.7930000001</v>
      </c>
      <c r="E31">
        <v>8603.0783790000005</v>
      </c>
      <c r="F31">
        <v>1459115.736</v>
      </c>
      <c r="G31">
        <v>563.55070390000003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-3.7545672723507E-2</v>
      </c>
      <c r="M31" s="1">
        <f t="shared" si="2"/>
        <v>3009223.2316542594</v>
      </c>
      <c r="N31" s="1">
        <f t="shared" si="3"/>
        <v>92231.060246008681</v>
      </c>
      <c r="O31" s="1"/>
    </row>
    <row r="32" spans="1:25" x14ac:dyDescent="0.25">
      <c r="A32">
        <v>31</v>
      </c>
      <c r="B32">
        <v>586446.74959999998</v>
      </c>
      <c r="C32" s="1">
        <v>3.7200000000000003E-5</v>
      </c>
      <c r="D32">
        <v>1064238.3489999999</v>
      </c>
      <c r="E32">
        <v>10333.29081</v>
      </c>
      <c r="F32">
        <v>1451409.389</v>
      </c>
      <c r="G32">
        <v>1669.215925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3.5080208974406703E-2</v>
      </c>
      <c r="M32" s="1">
        <f t="shared" si="2"/>
        <v>3268142.7717026202</v>
      </c>
      <c r="N32" s="1">
        <f t="shared" si="3"/>
        <v>247012.29256350594</v>
      </c>
      <c r="O32" s="1"/>
    </row>
    <row r="33" spans="1:15" x14ac:dyDescent="0.25">
      <c r="A33">
        <v>32</v>
      </c>
      <c r="B33">
        <v>598863.00379999995</v>
      </c>
      <c r="C33">
        <v>0</v>
      </c>
      <c r="D33">
        <v>1070569.9509999999</v>
      </c>
      <c r="E33">
        <v>9198.7004799999995</v>
      </c>
      <c r="F33">
        <v>1475724.1059999999</v>
      </c>
      <c r="G33">
        <v>951.43118010000001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0</v>
      </c>
      <c r="M33" s="1">
        <f t="shared" si="2"/>
        <v>1272929.0571701163</v>
      </c>
      <c r="N33" s="1">
        <f t="shared" si="3"/>
        <v>61602.562831572897</v>
      </c>
      <c r="O33" s="1"/>
    </row>
    <row r="34" spans="1:15" x14ac:dyDescent="0.25">
      <c r="A34">
        <v>33</v>
      </c>
      <c r="B34">
        <v>601496.34459999995</v>
      </c>
      <c r="C34">
        <v>830.83360849999997</v>
      </c>
      <c r="D34">
        <v>1058122.304</v>
      </c>
      <c r="E34">
        <v>7232.0743849999999</v>
      </c>
      <c r="F34">
        <v>1434478.459</v>
      </c>
      <c r="G34">
        <v>0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354051.18859328021</v>
      </c>
      <c r="M34" s="1">
        <f t="shared" si="2"/>
        <v>1033613.1405415131</v>
      </c>
      <c r="N34" s="1">
        <f t="shared" si="3"/>
        <v>0</v>
      </c>
      <c r="O34" s="1"/>
    </row>
    <row r="35" spans="1:15" x14ac:dyDescent="0.25">
      <c r="A35">
        <v>34</v>
      </c>
      <c r="B35">
        <v>599859.0514</v>
      </c>
      <c r="C35">
        <v>830.83358150000004</v>
      </c>
      <c r="D35">
        <v>1055031.0719999999</v>
      </c>
      <c r="E35">
        <v>7232.0743849999999</v>
      </c>
      <c r="F35">
        <v>1425782.25</v>
      </c>
      <c r="G35">
        <v>0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379774.22104582371</v>
      </c>
      <c r="M35" s="1">
        <f t="shared" si="2"/>
        <v>1108708.7142061938</v>
      </c>
      <c r="N35" s="1">
        <f t="shared" si="3"/>
        <v>0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>
        <v>14796.73611</v>
      </c>
      <c r="F36">
        <v>1265153.023</v>
      </c>
      <c r="G36">
        <v>663.78910729999996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69618511.689175472</v>
      </c>
      <c r="N36" s="1">
        <f t="shared" si="3"/>
        <v>1461277.1918204906</v>
      </c>
      <c r="O36" s="1"/>
    </row>
    <row r="37" spans="1:15" x14ac:dyDescent="0.25">
      <c r="A37">
        <v>36</v>
      </c>
      <c r="B37">
        <v>601905.54110000003</v>
      </c>
      <c r="C37">
        <v>723.46584399999995</v>
      </c>
      <c r="D37">
        <v>1065052.3870000001</v>
      </c>
      <c r="E37">
        <v>11019.08612</v>
      </c>
      <c r="F37">
        <v>1484167.2609999999</v>
      </c>
      <c r="G37">
        <v>777.94263120000005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469082.76192758552</v>
      </c>
      <c r="M37" s="1">
        <f t="shared" si="2"/>
        <v>2396183.9544426687</v>
      </c>
      <c r="N37" s="1">
        <f t="shared" si="3"/>
        <v>79152.717162755303</v>
      </c>
      <c r="O37" s="1"/>
    </row>
    <row r="38" spans="1:15" x14ac:dyDescent="0.25">
      <c r="A38">
        <v>37</v>
      </c>
      <c r="B38">
        <v>632414.45990000002</v>
      </c>
      <c r="C38">
        <v>6940.3855149999999</v>
      </c>
      <c r="D38">
        <v>1115824.4069999999</v>
      </c>
      <c r="E38">
        <v>11256.42519</v>
      </c>
      <c r="F38">
        <v>1533520.737</v>
      </c>
      <c r="G38">
        <v>2049.482133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2893236.5504314178</v>
      </c>
      <c r="M38" s="1">
        <f t="shared" si="2"/>
        <v>1573779.8284904442</v>
      </c>
      <c r="N38" s="1">
        <f t="shared" si="3"/>
        <v>134069.90446131368</v>
      </c>
      <c r="O38" s="1"/>
    </row>
    <row r="39" spans="1:15" x14ac:dyDescent="0.25">
      <c r="A39">
        <v>38</v>
      </c>
      <c r="B39">
        <v>631246.86849999998</v>
      </c>
      <c r="C39">
        <v>830.83356809999998</v>
      </c>
      <c r="D39">
        <v>1093682.8230000001</v>
      </c>
      <c r="E39">
        <v>10616.737810000001</v>
      </c>
      <c r="F39">
        <v>1543904.906</v>
      </c>
      <c r="G39">
        <v>1669.215925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206014.13580493708</v>
      </c>
      <c r="M39" s="1">
        <f t="shared" si="2"/>
        <v>882911.58417656529</v>
      </c>
      <c r="N39" s="1">
        <f t="shared" si="3"/>
        <v>64950.473328771819</v>
      </c>
      <c r="O39" s="1"/>
    </row>
    <row r="40" spans="1:15" x14ac:dyDescent="0.25">
      <c r="A40">
        <v>39</v>
      </c>
      <c r="B40">
        <v>634500.60600000003</v>
      </c>
      <c r="C40">
        <v>830.83357869999998</v>
      </c>
      <c r="D40">
        <v>1110085.9909999999</v>
      </c>
      <c r="E40">
        <v>9200.6502230000006</v>
      </c>
      <c r="F40">
        <v>1546883.1910000001</v>
      </c>
      <c r="G40">
        <v>1485.931429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526295.83783705393</v>
      </c>
      <c r="M40" s="1">
        <f t="shared" si="2"/>
        <v>1954688.4758673974</v>
      </c>
      <c r="N40" s="1">
        <f t="shared" si="3"/>
        <v>147707.13642704021</v>
      </c>
      <c r="O40" s="1"/>
    </row>
    <row r="41" spans="1:15" x14ac:dyDescent="0.25">
      <c r="A41">
        <v>40</v>
      </c>
      <c r="B41">
        <v>654875.77229999995</v>
      </c>
      <c r="C41">
        <v>830.83353620000003</v>
      </c>
      <c r="D41">
        <v>1143140.983</v>
      </c>
      <c r="E41">
        <v>8716.8757960000003</v>
      </c>
      <c r="F41">
        <v>1548153.882</v>
      </c>
      <c r="G41">
        <v>1952.6679409999999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393492.00249205675</v>
      </c>
      <c r="M41" s="1">
        <f t="shared" si="2"/>
        <v>1384604.9712223238</v>
      </c>
      <c r="N41" s="1">
        <f t="shared" si="3"/>
        <v>145123.28579113065</v>
      </c>
      <c r="O41" s="1"/>
    </row>
    <row r="42" spans="1:15" x14ac:dyDescent="0.25">
      <c r="A42">
        <v>41</v>
      </c>
      <c r="B42">
        <v>625705.83499999996</v>
      </c>
      <c r="C42">
        <v>830.83357450000005</v>
      </c>
      <c r="D42">
        <v>1120140.4790000001</v>
      </c>
      <c r="E42">
        <v>8716.8757960000003</v>
      </c>
      <c r="F42">
        <v>1520121.632</v>
      </c>
      <c r="G42">
        <v>1952.6679409999999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192979.00221468424</v>
      </c>
      <c r="M42" s="1">
        <f t="shared" si="2"/>
        <v>679047.2787205457</v>
      </c>
      <c r="N42" s="1">
        <f t="shared" si="3"/>
        <v>71172.337485149765</v>
      </c>
      <c r="O42" s="1"/>
    </row>
    <row r="43" spans="1:15" x14ac:dyDescent="0.25">
      <c r="A43">
        <v>42</v>
      </c>
      <c r="B43">
        <v>623032.63529999997</v>
      </c>
      <c r="C43">
        <v>830.83360889999994</v>
      </c>
      <c r="D43">
        <v>1103878.1680000001</v>
      </c>
      <c r="E43">
        <v>9463.5636300000006</v>
      </c>
      <c r="F43">
        <v>1498892.7919999999</v>
      </c>
      <c r="G43">
        <v>2049.7599909999999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171672.26618641304</v>
      </c>
      <c r="M43" s="1">
        <f t="shared" si="2"/>
        <v>655818.89836623904</v>
      </c>
      <c r="N43" s="1">
        <f t="shared" si="3"/>
        <v>66462.38332278606</v>
      </c>
      <c r="O43" s="1"/>
    </row>
    <row r="44" spans="1:15" x14ac:dyDescent="0.25">
      <c r="A44">
        <v>43</v>
      </c>
      <c r="B44">
        <v>613221.04539999994</v>
      </c>
      <c r="C44">
        <v>6687.0159700000004</v>
      </c>
      <c r="D44">
        <v>1094689.42</v>
      </c>
      <c r="E44">
        <v>6656.8887580000001</v>
      </c>
      <c r="F44">
        <v>1477008.7290000001</v>
      </c>
      <c r="G44">
        <v>97.092049770000003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1390628.6516414394</v>
      </c>
      <c r="M44" s="1">
        <f t="shared" si="2"/>
        <v>464294.19015196903</v>
      </c>
      <c r="N44" s="1">
        <f t="shared" si="3"/>
        <v>3168.4677981179098</v>
      </c>
      <c r="O44" s="1"/>
    </row>
    <row r="45" spans="1:15" x14ac:dyDescent="0.25">
      <c r="A45">
        <v>44</v>
      </c>
      <c r="B45">
        <v>623289.37150000001</v>
      </c>
      <c r="C45">
        <v>6687.0159860000003</v>
      </c>
      <c r="D45">
        <v>1093018.0379999999</v>
      </c>
      <c r="E45">
        <v>7232.0743849999999</v>
      </c>
      <c r="F45">
        <v>1473073.023</v>
      </c>
      <c r="G45">
        <v>0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2525928.4462866466</v>
      </c>
      <c r="M45" s="1">
        <f t="shared" si="2"/>
        <v>916209.31685412454</v>
      </c>
      <c r="N45" s="1">
        <f t="shared" si="3"/>
        <v>0</v>
      </c>
      <c r="O45" s="1"/>
    </row>
    <row r="46" spans="1:15" x14ac:dyDescent="0.25">
      <c r="A46">
        <v>45</v>
      </c>
      <c r="B46">
        <v>623978.84829999995</v>
      </c>
      <c r="C46">
        <v>6687.0159720000001</v>
      </c>
      <c r="D46">
        <v>1081143.4010000001</v>
      </c>
      <c r="E46">
        <v>7865.9377560000003</v>
      </c>
      <c r="F46">
        <v>1448935.466</v>
      </c>
      <c r="G46">
        <v>0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4821221.8361549824</v>
      </c>
      <c r="M46" s="1">
        <f t="shared" si="2"/>
        <v>1902034.5293047782</v>
      </c>
      <c r="N46" s="1">
        <f t="shared" si="3"/>
        <v>0</v>
      </c>
      <c r="O46" s="1"/>
    </row>
    <row r="47" spans="1:15" x14ac:dyDescent="0.25">
      <c r="A47">
        <v>46</v>
      </c>
      <c r="B47">
        <v>683647.95279999997</v>
      </c>
      <c r="C47">
        <v>830.83360970000001</v>
      </c>
      <c r="D47">
        <v>1142893.0830000001</v>
      </c>
      <c r="E47">
        <v>7480.9806840000001</v>
      </c>
      <c r="F47">
        <v>1571932.2890000001</v>
      </c>
      <c r="G47">
        <v>2049.7599909999999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165512.33469232928</v>
      </c>
      <c r="M47" s="1">
        <f t="shared" si="2"/>
        <v>499825.00434848171</v>
      </c>
      <c r="N47" s="1">
        <f t="shared" si="3"/>
        <v>64077.584963163754</v>
      </c>
      <c r="O47" s="1"/>
    </row>
    <row r="48" spans="1:15" x14ac:dyDescent="0.25">
      <c r="A48">
        <v>47</v>
      </c>
      <c r="B48">
        <v>706893.60699999996</v>
      </c>
      <c r="C48">
        <v>830.83354369999995</v>
      </c>
      <c r="D48">
        <v>1181617.9180000001</v>
      </c>
      <c r="E48">
        <v>6734.2928499999998</v>
      </c>
      <c r="F48">
        <v>1576696.86</v>
      </c>
      <c r="G48">
        <v>737.03925279999999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375005.01372220478</v>
      </c>
      <c r="M48" s="1">
        <f t="shared" si="2"/>
        <v>1019431.824612055</v>
      </c>
      <c r="N48" s="1">
        <f t="shared" si="3"/>
        <v>52203.603801545782</v>
      </c>
      <c r="O48" s="1"/>
    </row>
    <row r="49" spans="1:15" x14ac:dyDescent="0.25">
      <c r="A49">
        <v>48</v>
      </c>
      <c r="B49">
        <v>683325.00210000004</v>
      </c>
      <c r="C49">
        <v>830.83363120000001</v>
      </c>
      <c r="D49">
        <v>1178616.9280000001</v>
      </c>
      <c r="E49">
        <v>6920.2068159999999</v>
      </c>
      <c r="F49">
        <v>1583613.334</v>
      </c>
      <c r="G49">
        <v>2049.7599909999999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361826.10927904886</v>
      </c>
      <c r="M49" s="1">
        <f t="shared" si="2"/>
        <v>1010759.9962388611</v>
      </c>
      <c r="N49" s="1">
        <f t="shared" si="3"/>
        <v>140079.84783941606</v>
      </c>
      <c r="O49" s="1"/>
    </row>
    <row r="50" spans="1:15" x14ac:dyDescent="0.25">
      <c r="A50">
        <v>49</v>
      </c>
      <c r="B50">
        <v>640322.72990000003</v>
      </c>
      <c r="C50">
        <v>6687.0159450000001</v>
      </c>
      <c r="D50">
        <v>1134765.5319999999</v>
      </c>
      <c r="E50">
        <v>10322.634459999999</v>
      </c>
      <c r="F50">
        <v>1534006.2720000001</v>
      </c>
      <c r="G50">
        <v>2049.7599909999999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2820412.1991372099</v>
      </c>
      <c r="M50" s="1">
        <f t="shared" si="2"/>
        <v>1460205.2691350828</v>
      </c>
      <c r="N50" s="1">
        <f t="shared" si="3"/>
        <v>135665.6977342052</v>
      </c>
      <c r="O50" s="1"/>
    </row>
    <row r="51" spans="1:15" x14ac:dyDescent="0.25">
      <c r="A51">
        <v>50</v>
      </c>
      <c r="B51">
        <v>646642.72640000004</v>
      </c>
      <c r="C51">
        <v>8282.4917459999997</v>
      </c>
      <c r="D51">
        <v>1141586.9539999999</v>
      </c>
      <c r="E51">
        <v>9223.7922170000002</v>
      </c>
      <c r="F51">
        <v>1537749.9469999999</v>
      </c>
      <c r="G51">
        <v>1539.8702169999999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4508621.3709665341</v>
      </c>
      <c r="M51" s="1">
        <f t="shared" si="2"/>
        <v>1683974.0765135188</v>
      </c>
      <c r="N51" s="1">
        <f t="shared" si="3"/>
        <v>131538.74315993043</v>
      </c>
      <c r="O51" s="1"/>
    </row>
    <row r="52" spans="1:15" x14ac:dyDescent="0.25">
      <c r="A52">
        <v>51</v>
      </c>
      <c r="B52">
        <v>636716.86620000005</v>
      </c>
      <c r="C52">
        <v>8282.4917409999998</v>
      </c>
      <c r="D52">
        <v>1129001.483</v>
      </c>
      <c r="E52">
        <v>9223.7922170000002</v>
      </c>
      <c r="F52">
        <v>1523933.8089999999</v>
      </c>
      <c r="G52">
        <v>1539.8702169999999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3431110.8917218093</v>
      </c>
      <c r="M52" s="1">
        <f t="shared" si="2"/>
        <v>1281522.958658224</v>
      </c>
      <c r="N52" s="1">
        <f t="shared" si="3"/>
        <v>100102.44318101593</v>
      </c>
      <c r="O52" s="1"/>
    </row>
    <row r="53" spans="1:15" x14ac:dyDescent="0.25">
      <c r="A53">
        <v>52</v>
      </c>
      <c r="B53">
        <v>654341.81259999995</v>
      </c>
      <c r="C53">
        <v>9067.3470269999998</v>
      </c>
      <c r="D53">
        <v>1145072.1640000001</v>
      </c>
      <c r="E53">
        <v>7977.1082759999999</v>
      </c>
      <c r="F53">
        <v>1535235.7139999999</v>
      </c>
      <c r="G53">
        <v>2759.9325880000001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4489507.2953449022</v>
      </c>
      <c r="M53" s="1">
        <f t="shared" si="2"/>
        <v>1324668.0697467623</v>
      </c>
      <c r="N53" s="1">
        <f t="shared" si="3"/>
        <v>214438.98047019824</v>
      </c>
      <c r="O53" s="1"/>
    </row>
    <row r="54" spans="1:15" x14ac:dyDescent="0.25">
      <c r="A54">
        <v>53</v>
      </c>
      <c r="B54">
        <v>558219.8077</v>
      </c>
      <c r="C54" s="1">
        <v>-1.0699999999999999E-5</v>
      </c>
      <c r="D54">
        <v>989736.83609999996</v>
      </c>
      <c r="E54">
        <v>13439.176450000001</v>
      </c>
      <c r="F54">
        <v>1433753.9809999999</v>
      </c>
      <c r="G54">
        <v>520.65061479999997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-1.0096072549815524E-2</v>
      </c>
      <c r="M54" s="1">
        <f t="shared" si="2"/>
        <v>4252893.2132100575</v>
      </c>
      <c r="N54" s="1">
        <f t="shared" si="3"/>
        <v>77090.681635217741</v>
      </c>
      <c r="O54" s="1"/>
    </row>
    <row r="55" spans="1:15" x14ac:dyDescent="0.25">
      <c r="A55">
        <v>54</v>
      </c>
      <c r="B55">
        <v>657888.67310000001</v>
      </c>
      <c r="C55">
        <v>830.83353339999996</v>
      </c>
      <c r="D55">
        <v>1119389.7080000001</v>
      </c>
      <c r="E55">
        <v>9849.5163859999993</v>
      </c>
      <c r="F55">
        <v>1545799.1869999999</v>
      </c>
      <c r="G55">
        <v>2309.1631280000001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462254.30995063466</v>
      </c>
      <c r="M55" s="1">
        <f t="shared" si="2"/>
        <v>1837913.1973205709</v>
      </c>
      <c r="N55" s="1">
        <f t="shared" si="3"/>
        <v>201608.28793177556</v>
      </c>
      <c r="O55" s="1"/>
    </row>
    <row r="56" spans="1:15" x14ac:dyDescent="0.25">
      <c r="A56">
        <v>55</v>
      </c>
      <c r="B56">
        <v>667430.5675</v>
      </c>
      <c r="C56">
        <v>830.83356900000001</v>
      </c>
      <c r="D56">
        <v>1144125.638</v>
      </c>
      <c r="E56">
        <v>7480.9806840000001</v>
      </c>
      <c r="F56">
        <v>1567041.3</v>
      </c>
      <c r="G56">
        <v>2049.7599909999999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295592.74511610885</v>
      </c>
      <c r="M56" s="1">
        <f t="shared" si="2"/>
        <v>892650.40351971483</v>
      </c>
      <c r="N56" s="1">
        <f t="shared" si="3"/>
        <v>114437.81638834829</v>
      </c>
      <c r="O56" s="1"/>
    </row>
    <row r="57" spans="1:15" x14ac:dyDescent="0.25">
      <c r="A57">
        <v>56</v>
      </c>
      <c r="B57">
        <v>703969.06350000005</v>
      </c>
      <c r="C57">
        <v>6687.0159999999996</v>
      </c>
      <c r="D57">
        <v>1151677.375</v>
      </c>
      <c r="E57">
        <v>9312.6285630000002</v>
      </c>
      <c r="F57">
        <v>1574381.389</v>
      </c>
      <c r="G57">
        <v>942.12852910000004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2697324.091643136</v>
      </c>
      <c r="M57" s="1">
        <f t="shared" si="2"/>
        <v>1259842.3039817531</v>
      </c>
      <c r="N57" s="1">
        <f t="shared" si="3"/>
        <v>59634.521552836501</v>
      </c>
      <c r="O57" s="1"/>
    </row>
    <row r="58" spans="1:15" x14ac:dyDescent="0.25">
      <c r="A58">
        <v>57</v>
      </c>
      <c r="B58">
        <v>716864.38890000002</v>
      </c>
      <c r="C58">
        <v>6687.0159839999997</v>
      </c>
      <c r="D58">
        <v>1185634.0719999999</v>
      </c>
      <c r="E58">
        <v>9312.6285630000002</v>
      </c>
      <c r="F58">
        <v>1577632.6470000001</v>
      </c>
      <c r="G58">
        <v>97.092049770000003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6542141.977211873</v>
      </c>
      <c r="M58" s="1">
        <f t="shared" si="2"/>
        <v>3055645.8776321062</v>
      </c>
      <c r="N58" s="1">
        <f t="shared" si="3"/>
        <v>14905.896061933292</v>
      </c>
      <c r="O58" s="1"/>
    </row>
    <row r="59" spans="1:15" x14ac:dyDescent="0.25">
      <c r="A59">
        <v>58</v>
      </c>
      <c r="B59">
        <v>686818.17420000001</v>
      </c>
      <c r="C59">
        <v>6687.0159510000003</v>
      </c>
      <c r="D59">
        <v>1169405.317</v>
      </c>
      <c r="E59">
        <v>9388.9805099999994</v>
      </c>
      <c r="F59">
        <v>1569909.8959999999</v>
      </c>
      <c r="G59">
        <v>0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4714701.7268066891</v>
      </c>
      <c r="M59" s="1">
        <f t="shared" si="2"/>
        <v>2220155.7264968301</v>
      </c>
      <c r="N59" s="1">
        <f t="shared" si="3"/>
        <v>0</v>
      </c>
      <c r="O59" s="1"/>
    </row>
    <row r="60" spans="1:15" x14ac:dyDescent="0.25">
      <c r="A60">
        <v>59</v>
      </c>
      <c r="B60">
        <v>656568.69330000004</v>
      </c>
      <c r="C60">
        <v>8555.5389770000002</v>
      </c>
      <c r="D60">
        <v>1144579.612</v>
      </c>
      <c r="E60">
        <v>6421.9352239999998</v>
      </c>
      <c r="F60">
        <v>1547928.307</v>
      </c>
      <c r="G60">
        <v>1220.062371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2882323.7316240082</v>
      </c>
      <c r="M60" s="1">
        <f t="shared" si="2"/>
        <v>725611.97426493827</v>
      </c>
      <c r="N60" s="1">
        <f t="shared" si="3"/>
        <v>64500.670809824544</v>
      </c>
      <c r="O60" s="1"/>
    </row>
    <row r="61" spans="1:15" x14ac:dyDescent="0.25">
      <c r="A61">
        <v>60</v>
      </c>
      <c r="B61">
        <v>659034.6986</v>
      </c>
      <c r="C61" s="1">
        <v>-2.4700000000000001E-5</v>
      </c>
      <c r="D61">
        <v>1077264.7660000001</v>
      </c>
      <c r="E61">
        <v>8453.5577369999992</v>
      </c>
      <c r="F61">
        <v>1464171.1089999999</v>
      </c>
      <c r="G61">
        <v>0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-8.6826517268825763E-3</v>
      </c>
      <c r="M61" s="1">
        <f t="shared" si="2"/>
        <v>996639.48271537106</v>
      </c>
      <c r="N61" s="1">
        <f t="shared" si="3"/>
        <v>0</v>
      </c>
      <c r="O61" s="1"/>
    </row>
    <row r="62" spans="1:15" x14ac:dyDescent="0.25">
      <c r="A62">
        <v>61</v>
      </c>
      <c r="B62">
        <v>680583.82539999997</v>
      </c>
      <c r="C62">
        <v>9785.3393190000006</v>
      </c>
      <c r="D62">
        <v>1147397.125</v>
      </c>
      <c r="E62">
        <v>1962.8595049999999</v>
      </c>
      <c r="F62">
        <v>1531584.226</v>
      </c>
      <c r="G62">
        <v>1437.5216049999999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3044575.9825420314</v>
      </c>
      <c r="M62" s="1">
        <f t="shared" si="2"/>
        <v>204825.14898343413</v>
      </c>
      <c r="N62" s="1">
        <f t="shared" si="3"/>
        <v>70186.263544117013</v>
      </c>
      <c r="O62" s="1"/>
    </row>
    <row r="63" spans="1:15" x14ac:dyDescent="0.25">
      <c r="A63">
        <v>62</v>
      </c>
      <c r="B63">
        <v>655803.60019999999</v>
      </c>
      <c r="C63">
        <v>10128.17633</v>
      </c>
      <c r="D63">
        <v>1136514.3940000001</v>
      </c>
      <c r="E63">
        <v>7824.6546850000004</v>
      </c>
      <c r="F63">
        <v>1523551.2109999999</v>
      </c>
      <c r="G63">
        <v>1220.062371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4630512.5265064761</v>
      </c>
      <c r="M63" s="1">
        <f t="shared" si="2"/>
        <v>1199792.4566934211</v>
      </c>
      <c r="N63" s="1">
        <f t="shared" si="3"/>
        <v>87531.960893730502</v>
      </c>
      <c r="O63" s="1"/>
    </row>
    <row r="64" spans="1:15" x14ac:dyDescent="0.25">
      <c r="A64">
        <v>63</v>
      </c>
      <c r="B64">
        <v>665915.45920000004</v>
      </c>
      <c r="C64">
        <v>9320.539976</v>
      </c>
      <c r="D64">
        <v>1111753.7879999999</v>
      </c>
      <c r="E64">
        <v>7041.9274249999999</v>
      </c>
      <c r="F64">
        <v>1494529.0360000001</v>
      </c>
      <c r="G64">
        <v>1220.062371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20834685.055479404</v>
      </c>
      <c r="M64" s="1">
        <f t="shared" si="2"/>
        <v>5279351.1337562008</v>
      </c>
      <c r="N64" s="1">
        <f t="shared" si="3"/>
        <v>427971.36744877486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>
        <v>8853.2450420000005</v>
      </c>
      <c r="F65">
        <v>1100057.0819999999</v>
      </c>
      <c r="G65">
        <v>8192.9439619999994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13850881.851451345</v>
      </c>
      <c r="N65" s="1">
        <f t="shared" si="3"/>
        <v>5997339.0599972764</v>
      </c>
      <c r="O65" s="1"/>
    </row>
    <row r="66" spans="1:15" x14ac:dyDescent="0.25">
      <c r="A66">
        <v>65</v>
      </c>
      <c r="B66">
        <v>532611.43290000001</v>
      </c>
      <c r="C66" s="1">
        <v>-4.2599999999999999E-5</v>
      </c>
      <c r="D66">
        <v>938933.34239999996</v>
      </c>
      <c r="E66">
        <v>14591.817730000001</v>
      </c>
      <c r="F66">
        <v>1367756.4140000001</v>
      </c>
      <c r="G66">
        <v>1929.132987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-1.9930493308016849E-2</v>
      </c>
      <c r="M66" s="1">
        <f t="shared" si="2"/>
        <v>2289607.2006163066</v>
      </c>
      <c r="N66" s="1">
        <f t="shared" si="3"/>
        <v>141630.70974875992</v>
      </c>
      <c r="O66" s="1"/>
    </row>
    <row r="67" spans="1:15" x14ac:dyDescent="0.25">
      <c r="A67">
        <v>66</v>
      </c>
      <c r="B67">
        <v>553286.84589999996</v>
      </c>
      <c r="C67" s="1">
        <v>2.8E-5</v>
      </c>
      <c r="D67">
        <v>975253.5638</v>
      </c>
      <c r="E67">
        <v>14164.466210000001</v>
      </c>
      <c r="F67">
        <v>1406559.6259999999</v>
      </c>
      <c r="G67">
        <v>520.65061479999997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1.4992788669131002E-2</v>
      </c>
      <c r="M67" s="1">
        <f t="shared" ref="M67:M130" si="7">$U$3*$K67*E67</f>
        <v>2543710.8226632844</v>
      </c>
      <c r="N67" s="1">
        <f t="shared" ref="N67:N130" si="8">$U$4*$K67*G67</f>
        <v>43747.938081936925</v>
      </c>
      <c r="O67" s="1"/>
    </row>
    <row r="68" spans="1:15" x14ac:dyDescent="0.25">
      <c r="A68">
        <v>67</v>
      </c>
      <c r="B68">
        <v>595570.29410000006</v>
      </c>
      <c r="C68">
        <v>3925.9696049999998</v>
      </c>
      <c r="D68">
        <v>1045099.18</v>
      </c>
      <c r="E68">
        <v>9629.3519529999994</v>
      </c>
      <c r="F68">
        <v>1474977.254</v>
      </c>
      <c r="G68">
        <v>563.55070390000003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2542438.2990200603</v>
      </c>
      <c r="M68" s="1">
        <f t="shared" si="7"/>
        <v>2091431.7008912317</v>
      </c>
      <c r="N68" s="1">
        <f t="shared" si="8"/>
        <v>57269.488047547129</v>
      </c>
      <c r="O68" s="1"/>
    </row>
    <row r="69" spans="1:15" x14ac:dyDescent="0.25">
      <c r="A69">
        <v>68</v>
      </c>
      <c r="B69">
        <v>624702.1311</v>
      </c>
      <c r="C69">
        <v>6940.3855270000004</v>
      </c>
      <c r="D69">
        <v>1095124.871</v>
      </c>
      <c r="E69">
        <v>10333.29081</v>
      </c>
      <c r="F69">
        <v>1511831.5460000001</v>
      </c>
      <c r="G69">
        <v>1669.215925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3187171.0340079055</v>
      </c>
      <c r="M69" s="1">
        <f t="shared" si="7"/>
        <v>1591488.7139677026</v>
      </c>
      <c r="N69" s="1">
        <f t="shared" si="8"/>
        <v>120287.66895679523</v>
      </c>
      <c r="O69" s="1"/>
    </row>
    <row r="70" spans="1:15" x14ac:dyDescent="0.25">
      <c r="A70">
        <v>69</v>
      </c>
      <c r="B70">
        <v>649439.59880000004</v>
      </c>
      <c r="C70">
        <v>830.83355040000004</v>
      </c>
      <c r="D70">
        <v>1110700.0260000001</v>
      </c>
      <c r="E70">
        <v>9849.5163859999993</v>
      </c>
      <c r="F70">
        <v>1540817.6769999999</v>
      </c>
      <c r="G70">
        <v>1952.6679409999999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220629.61541691542</v>
      </c>
      <c r="M70" s="1">
        <f t="shared" si="7"/>
        <v>877218.58913714672</v>
      </c>
      <c r="N70" s="1">
        <f t="shared" si="8"/>
        <v>81370.126920294613</v>
      </c>
      <c r="O70" s="1"/>
    </row>
    <row r="71" spans="1:15" x14ac:dyDescent="0.25">
      <c r="A71">
        <v>70</v>
      </c>
      <c r="B71">
        <v>618703.35389999999</v>
      </c>
      <c r="C71">
        <v>6940.385518</v>
      </c>
      <c r="D71">
        <v>1085522.959</v>
      </c>
      <c r="E71">
        <v>9947.3380570000008</v>
      </c>
      <c r="F71">
        <v>1497735.8289999999</v>
      </c>
      <c r="G71">
        <v>1952.6679409999999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1754924.2548557124</v>
      </c>
      <c r="M71" s="1">
        <f t="shared" si="7"/>
        <v>843577.1277281536</v>
      </c>
      <c r="N71" s="1">
        <f t="shared" si="8"/>
        <v>77480.067905598364</v>
      </c>
      <c r="O71" s="1"/>
    </row>
    <row r="72" spans="1:15" x14ac:dyDescent="0.25">
      <c r="A72">
        <v>71</v>
      </c>
      <c r="B72">
        <v>662425.14839999995</v>
      </c>
      <c r="C72">
        <v>6687.016012</v>
      </c>
      <c r="D72">
        <v>1146003.0649999999</v>
      </c>
      <c r="E72">
        <v>9312.6285630000002</v>
      </c>
      <c r="F72">
        <v>1563460.0390000001</v>
      </c>
      <c r="G72">
        <v>97.092049770000003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1634471.9773528874</v>
      </c>
      <c r="M72" s="1">
        <f t="shared" si="7"/>
        <v>763414.72811012482</v>
      </c>
      <c r="N72" s="1">
        <f t="shared" si="8"/>
        <v>3724.0508373885073</v>
      </c>
      <c r="O72" s="1"/>
    </row>
    <row r="73" spans="1:15" x14ac:dyDescent="0.25">
      <c r="A73">
        <v>72</v>
      </c>
      <c r="B73">
        <v>624109.89859999996</v>
      </c>
      <c r="C73">
        <v>830.83359959999996</v>
      </c>
      <c r="D73">
        <v>1119524.284</v>
      </c>
      <c r="E73">
        <v>9151.2337680000001</v>
      </c>
      <c r="F73">
        <v>1513477.7</v>
      </c>
      <c r="G73">
        <v>97.092049770000003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294694.37728234293</v>
      </c>
      <c r="M73" s="1">
        <f t="shared" si="7"/>
        <v>1088630.7180708298</v>
      </c>
      <c r="N73" s="1">
        <f t="shared" si="8"/>
        <v>5404.1610522266101</v>
      </c>
      <c r="O73" s="1"/>
    </row>
    <row r="74" spans="1:15" x14ac:dyDescent="0.25">
      <c r="A74">
        <v>73</v>
      </c>
      <c r="B74">
        <v>643838.20460000006</v>
      </c>
      <c r="C74">
        <v>6687.0159599999997</v>
      </c>
      <c r="D74">
        <v>1140932.058</v>
      </c>
      <c r="E74">
        <v>8360.5277330000008</v>
      </c>
      <c r="F74">
        <v>1544322.327</v>
      </c>
      <c r="G74">
        <v>0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5236634.6435269807</v>
      </c>
      <c r="M74" s="1">
        <f t="shared" si="7"/>
        <v>2195820.0362329776</v>
      </c>
      <c r="N74" s="1">
        <f t="shared" si="8"/>
        <v>0</v>
      </c>
      <c r="O74" s="1"/>
    </row>
    <row r="75" spans="1:15" x14ac:dyDescent="0.25">
      <c r="A75">
        <v>74</v>
      </c>
      <c r="B75">
        <v>653928.64280000003</v>
      </c>
      <c r="C75">
        <v>8555.5389070000001</v>
      </c>
      <c r="D75">
        <v>1127760.9809999999</v>
      </c>
      <c r="E75">
        <v>7903.9117640000004</v>
      </c>
      <c r="F75">
        <v>1530798.898</v>
      </c>
      <c r="G75">
        <v>1220.062371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5343939.1128388429</v>
      </c>
      <c r="M75" s="1">
        <f t="shared" si="7"/>
        <v>1655767.4889045432</v>
      </c>
      <c r="N75" s="1">
        <f t="shared" si="8"/>
        <v>119586.72670364182</v>
      </c>
      <c r="O75" s="1"/>
    </row>
    <row r="76" spans="1:15" x14ac:dyDescent="0.25">
      <c r="A76">
        <v>75</v>
      </c>
      <c r="B76">
        <v>661320.95479999995</v>
      </c>
      <c r="C76">
        <v>9320.5399959999995</v>
      </c>
      <c r="D76">
        <v>1129542.2379999999</v>
      </c>
      <c r="E76">
        <v>6510.8089829999999</v>
      </c>
      <c r="F76">
        <v>1519406.298</v>
      </c>
      <c r="G76">
        <v>964.41756269999996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3269884.0719063235</v>
      </c>
      <c r="M76" s="1">
        <f t="shared" si="7"/>
        <v>766071.61756331089</v>
      </c>
      <c r="N76" s="1">
        <f t="shared" si="8"/>
        <v>53093.726343334587</v>
      </c>
      <c r="O76" s="1"/>
    </row>
    <row r="77" spans="1:15" x14ac:dyDescent="0.25">
      <c r="A77">
        <v>76</v>
      </c>
      <c r="B77">
        <v>675412.00450000004</v>
      </c>
      <c r="C77">
        <v>10128.1764</v>
      </c>
      <c r="D77">
        <v>1141519.4240000001</v>
      </c>
      <c r="E77">
        <v>914.32895150000002</v>
      </c>
      <c r="F77">
        <v>1523316.943</v>
      </c>
      <c r="G77">
        <v>0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3107488.8340374283</v>
      </c>
      <c r="M77" s="1">
        <f t="shared" si="7"/>
        <v>94085.766761496547</v>
      </c>
      <c r="N77" s="1">
        <f t="shared" si="8"/>
        <v>0</v>
      </c>
      <c r="O77" s="1"/>
    </row>
    <row r="78" spans="1:15" x14ac:dyDescent="0.25">
      <c r="A78">
        <v>77</v>
      </c>
      <c r="B78">
        <v>696186.70669999998</v>
      </c>
      <c r="C78">
        <v>9616.3683309999997</v>
      </c>
      <c r="D78">
        <v>1136004.969</v>
      </c>
      <c r="E78">
        <v>914.32895150000002</v>
      </c>
      <c r="F78">
        <v>1508295.5970000001</v>
      </c>
      <c r="G78">
        <v>1220.062371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4430215.4423848912</v>
      </c>
      <c r="M78" s="1">
        <f t="shared" si="7"/>
        <v>141273.06436155608</v>
      </c>
      <c r="N78" s="1">
        <f t="shared" si="8"/>
        <v>88202.847319071574</v>
      </c>
      <c r="O78" s="1"/>
    </row>
    <row r="79" spans="1:15" x14ac:dyDescent="0.25">
      <c r="A79">
        <v>78</v>
      </c>
      <c r="B79">
        <v>559522.71499999997</v>
      </c>
      <c r="C79" s="1">
        <v>-1.1199999999999999E-5</v>
      </c>
      <c r="D79">
        <v>994268.05130000005</v>
      </c>
      <c r="E79">
        <v>8379.8444909999998</v>
      </c>
      <c r="F79">
        <v>1407068.567</v>
      </c>
      <c r="G79">
        <v>677.20123669999998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-8.1322592474395994E-3</v>
      </c>
      <c r="M79" s="1">
        <f t="shared" si="7"/>
        <v>2040667.6912336312</v>
      </c>
      <c r="N79" s="1">
        <f t="shared" si="8"/>
        <v>77160.982691232566</v>
      </c>
      <c r="O79" s="1"/>
    </row>
    <row r="80" spans="1:15" x14ac:dyDescent="0.25">
      <c r="A80">
        <v>79</v>
      </c>
      <c r="B80">
        <v>539763.70719999995</v>
      </c>
      <c r="C80" s="1">
        <v>-1.8300000000000001E-5</v>
      </c>
      <c r="D80">
        <v>972729.84400000004</v>
      </c>
      <c r="E80">
        <v>13751.91792</v>
      </c>
      <c r="F80">
        <v>1384357.105</v>
      </c>
      <c r="G80">
        <v>520.65061479999997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-2.5274793833730679E-2</v>
      </c>
      <c r="M80" s="1">
        <f t="shared" si="7"/>
        <v>6370051.4563860642</v>
      </c>
      <c r="N80" s="1">
        <f t="shared" si="8"/>
        <v>112841.7291924727</v>
      </c>
      <c r="O80" s="1"/>
    </row>
    <row r="81" spans="1:15" x14ac:dyDescent="0.25">
      <c r="A81">
        <v>80</v>
      </c>
      <c r="B81">
        <v>574092.85419999994</v>
      </c>
      <c r="C81">
        <v>723.46591869999997</v>
      </c>
      <c r="D81">
        <v>1013672.069</v>
      </c>
      <c r="E81">
        <v>10230.78505</v>
      </c>
      <c r="F81">
        <v>1412382.041</v>
      </c>
      <c r="G81">
        <v>777.94263120000005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525890.75256437436</v>
      </c>
      <c r="M81" s="1">
        <f t="shared" si="7"/>
        <v>2494190.118011151</v>
      </c>
      <c r="N81" s="1">
        <f t="shared" si="8"/>
        <v>88738.451029857664</v>
      </c>
      <c r="O81" s="1"/>
    </row>
    <row r="82" spans="1:15" x14ac:dyDescent="0.25">
      <c r="A82">
        <v>81</v>
      </c>
      <c r="B82">
        <v>601412.6483</v>
      </c>
      <c r="C82">
        <v>830.83363120000001</v>
      </c>
      <c r="D82">
        <v>1047764.909</v>
      </c>
      <c r="E82">
        <v>9849.5163859999993</v>
      </c>
      <c r="F82">
        <v>1457872.2919999999</v>
      </c>
      <c r="G82">
        <v>2506.144839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407436.27685245883</v>
      </c>
      <c r="M82" s="1">
        <f t="shared" si="7"/>
        <v>1619957.6856879229</v>
      </c>
      <c r="N82" s="1">
        <f t="shared" si="8"/>
        <v>192858.42182016495</v>
      </c>
      <c r="O82" s="1"/>
    </row>
    <row r="83" spans="1:15" x14ac:dyDescent="0.25">
      <c r="A83">
        <v>82</v>
      </c>
      <c r="B83">
        <v>628226.8848</v>
      </c>
      <c r="C83">
        <v>830.83360879999998</v>
      </c>
      <c r="D83">
        <v>1084681.236</v>
      </c>
      <c r="E83">
        <v>6656.8887580000001</v>
      </c>
      <c r="F83">
        <v>1514196.9439999999</v>
      </c>
      <c r="G83">
        <v>737.03925279999999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454886.23189588735</v>
      </c>
      <c r="M83" s="1">
        <f t="shared" si="7"/>
        <v>1222371.3785627412</v>
      </c>
      <c r="N83" s="1">
        <f t="shared" si="8"/>
        <v>63323.683404372649</v>
      </c>
      <c r="O83" s="1"/>
    </row>
    <row r="84" spans="1:15" x14ac:dyDescent="0.25">
      <c r="A84">
        <v>83</v>
      </c>
      <c r="B84">
        <v>622301.30759999994</v>
      </c>
      <c r="C84">
        <v>830.83362929999998</v>
      </c>
      <c r="D84">
        <v>1091641.6299999999</v>
      </c>
      <c r="E84">
        <v>8716.8757960000003</v>
      </c>
      <c r="F84">
        <v>1493463.81</v>
      </c>
      <c r="G84">
        <v>951.43118010000001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460690.39683661569</v>
      </c>
      <c r="M84" s="1">
        <f t="shared" si="7"/>
        <v>1621059.9914023024</v>
      </c>
      <c r="N84" s="1">
        <f t="shared" si="8"/>
        <v>82786.455270720908</v>
      </c>
      <c r="O84" s="1"/>
    </row>
    <row r="85" spans="1:15" x14ac:dyDescent="0.25">
      <c r="A85">
        <v>84</v>
      </c>
      <c r="B85">
        <v>635368.84180000005</v>
      </c>
      <c r="C85">
        <v>830.83362810000006</v>
      </c>
      <c r="D85">
        <v>1119773.2690000001</v>
      </c>
      <c r="E85">
        <v>6733.2407039999998</v>
      </c>
      <c r="F85">
        <v>1522926.388</v>
      </c>
      <c r="G85">
        <v>0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447605.90187796607</v>
      </c>
      <c r="M85" s="1">
        <f t="shared" si="7"/>
        <v>1216603.3697603245</v>
      </c>
      <c r="N85" s="1">
        <f t="shared" si="8"/>
        <v>0</v>
      </c>
      <c r="O85" s="1"/>
    </row>
    <row r="86" spans="1:15" x14ac:dyDescent="0.25">
      <c r="A86">
        <v>85</v>
      </c>
      <c r="B86">
        <v>643156.78170000005</v>
      </c>
      <c r="C86">
        <v>830.83362920000002</v>
      </c>
      <c r="D86">
        <v>1110231.675</v>
      </c>
      <c r="E86">
        <v>6733.2407039999998</v>
      </c>
      <c r="F86">
        <v>1501429.264</v>
      </c>
      <c r="G86">
        <v>0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412468.1964561604</v>
      </c>
      <c r="M86" s="1">
        <f t="shared" si="7"/>
        <v>1121098.2584406538</v>
      </c>
      <c r="N86" s="1">
        <f t="shared" si="8"/>
        <v>0</v>
      </c>
      <c r="O86" s="1"/>
    </row>
    <row r="87" spans="1:15" x14ac:dyDescent="0.25">
      <c r="A87">
        <v>86</v>
      </c>
      <c r="B87">
        <v>664435.13749999995</v>
      </c>
      <c r="C87">
        <v>8853.2450669999998</v>
      </c>
      <c r="D87">
        <v>1086262.635</v>
      </c>
      <c r="E87">
        <v>6003.9637469999998</v>
      </c>
      <c r="F87">
        <v>1481142.2990000001</v>
      </c>
      <c r="G87">
        <v>746.95832889999997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3488029.7246855232</v>
      </c>
      <c r="M87" s="1">
        <f t="shared" si="7"/>
        <v>793339.15518635768</v>
      </c>
      <c r="N87" s="1">
        <f t="shared" si="8"/>
        <v>46180.739227064048</v>
      </c>
      <c r="O87" s="1"/>
    </row>
    <row r="88" spans="1:15" x14ac:dyDescent="0.25">
      <c r="A88">
        <v>87</v>
      </c>
      <c r="B88">
        <v>681737.19609999994</v>
      </c>
      <c r="C88">
        <v>10507.57098</v>
      </c>
      <c r="D88">
        <v>1109749.132</v>
      </c>
      <c r="E88">
        <v>677.20123669999998</v>
      </c>
      <c r="F88">
        <v>1487923.7250000001</v>
      </c>
      <c r="G88">
        <v>446.31827040000002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4047800.2642177544</v>
      </c>
      <c r="M88" s="1">
        <f t="shared" si="7"/>
        <v>87493.868990443851</v>
      </c>
      <c r="N88" s="1">
        <f t="shared" si="8"/>
        <v>26980.389965626302</v>
      </c>
      <c r="O88" s="1"/>
    </row>
    <row r="89" spans="1:15" x14ac:dyDescent="0.25">
      <c r="A89">
        <v>88</v>
      </c>
      <c r="B89">
        <v>540322.37150000001</v>
      </c>
      <c r="C89" s="1">
        <v>4.4299999999999999E-6</v>
      </c>
      <c r="D89">
        <v>948476.53899999999</v>
      </c>
      <c r="E89">
        <v>8535.4550930000005</v>
      </c>
      <c r="F89">
        <v>1376484.825</v>
      </c>
      <c r="G89">
        <v>677.20123669999998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5.7502758373801652E-3</v>
      </c>
      <c r="M89" s="1">
        <f t="shared" si="7"/>
        <v>3715820.8778420072</v>
      </c>
      <c r="N89" s="1">
        <f t="shared" si="8"/>
        <v>137939.77380131188</v>
      </c>
      <c r="O89" s="1"/>
    </row>
    <row r="90" spans="1:15" x14ac:dyDescent="0.25">
      <c r="A90">
        <v>89</v>
      </c>
      <c r="B90">
        <v>500885.06209999998</v>
      </c>
      <c r="C90" s="1">
        <v>-4.9599999999999999E-5</v>
      </c>
      <c r="D90">
        <v>935810.10770000005</v>
      </c>
      <c r="E90">
        <v>14071.04378</v>
      </c>
      <c r="F90">
        <v>1341063.328</v>
      </c>
      <c r="G90">
        <v>1435.2162470000001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-0.15124377102628039</v>
      </c>
      <c r="M90" s="1">
        <f t="shared" si="7"/>
        <v>14390148.378931543</v>
      </c>
      <c r="N90" s="1">
        <f t="shared" si="8"/>
        <v>686752.07128770102</v>
      </c>
      <c r="O90" s="1"/>
    </row>
    <row r="91" spans="1:15" x14ac:dyDescent="0.25">
      <c r="A91">
        <v>90</v>
      </c>
      <c r="B91">
        <v>536905.21440000006</v>
      </c>
      <c r="C91">
        <v>3925.9696090000002</v>
      </c>
      <c r="D91">
        <v>978755.58089999994</v>
      </c>
      <c r="E91">
        <v>9349.549094</v>
      </c>
      <c r="F91">
        <v>1357029.52</v>
      </c>
      <c r="G91">
        <v>663.78910729999996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1624261.3044091165</v>
      </c>
      <c r="M91" s="1">
        <f t="shared" si="7"/>
        <v>1297307.0195289776</v>
      </c>
      <c r="N91" s="1">
        <f t="shared" si="8"/>
        <v>43094.902368150411</v>
      </c>
      <c r="O91" s="1"/>
    </row>
    <row r="92" spans="1:15" x14ac:dyDescent="0.25">
      <c r="A92">
        <v>91</v>
      </c>
      <c r="B92">
        <v>507687.76699999999</v>
      </c>
      <c r="C92" s="1">
        <v>3.4E-5</v>
      </c>
      <c r="D92">
        <v>941994.58479999995</v>
      </c>
      <c r="E92">
        <v>14071.043729999999</v>
      </c>
      <c r="F92">
        <v>1336454.125</v>
      </c>
      <c r="G92">
        <v>1435.2162470000001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3.1366476107492498E-2</v>
      </c>
      <c r="M92" s="1">
        <f t="shared" si="7"/>
        <v>4353677.5754871909</v>
      </c>
      <c r="N92" s="1">
        <f t="shared" si="8"/>
        <v>207773.88978743332</v>
      </c>
      <c r="O92" s="1"/>
    </row>
    <row r="93" spans="1:15" x14ac:dyDescent="0.25">
      <c r="A93">
        <v>92</v>
      </c>
      <c r="B93">
        <v>627792.07209999999</v>
      </c>
      <c r="C93">
        <v>6687.0160059999998</v>
      </c>
      <c r="D93">
        <v>1066481.791</v>
      </c>
      <c r="E93">
        <v>9312.6285630000002</v>
      </c>
      <c r="F93">
        <v>1439412.078</v>
      </c>
      <c r="G93">
        <v>737.03925279999999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4117782.6611624346</v>
      </c>
      <c r="M93" s="1">
        <f t="shared" si="7"/>
        <v>1923297.5401632152</v>
      </c>
      <c r="N93" s="1">
        <f t="shared" si="8"/>
        <v>71221.069471710405</v>
      </c>
      <c r="O93" s="1"/>
    </row>
    <row r="94" spans="1:15" x14ac:dyDescent="0.25">
      <c r="A94">
        <v>93</v>
      </c>
      <c r="B94">
        <v>670392.42839999998</v>
      </c>
      <c r="C94">
        <v>8282.4918120000002</v>
      </c>
      <c r="D94">
        <v>1110217.6100000001</v>
      </c>
      <c r="E94">
        <v>7865.9377560000003</v>
      </c>
      <c r="F94">
        <v>1503735.4680000001</v>
      </c>
      <c r="G94">
        <v>0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3374802.6361065754</v>
      </c>
      <c r="M94" s="1">
        <f t="shared" si="7"/>
        <v>1074932.0375067506</v>
      </c>
      <c r="N94" s="1">
        <f t="shared" si="8"/>
        <v>0</v>
      </c>
      <c r="O94" s="1"/>
    </row>
    <row r="95" spans="1:15" x14ac:dyDescent="0.25">
      <c r="A95">
        <v>94</v>
      </c>
      <c r="B95">
        <v>694974.45360000001</v>
      </c>
      <c r="C95">
        <v>8853.2450229999995</v>
      </c>
      <c r="D95">
        <v>1127144.4029999999</v>
      </c>
      <c r="E95">
        <v>1591.7885369999999</v>
      </c>
      <c r="F95">
        <v>1508664.743</v>
      </c>
      <c r="G95">
        <v>473.10404210000002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4443510.6796060754</v>
      </c>
      <c r="M95" s="1">
        <f t="shared" si="7"/>
        <v>267949.07009715383</v>
      </c>
      <c r="N95" s="1">
        <f t="shared" si="8"/>
        <v>37262.090650867271</v>
      </c>
      <c r="O95" s="1"/>
    </row>
    <row r="96" spans="1:15" x14ac:dyDescent="0.25">
      <c r="A96">
        <v>95</v>
      </c>
      <c r="B96">
        <v>709154.72730000003</v>
      </c>
      <c r="C96">
        <v>8853.2450919999992</v>
      </c>
      <c r="D96">
        <v>1158650.7520000001</v>
      </c>
      <c r="E96">
        <v>1591.7885369999999</v>
      </c>
      <c r="F96">
        <v>1536501.4669999999</v>
      </c>
      <c r="G96">
        <v>473.10404210000002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3448812.5274798241</v>
      </c>
      <c r="M96" s="1">
        <f t="shared" si="7"/>
        <v>207967.56643719893</v>
      </c>
      <c r="N96" s="1">
        <f t="shared" si="8"/>
        <v>28920.818087606724</v>
      </c>
      <c r="O96" s="1"/>
    </row>
    <row r="97" spans="1:15" x14ac:dyDescent="0.25">
      <c r="A97">
        <v>96</v>
      </c>
      <c r="B97">
        <v>703359.34409999999</v>
      </c>
      <c r="C97">
        <v>8853.2450229999995</v>
      </c>
      <c r="D97">
        <v>1127704.2960000001</v>
      </c>
      <c r="E97">
        <v>1179.240262</v>
      </c>
      <c r="F97">
        <v>1500351.817</v>
      </c>
      <c r="G97">
        <v>473.10404210000002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8075038.2318371115</v>
      </c>
      <c r="M97" s="1">
        <f t="shared" si="7"/>
        <v>360734.38318065344</v>
      </c>
      <c r="N97" s="1">
        <f t="shared" si="8"/>
        <v>67715.108232981234</v>
      </c>
      <c r="O97" s="1"/>
    </row>
    <row r="98" spans="1:15" x14ac:dyDescent="0.25">
      <c r="A98">
        <v>97</v>
      </c>
      <c r="B98">
        <v>659982.86919999996</v>
      </c>
      <c r="C98">
        <v>6687.0159970000004</v>
      </c>
      <c r="D98">
        <v>1110761.828</v>
      </c>
      <c r="E98">
        <v>6080.2226449999998</v>
      </c>
      <c r="F98">
        <v>1479301.534</v>
      </c>
      <c r="G98">
        <v>0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6252367.941102582</v>
      </c>
      <c r="M98" s="1">
        <f t="shared" si="7"/>
        <v>1906666.7142868508</v>
      </c>
      <c r="N98" s="1">
        <f t="shared" si="8"/>
        <v>0</v>
      </c>
      <c r="O98" s="1"/>
    </row>
    <row r="99" spans="1:15" x14ac:dyDescent="0.25">
      <c r="A99">
        <v>98</v>
      </c>
      <c r="B99">
        <v>672796.68579999998</v>
      </c>
      <c r="C99">
        <v>6687.0159480000002</v>
      </c>
      <c r="D99">
        <v>1135278.43</v>
      </c>
      <c r="E99">
        <v>1813.2009949999999</v>
      </c>
      <c r="F99">
        <v>1479775.085</v>
      </c>
      <c r="G99">
        <v>446.31827040000002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4169346.0492364834</v>
      </c>
      <c r="M99" s="1">
        <f t="shared" si="7"/>
        <v>379161.88098989765</v>
      </c>
      <c r="N99" s="1">
        <f t="shared" si="8"/>
        <v>43668.378299818374</v>
      </c>
      <c r="O99" s="1"/>
    </row>
    <row r="100" spans="1:15" x14ac:dyDescent="0.25">
      <c r="A100">
        <v>99</v>
      </c>
      <c r="B100">
        <v>579723.35549999995</v>
      </c>
      <c r="C100">
        <v>830.83357060000003</v>
      </c>
      <c r="D100">
        <v>975062.16680000001</v>
      </c>
      <c r="E100">
        <v>7666.8946960000003</v>
      </c>
      <c r="F100">
        <v>1368198.202</v>
      </c>
      <c r="G100">
        <v>0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545988.93620617606</v>
      </c>
      <c r="M100" s="1">
        <f t="shared" si="7"/>
        <v>1689788.8547486549</v>
      </c>
      <c r="N100" s="1">
        <f t="shared" si="8"/>
        <v>0</v>
      </c>
      <c r="O100" s="1"/>
    </row>
    <row r="101" spans="1:15" x14ac:dyDescent="0.25">
      <c r="A101">
        <v>100</v>
      </c>
      <c r="B101">
        <v>539643.71189999999</v>
      </c>
      <c r="C101">
        <v>830.8335975</v>
      </c>
      <c r="D101">
        <v>936152.21799999999</v>
      </c>
      <c r="E101">
        <v>7892.2480020000003</v>
      </c>
      <c r="F101">
        <v>1327589.4369999999</v>
      </c>
      <c r="G101">
        <v>2049.7599909999999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5043678.5860878089</v>
      </c>
      <c r="M101" s="1">
        <f t="shared" si="7"/>
        <v>16068569.419095073</v>
      </c>
      <c r="N101" s="1">
        <f t="shared" si="8"/>
        <v>1952644.4870310859</v>
      </c>
      <c r="O101" s="1"/>
    </row>
    <row r="102" spans="1:15" x14ac:dyDescent="0.25">
      <c r="A102">
        <v>101</v>
      </c>
      <c r="B102">
        <v>629217.79200000002</v>
      </c>
      <c r="C102">
        <v>6687.0160139999998</v>
      </c>
      <c r="D102">
        <v>1046674.302</v>
      </c>
      <c r="E102">
        <v>9312.6285630000002</v>
      </c>
      <c r="F102">
        <v>1429219.1310000001</v>
      </c>
      <c r="G102">
        <v>737.03925279999999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3441361.5887288158</v>
      </c>
      <c r="M102" s="1">
        <f t="shared" si="7"/>
        <v>1607360.7606642137</v>
      </c>
      <c r="N102" s="1">
        <f t="shared" si="8"/>
        <v>59521.706865830231</v>
      </c>
      <c r="O102" s="1"/>
    </row>
    <row r="103" spans="1:15" x14ac:dyDescent="0.25">
      <c r="A103">
        <v>102</v>
      </c>
      <c r="B103">
        <v>642977.14159999997</v>
      </c>
      <c r="C103">
        <v>8282.4917970000006</v>
      </c>
      <c r="D103">
        <v>1093102.5490000001</v>
      </c>
      <c r="E103">
        <v>7865.9377560000003</v>
      </c>
      <c r="F103">
        <v>1464864.8829999999</v>
      </c>
      <c r="G103">
        <v>0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3721785.666789968</v>
      </c>
      <c r="M103" s="1">
        <f t="shared" si="7"/>
        <v>1185452.0363379924</v>
      </c>
      <c r="N103" s="1">
        <f t="shared" si="8"/>
        <v>0</v>
      </c>
      <c r="O103" s="1"/>
    </row>
    <row r="104" spans="1:15" x14ac:dyDescent="0.25">
      <c r="A104">
        <v>103</v>
      </c>
      <c r="B104">
        <v>738848.34259999997</v>
      </c>
      <c r="C104">
        <v>9320.5400119999995</v>
      </c>
      <c r="D104">
        <v>1185230.487</v>
      </c>
      <c r="E104">
        <v>677.20123669999998</v>
      </c>
      <c r="F104">
        <v>1552085.429</v>
      </c>
      <c r="G104">
        <v>1437.5216049999999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8086337.4139133692</v>
      </c>
      <c r="M104" s="1">
        <f t="shared" si="7"/>
        <v>197047.83305317082</v>
      </c>
      <c r="N104" s="1">
        <f t="shared" si="8"/>
        <v>195709.53246702542</v>
      </c>
      <c r="O104" s="1"/>
    </row>
    <row r="105" spans="1:15" x14ac:dyDescent="0.25">
      <c r="A105">
        <v>104</v>
      </c>
      <c r="B105">
        <v>774605.9852</v>
      </c>
      <c r="C105">
        <v>8469.6225759999998</v>
      </c>
      <c r="D105">
        <v>1185163.237</v>
      </c>
      <c r="E105">
        <v>677.20123669999998</v>
      </c>
      <c r="F105">
        <v>1567817.226</v>
      </c>
      <c r="G105">
        <v>1220.062371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4424251.3676114529</v>
      </c>
      <c r="M105" s="1">
        <f t="shared" si="7"/>
        <v>118641.49637218007</v>
      </c>
      <c r="N105" s="1">
        <f t="shared" si="8"/>
        <v>100010.26639766568</v>
      </c>
      <c r="O105" s="1"/>
    </row>
    <row r="106" spans="1:15" x14ac:dyDescent="0.25">
      <c r="A106">
        <v>105</v>
      </c>
      <c r="B106">
        <v>748468.65359999996</v>
      </c>
      <c r="C106">
        <v>9133.4091800000006</v>
      </c>
      <c r="D106">
        <v>1201405.094</v>
      </c>
      <c r="E106">
        <v>1179.240262</v>
      </c>
      <c r="F106">
        <v>1543798.993</v>
      </c>
      <c r="G106">
        <v>446.31827040000002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4300525.7296650354</v>
      </c>
      <c r="M106" s="1">
        <f t="shared" si="7"/>
        <v>186223.32268721296</v>
      </c>
      <c r="N106" s="1">
        <f t="shared" si="8"/>
        <v>32977.681271378446</v>
      </c>
      <c r="O106" s="1"/>
    </row>
    <row r="107" spans="1:15" x14ac:dyDescent="0.25">
      <c r="A107">
        <v>106</v>
      </c>
      <c r="B107">
        <v>709353.16830000002</v>
      </c>
      <c r="C107">
        <v>6687.0159949999997</v>
      </c>
      <c r="D107">
        <v>1132742.7590000001</v>
      </c>
      <c r="E107">
        <v>1859.070968</v>
      </c>
      <c r="F107">
        <v>1490605.067</v>
      </c>
      <c r="G107">
        <v>0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2160677.9828910511</v>
      </c>
      <c r="M107" s="1">
        <f t="shared" si="7"/>
        <v>201463.69282204835</v>
      </c>
      <c r="N107" s="1">
        <f t="shared" si="8"/>
        <v>0</v>
      </c>
      <c r="O107" s="1"/>
    </row>
    <row r="108" spans="1:15" x14ac:dyDescent="0.25">
      <c r="A108">
        <v>107</v>
      </c>
      <c r="B108">
        <v>681985.84909999999</v>
      </c>
      <c r="C108">
        <v>6687.0159789999998</v>
      </c>
      <c r="D108">
        <v>1070963.4609999999</v>
      </c>
      <c r="E108">
        <v>1360.2015369999999</v>
      </c>
      <c r="F108">
        <v>1450881.4029999999</v>
      </c>
      <c r="G108">
        <v>0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41960705.014324434</v>
      </c>
      <c r="M108" s="1">
        <f t="shared" si="7"/>
        <v>2862574.6022223141</v>
      </c>
      <c r="N108" s="1">
        <f t="shared" si="8"/>
        <v>0</v>
      </c>
      <c r="O108" s="1"/>
    </row>
    <row r="109" spans="1:15" x14ac:dyDescent="0.25">
      <c r="A109">
        <v>108</v>
      </c>
      <c r="B109">
        <v>479547.31530000002</v>
      </c>
      <c r="C109" s="1">
        <v>4.1E-5</v>
      </c>
      <c r="D109">
        <v>854858.90399999998</v>
      </c>
      <c r="E109">
        <v>8953.1630860000005</v>
      </c>
      <c r="F109">
        <v>1276790.477</v>
      </c>
      <c r="G109">
        <v>861.59938920000002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0.20054837638855499</v>
      </c>
      <c r="M109" s="1">
        <f t="shared" si="7"/>
        <v>14687738.306032097</v>
      </c>
      <c r="N109" s="1">
        <f t="shared" si="8"/>
        <v>661344.1117202976</v>
      </c>
      <c r="O109" s="1"/>
    </row>
    <row r="110" spans="1:15" x14ac:dyDescent="0.25">
      <c r="A110">
        <v>109</v>
      </c>
      <c r="B110">
        <v>606152.33869999996</v>
      </c>
      <c r="C110">
        <v>830.83361449999995</v>
      </c>
      <c r="D110">
        <v>1019048.326</v>
      </c>
      <c r="E110">
        <v>9151.2337669999997</v>
      </c>
      <c r="F110">
        <v>1396045.5549999999</v>
      </c>
      <c r="G110">
        <v>97.092049770000003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620326.02677770087</v>
      </c>
      <c r="M110" s="1">
        <f t="shared" si="7"/>
        <v>2291546.795063002</v>
      </c>
      <c r="N110" s="1">
        <f t="shared" si="8"/>
        <v>11375.655431194351</v>
      </c>
      <c r="O110" s="1"/>
    </row>
    <row r="111" spans="1:15" x14ac:dyDescent="0.25">
      <c r="A111">
        <v>110</v>
      </c>
      <c r="B111">
        <v>635787.79680000001</v>
      </c>
      <c r="C111">
        <v>8282.4917729999997</v>
      </c>
      <c r="D111">
        <v>1079069.145</v>
      </c>
      <c r="E111">
        <v>7865.9377560000003</v>
      </c>
      <c r="F111">
        <v>1462937.973</v>
      </c>
      <c r="G111">
        <v>0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5585708.8939813534</v>
      </c>
      <c r="M111" s="1">
        <f t="shared" si="7"/>
        <v>1779143.2916285528</v>
      </c>
      <c r="N111" s="1">
        <f t="shared" si="8"/>
        <v>0</v>
      </c>
      <c r="O111" s="1"/>
    </row>
    <row r="112" spans="1:15" x14ac:dyDescent="0.25">
      <c r="A112">
        <v>111</v>
      </c>
      <c r="B112">
        <v>705289.56099999999</v>
      </c>
      <c r="C112">
        <v>8555.5389450000002</v>
      </c>
      <c r="D112">
        <v>1147428.45</v>
      </c>
      <c r="E112">
        <v>183.28449660000001</v>
      </c>
      <c r="F112">
        <v>1525919.523</v>
      </c>
      <c r="G112">
        <v>1220.062371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6337842.3992494419</v>
      </c>
      <c r="M112" s="1">
        <f t="shared" si="7"/>
        <v>45536.844327837825</v>
      </c>
      <c r="N112" s="1">
        <f t="shared" si="8"/>
        <v>141828.30446225041</v>
      </c>
      <c r="O112" s="1"/>
    </row>
    <row r="113" spans="1:15" x14ac:dyDescent="0.25">
      <c r="A113">
        <v>112</v>
      </c>
      <c r="B113">
        <v>746292.40090000001</v>
      </c>
      <c r="C113">
        <v>9320.5399670000006</v>
      </c>
      <c r="D113">
        <v>1176071.172</v>
      </c>
      <c r="E113">
        <v>677.20123669999998</v>
      </c>
      <c r="F113">
        <v>1547424.129</v>
      </c>
      <c r="G113">
        <v>746.95832889999997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3454557.9813785106</v>
      </c>
      <c r="M113" s="1">
        <f t="shared" si="7"/>
        <v>84180.653468954901</v>
      </c>
      <c r="N113" s="1">
        <f t="shared" si="8"/>
        <v>43444.479914000745</v>
      </c>
      <c r="O113" s="1"/>
    </row>
    <row r="114" spans="1:15" x14ac:dyDescent="0.25">
      <c r="A114">
        <v>113</v>
      </c>
      <c r="B114">
        <v>699229.30810000002</v>
      </c>
      <c r="C114">
        <v>8853.2449990000005</v>
      </c>
      <c r="D114">
        <v>1121621.2660000001</v>
      </c>
      <c r="E114">
        <v>1591.7885369999999</v>
      </c>
      <c r="F114">
        <v>1493192.1939999999</v>
      </c>
      <c r="G114">
        <v>473.10404210000002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1507023.2862940205</v>
      </c>
      <c r="M114" s="1">
        <f t="shared" si="7"/>
        <v>90875.327727962605</v>
      </c>
      <c r="N114" s="1">
        <f t="shared" si="8"/>
        <v>12637.493753939259</v>
      </c>
      <c r="O114" s="1"/>
    </row>
    <row r="115" spans="1:15" x14ac:dyDescent="0.25">
      <c r="A115">
        <v>114</v>
      </c>
      <c r="B115">
        <v>646199.41009999998</v>
      </c>
      <c r="C115">
        <v>8282.4917519999999</v>
      </c>
      <c r="D115">
        <v>1090699.76</v>
      </c>
      <c r="E115">
        <v>2039.835304</v>
      </c>
      <c r="F115">
        <v>1462140.9850000001</v>
      </c>
      <c r="G115">
        <v>473.10404210000002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4108533.0713201114</v>
      </c>
      <c r="M115" s="1">
        <f t="shared" si="7"/>
        <v>339362.62930916186</v>
      </c>
      <c r="N115" s="1">
        <f t="shared" si="8"/>
        <v>36827.24650376416</v>
      </c>
      <c r="O115" s="1"/>
    </row>
    <row r="116" spans="1:15" x14ac:dyDescent="0.25">
      <c r="A116">
        <v>115</v>
      </c>
      <c r="B116">
        <v>679966.50859999994</v>
      </c>
      <c r="C116">
        <v>6687.0159780000004</v>
      </c>
      <c r="D116">
        <v>1062495.635</v>
      </c>
      <c r="E116">
        <v>1813.2009949999999</v>
      </c>
      <c r="F116">
        <v>1441018.446</v>
      </c>
      <c r="G116">
        <v>446.31827040000002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4735500.2858902197</v>
      </c>
      <c r="M116" s="1">
        <f t="shared" si="7"/>
        <v>430648.15598596894</v>
      </c>
      <c r="N116" s="1">
        <f t="shared" si="8"/>
        <v>49598.093934488992</v>
      </c>
      <c r="O116" s="1"/>
    </row>
    <row r="117" spans="1:15" x14ac:dyDescent="0.25">
      <c r="A117">
        <v>116</v>
      </c>
      <c r="B117">
        <v>695264.42579999997</v>
      </c>
      <c r="C117">
        <v>6687.0159519999997</v>
      </c>
      <c r="D117">
        <v>1082534.1059999999</v>
      </c>
      <c r="E117">
        <v>1104.543561</v>
      </c>
      <c r="F117">
        <v>1459050.0149999999</v>
      </c>
      <c r="G117">
        <v>0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3421621.5358755034</v>
      </c>
      <c r="M117" s="1">
        <f t="shared" si="7"/>
        <v>189550.78909782824</v>
      </c>
      <c r="N117" s="1">
        <f t="shared" si="8"/>
        <v>0</v>
      </c>
      <c r="O117" s="1"/>
    </row>
    <row r="118" spans="1:15" x14ac:dyDescent="0.25">
      <c r="A118">
        <v>117</v>
      </c>
      <c r="B118">
        <v>584761.99340000004</v>
      </c>
      <c r="C118">
        <v>830.83361000000002</v>
      </c>
      <c r="D118">
        <v>977111.74540000001</v>
      </c>
      <c r="E118">
        <v>3628.8342029999999</v>
      </c>
      <c r="F118">
        <v>1348966.6359999999</v>
      </c>
      <c r="G118">
        <v>0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531099.00360453827</v>
      </c>
      <c r="M118" s="1">
        <f t="shared" si="7"/>
        <v>777985.84081047203</v>
      </c>
      <c r="N118" s="1">
        <f t="shared" si="8"/>
        <v>0</v>
      </c>
      <c r="O118" s="1"/>
    </row>
    <row r="119" spans="1:15" x14ac:dyDescent="0.25">
      <c r="A119">
        <v>118</v>
      </c>
      <c r="B119">
        <v>632272.4081</v>
      </c>
      <c r="C119">
        <v>6687.0159720000001</v>
      </c>
      <c r="D119">
        <v>1036030.019</v>
      </c>
      <c r="E119">
        <v>1023.1750970000001</v>
      </c>
      <c r="F119">
        <v>1418951.0970000001</v>
      </c>
      <c r="G119">
        <v>0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4277926.6298701437</v>
      </c>
      <c r="M119" s="1">
        <f t="shared" si="7"/>
        <v>219530.09712950821</v>
      </c>
      <c r="N119" s="1">
        <f t="shared" si="8"/>
        <v>0</v>
      </c>
      <c r="O119" s="1"/>
    </row>
    <row r="120" spans="1:15" x14ac:dyDescent="0.25">
      <c r="A120">
        <v>119</v>
      </c>
      <c r="B120">
        <v>663612.86560000002</v>
      </c>
      <c r="C120">
        <v>6687.0160089999999</v>
      </c>
      <c r="D120">
        <v>1038420.978</v>
      </c>
      <c r="E120">
        <v>610.62682110000003</v>
      </c>
      <c r="F120">
        <v>1421717.5649999999</v>
      </c>
      <c r="G120">
        <v>0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5682919.2107159169</v>
      </c>
      <c r="M120" s="1">
        <f t="shared" si="7"/>
        <v>174043.62987411785</v>
      </c>
      <c r="N120" s="1">
        <f t="shared" si="8"/>
        <v>0</v>
      </c>
      <c r="O120" s="1"/>
    </row>
    <row r="121" spans="1:15" x14ac:dyDescent="0.25">
      <c r="A121">
        <v>120</v>
      </c>
      <c r="B121">
        <v>663586.36159999995</v>
      </c>
      <c r="C121">
        <v>830.83356630000003</v>
      </c>
      <c r="D121">
        <v>1015359.84</v>
      </c>
      <c r="E121">
        <v>1235.4300639999999</v>
      </c>
      <c r="F121">
        <v>1405286.09</v>
      </c>
      <c r="G121">
        <v>0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441419.55795997276</v>
      </c>
      <c r="M121" s="1">
        <f t="shared" si="7"/>
        <v>220139.93811993831</v>
      </c>
      <c r="N121" s="1">
        <f t="shared" si="8"/>
        <v>0</v>
      </c>
      <c r="O121" s="1"/>
    </row>
    <row r="122" spans="1:15" x14ac:dyDescent="0.25">
      <c r="A122">
        <v>121</v>
      </c>
      <c r="B122">
        <v>679236.84019999998</v>
      </c>
      <c r="C122">
        <v>830.83357720000004</v>
      </c>
      <c r="D122">
        <v>1059976.821</v>
      </c>
      <c r="E122">
        <v>590.55772539999998</v>
      </c>
      <c r="F122">
        <v>1451094.6869999999</v>
      </c>
      <c r="G122">
        <v>0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290477.96219906316</v>
      </c>
      <c r="M122" s="1">
        <f t="shared" si="7"/>
        <v>69247.586514226961</v>
      </c>
      <c r="N122" s="1">
        <f t="shared" si="8"/>
        <v>0</v>
      </c>
      <c r="O122" s="1"/>
    </row>
    <row r="123" spans="1:15" x14ac:dyDescent="0.25">
      <c r="A123">
        <v>122</v>
      </c>
      <c r="B123">
        <v>668175.5527</v>
      </c>
      <c r="C123">
        <v>6940.3855219999996</v>
      </c>
      <c r="D123">
        <v>1031419.366</v>
      </c>
      <c r="E123">
        <v>590.55772539999998</v>
      </c>
      <c r="F123">
        <v>1433666.7709999999</v>
      </c>
      <c r="G123">
        <v>0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3038881.9814013112</v>
      </c>
      <c r="M123" s="1">
        <f t="shared" si="7"/>
        <v>86723.287156678271</v>
      </c>
      <c r="N123" s="1">
        <f t="shared" si="8"/>
        <v>0</v>
      </c>
      <c r="O123" s="1"/>
    </row>
    <row r="124" spans="1:15" x14ac:dyDescent="0.25">
      <c r="A124">
        <v>123</v>
      </c>
      <c r="B124">
        <v>626318.17180000001</v>
      </c>
      <c r="C124" s="1">
        <v>-3.82E-5</v>
      </c>
      <c r="D124">
        <v>978561.15289999999</v>
      </c>
      <c r="E124">
        <v>1624.349244</v>
      </c>
      <c r="F124">
        <v>1386317.4650000001</v>
      </c>
      <c r="G124">
        <v>0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-1.9611354391578951E-2</v>
      </c>
      <c r="M124" s="1">
        <f t="shared" si="7"/>
        <v>279683.45276647049</v>
      </c>
      <c r="N124" s="1">
        <f t="shared" si="8"/>
        <v>0</v>
      </c>
      <c r="O124" s="1"/>
    </row>
    <row r="125" spans="1:15" x14ac:dyDescent="0.25">
      <c r="A125">
        <v>124</v>
      </c>
      <c r="B125">
        <v>614657.81920000003</v>
      </c>
      <c r="C125" s="1">
        <v>4.4299999999999999E-5</v>
      </c>
      <c r="D125">
        <v>960189.37789999996</v>
      </c>
      <c r="E125" s="1">
        <v>2.23E-5</v>
      </c>
      <c r="F125">
        <v>1355654.39</v>
      </c>
      <c r="G125">
        <v>0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1.4632144705358374E-2</v>
      </c>
      <c r="M125" s="1">
        <f t="shared" si="7"/>
        <v>2.4703145778999548E-3</v>
      </c>
      <c r="N125" s="1">
        <f t="shared" si="8"/>
        <v>0</v>
      </c>
      <c r="O125" s="1"/>
    </row>
    <row r="126" spans="1:15" x14ac:dyDescent="0.25">
      <c r="A126">
        <v>125</v>
      </c>
      <c r="B126">
        <v>549709.18810000003</v>
      </c>
      <c r="C126" s="1">
        <v>1.01E-5</v>
      </c>
      <c r="D126">
        <v>933838.61970000004</v>
      </c>
      <c r="E126">
        <v>8484.5517149999996</v>
      </c>
      <c r="F126">
        <v>1327194.1980000001</v>
      </c>
      <c r="G126">
        <v>214.39192729999999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1.7436592699175E-2</v>
      </c>
      <c r="M126" s="1">
        <f t="shared" si="7"/>
        <v>4912609.9927981868</v>
      </c>
      <c r="N126" s="1">
        <f t="shared" si="8"/>
        <v>58081.188249926308</v>
      </c>
      <c r="O126" s="1"/>
    </row>
    <row r="127" spans="1:15" x14ac:dyDescent="0.25">
      <c r="A127">
        <v>126</v>
      </c>
      <c r="B127">
        <v>577774.50600000005</v>
      </c>
      <c r="C127">
        <v>6940.3855329999997</v>
      </c>
      <c r="D127">
        <v>942037.46070000005</v>
      </c>
      <c r="E127">
        <v>2780.8399650000001</v>
      </c>
      <c r="F127">
        <v>1333285.6129999999</v>
      </c>
      <c r="G127">
        <v>0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3268481.2049534842</v>
      </c>
      <c r="M127" s="1">
        <f t="shared" si="7"/>
        <v>439219.41519918625</v>
      </c>
      <c r="N127" s="1">
        <f t="shared" si="8"/>
        <v>0</v>
      </c>
      <c r="O127" s="1"/>
    </row>
    <row r="128" spans="1:15" x14ac:dyDescent="0.25">
      <c r="A128">
        <v>127</v>
      </c>
      <c r="B128">
        <v>617046.87990000006</v>
      </c>
      <c r="C128">
        <v>830.83353969999996</v>
      </c>
      <c r="D128">
        <v>1016686.696</v>
      </c>
      <c r="E128">
        <v>644.87233909999998</v>
      </c>
      <c r="F128">
        <v>1382263.2620000001</v>
      </c>
      <c r="G128">
        <v>0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228630.828247086</v>
      </c>
      <c r="M128" s="1">
        <f t="shared" si="7"/>
        <v>59516.537235710573</v>
      </c>
      <c r="N128" s="1">
        <f t="shared" si="8"/>
        <v>0</v>
      </c>
      <c r="O128" s="1"/>
    </row>
    <row r="129" spans="1:15" x14ac:dyDescent="0.25">
      <c r="A129">
        <v>128</v>
      </c>
      <c r="B129">
        <v>637911.85930000001</v>
      </c>
      <c r="C129">
        <v>6687.0159709999998</v>
      </c>
      <c r="D129">
        <v>1033739.204</v>
      </c>
      <c r="E129">
        <v>1085.5405169999999</v>
      </c>
      <c r="F129">
        <v>1395808.2690000001</v>
      </c>
      <c r="G129">
        <v>0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1288454.2174881806</v>
      </c>
      <c r="M129" s="1">
        <f t="shared" si="7"/>
        <v>70149.698007602725</v>
      </c>
      <c r="N129" s="1">
        <f t="shared" si="8"/>
        <v>0</v>
      </c>
      <c r="O129" s="1"/>
    </row>
    <row r="130" spans="1:15" x14ac:dyDescent="0.25">
      <c r="A130">
        <v>129</v>
      </c>
      <c r="B130">
        <v>654747.41839999997</v>
      </c>
      <c r="C130">
        <v>6687.0159789999998</v>
      </c>
      <c r="D130">
        <v>1057052.6910000001</v>
      </c>
      <c r="E130">
        <v>610.62682110000003</v>
      </c>
      <c r="F130">
        <v>1432855.5519999999</v>
      </c>
      <c r="G130">
        <v>0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3066488.5044593937</v>
      </c>
      <c r="M130" s="1">
        <f t="shared" si="7"/>
        <v>93913.492852643889</v>
      </c>
      <c r="N130" s="1">
        <f t="shared" si="8"/>
        <v>0</v>
      </c>
      <c r="O130" s="1"/>
    </row>
    <row r="131" spans="1:15" x14ac:dyDescent="0.25">
      <c r="A131">
        <v>130</v>
      </c>
      <c r="B131">
        <v>639290.65890000004</v>
      </c>
      <c r="C131">
        <v>6687.0159860000003</v>
      </c>
      <c r="D131">
        <v>1034202.718</v>
      </c>
      <c r="E131">
        <v>610.62682110000003</v>
      </c>
      <c r="F131">
        <v>1405441.311</v>
      </c>
      <c r="G131">
        <v>0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4934224.5629381593</v>
      </c>
      <c r="M131" s="1">
        <f t="shared" ref="M131:M194" si="11">$U$3*$K131*E131</f>
        <v>151114.29965117283</v>
      </c>
      <c r="N131" s="1">
        <f t="shared" ref="N131:N194" si="12">$U$4*$K131*G131</f>
        <v>0</v>
      </c>
      <c r="O131" s="1"/>
    </row>
    <row r="132" spans="1:15" x14ac:dyDescent="0.25">
      <c r="A132">
        <v>131</v>
      </c>
      <c r="B132">
        <v>616418.23600000003</v>
      </c>
      <c r="C132" s="1">
        <v>3.2799999999999999E-6</v>
      </c>
      <c r="D132">
        <v>993193.01930000004</v>
      </c>
      <c r="E132">
        <v>812.78405759999998</v>
      </c>
      <c r="F132">
        <v>1404673.152</v>
      </c>
      <c r="G132">
        <v>0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1.9283712731891398E-3</v>
      </c>
      <c r="M132" s="1">
        <f t="shared" si="11"/>
        <v>160263.68447470191</v>
      </c>
      <c r="N132" s="1">
        <f t="shared" si="12"/>
        <v>0</v>
      </c>
      <c r="O132" s="1"/>
    </row>
    <row r="133" spans="1:15" x14ac:dyDescent="0.25">
      <c r="A133">
        <v>132</v>
      </c>
      <c r="B133">
        <v>642089.01930000004</v>
      </c>
      <c r="C133" s="1">
        <v>4.3399999999999998E-5</v>
      </c>
      <c r="D133">
        <v>990589.44629999995</v>
      </c>
      <c r="E133">
        <v>590.55772539999998</v>
      </c>
      <c r="F133">
        <v>1408307.291</v>
      </c>
      <c r="G133">
        <v>0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2.8364396497700901E-2</v>
      </c>
      <c r="M133" s="1">
        <f t="shared" si="11"/>
        <v>129446.20128357538</v>
      </c>
      <c r="N133" s="1">
        <f t="shared" si="12"/>
        <v>0</v>
      </c>
      <c r="O133" s="1"/>
    </row>
    <row r="134" spans="1:15" x14ac:dyDescent="0.25">
      <c r="A134">
        <v>133</v>
      </c>
      <c r="B134">
        <v>645309.62470000004</v>
      </c>
      <c r="C134">
        <v>6687.0160189999997</v>
      </c>
      <c r="D134">
        <v>1041246.2439999999</v>
      </c>
      <c r="E134">
        <v>610.62682110000003</v>
      </c>
      <c r="F134">
        <v>1426175.077</v>
      </c>
      <c r="G134">
        <v>0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2565182.3727771724</v>
      </c>
      <c r="M134" s="1">
        <f t="shared" si="11"/>
        <v>78560.618975147474</v>
      </c>
      <c r="N134" s="1">
        <f t="shared" si="12"/>
        <v>0</v>
      </c>
      <c r="O134" s="1"/>
    </row>
    <row r="135" spans="1:15" x14ac:dyDescent="0.25">
      <c r="A135">
        <v>134</v>
      </c>
      <c r="B135">
        <v>677362.09600000002</v>
      </c>
      <c r="C135">
        <v>723.46587009999996</v>
      </c>
      <c r="D135">
        <v>1089775.298</v>
      </c>
      <c r="E135">
        <v>590.55772539999998</v>
      </c>
      <c r="F135">
        <v>1473526.0689999999</v>
      </c>
      <c r="G135">
        <v>0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1485056.7862569359</v>
      </c>
      <c r="M135" s="1">
        <f t="shared" si="11"/>
        <v>406565.48322141921</v>
      </c>
      <c r="N135" s="1">
        <f t="shared" si="12"/>
        <v>0</v>
      </c>
      <c r="O135" s="1"/>
    </row>
    <row r="136" spans="1:15" x14ac:dyDescent="0.25">
      <c r="A136">
        <v>135</v>
      </c>
      <c r="B136">
        <v>617862.22849999997</v>
      </c>
      <c r="C136">
        <v>830.83358299999998</v>
      </c>
      <c r="D136">
        <v>1006591.963</v>
      </c>
      <c r="E136">
        <v>590.55772539999998</v>
      </c>
      <c r="F136">
        <v>1401314.7949999999</v>
      </c>
      <c r="G136">
        <v>0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534830.86898279784</v>
      </c>
      <c r="M136" s="1">
        <f t="shared" si="11"/>
        <v>127499.3336204993</v>
      </c>
      <c r="N136" s="1">
        <f t="shared" si="12"/>
        <v>0</v>
      </c>
      <c r="O136" s="1"/>
    </row>
    <row r="137" spans="1:15" x14ac:dyDescent="0.25">
      <c r="A137">
        <v>136</v>
      </c>
      <c r="B137">
        <v>487476.47600000002</v>
      </c>
      <c r="C137" s="1">
        <v>-3.1999999999999999E-5</v>
      </c>
      <c r="D137">
        <v>868819.54099999997</v>
      </c>
      <c r="E137">
        <v>2899.4011110000001</v>
      </c>
      <c r="F137">
        <v>1271853.504</v>
      </c>
      <c r="G137">
        <v>420.41221139999999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-3.9260725454392E-2</v>
      </c>
      <c r="M137" s="1">
        <f t="shared" si="11"/>
        <v>1193053.1172233832</v>
      </c>
      <c r="N137" s="1">
        <f t="shared" si="12"/>
        <v>80941.356623260552</v>
      </c>
      <c r="O137" s="1"/>
    </row>
    <row r="138" spans="1:15" x14ac:dyDescent="0.25">
      <c r="A138">
        <v>137</v>
      </c>
      <c r="B138">
        <v>617862.22849999997</v>
      </c>
      <c r="C138">
        <v>830.83358299999998</v>
      </c>
      <c r="D138">
        <v>1006828.188</v>
      </c>
      <c r="E138">
        <v>590.55772539999998</v>
      </c>
      <c r="F138">
        <v>1403728.7620000001</v>
      </c>
      <c r="G138">
        <v>0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167895.87725317469</v>
      </c>
      <c r="M138" s="1">
        <f t="shared" si="11"/>
        <v>40025.012969282128</v>
      </c>
      <c r="N138" s="1">
        <f t="shared" si="12"/>
        <v>0</v>
      </c>
      <c r="O138" s="1"/>
    </row>
    <row r="139" spans="1:15" x14ac:dyDescent="0.25">
      <c r="A139">
        <v>138</v>
      </c>
      <c r="B139">
        <v>684073.38219999999</v>
      </c>
      <c r="C139">
        <v>6687.0160130000004</v>
      </c>
      <c r="D139">
        <v>1065427.6100000001</v>
      </c>
      <c r="E139">
        <v>610.62682110000003</v>
      </c>
      <c r="F139">
        <v>1445122.47</v>
      </c>
      <c r="G139">
        <v>0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1334624.2660842587</v>
      </c>
      <c r="M139" s="1">
        <f t="shared" si="11"/>
        <v>40873.861308891799</v>
      </c>
      <c r="N139" s="1">
        <f t="shared" si="12"/>
        <v>0</v>
      </c>
      <c r="O139" s="1"/>
    </row>
    <row r="140" spans="1:15" x14ac:dyDescent="0.25">
      <c r="A140">
        <v>139</v>
      </c>
      <c r="B140">
        <v>661278.17319999996</v>
      </c>
      <c r="C140">
        <v>830.83360219999997</v>
      </c>
      <c r="D140">
        <v>1049835.898</v>
      </c>
      <c r="E140">
        <v>185.91396660000001</v>
      </c>
      <c r="F140">
        <v>1434412.6259999999</v>
      </c>
      <c r="G140">
        <v>0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134930.54998333394</v>
      </c>
      <c r="M140" s="1">
        <f t="shared" si="11"/>
        <v>10126.314038623725</v>
      </c>
      <c r="N140" s="1">
        <f t="shared" si="12"/>
        <v>0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743.94242399999996</v>
      </c>
      <c r="F141">
        <v>1419902.466</v>
      </c>
      <c r="G141">
        <v>0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82674.483875850958</v>
      </c>
      <c r="N141" s="1">
        <f t="shared" si="12"/>
        <v>0</v>
      </c>
      <c r="O141" s="1"/>
    </row>
    <row r="142" spans="1:15" x14ac:dyDescent="0.25">
      <c r="A142">
        <v>141</v>
      </c>
      <c r="B142">
        <v>588073.7831</v>
      </c>
      <c r="C142" s="1">
        <v>-2.7199999999999998E-6</v>
      </c>
      <c r="D142">
        <v>989478.98499999999</v>
      </c>
      <c r="E142">
        <v>812.78407119999997</v>
      </c>
      <c r="F142">
        <v>1380284.493</v>
      </c>
      <c r="G142">
        <v>0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-7.1595258203825196E-4</v>
      </c>
      <c r="M142" s="1">
        <f t="shared" si="11"/>
        <v>71751.944718616578</v>
      </c>
      <c r="N142" s="1">
        <f t="shared" si="12"/>
        <v>0</v>
      </c>
      <c r="O142" s="1"/>
    </row>
    <row r="143" spans="1:15" x14ac:dyDescent="0.25">
      <c r="A143">
        <v>142</v>
      </c>
      <c r="B143">
        <v>654730.73620000004</v>
      </c>
      <c r="C143">
        <v>830.83359159999998</v>
      </c>
      <c r="D143">
        <v>1026039.214</v>
      </c>
      <c r="E143">
        <v>590.55772539999998</v>
      </c>
      <c r="F143">
        <v>1431011.3740000001</v>
      </c>
      <c r="G143">
        <v>0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596098.22653839213</v>
      </c>
      <c r="M143" s="1">
        <f t="shared" si="11"/>
        <v>142104.97238847506</v>
      </c>
      <c r="N143" s="1">
        <f t="shared" si="12"/>
        <v>0</v>
      </c>
      <c r="O143" s="1"/>
    </row>
    <row r="144" spans="1:15" x14ac:dyDescent="0.25">
      <c r="A144">
        <v>143</v>
      </c>
      <c r="B144">
        <v>691644.60439999995</v>
      </c>
      <c r="C144">
        <v>6687.0159620000004</v>
      </c>
      <c r="D144">
        <v>1077478.1950000001</v>
      </c>
      <c r="E144">
        <v>1015.27058</v>
      </c>
      <c r="F144">
        <v>1464323.0179999999</v>
      </c>
      <c r="G144">
        <v>0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1507666.3262396841</v>
      </c>
      <c r="M144" s="1">
        <f t="shared" si="11"/>
        <v>76771.108891663855</v>
      </c>
      <c r="N144" s="1">
        <f t="shared" si="12"/>
        <v>0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1293.751006</v>
      </c>
      <c r="F145">
        <v>1391643.9450000001</v>
      </c>
      <c r="G145">
        <v>0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371065.78208301775</v>
      </c>
      <c r="N145" s="1">
        <f t="shared" si="12"/>
        <v>0</v>
      </c>
      <c r="O145" s="1"/>
    </row>
    <row r="146" spans="1:15" x14ac:dyDescent="0.25">
      <c r="A146">
        <v>145</v>
      </c>
      <c r="B146">
        <v>695087.51100000006</v>
      </c>
      <c r="C146">
        <v>6687.0159739999999</v>
      </c>
      <c r="D146">
        <v>1091212.442</v>
      </c>
      <c r="E146">
        <v>610.62682110000003</v>
      </c>
      <c r="F146">
        <v>1467470.861</v>
      </c>
      <c r="G146">
        <v>0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3149558.6586319907</v>
      </c>
      <c r="M146" s="1">
        <f t="shared" si="11"/>
        <v>96457.578225856792</v>
      </c>
      <c r="N146" s="1">
        <f t="shared" si="12"/>
        <v>0</v>
      </c>
      <c r="O146" s="1"/>
    </row>
    <row r="147" spans="1:15" x14ac:dyDescent="0.25">
      <c r="A147">
        <v>146</v>
      </c>
      <c r="B147">
        <v>757147.87699999998</v>
      </c>
      <c r="C147">
        <v>830.83362260000001</v>
      </c>
      <c r="D147">
        <v>1204923.44</v>
      </c>
      <c r="E147">
        <v>590.55772539999998</v>
      </c>
      <c r="F147">
        <v>1577093.3430000001</v>
      </c>
      <c r="G147">
        <v>0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3594911.2349920808</v>
      </c>
      <c r="M147" s="1">
        <f t="shared" si="11"/>
        <v>856997.58862425166</v>
      </c>
      <c r="N147" s="1">
        <f t="shared" si="12"/>
        <v>0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>
        <v>830.83355710000001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271964.94466984452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>
        <v>3925.9695790000001</v>
      </c>
      <c r="F149">
        <v>849571.42909999995</v>
      </c>
      <c r="G149">
        <v>9282.8176650000005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176442.33329271062</v>
      </c>
      <c r="N149" s="1">
        <f t="shared" si="12"/>
        <v>195199.7964320918</v>
      </c>
      <c r="O149" s="1"/>
    </row>
    <row r="150" spans="1:15" x14ac:dyDescent="0.25">
      <c r="A150">
        <v>149</v>
      </c>
      <c r="B150">
        <v>528047.92740000004</v>
      </c>
      <c r="C150" s="1">
        <v>3.8500000000000001E-5</v>
      </c>
      <c r="D150">
        <v>949631.4523</v>
      </c>
      <c r="E150">
        <v>14071.04378</v>
      </c>
      <c r="F150">
        <v>1389819.6710000001</v>
      </c>
      <c r="G150">
        <v>1435.2162470000001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2.141301935860588E-2</v>
      </c>
      <c r="M150" s="1">
        <f t="shared" si="11"/>
        <v>2624742.0644479888</v>
      </c>
      <c r="N150" s="1">
        <f t="shared" si="12"/>
        <v>125262.57561004041</v>
      </c>
      <c r="O150" s="1"/>
    </row>
    <row r="151" spans="1:15" x14ac:dyDescent="0.25">
      <c r="A151">
        <v>150</v>
      </c>
      <c r="B151">
        <v>521584.07689999999</v>
      </c>
      <c r="C151" s="1">
        <v>2.76E-5</v>
      </c>
      <c r="D151">
        <v>922666.41509999998</v>
      </c>
      <c r="E151">
        <v>7747.390969</v>
      </c>
      <c r="F151">
        <v>1347281.102</v>
      </c>
      <c r="G151">
        <v>1929.132987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1.0969499175776701E-2</v>
      </c>
      <c r="M151" s="1">
        <f t="shared" si="11"/>
        <v>1032705.1142169816</v>
      </c>
      <c r="N151" s="1">
        <f t="shared" si="12"/>
        <v>120316.91842295066</v>
      </c>
      <c r="O151" s="1"/>
    </row>
    <row r="152" spans="1:15" x14ac:dyDescent="0.25">
      <c r="A152">
        <v>151</v>
      </c>
      <c r="B152">
        <v>432159.64059999998</v>
      </c>
      <c r="C152" s="1">
        <v>4.1900000000000002E-5</v>
      </c>
      <c r="D152">
        <v>801522.96759999997</v>
      </c>
      <c r="E152">
        <v>830.83354080000004</v>
      </c>
      <c r="F152">
        <v>1262048.7039999999</v>
      </c>
      <c r="G152">
        <v>9979.538235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0.15261952028129952</v>
      </c>
      <c r="M152" s="1">
        <f t="shared" si="11"/>
        <v>1014970.0305434575</v>
      </c>
      <c r="N152" s="1">
        <f t="shared" si="12"/>
        <v>5704181.3284952389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6940.3854849999998</v>
      </c>
      <c r="F153">
        <v>1185115.6839999999</v>
      </c>
      <c r="G153">
        <v>4004.4452569999999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14391967.701754386</v>
      </c>
      <c r="N153" s="1">
        <f t="shared" si="12"/>
        <v>3885282.6793597238</v>
      </c>
      <c r="O153" s="1"/>
    </row>
    <row r="154" spans="1:15" x14ac:dyDescent="0.25">
      <c r="A154">
        <v>153</v>
      </c>
      <c r="B154">
        <v>478992.022</v>
      </c>
      <c r="C154" s="1">
        <v>-4.5199999999999999E-6</v>
      </c>
      <c r="D154">
        <v>891439.9584</v>
      </c>
      <c r="E154">
        <v>6687.0159910000002</v>
      </c>
      <c r="F154">
        <v>1314338.6370000001</v>
      </c>
      <c r="G154">
        <v>1023.1750970000001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-2.5106636877159499E-2</v>
      </c>
      <c r="M154" s="1">
        <f t="shared" si="11"/>
        <v>12457348.242532168</v>
      </c>
      <c r="N154" s="1">
        <f t="shared" si="12"/>
        <v>891839.86843342695</v>
      </c>
      <c r="O154" s="1"/>
    </row>
    <row r="155" spans="1:15" x14ac:dyDescent="0.25">
      <c r="A155">
        <v>154</v>
      </c>
      <c r="B155">
        <v>577520.01850000001</v>
      </c>
      <c r="C155">
        <v>0</v>
      </c>
      <c r="D155">
        <v>1000663.858</v>
      </c>
      <c r="E155">
        <v>7620.930171</v>
      </c>
      <c r="F155">
        <v>1434643.585</v>
      </c>
      <c r="G155">
        <v>914.32895150000002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0</v>
      </c>
      <c r="M155" s="1">
        <f t="shared" si="11"/>
        <v>2964998.1922983211</v>
      </c>
      <c r="N155" s="1">
        <f t="shared" si="12"/>
        <v>166441.8753056053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8686.102562</v>
      </c>
      <c r="F156">
        <v>1342365.5930000001</v>
      </c>
      <c r="G156">
        <v>1179.240262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2493866.9919780144</v>
      </c>
      <c r="N156" s="1">
        <f t="shared" si="12"/>
        <v>158414.27379885901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>
        <v>7034.1986850000003</v>
      </c>
      <c r="F157">
        <v>1281744.27</v>
      </c>
      <c r="G157">
        <v>1777.7025040000001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9884109.2121564504</v>
      </c>
      <c r="N157" s="1">
        <f t="shared" si="12"/>
        <v>1168760.8797197652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>
        <v>7517.3952129999998</v>
      </c>
      <c r="F158">
        <v>1200485.1610000001</v>
      </c>
      <c r="G158">
        <v>1179.240262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17699143.037055086</v>
      </c>
      <c r="N158" s="1">
        <f t="shared" si="12"/>
        <v>1299064.8527364701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>
        <v>1178.0163110000001</v>
      </c>
      <c r="F159">
        <v>1189368.7180000001</v>
      </c>
      <c r="G159">
        <v>352.62495239999998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1640875.9628476321</v>
      </c>
      <c r="N159" s="1">
        <f t="shared" si="12"/>
        <v>229816.47974701677</v>
      </c>
      <c r="O159" s="1"/>
    </row>
    <row r="160" spans="1:15" x14ac:dyDescent="0.25">
      <c r="A160">
        <v>159</v>
      </c>
      <c r="B160">
        <v>491875.39429999999</v>
      </c>
      <c r="C160">
        <v>0</v>
      </c>
      <c r="D160">
        <v>844019.14150000003</v>
      </c>
      <c r="E160">
        <v>2595.126933</v>
      </c>
      <c r="F160">
        <v>1236645.5870000001</v>
      </c>
      <c r="G160">
        <v>420.41221139999999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0</v>
      </c>
      <c r="M160" s="1">
        <f t="shared" si="11"/>
        <v>5274108.7971535167</v>
      </c>
      <c r="N160" s="1">
        <f t="shared" si="12"/>
        <v>399769.33688262786</v>
      </c>
      <c r="O160" s="1"/>
    </row>
    <row r="161" spans="1:15" x14ac:dyDescent="0.25">
      <c r="A161">
        <v>160</v>
      </c>
      <c r="B161">
        <v>552867.91269999999</v>
      </c>
      <c r="C161" s="1">
        <v>1.84E-5</v>
      </c>
      <c r="D161">
        <v>932969.70929999999</v>
      </c>
      <c r="E161">
        <v>6381.7925009999999</v>
      </c>
      <c r="F161">
        <v>1329881.0360000001</v>
      </c>
      <c r="G161">
        <v>214.39192729999999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1.4742503970992202E-2</v>
      </c>
      <c r="M161" s="1">
        <f t="shared" si="11"/>
        <v>1714901.7626081004</v>
      </c>
      <c r="N161" s="1">
        <f t="shared" si="12"/>
        <v>26955.579568229932</v>
      </c>
      <c r="O161" s="1"/>
    </row>
    <row r="162" spans="1:15" x14ac:dyDescent="0.25">
      <c r="A162">
        <v>161</v>
      </c>
      <c r="B162">
        <v>676738.40500000003</v>
      </c>
      <c r="C162">
        <v>8853.2450279999994</v>
      </c>
      <c r="D162">
        <v>1172954.585</v>
      </c>
      <c r="E162">
        <v>7644.7157079999997</v>
      </c>
      <c r="F162">
        <v>1559221.1610000001</v>
      </c>
      <c r="G162">
        <v>2218.0635349999998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3955062.3824253888</v>
      </c>
      <c r="M162" s="1">
        <f t="shared" si="11"/>
        <v>1145395.124567687</v>
      </c>
      <c r="N162" s="1">
        <f t="shared" si="12"/>
        <v>155493.28937999328</v>
      </c>
      <c r="O162" s="1"/>
    </row>
    <row r="163" spans="1:15" x14ac:dyDescent="0.25">
      <c r="A163">
        <v>162</v>
      </c>
      <c r="B163">
        <v>664079.1875</v>
      </c>
      <c r="C163">
        <v>6687.0160150000002</v>
      </c>
      <c r="D163">
        <v>1125072.8940000001</v>
      </c>
      <c r="E163">
        <v>1255.4991600000001</v>
      </c>
      <c r="F163">
        <v>1518312.091</v>
      </c>
      <c r="G163">
        <v>0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2203426.7475309032</v>
      </c>
      <c r="M163" s="1">
        <f t="shared" si="11"/>
        <v>138747.70784921441</v>
      </c>
      <c r="N163" s="1">
        <f t="shared" si="12"/>
        <v>0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>
        <v>10201.74272</v>
      </c>
      <c r="F164">
        <v>956857.34400000004</v>
      </c>
      <c r="G164">
        <v>10602.98335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42387507.285667129</v>
      </c>
      <c r="N164" s="1">
        <f t="shared" si="12"/>
        <v>20612718.307682671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>
        <v>21327.341049999999</v>
      </c>
      <c r="F165">
        <v>1051222.3589999999</v>
      </c>
      <c r="G165">
        <v>10011.81343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12109308.693828207</v>
      </c>
      <c r="N165" s="1">
        <f t="shared" si="12"/>
        <v>2659739.2526548267</v>
      </c>
      <c r="O165" s="1"/>
    </row>
    <row r="166" spans="1:15" x14ac:dyDescent="0.25">
      <c r="A166">
        <v>165</v>
      </c>
      <c r="B166">
        <v>394722.24339999998</v>
      </c>
      <c r="C166">
        <v>830.83358299999998</v>
      </c>
      <c r="D166">
        <v>752523.54489999998</v>
      </c>
      <c r="E166">
        <v>24090.954119999999</v>
      </c>
      <c r="F166">
        <v>1184271.48</v>
      </c>
      <c r="G166">
        <v>5315.7275099999997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4086258.4875338664</v>
      </c>
      <c r="M166" s="1">
        <f t="shared" si="11"/>
        <v>39738267.634332091</v>
      </c>
      <c r="N166" s="1">
        <f t="shared" si="12"/>
        <v>4102620.2417200492</v>
      </c>
      <c r="O166" s="1"/>
    </row>
    <row r="167" spans="1:15" x14ac:dyDescent="0.25">
      <c r="A167">
        <v>166</v>
      </c>
      <c r="B167">
        <v>277078.3322</v>
      </c>
      <c r="C167">
        <v>6940.3855629999998</v>
      </c>
      <c r="D167">
        <v>675012.2709</v>
      </c>
      <c r="E167">
        <v>26045.894219999998</v>
      </c>
      <c r="F167">
        <v>1074091.0549999999</v>
      </c>
      <c r="G167">
        <v>13970.52959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19418458.020094287</v>
      </c>
      <c r="M167" s="1">
        <f t="shared" si="11"/>
        <v>24440695.04245057</v>
      </c>
      <c r="N167" s="1">
        <f t="shared" si="12"/>
        <v>6133817.1776756151</v>
      </c>
      <c r="O167" s="1"/>
    </row>
    <row r="168" spans="1:15" x14ac:dyDescent="0.25">
      <c r="A168">
        <v>167</v>
      </c>
      <c r="B168">
        <v>185414.20689999999</v>
      </c>
      <c r="C168">
        <v>3925.9695390000002</v>
      </c>
      <c r="D168">
        <v>611072.92929999996</v>
      </c>
      <c r="E168">
        <v>22456.50606</v>
      </c>
      <c r="F168">
        <v>1010780.121</v>
      </c>
      <c r="G168">
        <v>8136.4074920000003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21711271.358582128</v>
      </c>
      <c r="M168" s="1">
        <f t="shared" si="11"/>
        <v>41650829.335679807</v>
      </c>
      <c r="N168" s="1">
        <f t="shared" si="12"/>
        <v>7060863.8264819747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8181.7560919999996</v>
      </c>
      <c r="F169">
        <v>1321189.67</v>
      </c>
      <c r="G169">
        <v>0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8154845.6201678338</v>
      </c>
      <c r="N169" s="1">
        <f t="shared" si="12"/>
        <v>0</v>
      </c>
      <c r="O169" s="1"/>
    </row>
    <row r="170" spans="1:15" x14ac:dyDescent="0.25">
      <c r="A170">
        <v>169</v>
      </c>
      <c r="B170">
        <v>477002.73109999998</v>
      </c>
      <c r="C170">
        <v>830.83356330000004</v>
      </c>
      <c r="D170">
        <v>850222.68319999997</v>
      </c>
      <c r="E170">
        <v>7531.5129669999997</v>
      </c>
      <c r="F170">
        <v>1243095.9099999999</v>
      </c>
      <c r="G170">
        <v>2049.7599909999999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2295099.2244698452</v>
      </c>
      <c r="M170" s="1">
        <f t="shared" si="11"/>
        <v>6977708.1209783992</v>
      </c>
      <c r="N170" s="1">
        <f t="shared" si="12"/>
        <v>888540.56733245659</v>
      </c>
      <c r="O170" s="1"/>
    </row>
    <row r="171" spans="1:15" x14ac:dyDescent="0.25">
      <c r="A171">
        <v>170</v>
      </c>
      <c r="B171">
        <v>489271.78539999999</v>
      </c>
      <c r="C171">
        <v>11398.01181</v>
      </c>
      <c r="D171">
        <v>865039.95</v>
      </c>
      <c r="E171">
        <v>20401.944680000001</v>
      </c>
      <c r="F171">
        <v>1252649.8470000001</v>
      </c>
      <c r="G171">
        <v>6617.8496679999998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38024650.952430926</v>
      </c>
      <c r="M171" s="1">
        <f t="shared" si="11"/>
        <v>22827104.979690112</v>
      </c>
      <c r="N171" s="1">
        <f t="shared" si="12"/>
        <v>3464494.2594933836</v>
      </c>
      <c r="O171" s="1"/>
    </row>
    <row r="172" spans="1:15" x14ac:dyDescent="0.25">
      <c r="A172">
        <v>171</v>
      </c>
      <c r="B172">
        <v>532755.79310000001</v>
      </c>
      <c r="C172">
        <v>12458.84114</v>
      </c>
      <c r="D172">
        <v>914735.38450000004</v>
      </c>
      <c r="E172">
        <v>12489.139810000001</v>
      </c>
      <c r="F172">
        <v>1307230.7150000001</v>
      </c>
      <c r="G172">
        <v>5918.4486299999999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40268873.5477245</v>
      </c>
      <c r="M172" s="1">
        <f t="shared" si="11"/>
        <v>13538404.855188118</v>
      </c>
      <c r="N172" s="1">
        <f t="shared" si="12"/>
        <v>3001833.0194735271</v>
      </c>
      <c r="O172" s="1"/>
    </row>
    <row r="173" spans="1:15" x14ac:dyDescent="0.25">
      <c r="A173">
        <v>172</v>
      </c>
      <c r="B173">
        <v>450180.64510000002</v>
      </c>
      <c r="C173">
        <v>11695.71787</v>
      </c>
      <c r="D173">
        <v>796820.15319999994</v>
      </c>
      <c r="E173">
        <v>36929.029860000002</v>
      </c>
      <c r="F173">
        <v>1218190.4010000001</v>
      </c>
      <c r="G173">
        <v>8674.5560879999994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12197563.693538859</v>
      </c>
      <c r="M173" s="1">
        <f t="shared" si="11"/>
        <v>12916868.753887028</v>
      </c>
      <c r="N173" s="1">
        <f t="shared" si="12"/>
        <v>1419646.7275668141</v>
      </c>
      <c r="O173" s="1"/>
    </row>
    <row r="174" spans="1:15" x14ac:dyDescent="0.25">
      <c r="A174">
        <v>173</v>
      </c>
      <c r="B174">
        <v>320642.55940000003</v>
      </c>
      <c r="C174">
        <v>830.83359429999996</v>
      </c>
      <c r="D174">
        <v>693439.7548</v>
      </c>
      <c r="E174">
        <v>37000.595679999999</v>
      </c>
      <c r="F174">
        <v>1105440.7150000001</v>
      </c>
      <c r="G174">
        <v>14244.770759999999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5548041.3554862933</v>
      </c>
      <c r="M174" s="1">
        <f t="shared" si="11"/>
        <v>82866213.364611939</v>
      </c>
      <c r="N174" s="1">
        <f t="shared" si="12"/>
        <v>14926841.478515707</v>
      </c>
      <c r="O174" s="1"/>
    </row>
    <row r="175" spans="1:15" x14ac:dyDescent="0.25">
      <c r="A175">
        <v>174</v>
      </c>
      <c r="B175">
        <v>648546.16240000003</v>
      </c>
      <c r="C175">
        <v>8282.4917719999994</v>
      </c>
      <c r="D175">
        <v>1120177.7490000001</v>
      </c>
      <c r="E175">
        <v>6864.5587889999997</v>
      </c>
      <c r="F175">
        <v>1525823.693</v>
      </c>
      <c r="G175">
        <v>473.10404210000002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2274168.4038975835</v>
      </c>
      <c r="M175" s="1">
        <f t="shared" si="11"/>
        <v>632145.97050405154</v>
      </c>
      <c r="N175" s="1">
        <f t="shared" si="12"/>
        <v>20384.735560193749</v>
      </c>
      <c r="O175" s="1"/>
    </row>
    <row r="176" spans="1:15" x14ac:dyDescent="0.25">
      <c r="A176">
        <v>175</v>
      </c>
      <c r="B176">
        <v>481084.4472</v>
      </c>
      <c r="C176">
        <v>830.83361739999998</v>
      </c>
      <c r="D176">
        <v>837568.92920000001</v>
      </c>
      <c r="E176">
        <v>590.55772539999998</v>
      </c>
      <c r="F176">
        <v>1231243.8189999999</v>
      </c>
      <c r="G176">
        <v>473.10404210000002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1460256.329897207</v>
      </c>
      <c r="M176" s="1">
        <f t="shared" si="11"/>
        <v>348113.22993081337</v>
      </c>
      <c r="N176" s="1">
        <f t="shared" si="12"/>
        <v>130484.37522215435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7452.1788120000001</v>
      </c>
      <c r="F177">
        <v>1359123.6769999999</v>
      </c>
      <c r="G177">
        <v>0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3619257.0450904202</v>
      </c>
      <c r="N177" s="1">
        <f t="shared" si="12"/>
        <v>0</v>
      </c>
      <c r="O177" s="1"/>
    </row>
    <row r="178" spans="1:15" x14ac:dyDescent="0.25">
      <c r="A178">
        <v>177</v>
      </c>
      <c r="B178">
        <v>614430.53370000003</v>
      </c>
      <c r="C178" s="1">
        <v>3.6799999999999999E-6</v>
      </c>
      <c r="D178">
        <v>957222.26679999998</v>
      </c>
      <c r="E178">
        <v>590.55774789999998</v>
      </c>
      <c r="F178">
        <v>1354775.6189999999</v>
      </c>
      <c r="G178">
        <v>0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9.3737242492108791E-4</v>
      </c>
      <c r="M178" s="1">
        <f t="shared" si="11"/>
        <v>50451.009828043971</v>
      </c>
      <c r="N178" s="1">
        <f t="shared" si="12"/>
        <v>0</v>
      </c>
      <c r="O178" s="1"/>
    </row>
    <row r="179" spans="1:15" x14ac:dyDescent="0.25">
      <c r="A179">
        <v>178</v>
      </c>
      <c r="B179">
        <v>543579.96250000002</v>
      </c>
      <c r="C179" s="1">
        <v>-1.6900000000000001E-5</v>
      </c>
      <c r="D179">
        <v>917518.48730000004</v>
      </c>
      <c r="E179">
        <v>1451.1527490000001</v>
      </c>
      <c r="F179">
        <v>1290791.0630000001</v>
      </c>
      <c r="G179">
        <v>0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-8.2443465124611509E-2</v>
      </c>
      <c r="M179" s="1">
        <f t="shared" si="11"/>
        <v>2374246.4551188988</v>
      </c>
      <c r="N179" s="1">
        <f t="shared" si="12"/>
        <v>0</v>
      </c>
      <c r="O179" s="1"/>
    </row>
    <row r="180" spans="1:15" x14ac:dyDescent="0.25">
      <c r="A180">
        <v>179</v>
      </c>
      <c r="B180">
        <v>494666.22379999998</v>
      </c>
      <c r="C180">
        <v>11398.011829999999</v>
      </c>
      <c r="D180">
        <v>861392.56079999998</v>
      </c>
      <c r="E180">
        <v>18126.294880000001</v>
      </c>
      <c r="F180">
        <v>1253545.3729999999</v>
      </c>
      <c r="G180">
        <v>5722.3239249999997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38431558.983349055</v>
      </c>
      <c r="M180" s="1">
        <f t="shared" si="11"/>
        <v>20497980.539336674</v>
      </c>
      <c r="N180" s="1">
        <f t="shared" si="12"/>
        <v>3027737.028311816</v>
      </c>
      <c r="O180" s="1"/>
    </row>
    <row r="181" spans="1:15" x14ac:dyDescent="0.25">
      <c r="A181">
        <v>180</v>
      </c>
      <c r="B181">
        <v>388003.53320000001</v>
      </c>
      <c r="C181">
        <v>6687.0159759999997</v>
      </c>
      <c r="D181">
        <v>750599.91760000004</v>
      </c>
      <c r="E181">
        <v>22662.95765</v>
      </c>
      <c r="F181">
        <v>1150846.422</v>
      </c>
      <c r="G181">
        <v>9130.3375830000004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42536392.635833263</v>
      </c>
      <c r="M181" s="1">
        <f t="shared" si="11"/>
        <v>48349058.28070201</v>
      </c>
      <c r="N181" s="1">
        <f t="shared" si="12"/>
        <v>9113851.4545091242</v>
      </c>
      <c r="O181" s="1"/>
    </row>
    <row r="182" spans="1:15" x14ac:dyDescent="0.25">
      <c r="A182">
        <v>181</v>
      </c>
      <c r="B182">
        <v>554074.38130000001</v>
      </c>
      <c r="C182" s="1">
        <v>-1.5500000000000001E-5</v>
      </c>
      <c r="D182">
        <v>931861.77980000002</v>
      </c>
      <c r="E182" s="1">
        <v>-5.0000000000000002E-5</v>
      </c>
      <c r="F182">
        <v>1339014.67</v>
      </c>
      <c r="G182">
        <v>0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-4.2094447077933254E-3</v>
      </c>
      <c r="M182" s="1">
        <f t="shared" si="11"/>
        <v>-4.5541386913099001E-3</v>
      </c>
      <c r="N182" s="1">
        <f t="shared" si="12"/>
        <v>0</v>
      </c>
      <c r="O182" s="1"/>
    </row>
    <row r="183" spans="1:15" x14ac:dyDescent="0.25">
      <c r="A183">
        <v>182</v>
      </c>
      <c r="B183">
        <v>520149.02399999998</v>
      </c>
      <c r="C183">
        <v>5856.1823569999997</v>
      </c>
      <c r="D183">
        <v>885604.85679999995</v>
      </c>
      <c r="E183">
        <v>0</v>
      </c>
      <c r="F183">
        <v>1250715.973</v>
      </c>
      <c r="G183">
        <v>0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18378851.26173836</v>
      </c>
      <c r="M183" s="1">
        <f t="shared" si="11"/>
        <v>0</v>
      </c>
      <c r="N183" s="1">
        <f t="shared" si="12"/>
        <v>0</v>
      </c>
      <c r="O183" s="1"/>
    </row>
    <row r="184" spans="1:15" x14ac:dyDescent="0.25">
      <c r="A184">
        <v>183</v>
      </c>
      <c r="B184">
        <v>419907.26770000003</v>
      </c>
      <c r="C184">
        <v>830.83358029999999</v>
      </c>
      <c r="D184">
        <v>810270.24639999995</v>
      </c>
      <c r="E184">
        <v>590.5576992</v>
      </c>
      <c r="F184">
        <v>1214547.095</v>
      </c>
      <c r="G184">
        <v>0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2967337.1656635227</v>
      </c>
      <c r="M184" s="1">
        <f t="shared" si="11"/>
        <v>707389.04135017516</v>
      </c>
      <c r="N184" s="1">
        <f t="shared" si="12"/>
        <v>0</v>
      </c>
      <c r="O184" s="1"/>
    </row>
    <row r="185" spans="1:15" x14ac:dyDescent="0.25">
      <c r="A185">
        <v>184</v>
      </c>
      <c r="B185">
        <v>531156.76379999996</v>
      </c>
      <c r="C185">
        <v>5856.1824429999997</v>
      </c>
      <c r="D185">
        <v>885742.26540000003</v>
      </c>
      <c r="E185" s="1">
        <v>2.7800000000000001E-5</v>
      </c>
      <c r="F185">
        <v>1255293.19</v>
      </c>
      <c r="G185">
        <v>0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7188855.4456923846</v>
      </c>
      <c r="M185" s="1">
        <f t="shared" si="11"/>
        <v>1.1445455614217115E-2</v>
      </c>
      <c r="N185" s="1">
        <f t="shared" si="12"/>
        <v>0</v>
      </c>
      <c r="O185" s="1"/>
    </row>
    <row r="186" spans="1:15" x14ac:dyDescent="0.25">
      <c r="A186">
        <v>185</v>
      </c>
      <c r="B186">
        <v>441353.17739999999</v>
      </c>
      <c r="C186" s="1">
        <v>-1.8300000000000001E-6</v>
      </c>
      <c r="D186">
        <v>838850.5736</v>
      </c>
      <c r="E186" s="1">
        <v>2.97E-5</v>
      </c>
      <c r="F186">
        <v>1224997.7320000001</v>
      </c>
      <c r="G186">
        <v>0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-2.7881349038781228E-3</v>
      </c>
      <c r="M186" s="1">
        <f t="shared" si="11"/>
        <v>1.5176173391046065E-2</v>
      </c>
      <c r="N186" s="1">
        <f t="shared" si="12"/>
        <v>0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 s="1">
        <v>8.6400000000000003E-6</v>
      </c>
      <c r="F187">
        <v>1179532.9909999999</v>
      </c>
      <c r="G187">
        <v>8675.7840429999997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1.3451852055221567E-2</v>
      </c>
      <c r="N187" s="1">
        <f t="shared" si="12"/>
        <v>6320053.4466147311</v>
      </c>
      <c r="O187" s="1"/>
    </row>
    <row r="188" spans="1:15" x14ac:dyDescent="0.25">
      <c r="A188">
        <v>187</v>
      </c>
      <c r="B188">
        <v>531248.28249999997</v>
      </c>
      <c r="C188" s="1">
        <v>3.7499999999999997E-5</v>
      </c>
      <c r="D188">
        <v>944944.00269999995</v>
      </c>
      <c r="E188">
        <v>9704.1624049999991</v>
      </c>
      <c r="F188">
        <v>1370307.1170000001</v>
      </c>
      <c r="G188">
        <v>1362.524758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0.15412628433515624</v>
      </c>
      <c r="M188" s="1">
        <f t="shared" si="11"/>
        <v>13376627.516173493</v>
      </c>
      <c r="N188" s="1">
        <f t="shared" si="12"/>
        <v>878772.90597129008</v>
      </c>
      <c r="O188" s="1"/>
    </row>
    <row r="189" spans="1:15" x14ac:dyDescent="0.25">
      <c r="A189">
        <v>188</v>
      </c>
      <c r="B189">
        <v>579759.68830000004</v>
      </c>
      <c r="C189" s="1">
        <v>-1.19E-5</v>
      </c>
      <c r="D189">
        <v>939626.61769999994</v>
      </c>
      <c r="E189">
        <v>590.55771530000004</v>
      </c>
      <c r="F189">
        <v>1342467.5919999999</v>
      </c>
      <c r="G189">
        <v>0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-1.8401534055939126E-2</v>
      </c>
      <c r="M189" s="1">
        <f t="shared" si="11"/>
        <v>306275.70839039952</v>
      </c>
      <c r="N189" s="1">
        <f t="shared" si="12"/>
        <v>0</v>
      </c>
      <c r="O189" s="1"/>
    </row>
    <row r="190" spans="1:15" x14ac:dyDescent="0.25">
      <c r="A190">
        <v>189</v>
      </c>
      <c r="B190">
        <v>573563.61809999996</v>
      </c>
      <c r="C190" s="1">
        <v>4.3600000000000003E-5</v>
      </c>
      <c r="D190">
        <v>956348.83589999995</v>
      </c>
      <c r="E190">
        <v>412.54831949999999</v>
      </c>
      <c r="F190">
        <v>1342688.8049999999</v>
      </c>
      <c r="G190">
        <v>0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4.1306965288689101E-2</v>
      </c>
      <c r="M190" s="1">
        <f t="shared" si="11"/>
        <v>131085.53164225785</v>
      </c>
      <c r="N190" s="1">
        <f t="shared" si="12"/>
        <v>0</v>
      </c>
      <c r="O190" s="1"/>
    </row>
    <row r="191" spans="1:15" x14ac:dyDescent="0.25">
      <c r="A191">
        <v>190</v>
      </c>
      <c r="B191">
        <v>532768.24300000002</v>
      </c>
      <c r="C191" s="1">
        <v>1.06E-5</v>
      </c>
      <c r="D191">
        <v>896551.15049999999</v>
      </c>
      <c r="E191">
        <v>412.54826370000001</v>
      </c>
      <c r="F191">
        <v>1282580.7309999999</v>
      </c>
      <c r="G191">
        <v>0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1.0444085967132352E-2</v>
      </c>
      <c r="M191" s="1">
        <f t="shared" si="11"/>
        <v>136327.18692379232</v>
      </c>
      <c r="N191" s="1">
        <f t="shared" si="12"/>
        <v>0</v>
      </c>
      <c r="O191" s="1"/>
    </row>
    <row r="192" spans="1:15" x14ac:dyDescent="0.25">
      <c r="A192">
        <v>191</v>
      </c>
      <c r="B192">
        <v>514073.04979999998</v>
      </c>
      <c r="C192" s="1">
        <v>4.6100000000000002E-5</v>
      </c>
      <c r="D192">
        <v>876823.60360000003</v>
      </c>
      <c r="E192" s="1">
        <v>-1.13E-5</v>
      </c>
      <c r="F192">
        <v>1258174.6029999999</v>
      </c>
      <c r="G192">
        <v>0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1.6279188149710529E-2</v>
      </c>
      <c r="M192" s="1">
        <f t="shared" si="11"/>
        <v>-1.3382997526446491E-3</v>
      </c>
      <c r="N192" s="1">
        <f t="shared" si="12"/>
        <v>0</v>
      </c>
      <c r="O192" s="1"/>
    </row>
    <row r="193" spans="1:15" x14ac:dyDescent="0.25">
      <c r="A193">
        <v>192</v>
      </c>
      <c r="B193">
        <v>643873.63230000006</v>
      </c>
      <c r="C193" s="1">
        <v>3.2100000000000001E-5</v>
      </c>
      <c r="D193">
        <v>1009040.7070000001</v>
      </c>
      <c r="E193">
        <v>0</v>
      </c>
      <c r="F193">
        <v>1429353.1980000001</v>
      </c>
      <c r="G193">
        <v>0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2.9089422312172951E-2</v>
      </c>
      <c r="M193" s="1">
        <f t="shared" si="11"/>
        <v>0</v>
      </c>
      <c r="N193" s="1">
        <f t="shared" si="12"/>
        <v>0</v>
      </c>
      <c r="O193" s="1"/>
    </row>
    <row r="194" spans="1:15" x14ac:dyDescent="0.25">
      <c r="A194">
        <v>193</v>
      </c>
      <c r="B194">
        <v>539487.03980000003</v>
      </c>
      <c r="C194" s="1">
        <v>-4.6400000000000003E-5</v>
      </c>
      <c r="D194">
        <v>942763.63540000003</v>
      </c>
      <c r="E194" s="1">
        <v>-1.0499999999999999E-5</v>
      </c>
      <c r="F194">
        <v>1335857.3759999999</v>
      </c>
      <c r="G194">
        <v>0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-0.13243712702158122</v>
      </c>
      <c r="M194" s="1">
        <f t="shared" si="11"/>
        <v>-1.0051345615132604E-2</v>
      </c>
      <c r="N194" s="1">
        <f t="shared" si="12"/>
        <v>0</v>
      </c>
      <c r="O194" s="1"/>
    </row>
    <row r="195" spans="1:15" x14ac:dyDescent="0.25">
      <c r="A195">
        <v>194</v>
      </c>
      <c r="B195">
        <v>745287.24690000003</v>
      </c>
      <c r="C195">
        <v>830.83359829999995</v>
      </c>
      <c r="D195">
        <v>1133185.8160000001</v>
      </c>
      <c r="E195">
        <v>0</v>
      </c>
      <c r="F195">
        <v>1511271.585</v>
      </c>
      <c r="G195">
        <v>0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515196.52025628125</v>
      </c>
      <c r="M195" s="1">
        <f t="shared" ref="M195:M258" si="15">$U$3*$K195*E195</f>
        <v>0</v>
      </c>
      <c r="N195" s="1">
        <f t="shared" ref="N195:N258" si="16">$U$4*$K195*G195</f>
        <v>0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590.55726340000001</v>
      </c>
      <c r="F196">
        <v>1428525.737</v>
      </c>
      <c r="G196">
        <v>0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398700.6063972612</v>
      </c>
      <c r="N196" s="1">
        <f t="shared" si="16"/>
        <v>0</v>
      </c>
      <c r="O196" s="1"/>
    </row>
    <row r="197" spans="1:15" x14ac:dyDescent="0.25">
      <c r="A197">
        <v>196</v>
      </c>
      <c r="B197">
        <v>439019.63370000001</v>
      </c>
      <c r="C197" s="1">
        <v>-5.7200000000000003E-6</v>
      </c>
      <c r="D197">
        <v>855608.03189999994</v>
      </c>
      <c r="E197" s="1">
        <v>-4.3600000000000003E-5</v>
      </c>
      <c r="F197">
        <v>1265290.149</v>
      </c>
      <c r="G197">
        <v>0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-3.7298464573298502E-2</v>
      </c>
      <c r="M197" s="1">
        <f t="shared" si="15"/>
        <v>-9.5350846174364609E-2</v>
      </c>
      <c r="N197" s="1">
        <f t="shared" si="16"/>
        <v>0</v>
      </c>
      <c r="O197" s="1"/>
    </row>
    <row r="198" spans="1:15" x14ac:dyDescent="0.25">
      <c r="A198">
        <v>197</v>
      </c>
      <c r="B198">
        <v>744884.93689999997</v>
      </c>
      <c r="C198">
        <v>830.83353939999995</v>
      </c>
      <c r="D198">
        <v>1145572.598</v>
      </c>
      <c r="E198">
        <v>424.71285449999999</v>
      </c>
      <c r="F198">
        <v>1526475.977</v>
      </c>
      <c r="G198">
        <v>0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1300236.3128648621</v>
      </c>
      <c r="M198" s="1">
        <f t="shared" si="15"/>
        <v>222918.86002824717</v>
      </c>
      <c r="N198" s="1">
        <f t="shared" si="16"/>
        <v>0</v>
      </c>
      <c r="O198" s="1"/>
    </row>
    <row r="199" spans="1:15" x14ac:dyDescent="0.25">
      <c r="A199">
        <v>198</v>
      </c>
      <c r="B199">
        <v>608295.50289999996</v>
      </c>
      <c r="C199">
        <v>723.46584459999997</v>
      </c>
      <c r="D199">
        <v>994672.05009999999</v>
      </c>
      <c r="E199">
        <v>590.55770229999996</v>
      </c>
      <c r="F199">
        <v>1422400.8419999999</v>
      </c>
      <c r="G199">
        <v>0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2522565.8676033122</v>
      </c>
      <c r="M199" s="1">
        <f t="shared" si="15"/>
        <v>690605.38051034452</v>
      </c>
      <c r="N199" s="1">
        <f t="shared" si="16"/>
        <v>0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 s="1">
        <v>-2.5999999999999998E-5</v>
      </c>
      <c r="F200">
        <v>1259111.142</v>
      </c>
      <c r="G200">
        <v>0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-5.8721762451882389E-2</v>
      </c>
      <c r="N200" s="1">
        <f t="shared" si="16"/>
        <v>0</v>
      </c>
      <c r="O200" s="1"/>
    </row>
    <row r="201" spans="1:15" x14ac:dyDescent="0.25">
      <c r="A201">
        <v>200</v>
      </c>
      <c r="B201">
        <v>629711.44350000005</v>
      </c>
      <c r="C201">
        <v>830.83358410000005</v>
      </c>
      <c r="D201">
        <v>1023370.822</v>
      </c>
      <c r="E201">
        <v>590.55772539999998</v>
      </c>
      <c r="F201">
        <v>1415433.0819999999</v>
      </c>
      <c r="G201">
        <v>0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2449969.5879079658</v>
      </c>
      <c r="M201" s="1">
        <f t="shared" si="15"/>
        <v>584052.84277866455</v>
      </c>
      <c r="N201" s="1">
        <f t="shared" si="16"/>
        <v>0</v>
      </c>
      <c r="O201" s="1"/>
    </row>
    <row r="202" spans="1:15" x14ac:dyDescent="0.25">
      <c r="A202">
        <v>201</v>
      </c>
      <c r="B202">
        <v>580883.29169999994</v>
      </c>
      <c r="C202">
        <v>723.46589100000006</v>
      </c>
      <c r="D202">
        <v>979167.30790000001</v>
      </c>
      <c r="E202">
        <v>590.5576896</v>
      </c>
      <c r="F202">
        <v>1382153.2590000001</v>
      </c>
      <c r="G202">
        <v>0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4482755.0067837127</v>
      </c>
      <c r="M202" s="1">
        <f t="shared" si="15"/>
        <v>1227248.2165184368</v>
      </c>
      <c r="N202" s="1">
        <f t="shared" si="16"/>
        <v>0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881.20265659999995</v>
      </c>
      <c r="F203">
        <v>1263096.2590000001</v>
      </c>
      <c r="G203">
        <v>0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1485134.3371496252</v>
      </c>
      <c r="N203" s="1">
        <f t="shared" si="16"/>
        <v>0</v>
      </c>
      <c r="O203" s="1"/>
    </row>
    <row r="204" spans="1:15" x14ac:dyDescent="0.25">
      <c r="A204">
        <v>205</v>
      </c>
      <c r="B204">
        <v>563691.94189999998</v>
      </c>
      <c r="C204" s="1">
        <v>-1.42E-5</v>
      </c>
      <c r="D204">
        <v>944485.76100000006</v>
      </c>
      <c r="E204">
        <v>7603.6278000000002</v>
      </c>
      <c r="F204">
        <v>1333460.08</v>
      </c>
      <c r="G204">
        <v>0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-1.5147615892182798E-2</v>
      </c>
      <c r="M204" s="1">
        <f t="shared" si="15"/>
        <v>2720319.5731020588</v>
      </c>
      <c r="N204" s="1">
        <f t="shared" si="16"/>
        <v>0</v>
      </c>
      <c r="O204" s="1"/>
    </row>
    <row r="205" spans="1:15" x14ac:dyDescent="0.25">
      <c r="A205">
        <v>206</v>
      </c>
      <c r="B205">
        <v>470594.70309999998</v>
      </c>
      <c r="C205" s="1">
        <v>7.2799999999999998E-6</v>
      </c>
      <c r="D205">
        <v>867482.14370000002</v>
      </c>
      <c r="E205">
        <v>3304.2230260000001</v>
      </c>
      <c r="F205">
        <v>1279752.2649999999</v>
      </c>
      <c r="G205">
        <v>420.41221139999999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1.6038866637136981E-2</v>
      </c>
      <c r="M205" s="1">
        <f t="shared" si="15"/>
        <v>2441489.0859752577</v>
      </c>
      <c r="N205" s="1">
        <f t="shared" si="16"/>
        <v>145346.45179826306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6687.0160299999998</v>
      </c>
      <c r="F206">
        <v>1261879.8459999999</v>
      </c>
      <c r="G206">
        <v>1179.240262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13641749.420242764</v>
      </c>
      <c r="N206" s="1">
        <f t="shared" si="16"/>
        <v>1125598.9527241746</v>
      </c>
      <c r="O206" s="1"/>
    </row>
    <row r="207" spans="1:15" x14ac:dyDescent="0.25">
      <c r="A207">
        <v>208</v>
      </c>
      <c r="B207">
        <v>639296.00589999999</v>
      </c>
      <c r="C207">
        <v>3925.9695350000002</v>
      </c>
      <c r="D207">
        <v>1086530.5589999999</v>
      </c>
      <c r="E207">
        <v>1235.430065</v>
      </c>
      <c r="F207">
        <v>1474526.3870000001</v>
      </c>
      <c r="G207">
        <v>0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12618850.965928944</v>
      </c>
      <c r="M207" s="1">
        <f t="shared" si="15"/>
        <v>1331785.2140755788</v>
      </c>
      <c r="N207" s="1">
        <f t="shared" si="16"/>
        <v>0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>
        <v>2757.2125970000002</v>
      </c>
      <c r="F208">
        <v>1331963.4809999999</v>
      </c>
      <c r="G208">
        <v>183.28449660000001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2295971.6668832735</v>
      </c>
      <c r="N208" s="1">
        <f t="shared" si="16"/>
        <v>71411.092882279234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6791.4180409999999</v>
      </c>
      <c r="F209">
        <v>1471351.31</v>
      </c>
      <c r="G209">
        <v>397.67642389999997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6100348.2655862411</v>
      </c>
      <c r="N209" s="1">
        <f t="shared" si="16"/>
        <v>167135.10875321532</v>
      </c>
      <c r="O209" s="1"/>
    </row>
    <row r="210" spans="1:15" x14ac:dyDescent="0.25">
      <c r="A210">
        <v>211</v>
      </c>
      <c r="B210">
        <v>573895.95030000003</v>
      </c>
      <c r="C210">
        <v>3925.9695280000001</v>
      </c>
      <c r="D210">
        <v>1053177.3770000001</v>
      </c>
      <c r="E210">
        <v>7696.211859</v>
      </c>
      <c r="F210">
        <v>1468726.554</v>
      </c>
      <c r="G210">
        <v>0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6179061.0379040111</v>
      </c>
      <c r="M210" s="1">
        <f t="shared" si="15"/>
        <v>4062521.8715904923</v>
      </c>
      <c r="N210" s="1">
        <f t="shared" si="16"/>
        <v>0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6118.4744440000004</v>
      </c>
      <c r="F211">
        <v>1362611.6769999999</v>
      </c>
      <c r="G211">
        <v>0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12213969.684640387</v>
      </c>
      <c r="N211" s="1">
        <f t="shared" si="16"/>
        <v>0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>
        <v>1899.2625800000001</v>
      </c>
      <c r="F212">
        <v>1281586.537</v>
      </c>
      <c r="G212">
        <v>0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1750951.8961996054</v>
      </c>
      <c r="N212" s="1">
        <f t="shared" si="16"/>
        <v>0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1148.6235349999999</v>
      </c>
      <c r="F213">
        <v>1180350.307</v>
      </c>
      <c r="G213">
        <v>0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2481995.9308739849</v>
      </c>
      <c r="N213" s="1">
        <f t="shared" si="16"/>
        <v>0</v>
      </c>
      <c r="O213" s="1"/>
    </row>
    <row r="214" spans="1:15" x14ac:dyDescent="0.25">
      <c r="A214">
        <v>215</v>
      </c>
      <c r="B214">
        <v>685872.31259999995</v>
      </c>
      <c r="C214">
        <v>830.83362680000005</v>
      </c>
      <c r="D214">
        <v>1140160.429</v>
      </c>
      <c r="E214">
        <v>822.88178900000003</v>
      </c>
      <c r="F214">
        <v>1571641.0689999999</v>
      </c>
      <c r="G214">
        <v>0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3402239.8862241134</v>
      </c>
      <c r="M214" s="1">
        <f t="shared" si="15"/>
        <v>1130137.93809929</v>
      </c>
      <c r="N214" s="1">
        <f t="shared" si="16"/>
        <v>0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>
        <v>7835.1851269999997</v>
      </c>
      <c r="F215">
        <v>1345783.6669999999</v>
      </c>
      <c r="G215">
        <v>777.33780690000003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12209329.936114153</v>
      </c>
      <c r="N215" s="1">
        <f t="shared" si="16"/>
        <v>566755.88261465856</v>
      </c>
      <c r="O215" s="1"/>
    </row>
    <row r="216" spans="1:15" x14ac:dyDescent="0.25">
      <c r="A216">
        <v>217</v>
      </c>
      <c r="B216">
        <v>517120.9486</v>
      </c>
      <c r="C216" s="1">
        <v>-2.1500000000000001E-5</v>
      </c>
      <c r="D216">
        <v>1016032.284</v>
      </c>
      <c r="E216">
        <v>7361.2694449999999</v>
      </c>
      <c r="F216">
        <v>1427141.686</v>
      </c>
      <c r="G216">
        <v>0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-3.6045327821449376E-2</v>
      </c>
      <c r="M216" s="1">
        <f t="shared" si="15"/>
        <v>4139104.309931701</v>
      </c>
      <c r="N216" s="1">
        <f t="shared" si="16"/>
        <v>0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2909.2685409999999</v>
      </c>
      <c r="F217">
        <v>1348244.6</v>
      </c>
      <c r="G217">
        <v>0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3180632.5622863937</v>
      </c>
      <c r="N217" s="1">
        <f t="shared" si="16"/>
        <v>0</v>
      </c>
      <c r="O217" s="1"/>
    </row>
    <row r="218" spans="1:15" x14ac:dyDescent="0.25">
      <c r="A218">
        <v>219</v>
      </c>
      <c r="B218">
        <v>433588.02720000001</v>
      </c>
      <c r="C218" s="1">
        <v>-1.8E-5</v>
      </c>
      <c r="D218">
        <v>887833.22770000005</v>
      </c>
      <c r="E218">
        <v>2294.2171320000002</v>
      </c>
      <c r="F218">
        <v>1309968.9439999999</v>
      </c>
      <c r="G218">
        <v>0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-8.4924201897405002E-2</v>
      </c>
      <c r="M218" s="1">
        <f t="shared" si="15"/>
        <v>3630250.7558419537</v>
      </c>
      <c r="N218" s="1">
        <f t="shared" si="16"/>
        <v>0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830.83360560000006</v>
      </c>
      <c r="F219">
        <v>1198479.8529999999</v>
      </c>
      <c r="G219">
        <v>0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829889.27358359448</v>
      </c>
      <c r="N219" s="1">
        <f t="shared" si="16"/>
        <v>0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>
        <v>830.83357790000002</v>
      </c>
      <c r="F220">
        <v>1045809.287</v>
      </c>
      <c r="G220">
        <v>0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526593.62024491373</v>
      </c>
      <c r="N220" s="1">
        <f t="shared" si="16"/>
        <v>0</v>
      </c>
      <c r="O220" s="1"/>
    </row>
    <row r="221" spans="1:15" x14ac:dyDescent="0.25">
      <c r="A221">
        <v>222</v>
      </c>
      <c r="B221">
        <v>433501.27429999999</v>
      </c>
      <c r="C221" s="1">
        <v>-7.7300000000000005E-6</v>
      </c>
      <c r="D221">
        <v>913641.94559999998</v>
      </c>
      <c r="E221">
        <v>3666.7495239999998</v>
      </c>
      <c r="F221">
        <v>1351069.3970000001</v>
      </c>
      <c r="G221">
        <v>183.28449660000001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-2.504871113690257E-2</v>
      </c>
      <c r="M221" s="1">
        <f t="shared" si="15"/>
        <v>3985017.8567210902</v>
      </c>
      <c r="N221" s="1">
        <f t="shared" si="16"/>
        <v>93200.541734105325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6940.385534</v>
      </c>
      <c r="F222">
        <v>1153734.2279999999</v>
      </c>
      <c r="G222">
        <v>822.88178900000003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3218481.6581251207</v>
      </c>
      <c r="N222" s="1">
        <f t="shared" si="16"/>
        <v>178545.36146165154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2184.3655869999998</v>
      </c>
      <c r="F223">
        <v>1432453.6950000001</v>
      </c>
      <c r="G223">
        <v>183.28449660000001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2470532.0074602696</v>
      </c>
      <c r="N223" s="1">
        <f t="shared" si="16"/>
        <v>96991.699267497752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 s="1">
        <v>-2.7900000000000001E-5</v>
      </c>
      <c r="F224">
        <v>1146856.064</v>
      </c>
      <c r="G224">
        <v>590.55772539999998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-4.1723997521304242E-2</v>
      </c>
      <c r="N224" s="1">
        <f t="shared" si="16"/>
        <v>413226.09667870519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 s="1">
        <v>4.2700000000000001E-5</v>
      </c>
      <c r="F225">
        <v>935771.42350000003</v>
      </c>
      <c r="G225">
        <v>1848.89348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7.4845963587225034E-2</v>
      </c>
      <c r="N225" s="1">
        <f t="shared" si="16"/>
        <v>1516338.2072744833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 s="1">
        <v>2.5400000000000001E-5</v>
      </c>
      <c r="F226">
        <v>1052352.6129999999</v>
      </c>
      <c r="G226">
        <v>4084.7987159999998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0.11053379034947271</v>
      </c>
      <c r="N226" s="1">
        <f t="shared" si="16"/>
        <v>8317172.0471000178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 s="1">
        <v>-2.3900000000000002E-5</v>
      </c>
      <c r="F227">
        <v>1069946.9339999999</v>
      </c>
      <c r="G227">
        <v>3597.380185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-0.12770623194541719</v>
      </c>
      <c r="N227" s="1">
        <f t="shared" si="16"/>
        <v>8993820.3076175004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 s="1">
        <v>-2.09E-5</v>
      </c>
      <c r="F228">
        <v>1032709.1139999999</v>
      </c>
      <c r="G228">
        <v>7675.4158360000001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-7.1771019789215559E-2</v>
      </c>
      <c r="N228" s="1">
        <f t="shared" si="16"/>
        <v>12332423.297773032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2595.1270140000001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3500834.523383596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822.88178900000003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727031.69568447524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>
        <v>830.83354670000006</v>
      </c>
      <c r="F231">
        <v>1051640.0249999999</v>
      </c>
      <c r="G231">
        <v>590.55772539999998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2109634.6200011438</v>
      </c>
      <c r="N231" s="1">
        <f t="shared" si="16"/>
        <v>701615.62672395341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>
        <v>6940.3854840000004</v>
      </c>
      <c r="F232">
        <v>1090560.193</v>
      </c>
      <c r="G232">
        <v>590.55772539999998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19781025.743785385</v>
      </c>
      <c r="N232" s="1">
        <f t="shared" si="16"/>
        <v>787537.51087538386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 s="1">
        <v>-3.79E-5</v>
      </c>
      <c r="F233">
        <v>1027487.201</v>
      </c>
      <c r="G233">
        <v>860.59504200000003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-0.27957837809724195</v>
      </c>
      <c r="N233" s="1">
        <f t="shared" si="16"/>
        <v>2970344.9609269393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1764.7477799999999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1963129.3098135178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 s="1">
        <v>3.8099999999999998E-5</v>
      </c>
      <c r="F235">
        <v>990812.9277</v>
      </c>
      <c r="G235">
        <v>1437.677958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5.0297670333034471E-2</v>
      </c>
      <c r="N235" s="1">
        <f t="shared" si="16"/>
        <v>888031.12302349287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>
        <v>6687.0159910000002</v>
      </c>
      <c r="F236">
        <v>1282980.9709999999</v>
      </c>
      <c r="G236">
        <v>1365.1542280000001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11967639.8656947</v>
      </c>
      <c r="N236" s="1">
        <f t="shared" si="16"/>
        <v>1143145.5936399514</v>
      </c>
      <c r="O236" s="1"/>
    </row>
    <row r="237" spans="1:15" x14ac:dyDescent="0.25">
      <c r="A237">
        <v>240</v>
      </c>
      <c r="B237">
        <v>549104.14610000001</v>
      </c>
      <c r="C237" s="1">
        <v>9.4700000000000008E-6</v>
      </c>
      <c r="D237">
        <v>1031867.723</v>
      </c>
      <c r="E237">
        <v>7496.5077929999998</v>
      </c>
      <c r="F237">
        <v>1438010.067</v>
      </c>
      <c r="G237">
        <v>1015.070346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3.1186891575655729E-2</v>
      </c>
      <c r="M237" s="1">
        <f t="shared" si="15"/>
        <v>8279883.8616723455</v>
      </c>
      <c r="N237" s="1">
        <f t="shared" si="16"/>
        <v>524571.95351819764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 s="1">
        <v>-3.5299999999999997E-5</v>
      </c>
      <c r="F238">
        <v>1112541.929</v>
      </c>
      <c r="G238">
        <v>5969.2442289999999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-5.9300720565284508E-2</v>
      </c>
      <c r="N238" s="1">
        <f t="shared" si="16"/>
        <v>4691895.0761502143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 s="1">
        <v>-3.3800000000000002E-5</v>
      </c>
      <c r="F239">
        <v>1168448.0589999999</v>
      </c>
      <c r="G239">
        <v>1457.656371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-6.718345388372618E-2</v>
      </c>
      <c r="N239" s="1">
        <f t="shared" si="16"/>
        <v>1355640.266149858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830.8335773</v>
      </c>
      <c r="F240">
        <v>1214351.2549999999</v>
      </c>
      <c r="G240">
        <v>418.23803020000003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964143.84385685017</v>
      </c>
      <c r="N240" s="1">
        <f t="shared" si="16"/>
        <v>227088.42145673183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2671.783989</v>
      </c>
      <c r="F241">
        <v>1435883.8049999999</v>
      </c>
      <c r="G241">
        <v>800.67841869999995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1370409.76676616</v>
      </c>
      <c r="N241" s="1">
        <f t="shared" si="16"/>
        <v>192154.652034742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830.83360070000003</v>
      </c>
      <c r="F242">
        <v>1247363.5049999999</v>
      </c>
      <c r="G242">
        <v>0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2745475.5259720702</v>
      </c>
      <c r="N242" s="1">
        <f t="shared" si="16"/>
        <v>0</v>
      </c>
      <c r="O242" s="1"/>
    </row>
    <row r="243" spans="1:15" x14ac:dyDescent="0.25">
      <c r="A243">
        <v>246</v>
      </c>
      <c r="B243">
        <v>258574.82550000001</v>
      </c>
      <c r="C243">
        <v>0</v>
      </c>
      <c r="D243">
        <v>816831.12269999995</v>
      </c>
      <c r="E243">
        <v>830.83358699999997</v>
      </c>
      <c r="F243">
        <v>1226550.5</v>
      </c>
      <c r="G243">
        <v>0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0</v>
      </c>
      <c r="M243" s="1">
        <f t="shared" si="15"/>
        <v>1360719.6972878578</v>
      </c>
      <c r="N243" s="1">
        <f t="shared" si="16"/>
        <v>0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6687.0159590000003</v>
      </c>
      <c r="F244">
        <v>1264659.6440000001</v>
      </c>
      <c r="G244">
        <v>185.91396660000001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9243083.1191080492</v>
      </c>
      <c r="N244" s="1">
        <f t="shared" si="16"/>
        <v>120237.57091830757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6687.0159510000003</v>
      </c>
      <c r="F245">
        <v>1289923.8529999999</v>
      </c>
      <c r="G245">
        <v>610.62682110000003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11995034.639391957</v>
      </c>
      <c r="N245" s="1">
        <f t="shared" si="16"/>
        <v>512493.90143619326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6687.0160089999999</v>
      </c>
      <c r="F246">
        <v>1295520.952</v>
      </c>
      <c r="G246">
        <v>610.62682110000003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14324595.467215067</v>
      </c>
      <c r="N246" s="1">
        <f t="shared" si="16"/>
        <v>612025.55678369675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 s="1">
        <v>8.5499999999999995E-6</v>
      </c>
      <c r="F247">
        <v>1176518.0619999999</v>
      </c>
      <c r="G247">
        <v>822.88178900000003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1.045199887907553E-2</v>
      </c>
      <c r="N247" s="1">
        <f t="shared" si="16"/>
        <v>470667.67138604325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 s="1">
        <v>-4.4299999999999999E-5</v>
      </c>
      <c r="F248">
        <v>1139335.8459999999</v>
      </c>
      <c r="G248">
        <v>0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-0.15833054275395697</v>
      </c>
      <c r="N248" s="1">
        <f t="shared" si="16"/>
        <v>0</v>
      </c>
      <c r="O248" s="1"/>
    </row>
    <row r="249" spans="1:15" x14ac:dyDescent="0.25">
      <c r="A249">
        <v>252</v>
      </c>
      <c r="B249">
        <v>110316.3572</v>
      </c>
      <c r="C249">
        <v>0</v>
      </c>
      <c r="D249">
        <v>626661.26399999997</v>
      </c>
      <c r="E249" s="1">
        <v>2.51E-5</v>
      </c>
      <c r="F249">
        <v>976513.24979999999</v>
      </c>
      <c r="G249">
        <v>7600.7050980000004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0</v>
      </c>
      <c r="M249" s="1">
        <f t="shared" si="15"/>
        <v>3.344529882299957E-2</v>
      </c>
      <c r="N249" s="1">
        <f t="shared" si="16"/>
        <v>4738696.7786371652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 s="1">
        <v>3.7400000000000001E-5</v>
      </c>
      <c r="F250">
        <v>1098176.0260000001</v>
      </c>
      <c r="G250">
        <v>885.98251019999998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3.3082070303327146E-2</v>
      </c>
      <c r="N250" s="1">
        <f t="shared" si="16"/>
        <v>366682.26467833185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8853.245019</v>
      </c>
      <c r="F251">
        <v>1333610.226</v>
      </c>
      <c r="G251">
        <v>1859.070968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8042199.8850008734</v>
      </c>
      <c r="N251" s="1">
        <f t="shared" si="16"/>
        <v>790154.51546017779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>
        <v>6687.0159379999996</v>
      </c>
      <c r="F252">
        <v>1283212.915</v>
      </c>
      <c r="G252">
        <v>610.62682110000003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7169524.2451956086</v>
      </c>
      <c r="N252" s="1">
        <f t="shared" si="16"/>
        <v>306321.53799191432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830.83361860000002</v>
      </c>
      <c r="F253">
        <v>1223839.54</v>
      </c>
      <c r="G253">
        <v>826.61530930000004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1943030.7946857826</v>
      </c>
      <c r="N253" s="1">
        <f t="shared" si="16"/>
        <v>904508.69242117938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>
        <v>1681.7509399999999</v>
      </c>
      <c r="F254">
        <v>1161602.848</v>
      </c>
      <c r="G254">
        <v>1224.5184589999999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2821329.1080052145</v>
      </c>
      <c r="N254" s="1">
        <f t="shared" si="16"/>
        <v>961171.94258006511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830.8335932</v>
      </c>
      <c r="F255">
        <v>1234967.7509999999</v>
      </c>
      <c r="G255">
        <v>0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3020399.6159507842</v>
      </c>
      <c r="N255" s="1">
        <f t="shared" si="16"/>
        <v>0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 s="1">
        <v>-3.01E-5</v>
      </c>
      <c r="F256">
        <v>1171257.8030000001</v>
      </c>
      <c r="G256">
        <v>1045.108095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-4.6775047710590288E-2</v>
      </c>
      <c r="N256" s="1">
        <f t="shared" si="16"/>
        <v>759893.33150166296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>
        <v>723.46593870000004</v>
      </c>
      <c r="F257">
        <v>1139219.7320000001</v>
      </c>
      <c r="G257">
        <v>812.7840314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1519194.47978777</v>
      </c>
      <c r="N257" s="1">
        <f t="shared" si="16"/>
        <v>798572.08581954625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>
        <v>4178.3311960000001</v>
      </c>
      <c r="F258">
        <v>1058755.425</v>
      </c>
      <c r="G258">
        <v>7672.2296489999999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10579264.273706201</v>
      </c>
      <c r="N258" s="1">
        <f t="shared" si="16"/>
        <v>9089037.1117034014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 s="1">
        <v>-1.6699999999999999E-5</v>
      </c>
      <c r="F259">
        <v>1092001.7069999999</v>
      </c>
      <c r="G259">
        <v>1073.2135960000001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-5.5714527707256919E-2</v>
      </c>
      <c r="N259" s="1">
        <f t="shared" ref="N259:N322" si="20">$U$4*$K259*G259</f>
        <v>1675258.484940663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3469.1549180000002</v>
      </c>
      <c r="F260">
        <v>1005716.439</v>
      </c>
      <c r="G260">
        <v>7251.2590609999997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10389095.712810067</v>
      </c>
      <c r="N260" s="1">
        <f t="shared" si="20"/>
        <v>10160408.113533162</v>
      </c>
      <c r="O260" s="1"/>
    </row>
    <row r="261" spans="1:15" x14ac:dyDescent="0.25">
      <c r="A261">
        <v>264</v>
      </c>
      <c r="B261">
        <v>337505.43310000002</v>
      </c>
      <c r="C261" s="1">
        <v>-3.8999999999999999E-5</v>
      </c>
      <c r="D261">
        <v>825189.86199999996</v>
      </c>
      <c r="E261">
        <v>6617.0881280000003</v>
      </c>
      <c r="F261">
        <v>1245265.625</v>
      </c>
      <c r="G261">
        <v>9944.8955249999999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-0.28371236968805252</v>
      </c>
      <c r="M261" s="1">
        <f t="shared" si="19"/>
        <v>16144467.305879446</v>
      </c>
      <c r="N261" s="1">
        <f t="shared" si="20"/>
        <v>11352740.328251742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>
        <v>0</v>
      </c>
      <c r="F262">
        <v>1027556.211</v>
      </c>
      <c r="G262">
        <v>1174.3598850000001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0</v>
      </c>
      <c r="N262" s="1">
        <f t="shared" si="20"/>
        <v>4373882.9600344049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>
        <v>27894.563529999999</v>
      </c>
      <c r="F263">
        <v>982278.18259999994</v>
      </c>
      <c r="G263">
        <v>41890.895600000003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244881519.71630397</v>
      </c>
      <c r="N263" s="1">
        <f t="shared" si="20"/>
        <v>172067863.00041094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10154.58294</v>
      </c>
      <c r="F264">
        <v>921284.13379999995</v>
      </c>
      <c r="G264">
        <v>14956.09592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48676351.523438208</v>
      </c>
      <c r="N264" s="1">
        <f t="shared" si="20"/>
        <v>33544231.574599408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830.83359989999997</v>
      </c>
      <c r="F265">
        <v>1186794.774</v>
      </c>
      <c r="G265">
        <v>0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972140.78826237202</v>
      </c>
      <c r="N265" s="1">
        <f t="shared" si="20"/>
        <v>0</v>
      </c>
      <c r="O265" s="1"/>
    </row>
    <row r="266" spans="1:15" x14ac:dyDescent="0.25">
      <c r="A266">
        <v>270</v>
      </c>
      <c r="B266">
        <v>371603.51650000003</v>
      </c>
      <c r="C266" s="1">
        <v>3.3399999999999999E-5</v>
      </c>
      <c r="D266">
        <v>892077.08120000002</v>
      </c>
      <c r="E266">
        <v>7554.3653119999999</v>
      </c>
      <c r="F266">
        <v>1317647.2760000001</v>
      </c>
      <c r="G266">
        <v>0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0.14144799736414748</v>
      </c>
      <c r="M266" s="1">
        <f t="shared" si="19"/>
        <v>10729795.76937951</v>
      </c>
      <c r="N266" s="1">
        <f t="shared" si="20"/>
        <v>0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>
        <v>5107.1859979999999</v>
      </c>
      <c r="F267">
        <v>1246408.3230000001</v>
      </c>
      <c r="G267">
        <v>0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10677907.433688214</v>
      </c>
      <c r="N267" s="1">
        <f t="shared" si="20"/>
        <v>0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830.83362139999997</v>
      </c>
      <c r="F268">
        <v>1086133.56</v>
      </c>
      <c r="G268">
        <v>0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-4.5040361056872995E-3</v>
      </c>
      <c r="M268" s="1">
        <f t="shared" si="19"/>
        <v>1280657.4710137961</v>
      </c>
      <c r="N268" s="1">
        <f t="shared" si="20"/>
        <v>0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>
        <v>830.8335869</v>
      </c>
      <c r="F269">
        <v>1046974.578</v>
      </c>
      <c r="G269">
        <v>2.0562999999999999E-4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1161195.1740470908</v>
      </c>
      <c r="N269" s="1">
        <f t="shared" si="20"/>
        <v>0.13446873864589412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>
        <v>2796.3811649999998</v>
      </c>
      <c r="F270">
        <v>1235154.6880000001</v>
      </c>
      <c r="G270">
        <v>8018.8226560000003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-0.18563338776987551</v>
      </c>
      <c r="M270" s="1">
        <f t="shared" si="19"/>
        <v>4618003.3705672733</v>
      </c>
      <c r="N270" s="1">
        <f t="shared" si="20"/>
        <v>6196010.7727822633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1179.4192800000001</v>
      </c>
      <c r="F271">
        <v>1165050.361</v>
      </c>
      <c r="G271">
        <v>4064.6458299999999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1113301.1374917633</v>
      </c>
      <c r="N271" s="1">
        <f t="shared" si="20"/>
        <v>1795191.6422820163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>
        <v>1217.665311</v>
      </c>
      <c r="F272">
        <v>1019031.751</v>
      </c>
      <c r="G272">
        <v>866.52670739999996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2582107.7660337137</v>
      </c>
      <c r="N272" s="1">
        <f t="shared" si="20"/>
        <v>859749.75513296784</v>
      </c>
      <c r="O272" s="1"/>
    </row>
    <row r="273" spans="1:15" x14ac:dyDescent="0.25">
      <c r="A273">
        <v>277</v>
      </c>
      <c r="B273">
        <v>264170.80579999997</v>
      </c>
      <c r="C273">
        <v>0</v>
      </c>
      <c r="D273">
        <v>801619.90240000002</v>
      </c>
      <c r="E273">
        <v>2277.0752929999999</v>
      </c>
      <c r="F273">
        <v>1179817.0549999999</v>
      </c>
      <c r="G273">
        <v>2774.8847409999998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0</v>
      </c>
      <c r="M273" s="1">
        <f t="shared" si="19"/>
        <v>2394885.9058167981</v>
      </c>
      <c r="N273" s="1">
        <f t="shared" si="20"/>
        <v>1365513.7070580972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1217.6653510000001</v>
      </c>
      <c r="F274">
        <v>1000907.385</v>
      </c>
      <c r="G274">
        <v>4430.8092459999998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1901687.4136397787</v>
      </c>
      <c r="N274" s="1">
        <f t="shared" si="20"/>
        <v>3237709.766678697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7245.5820180000001</v>
      </c>
      <c r="F275">
        <v>1285190.3370000001</v>
      </c>
      <c r="G275">
        <v>10678.56538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-2.3365082508840802E-2</v>
      </c>
      <c r="M275" s="1">
        <f t="shared" si="19"/>
        <v>8362073.076964139</v>
      </c>
      <c r="N275" s="1">
        <f t="shared" si="20"/>
        <v>5766300.4962806376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>
        <v>2967.2552879999998</v>
      </c>
      <c r="F276">
        <v>977324.74739999999</v>
      </c>
      <c r="G276">
        <v>2919.1407410000002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3303688.5278134802</v>
      </c>
      <c r="N276" s="1">
        <f t="shared" si="20"/>
        <v>1520697.7211155915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9336.4292910000004</v>
      </c>
      <c r="F277">
        <v>1079465.4569999999</v>
      </c>
      <c r="G277">
        <v>9375.4836940000005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10882924.894216932</v>
      </c>
      <c r="N277" s="1">
        <f t="shared" si="20"/>
        <v>5113310.6762586189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8550.7898420000001</v>
      </c>
      <c r="F278">
        <v>946735.58530000004</v>
      </c>
      <c r="G278">
        <v>6562.7911569999997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11702067.623878071</v>
      </c>
      <c r="N278" s="1">
        <f t="shared" si="20"/>
        <v>4202315.2883239975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8894.5631649999996</v>
      </c>
      <c r="F279">
        <v>1106901.713</v>
      </c>
      <c r="G279">
        <v>6756.0670220000002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17035829.444061935</v>
      </c>
      <c r="N279" s="1">
        <f t="shared" si="20"/>
        <v>6054472.1694538034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13651.36636</v>
      </c>
      <c r="F280">
        <v>1091090.8419999999</v>
      </c>
      <c r="G280">
        <v>8617.2520100000002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-0.25499270693148202</v>
      </c>
      <c r="M280" s="1">
        <f t="shared" si="19"/>
        <v>25715274.544088453</v>
      </c>
      <c r="N280" s="1">
        <f t="shared" si="20"/>
        <v>7594995.4072093107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7782.1298340000003</v>
      </c>
      <c r="F281">
        <v>1056841.7309999999</v>
      </c>
      <c r="G281">
        <v>7347.1940020000002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12420065.832686536</v>
      </c>
      <c r="N281" s="1">
        <f t="shared" si="20"/>
        <v>5486439.7128273575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3718.9371449999999</v>
      </c>
      <c r="F282">
        <v>913939.8112</v>
      </c>
      <c r="G282">
        <v>2167.784185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6560931.2692272048</v>
      </c>
      <c r="N282" s="1">
        <f t="shared" si="20"/>
        <v>1789395.6271114899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>
        <v>8948.0287759999992</v>
      </c>
      <c r="F283">
        <v>1007924.905</v>
      </c>
      <c r="G283">
        <v>9656.3554879999992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20440077.565712258</v>
      </c>
      <c r="N283" s="1">
        <f t="shared" si="20"/>
        <v>10320769.791266955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>
        <v>13098.32776</v>
      </c>
      <c r="F284">
        <v>921142.37150000001</v>
      </c>
      <c r="G284">
        <v>13825.807860000001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37065262.748962708</v>
      </c>
      <c r="N284" s="1">
        <f t="shared" si="20"/>
        <v>18305661.392590411</v>
      </c>
      <c r="O284" s="1"/>
    </row>
    <row r="285" spans="1:15" x14ac:dyDescent="0.25">
      <c r="A285">
        <v>289</v>
      </c>
      <c r="B285">
        <v>53395.360630000003</v>
      </c>
      <c r="C285">
        <v>5856.1823979999999</v>
      </c>
      <c r="D285">
        <v>512250.7009</v>
      </c>
      <c r="E285">
        <v>23684.618829999999</v>
      </c>
      <c r="F285">
        <v>917126.4277</v>
      </c>
      <c r="G285">
        <v>39717.546320000001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38953389.578440815</v>
      </c>
      <c r="M285" s="1">
        <f t="shared" si="19"/>
        <v>52837248.807870001</v>
      </c>
      <c r="N285" s="1">
        <f t="shared" si="20"/>
        <v>41457192.226056725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>
        <v>75288.456080000004</v>
      </c>
      <c r="F286">
        <v>873996.92460000003</v>
      </c>
      <c r="G286">
        <v>38965.264190000002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253487265.33716074</v>
      </c>
      <c r="N286" s="1">
        <f t="shared" si="20"/>
        <v>61383134.009838223</v>
      </c>
      <c r="O286" s="1"/>
    </row>
    <row r="287" spans="1:15" x14ac:dyDescent="0.25">
      <c r="A287">
        <v>291</v>
      </c>
      <c r="B287">
        <v>463595.05170000001</v>
      </c>
      <c r="C287" s="1">
        <v>4.85E-5</v>
      </c>
      <c r="D287">
        <v>879699.49910000002</v>
      </c>
      <c r="E287">
        <v>6347.0636539999996</v>
      </c>
      <c r="F287">
        <v>1297894.122</v>
      </c>
      <c r="G287">
        <v>10074.86073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9.3363137175152003E-2</v>
      </c>
      <c r="M287" s="1">
        <f t="shared" si="19"/>
        <v>4097789.9083313406</v>
      </c>
      <c r="N287" s="1">
        <f t="shared" si="20"/>
        <v>3043403.7000559964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4242.6227719999997</v>
      </c>
      <c r="F288">
        <v>1186722.081</v>
      </c>
      <c r="G288">
        <v>9904.3153729999995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2957469.9669132945</v>
      </c>
      <c r="N288" s="1">
        <f t="shared" si="20"/>
        <v>3230383.3504666081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 s="1">
        <v>-2.09E-5</v>
      </c>
      <c r="F289">
        <v>916684.57299999997</v>
      </c>
      <c r="G289">
        <v>830.83356790000005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-6.548338239725876E-2</v>
      </c>
      <c r="N289" s="1">
        <f t="shared" si="20"/>
        <v>1217986.6573016997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 s="1">
        <v>3.79E-5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6.9661949346066579E-2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7517.3951719999995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13012332.141770659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>
        <v>7835.1851239999996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18207304.300976206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 s="1">
        <v>4.49E-5</v>
      </c>
      <c r="F294">
        <v>1117832.6510000001</v>
      </c>
      <c r="G294">
        <v>6381.792504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0.39373975512881737</v>
      </c>
      <c r="N294" s="1">
        <f t="shared" si="20"/>
        <v>26184801.354325004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>
        <v>7034.1987170000002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9568415.0533565618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1.27E-5</v>
      </c>
      <c r="F296">
        <v>1100476.436</v>
      </c>
      <c r="G296">
        <v>2184.365777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2.809055283126102E-2</v>
      </c>
      <c r="N296" s="1">
        <f t="shared" si="20"/>
        <v>2260609.8066477417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8535.4551210000009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-1.3138060235573229E-2</v>
      </c>
      <c r="N297" s="1">
        <f t="shared" si="20"/>
        <v>14454230.796886874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6687.0159439999998</v>
      </c>
      <c r="F298">
        <v>1271252.4210000001</v>
      </c>
      <c r="G298">
        <v>610.62682110000003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32555965.920663048</v>
      </c>
      <c r="N298" s="1">
        <f t="shared" si="20"/>
        <v>1390970.0562578605</v>
      </c>
      <c r="O298" s="1"/>
    </row>
    <row r="299" spans="1:15" x14ac:dyDescent="0.25">
      <c r="A299">
        <v>310</v>
      </c>
      <c r="B299">
        <v>29906.873640000002</v>
      </c>
      <c r="C299">
        <v>0</v>
      </c>
      <c r="D299">
        <v>672761.11069999996</v>
      </c>
      <c r="E299" s="1">
        <v>-1.5400000000000002E-5</v>
      </c>
      <c r="F299">
        <v>1113076.8759999999</v>
      </c>
      <c r="G299">
        <v>7909.0560690000002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0</v>
      </c>
      <c r="M299" s="1">
        <f t="shared" si="19"/>
        <v>-5.4413514781478163E-2</v>
      </c>
      <c r="N299" s="1">
        <f t="shared" si="20"/>
        <v>13075382.166818554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>
        <v>0</v>
      </c>
      <c r="D301">
        <v>401609.94699999999</v>
      </c>
      <c r="E301" s="1">
        <v>-2.3300000000000001E-5</v>
      </c>
      <c r="F301">
        <v>949336.66220000002</v>
      </c>
      <c r="G301">
        <v>7517.3951470000002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0</v>
      </c>
      <c r="M301" s="1">
        <f t="shared" si="19"/>
        <v>-6.9311232149540256E-2</v>
      </c>
      <c r="N301" s="1">
        <f t="shared" si="20"/>
        <v>10463060.963842485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 s="1">
        <v>-9.0299999999999999E-6</v>
      </c>
      <c r="F302">
        <v>1058851.733</v>
      </c>
      <c r="G302">
        <v>9830.8058789999995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-3.6359241761251979E-2</v>
      </c>
      <c r="N302" s="1">
        <f t="shared" si="20"/>
        <v>18520805.298126951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-3.01E-5</v>
      </c>
      <c r="F303">
        <v>1093958.3840000001</v>
      </c>
      <c r="G303">
        <v>2705.139764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-5.7159611295157703E-2</v>
      </c>
      <c r="N303" s="1">
        <f t="shared" si="20"/>
        <v>2403566.5847404818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3.6699999999999998E-5</v>
      </c>
      <c r="F304">
        <v>1098388.1240000001</v>
      </c>
      <c r="G304">
        <v>2184.365777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5.9675012622699933E-2</v>
      </c>
      <c r="N304" s="1">
        <f t="shared" si="20"/>
        <v>1661864.065462217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 s="1">
        <v>-2.5199999999999999E-5</v>
      </c>
      <c r="F305">
        <v>1055416.7919999999</v>
      </c>
      <c r="G305">
        <v>6378.8697650000004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-8.1940588194666611E-2</v>
      </c>
      <c r="N305" s="1">
        <f t="shared" si="20"/>
        <v>9704785.7028633375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 s="1">
        <v>-2.4199999999999999E-5</v>
      </c>
      <c r="F306">
        <v>1137407.82</v>
      </c>
      <c r="G306">
        <v>6490.0182150000001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-0.13171312959235948</v>
      </c>
      <c r="N306" s="1">
        <f t="shared" si="20"/>
        <v>16527352.763917847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2115.3090499999998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2532266.2012910484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 s="1">
        <v>-4.6700000000000002E-6</v>
      </c>
      <c r="F308">
        <v>1217356.3589999999</v>
      </c>
      <c r="G308">
        <v>590.55772539999998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-1.9410970827773072E-2</v>
      </c>
      <c r="N308" s="1">
        <f t="shared" si="20"/>
        <v>1148514.3071579798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 s="1">
        <v>-4.6100000000000002E-5</v>
      </c>
      <c r="F309">
        <v>1199762.1680000001</v>
      </c>
      <c r="G309">
        <v>1235.430065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-0.20251402296132665</v>
      </c>
      <c r="N309" s="1">
        <f t="shared" si="20"/>
        <v>2539311.7355721877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 s="1">
        <v>1.9400000000000001E-5</v>
      </c>
      <c r="F310">
        <v>1140666.629</v>
      </c>
      <c r="G310">
        <v>6490.0182150000001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0.1146956662967567</v>
      </c>
      <c r="N310" s="1">
        <f t="shared" si="20"/>
        <v>17952910.780205779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 s="1">
        <v>-2.58E-5</v>
      </c>
      <c r="F311">
        <v>1114853.929</v>
      </c>
      <c r="G311">
        <v>5969.2442289999999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-3.0784270839118624E-2</v>
      </c>
      <c r="N311" s="1">
        <f t="shared" si="20"/>
        <v>3332515.6047114264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>
        <v>830.83358299999998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795348.53997372009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>
        <v>2679.2726830000001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2347619.3945749304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>
        <v>0</v>
      </c>
      <c r="F314">
        <v>1060292.919</v>
      </c>
      <c r="G314">
        <v>2671.7843079999998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0</v>
      </c>
      <c r="N314" s="1">
        <f t="shared" si="20"/>
        <v>2306658.7386137159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 s="1">
        <v>-4.5599999999999997E-5</v>
      </c>
      <c r="F315">
        <v>1195380.6580000001</v>
      </c>
      <c r="G315">
        <v>590.55772539999998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-0.12154392484643807</v>
      </c>
      <c r="N315" s="1">
        <f t="shared" si="20"/>
        <v>736502.87571796076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 s="1">
        <v>6.8499999999999996E-6</v>
      </c>
      <c r="F316">
        <v>1095789.554</v>
      </c>
      <c r="G316">
        <v>881.20268490000001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3.4648948040098486E-2</v>
      </c>
      <c r="N316" s="1">
        <f t="shared" si="20"/>
        <v>2085542.1524632217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>
        <v>16709.437239999999</v>
      </c>
      <c r="F317">
        <v>899794.30390000006</v>
      </c>
      <c r="G317">
        <v>14403.730659999999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84698430.201119497</v>
      </c>
      <c r="N317" s="1">
        <f t="shared" si="20"/>
        <v>34161128.393885724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7864.5779320000001</v>
      </c>
      <c r="F318">
        <v>1287726.5160000001</v>
      </c>
      <c r="G318">
        <v>1179.240262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43663630.33266665</v>
      </c>
      <c r="N318" s="1">
        <f t="shared" si="20"/>
        <v>3063306.1154709789</v>
      </c>
      <c r="O318" s="1"/>
    </row>
    <row r="319" spans="1:15" x14ac:dyDescent="0.25">
      <c r="A319">
        <v>332</v>
      </c>
      <c r="B319">
        <v>27103.115870000001</v>
      </c>
      <c r="C319">
        <v>0</v>
      </c>
      <c r="D319">
        <v>287351.75040000002</v>
      </c>
      <c r="E319">
        <v>18604.492880000002</v>
      </c>
      <c r="F319">
        <v>874731.12159999995</v>
      </c>
      <c r="G319">
        <v>4927.5791520000002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0</v>
      </c>
      <c r="M319" s="1">
        <f t="shared" si="19"/>
        <v>112134478.93746826</v>
      </c>
      <c r="N319" s="1">
        <f t="shared" si="20"/>
        <v>13896282.041309332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830.83359729999995</v>
      </c>
      <c r="F320">
        <v>1175916.6910000001</v>
      </c>
      <c r="G320">
        <v>2072.3960510000002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3758318.6136976639</v>
      </c>
      <c r="N320" s="1">
        <f t="shared" si="20"/>
        <v>4386276.235545761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 s="1">
        <v>4.8099999999999997E-5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0.34016550277730279</v>
      </c>
      <c r="O322" s="1"/>
    </row>
    <row r="323" spans="1:15" x14ac:dyDescent="0.25">
      <c r="A323">
        <v>401</v>
      </c>
      <c r="B323">
        <v>11972.64092</v>
      </c>
      <c r="C323">
        <v>0</v>
      </c>
      <c r="D323">
        <v>40494.64026</v>
      </c>
      <c r="E323" s="1">
        <v>2.3E-6</v>
      </c>
      <c r="F323">
        <v>143050.13020000001</v>
      </c>
      <c r="G323">
        <v>6707.0998129999998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0</v>
      </c>
      <c r="M323" s="1">
        <f t="shared" ref="M323:M386" si="23">$U$3*$K323*E323</f>
        <v>2.9409676706962699E-2</v>
      </c>
      <c r="N323" s="1">
        <f t="shared" ref="N323:N386" si="24">$U$4*$K323*G323</f>
        <v>40127385.298064061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>
        <v>746.6878514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3056672.1771258009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>
        <v>16209.22255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54167688.453069158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>
        <v>98314.756389999995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205576098.49591571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>
        <v>15827.20527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51462413.004639834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>
        <v>751.68185289999997</v>
      </c>
      <c r="F328">
        <v>632384.22030000004</v>
      </c>
      <c r="G328">
        <v>23971.04639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14106776.790735358</v>
      </c>
      <c r="N328" s="1">
        <f t="shared" si="24"/>
        <v>210486574.08525702</v>
      </c>
      <c r="O328" s="1"/>
    </row>
    <row r="329" spans="1:15" x14ac:dyDescent="0.25">
      <c r="A329">
        <v>409</v>
      </c>
      <c r="B329">
        <v>60449.392500000002</v>
      </c>
      <c r="C329">
        <v>2967.255298</v>
      </c>
      <c r="D329">
        <v>588320.59149999998</v>
      </c>
      <c r="E329">
        <v>37208.379970000002</v>
      </c>
      <c r="F329">
        <v>1004835.983</v>
      </c>
      <c r="G329">
        <v>42608.118280000002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43845819.65923886</v>
      </c>
      <c r="M329" s="1">
        <f t="shared" si="23"/>
        <v>184398412.4674803</v>
      </c>
      <c r="N329" s="1">
        <f t="shared" si="24"/>
        <v>98798977.30670099</v>
      </c>
      <c r="O329" s="1"/>
    </row>
    <row r="330" spans="1:15" x14ac:dyDescent="0.25">
      <c r="A330">
        <v>410</v>
      </c>
      <c r="B330">
        <v>109104.80620000001</v>
      </c>
      <c r="C330">
        <v>27743.70665</v>
      </c>
      <c r="D330">
        <v>742590.87150000001</v>
      </c>
      <c r="E330">
        <v>30902.736540000002</v>
      </c>
      <c r="F330">
        <v>1110394.05</v>
      </c>
      <c r="G330">
        <v>67704.740680000003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275678526.95448327</v>
      </c>
      <c r="M330" s="1">
        <f t="shared" si="23"/>
        <v>102986081.02420904</v>
      </c>
      <c r="N330" s="1">
        <f t="shared" si="24"/>
        <v>105570930.60774803</v>
      </c>
      <c r="O330" s="1"/>
    </row>
    <row r="331" spans="1:15" x14ac:dyDescent="0.25">
      <c r="A331">
        <v>411</v>
      </c>
      <c r="B331">
        <v>421255.3222</v>
      </c>
      <c r="C331">
        <v>48695.841050000003</v>
      </c>
      <c r="D331">
        <v>901882.04070000001</v>
      </c>
      <c r="E331">
        <v>33647.049939999997</v>
      </c>
      <c r="F331">
        <v>1332042.9509999999</v>
      </c>
      <c r="G331">
        <v>23593.085859999999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472512523.37699938</v>
      </c>
      <c r="M331" s="1">
        <f t="shared" si="23"/>
        <v>109499360.29977392</v>
      </c>
      <c r="N331" s="1">
        <f t="shared" si="24"/>
        <v>35924688.873919211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54195.427159999999</v>
      </c>
      <c r="F332">
        <v>903907.15209999995</v>
      </c>
      <c r="G332">
        <v>52131.997389999997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272304992.50319827</v>
      </c>
      <c r="N332" s="1">
        <f t="shared" si="24"/>
        <v>122557813.18663041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>
        <v>16228.800090000001</v>
      </c>
      <c r="F333">
        <v>767494.17189999996</v>
      </c>
      <c r="G333">
        <v>47775.820350000002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67776443.581480771</v>
      </c>
      <c r="N333" s="1">
        <f t="shared" si="24"/>
        <v>93356421.691724077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46128.585290000003</v>
      </c>
      <c r="F334">
        <v>949689.50730000006</v>
      </c>
      <c r="G334">
        <v>60465.445010000003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293214615.5750863</v>
      </c>
      <c r="N334" s="1">
        <f t="shared" si="24"/>
        <v>179831766.54556194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29759.59605</v>
      </c>
      <c r="F335">
        <v>714032.27049999998</v>
      </c>
      <c r="G335">
        <v>71676.190889999998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106206557.15761477</v>
      </c>
      <c r="N335" s="1">
        <f t="shared" si="24"/>
        <v>119685873.69580175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>
        <v>11748.080400000001</v>
      </c>
      <c r="F336">
        <v>757062.46869999997</v>
      </c>
      <c r="G336">
        <v>50818.533530000001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59700147.148364097</v>
      </c>
      <c r="N336" s="1">
        <f t="shared" si="24"/>
        <v>120829867.1999096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>
        <v>4735.253044</v>
      </c>
      <c r="F337">
        <v>662995.1605</v>
      </c>
      <c r="G337">
        <v>43009.86565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138091540.14534846</v>
      </c>
      <c r="N337" s="1">
        <f t="shared" si="24"/>
        <v>586861535.40694261</v>
      </c>
      <c r="O337" s="1"/>
    </row>
    <row r="338" spans="1:15" x14ac:dyDescent="0.25">
      <c r="A338">
        <v>418</v>
      </c>
      <c r="B338">
        <v>89858.504159999997</v>
      </c>
      <c r="C338">
        <v>5439.7609860000002</v>
      </c>
      <c r="D338">
        <v>666642.77650000004</v>
      </c>
      <c r="E338">
        <v>41938.428549999997</v>
      </c>
      <c r="F338">
        <v>1058916.5</v>
      </c>
      <c r="G338">
        <v>44378.044009999998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35292038.16952458</v>
      </c>
      <c r="M338" s="1">
        <f t="shared" si="23"/>
        <v>91254063.507152244</v>
      </c>
      <c r="N338" s="1">
        <f t="shared" si="24"/>
        <v>45180589.584527999</v>
      </c>
      <c r="O338" s="1"/>
    </row>
    <row r="339" spans="1:15" x14ac:dyDescent="0.25">
      <c r="A339">
        <v>420</v>
      </c>
      <c r="B339">
        <v>44315.055289999997</v>
      </c>
      <c r="C339">
        <v>10901.644850000001</v>
      </c>
      <c r="D339">
        <v>474478.38459999999</v>
      </c>
      <c r="E339">
        <v>107039.5857</v>
      </c>
      <c r="F339">
        <v>844819.72320000001</v>
      </c>
      <c r="G339">
        <v>114950.6615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172573548.19128433</v>
      </c>
      <c r="M339" s="1">
        <f t="shared" si="23"/>
        <v>568289661.50227594</v>
      </c>
      <c r="N339" s="1">
        <f t="shared" si="24"/>
        <v>285548898.22506666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>
        <v>2062.6908640000001</v>
      </c>
      <c r="F340">
        <v>585551.13190000004</v>
      </c>
      <c r="G340">
        <v>100150.4952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21134144.907709382</v>
      </c>
      <c r="N340" s="1">
        <f t="shared" si="24"/>
        <v>480117255.67319715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7708.478779</v>
      </c>
      <c r="F341">
        <v>549963.11750000005</v>
      </c>
      <c r="G341">
        <v>103004.49800000001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50809025.775616921</v>
      </c>
      <c r="N341" s="1">
        <f t="shared" si="24"/>
        <v>317666965.61007589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3039.6012470000001</v>
      </c>
      <c r="F342">
        <v>563220.57660000003</v>
      </c>
      <c r="G342">
        <v>121612.98940000001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3715739.8673015819</v>
      </c>
      <c r="N342" s="1">
        <f t="shared" si="24"/>
        <v>69558839.928281069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6083.2193610000004</v>
      </c>
      <c r="F343">
        <v>522965.44500000001</v>
      </c>
      <c r="G343">
        <v>96490.647700000001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33949589.151804313</v>
      </c>
      <c r="N343" s="1">
        <f t="shared" si="24"/>
        <v>251959040.21607187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>
        <v>3589.1606849999998</v>
      </c>
      <c r="F344">
        <v>432077.54300000001</v>
      </c>
      <c r="G344">
        <v>57013.73691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10546620.746753672</v>
      </c>
      <c r="N344" s="1">
        <f t="shared" si="24"/>
        <v>78386922.239742815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>
        <v>53229.848360000004</v>
      </c>
      <c r="F345">
        <v>626506.73400000005</v>
      </c>
      <c r="G345">
        <v>127857.5157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109093960.56034258</v>
      </c>
      <c r="N345" s="1">
        <f t="shared" si="24"/>
        <v>122607043.36098535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>
        <v>862.17684829999996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1527379.2748665423</v>
      </c>
      <c r="O346" s="1"/>
    </row>
    <row r="347" spans="1:15" x14ac:dyDescent="0.25">
      <c r="A347">
        <v>429</v>
      </c>
      <c r="B347">
        <v>8396.6571010000007</v>
      </c>
      <c r="C347">
        <v>0</v>
      </c>
      <c r="D347">
        <v>35565.386380000004</v>
      </c>
      <c r="E347" s="1">
        <v>1.4699999999999999E-6</v>
      </c>
      <c r="F347">
        <v>108000.21799999999</v>
      </c>
      <c r="G347">
        <v>4484.3584739999997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0</v>
      </c>
      <c r="M347" s="1">
        <f t="shared" si="23"/>
        <v>2.0398423611657418E-2</v>
      </c>
      <c r="N347" s="1">
        <f t="shared" si="24"/>
        <v>29115434.267852832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>
        <v>3718.9371919999999</v>
      </c>
      <c r="D349">
        <v>742311.3885</v>
      </c>
      <c r="E349">
        <v>9858.0722939999996</v>
      </c>
      <c r="F349">
        <v>1153027.202</v>
      </c>
      <c r="G349">
        <v>11020.73522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398991745.59383124</v>
      </c>
      <c r="M349" s="1">
        <f t="shared" si="23"/>
        <v>354715529.97994572</v>
      </c>
      <c r="N349" s="1">
        <f t="shared" si="24"/>
        <v>185542092.73579597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>
        <v>7263.8014560000001</v>
      </c>
      <c r="F350">
        <v>959593.20319999999</v>
      </c>
      <c r="G350">
        <v>6899.4485709999999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175606141.47908515</v>
      </c>
      <c r="N350" s="1">
        <f t="shared" si="24"/>
        <v>78042971.22830531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6707.0998069999996</v>
      </c>
      <c r="D352">
        <v>542329.84180000005</v>
      </c>
      <c r="E352">
        <v>72098.033030000006</v>
      </c>
      <c r="F352">
        <v>889524.22100000002</v>
      </c>
      <c r="G352">
        <v>62719.012929999997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30152621.21128739</v>
      </c>
      <c r="M352" s="1">
        <f t="shared" si="23"/>
        <v>108706836.24227199</v>
      </c>
      <c r="N352" s="1">
        <f t="shared" si="24"/>
        <v>44246236.145244755</v>
      </c>
      <c r="O352" s="1"/>
    </row>
    <row r="353" spans="1:15" x14ac:dyDescent="0.25">
      <c r="A353">
        <v>501</v>
      </c>
      <c r="B353">
        <v>30413.220290000001</v>
      </c>
      <c r="C353" s="1">
        <v>2.9999999999999999E-7</v>
      </c>
      <c r="D353">
        <v>443977.61609999998</v>
      </c>
      <c r="E353">
        <v>30332.947629999999</v>
      </c>
      <c r="F353">
        <v>802580.66070000001</v>
      </c>
      <c r="G353">
        <v>79048.002729999993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2.8025965832279998E-3</v>
      </c>
      <c r="M353" s="1">
        <f t="shared" si="23"/>
        <v>95037955.663495705</v>
      </c>
      <c r="N353" s="1">
        <f t="shared" si="24"/>
        <v>115882284.92786539</v>
      </c>
      <c r="O353" s="1"/>
    </row>
    <row r="354" spans="1:15" x14ac:dyDescent="0.25">
      <c r="A354">
        <v>502</v>
      </c>
      <c r="B354">
        <v>36334.551469999999</v>
      </c>
      <c r="C354">
        <v>5856.1824059999999</v>
      </c>
      <c r="D354">
        <v>503379.44270000001</v>
      </c>
      <c r="E354">
        <v>52982.094250000002</v>
      </c>
      <c r="F354">
        <v>824355.30610000005</v>
      </c>
      <c r="G354">
        <v>75748.669169999994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55006246.593905777</v>
      </c>
      <c r="M354" s="1">
        <f t="shared" si="23"/>
        <v>166905125.55106747</v>
      </c>
      <c r="N354" s="1">
        <f t="shared" si="24"/>
        <v>111650131.31267531</v>
      </c>
      <c r="O354" s="1"/>
    </row>
    <row r="355" spans="1:15" x14ac:dyDescent="0.25">
      <c r="A355">
        <v>503</v>
      </c>
      <c r="B355">
        <v>26050.398499999999</v>
      </c>
      <c r="C355" s="1">
        <v>3.1E-6</v>
      </c>
      <c r="D355">
        <v>309658.23700000002</v>
      </c>
      <c r="E355">
        <v>17076.433570000001</v>
      </c>
      <c r="F355">
        <v>691648.99060000002</v>
      </c>
      <c r="G355">
        <v>90943.977180000002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4.1343492940220251E-2</v>
      </c>
      <c r="M355" s="1">
        <f t="shared" si="23"/>
        <v>76381077.688588008</v>
      </c>
      <c r="N355" s="1">
        <f t="shared" si="24"/>
        <v>190329553.94872552</v>
      </c>
      <c r="O355" s="1"/>
    </row>
    <row r="356" spans="1:15" x14ac:dyDescent="0.25">
      <c r="A356">
        <v>504</v>
      </c>
      <c r="B356">
        <v>25701.549470000002</v>
      </c>
      <c r="C356">
        <v>5856.1824059999999</v>
      </c>
      <c r="D356">
        <v>300424.92950000003</v>
      </c>
      <c r="E356">
        <v>133957.19880000001</v>
      </c>
      <c r="F356">
        <v>704952.58929999999</v>
      </c>
      <c r="G356">
        <v>147528.90969999999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120044817.77285179</v>
      </c>
      <c r="M356" s="1">
        <f t="shared" si="23"/>
        <v>920954163.32801318</v>
      </c>
      <c r="N356" s="1">
        <f t="shared" si="24"/>
        <v>474561791.81954068</v>
      </c>
      <c r="O356" s="1"/>
    </row>
    <row r="357" spans="1:15" x14ac:dyDescent="0.25">
      <c r="A357">
        <v>505</v>
      </c>
      <c r="B357">
        <v>31763.556059999999</v>
      </c>
      <c r="C357">
        <v>4439.552248</v>
      </c>
      <c r="D357">
        <v>331986.72769999999</v>
      </c>
      <c r="E357">
        <v>216926.9129</v>
      </c>
      <c r="F357">
        <v>723507.41489999997</v>
      </c>
      <c r="G357">
        <v>186776.74350000001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106220577.20255719</v>
      </c>
      <c r="M357" s="1">
        <f t="shared" si="23"/>
        <v>1740708533.508744</v>
      </c>
      <c r="N357" s="1">
        <f t="shared" si="24"/>
        <v>701260052.37272894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>
        <v>3852.4787339999998</v>
      </c>
      <c r="F358">
        <v>631804.61739999999</v>
      </c>
      <c r="G358">
        <v>76569.100160000002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19931881.255354464</v>
      </c>
      <c r="N358" s="1">
        <f t="shared" si="24"/>
        <v>185355408.38098955</v>
      </c>
      <c r="O358" s="1"/>
    </row>
    <row r="359" spans="1:15" x14ac:dyDescent="0.25">
      <c r="A359">
        <v>509</v>
      </c>
      <c r="B359">
        <v>18845.249370000001</v>
      </c>
      <c r="C359" s="1">
        <v>-4.1999999999999996E-6</v>
      </c>
      <c r="D359">
        <v>93961.703670000003</v>
      </c>
      <c r="E359">
        <v>8698.6552580000007</v>
      </c>
      <c r="F359">
        <v>586817.66379999998</v>
      </c>
      <c r="G359">
        <v>70550.742280000006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-6.1014724871919002E-2</v>
      </c>
      <c r="M359" s="1">
        <f t="shared" si="23"/>
        <v>42381919.595719434</v>
      </c>
      <c r="N359" s="1">
        <f t="shared" si="24"/>
        <v>160832483.9677048</v>
      </c>
      <c r="O359" s="1"/>
    </row>
    <row r="360" spans="1:15" x14ac:dyDescent="0.25">
      <c r="A360">
        <v>510</v>
      </c>
      <c r="B360">
        <v>18570.2611</v>
      </c>
      <c r="C360" s="1">
        <v>6.9999999999999997E-7</v>
      </c>
      <c r="D360">
        <v>92394.706980000003</v>
      </c>
      <c r="E360">
        <v>8698.6552520000005</v>
      </c>
      <c r="F360">
        <v>588645.64549999998</v>
      </c>
      <c r="G360">
        <v>70795.098429999998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1.02341166728255E-2</v>
      </c>
      <c r="M360" s="1">
        <f t="shared" si="23"/>
        <v>42652803.293522291</v>
      </c>
      <c r="N360" s="1">
        <f t="shared" si="24"/>
        <v>162421055.63532335</v>
      </c>
      <c r="O360" s="1"/>
    </row>
    <row r="361" spans="1:15" x14ac:dyDescent="0.25">
      <c r="A361">
        <v>511</v>
      </c>
      <c r="B361">
        <v>27598.16689</v>
      </c>
      <c r="C361">
        <v>830.8335879</v>
      </c>
      <c r="D361">
        <v>431173.48460000003</v>
      </c>
      <c r="E361">
        <v>25218.439849999999</v>
      </c>
      <c r="F361">
        <v>788134.65850000002</v>
      </c>
      <c r="G361">
        <v>82301.967709999997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9967938.669945091</v>
      </c>
      <c r="M361" s="1">
        <f t="shared" si="23"/>
        <v>101473505.58128229</v>
      </c>
      <c r="N361" s="1">
        <f t="shared" si="24"/>
        <v>154948845.82772133</v>
      </c>
      <c r="O361" s="1"/>
    </row>
    <row r="362" spans="1:15" x14ac:dyDescent="0.25">
      <c r="A362">
        <v>512</v>
      </c>
      <c r="B362">
        <v>24975.755130000001</v>
      </c>
      <c r="C362" s="1">
        <v>4.7999999999999998E-6</v>
      </c>
      <c r="D362">
        <v>316544.6471</v>
      </c>
      <c r="E362">
        <v>17727.98864</v>
      </c>
      <c r="F362">
        <v>706326.17009999999</v>
      </c>
      <c r="G362">
        <v>96390.215129999997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2.4780421011060001E-2</v>
      </c>
      <c r="M362" s="1">
        <f t="shared" si="23"/>
        <v>30695170.139394421</v>
      </c>
      <c r="N362" s="1">
        <f t="shared" si="24"/>
        <v>78088522.901070714</v>
      </c>
      <c r="O362" s="1"/>
    </row>
    <row r="363" spans="1:15" x14ac:dyDescent="0.25">
      <c r="A363">
        <v>513</v>
      </c>
      <c r="B363">
        <v>22105.32417</v>
      </c>
      <c r="C363" s="1">
        <v>5.9999999999999997E-7</v>
      </c>
      <c r="D363">
        <v>172899.4762</v>
      </c>
      <c r="E363">
        <v>3852.478744</v>
      </c>
      <c r="F363">
        <v>629597.8885</v>
      </c>
      <c r="G363">
        <v>77182.270749999996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7.4455389898499995E-3</v>
      </c>
      <c r="M363" s="1">
        <f t="shared" si="23"/>
        <v>16033497.92751907</v>
      </c>
      <c r="N363" s="1">
        <f t="shared" si="24"/>
        <v>150296635.4661974</v>
      </c>
      <c r="O363" s="1"/>
    </row>
    <row r="364" spans="1:15" x14ac:dyDescent="0.25">
      <c r="A364">
        <v>514</v>
      </c>
      <c r="B364">
        <v>23988.756819999999</v>
      </c>
      <c r="C364" s="1">
        <v>3.8999999999999999E-6</v>
      </c>
      <c r="D364">
        <v>281840.24690000003</v>
      </c>
      <c r="E364">
        <v>10764.20004</v>
      </c>
      <c r="F364">
        <v>673586.57330000005</v>
      </c>
      <c r="G364">
        <v>91088.455409999995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2.2152613182121503E-2</v>
      </c>
      <c r="M364" s="1">
        <f t="shared" si="23"/>
        <v>20506203.082776766</v>
      </c>
      <c r="N364" s="1">
        <f t="shared" si="24"/>
        <v>81191489.720542237</v>
      </c>
      <c r="O364" s="1"/>
    </row>
    <row r="365" spans="1:15" x14ac:dyDescent="0.25">
      <c r="A365">
        <v>517</v>
      </c>
      <c r="B365">
        <v>505109.76089999999</v>
      </c>
      <c r="C365">
        <v>64270.875039999999</v>
      </c>
      <c r="D365">
        <v>844767.02650000004</v>
      </c>
      <c r="E365">
        <v>75742.175889999999</v>
      </c>
      <c r="F365">
        <v>1242305.476</v>
      </c>
      <c r="G365">
        <v>48313.199789999999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148160756.61596122</v>
      </c>
      <c r="M365" s="1">
        <f t="shared" si="23"/>
        <v>58559840.951396286</v>
      </c>
      <c r="N365" s="1">
        <f t="shared" si="24"/>
        <v>17477189.343214396</v>
      </c>
      <c r="O365" s="1"/>
    </row>
    <row r="366" spans="1:15" x14ac:dyDescent="0.25">
      <c r="A366">
        <v>518</v>
      </c>
      <c r="B366">
        <v>305243.80800000002</v>
      </c>
      <c r="C366">
        <v>17464.670679999999</v>
      </c>
      <c r="D366">
        <v>713471.58929999999</v>
      </c>
      <c r="E366">
        <v>97660.183969999998</v>
      </c>
      <c r="F366">
        <v>1087121.534</v>
      </c>
      <c r="G366">
        <v>45239.534330000002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74734581.880312219</v>
      </c>
      <c r="M366" s="1">
        <f t="shared" si="23"/>
        <v>140159288.20839226</v>
      </c>
      <c r="N366" s="1">
        <f t="shared" si="24"/>
        <v>30378487.646483466</v>
      </c>
      <c r="O366" s="1"/>
    </row>
    <row r="367" spans="1:15" x14ac:dyDescent="0.25">
      <c r="A367">
        <v>519</v>
      </c>
      <c r="B367">
        <v>168017.5343</v>
      </c>
      <c r="C367">
        <v>3852.478791</v>
      </c>
      <c r="D367">
        <v>633013.34120000002</v>
      </c>
      <c r="E367">
        <v>71711.61421</v>
      </c>
      <c r="F367">
        <v>984017.64969999995</v>
      </c>
      <c r="G367">
        <v>42389.105580000003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22308886.841014836</v>
      </c>
      <c r="M367" s="1">
        <f t="shared" si="23"/>
        <v>139274073.97383365</v>
      </c>
      <c r="N367" s="1">
        <f t="shared" si="24"/>
        <v>38519328.910756305</v>
      </c>
      <c r="O367" s="1"/>
    </row>
    <row r="368" spans="1:15" x14ac:dyDescent="0.25">
      <c r="A368">
        <v>520</v>
      </c>
      <c r="B368">
        <v>215741.15539999999</v>
      </c>
      <c r="C368">
        <v>12746.782929999999</v>
      </c>
      <c r="D368">
        <v>667620.09450000001</v>
      </c>
      <c r="E368">
        <v>77742.524430000005</v>
      </c>
      <c r="F368">
        <v>1033573.341</v>
      </c>
      <c r="G368">
        <v>46877.618300000002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111910909.0975838</v>
      </c>
      <c r="M368" s="1">
        <f t="shared" si="23"/>
        <v>228914661.57951617</v>
      </c>
      <c r="N368" s="1">
        <f t="shared" si="24"/>
        <v>64583888.128706694</v>
      </c>
      <c r="O368" s="1"/>
    </row>
    <row r="369" spans="1:15" x14ac:dyDescent="0.25">
      <c r="A369">
        <v>521</v>
      </c>
      <c r="B369">
        <v>110364.02650000001</v>
      </c>
      <c r="C369">
        <v>44370.57546</v>
      </c>
      <c r="D369">
        <v>603252.91819999996</v>
      </c>
      <c r="E369">
        <v>128559.99739999999</v>
      </c>
      <c r="F369">
        <v>958816.42550000001</v>
      </c>
      <c r="G369">
        <v>72297.009479999993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449606672.20571589</v>
      </c>
      <c r="M369" s="1">
        <f t="shared" si="23"/>
        <v>436904661.33327925</v>
      </c>
      <c r="N369" s="1">
        <f t="shared" si="24"/>
        <v>114959491.66884574</v>
      </c>
      <c r="O369" s="1"/>
    </row>
    <row r="370" spans="1:15" x14ac:dyDescent="0.25">
      <c r="A370">
        <v>522</v>
      </c>
      <c r="B370">
        <v>47779.049429999999</v>
      </c>
      <c r="C370">
        <v>279884.46370000002</v>
      </c>
      <c r="D370">
        <v>529601.34730000002</v>
      </c>
      <c r="E370">
        <v>283805.00459999999</v>
      </c>
      <c r="F370">
        <v>844952.8101</v>
      </c>
      <c r="G370">
        <v>321212.85920000001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2538697302.1182904</v>
      </c>
      <c r="M370" s="1">
        <f t="shared" si="23"/>
        <v>863366744.62489688</v>
      </c>
      <c r="N370" s="1">
        <f t="shared" si="24"/>
        <v>457205944.32874972</v>
      </c>
      <c r="O370" s="1"/>
    </row>
    <row r="371" spans="1:15" x14ac:dyDescent="0.25">
      <c r="A371">
        <v>523</v>
      </c>
      <c r="B371">
        <v>56643.795940000004</v>
      </c>
      <c r="C371">
        <v>92625.371629999994</v>
      </c>
      <c r="D371">
        <v>552725.96959999995</v>
      </c>
      <c r="E371">
        <v>175292.45540000001</v>
      </c>
      <c r="F371">
        <v>906475.28469999996</v>
      </c>
      <c r="G371">
        <v>121255.93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2566875686.6121511</v>
      </c>
      <c r="M371" s="1">
        <f t="shared" si="23"/>
        <v>1629225632.8913062</v>
      </c>
      <c r="N371" s="1">
        <f t="shared" si="24"/>
        <v>527308382.07419443</v>
      </c>
      <c r="O371" s="1"/>
    </row>
    <row r="372" spans="1:15" x14ac:dyDescent="0.25">
      <c r="A372">
        <v>524</v>
      </c>
      <c r="B372">
        <v>34616.190430000002</v>
      </c>
      <c r="C372">
        <v>45487.332820000003</v>
      </c>
      <c r="D372">
        <v>361121.76559999998</v>
      </c>
      <c r="E372">
        <v>310536.76699999999</v>
      </c>
      <c r="F372">
        <v>739122.36349999998</v>
      </c>
      <c r="G372">
        <v>257485.60149999999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458446258.14316761</v>
      </c>
      <c r="M372" s="1">
        <f t="shared" si="23"/>
        <v>1049673236.4679528</v>
      </c>
      <c r="N372" s="1">
        <f t="shared" si="24"/>
        <v>407228086.3859666</v>
      </c>
      <c r="O372" s="1"/>
    </row>
    <row r="373" spans="1:15" x14ac:dyDescent="0.25">
      <c r="A373">
        <v>525</v>
      </c>
      <c r="B373">
        <v>396580.56969999999</v>
      </c>
      <c r="C373">
        <v>19009.170559999999</v>
      </c>
      <c r="D373">
        <v>766297.9094</v>
      </c>
      <c r="E373">
        <v>80545.800969999997</v>
      </c>
      <c r="F373">
        <v>1160834.8370000001</v>
      </c>
      <c r="G373">
        <v>56852.265800000001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70689551.735272646</v>
      </c>
      <c r="M373" s="1">
        <f t="shared" si="23"/>
        <v>100456513.64331304</v>
      </c>
      <c r="N373" s="1">
        <f t="shared" si="24"/>
        <v>33176200.971716706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2842.4728129999999</v>
      </c>
      <c r="F374">
        <v>755623.93110000005</v>
      </c>
      <c r="G374">
        <v>24271.601429999999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61193441.572558843</v>
      </c>
      <c r="N374" s="1">
        <f t="shared" si="24"/>
        <v>244484127.7885446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11231.979939999999</v>
      </c>
      <c r="F375">
        <v>832003.87340000004</v>
      </c>
      <c r="G375">
        <v>42925.31626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29505866.242019691</v>
      </c>
      <c r="N375" s="1">
        <f t="shared" si="24"/>
        <v>52760540.004633509</v>
      </c>
      <c r="O375" s="1"/>
    </row>
    <row r="376" spans="1:15" x14ac:dyDescent="0.25">
      <c r="A376">
        <v>531</v>
      </c>
      <c r="B376">
        <v>120796.7447</v>
      </c>
      <c r="C376">
        <v>830.83358299999998</v>
      </c>
      <c r="D376">
        <v>600001.22199999995</v>
      </c>
      <c r="E376">
        <v>33156.936390000003</v>
      </c>
      <c r="F376">
        <v>966621.36049999995</v>
      </c>
      <c r="G376">
        <v>21840.914420000001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6770812.750127675</v>
      </c>
      <c r="M376" s="1">
        <f t="shared" si="23"/>
        <v>90624222.508902341</v>
      </c>
      <c r="N376" s="1">
        <f t="shared" si="24"/>
        <v>27930865.458930314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>
        <v>25599.470069999999</v>
      </c>
      <c r="F377">
        <v>855764.68830000004</v>
      </c>
      <c r="G377">
        <v>55489.559569999998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170314483.52501816</v>
      </c>
      <c r="N377" s="1">
        <f t="shared" si="24"/>
        <v>172733098.16230166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12159.134749999999</v>
      </c>
      <c r="F378">
        <v>767721.87670000002</v>
      </c>
      <c r="G378">
        <v>47123.829790000003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49006476.343421094</v>
      </c>
      <c r="N378" s="1">
        <f t="shared" si="24"/>
        <v>88865883.391158998</v>
      </c>
      <c r="O378" s="1"/>
    </row>
    <row r="379" spans="1:15" x14ac:dyDescent="0.25">
      <c r="A379">
        <v>534</v>
      </c>
      <c r="B379">
        <v>343835.80829999998</v>
      </c>
      <c r="C379">
        <v>11398.01175</v>
      </c>
      <c r="D379">
        <v>731962.8689</v>
      </c>
      <c r="E379">
        <v>54959.690949999997</v>
      </c>
      <c r="F379">
        <v>1141921.3770000001</v>
      </c>
      <c r="G379">
        <v>19713.476019999998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90799047.580607802</v>
      </c>
      <c r="M379" s="1">
        <f t="shared" si="23"/>
        <v>146838389.18072462</v>
      </c>
      <c r="N379" s="1">
        <f t="shared" si="24"/>
        <v>24643490.24680398</v>
      </c>
      <c r="O379" s="1"/>
    </row>
    <row r="380" spans="1:15" x14ac:dyDescent="0.25">
      <c r="A380">
        <v>535</v>
      </c>
      <c r="B380">
        <v>94243.148839999994</v>
      </c>
      <c r="C380">
        <v>830.83358410000005</v>
      </c>
      <c r="D380">
        <v>590101.62470000004</v>
      </c>
      <c r="E380">
        <v>32041.39488</v>
      </c>
      <c r="F380">
        <v>950995.43259999994</v>
      </c>
      <c r="G380">
        <v>24199.763190000001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3951153.9996910351</v>
      </c>
      <c r="M380" s="1">
        <f t="shared" si="23"/>
        <v>51105126.178694047</v>
      </c>
      <c r="N380" s="1">
        <f t="shared" si="24"/>
        <v>18059588.27349335</v>
      </c>
      <c r="O380" s="1"/>
    </row>
    <row r="381" spans="1:15" x14ac:dyDescent="0.25">
      <c r="A381">
        <v>536</v>
      </c>
      <c r="B381">
        <v>200645.52729999999</v>
      </c>
      <c r="C381">
        <v>6687.0159860000003</v>
      </c>
      <c r="D381">
        <v>639738.95779999997</v>
      </c>
      <c r="E381">
        <v>59078.554210000002</v>
      </c>
      <c r="F381">
        <v>1024634.566</v>
      </c>
      <c r="G381">
        <v>22423.392749999999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22144421.837252557</v>
      </c>
      <c r="M381" s="1">
        <f t="shared" si="23"/>
        <v>65615279.027676187</v>
      </c>
      <c r="N381" s="1">
        <f t="shared" si="24"/>
        <v>11652527.14538002</v>
      </c>
      <c r="O381" s="1"/>
    </row>
    <row r="382" spans="1:15" x14ac:dyDescent="0.25">
      <c r="A382">
        <v>537</v>
      </c>
      <c r="B382">
        <v>444844.63760000002</v>
      </c>
      <c r="C382">
        <v>12627.812180000001</v>
      </c>
      <c r="D382">
        <v>802409.20279999997</v>
      </c>
      <c r="E382">
        <v>46208.656589999999</v>
      </c>
      <c r="F382">
        <v>1219656.855</v>
      </c>
      <c r="G382">
        <v>14629.25424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43791626.430934727</v>
      </c>
      <c r="M382" s="1">
        <f t="shared" si="23"/>
        <v>53743932.502156503</v>
      </c>
      <c r="N382" s="1">
        <f t="shared" si="24"/>
        <v>7961079.5606690012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13639.322910000001</v>
      </c>
      <c r="F383">
        <v>771253.88320000004</v>
      </c>
      <c r="G383">
        <v>52063.365740000001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69314547.774263442</v>
      </c>
      <c r="N383" s="1">
        <f t="shared" si="24"/>
        <v>123796253.43495533</v>
      </c>
      <c r="O383" s="1"/>
    </row>
    <row r="384" spans="1:15" x14ac:dyDescent="0.25">
      <c r="A384">
        <v>539</v>
      </c>
      <c r="B384">
        <v>503027.81449999998</v>
      </c>
      <c r="C384">
        <v>26452.736570000001</v>
      </c>
      <c r="D384">
        <v>884773.91429999995</v>
      </c>
      <c r="E384">
        <v>42288.645559999997</v>
      </c>
      <c r="F384">
        <v>1272131.2849999999</v>
      </c>
      <c r="G384">
        <v>27051.864409999998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136307897.44768366</v>
      </c>
      <c r="M384" s="1">
        <f t="shared" si="23"/>
        <v>73083161.191630095</v>
      </c>
      <c r="N384" s="1">
        <f t="shared" si="24"/>
        <v>21874313.34087234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8698.655256</v>
      </c>
      <c r="F385">
        <v>653720.53989999997</v>
      </c>
      <c r="G385">
        <v>61461.444409999996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47388635.662282772</v>
      </c>
      <c r="N385" s="1">
        <f t="shared" si="24"/>
        <v>156663753.17470077</v>
      </c>
      <c r="O385" s="1"/>
    </row>
    <row r="386" spans="1:15" x14ac:dyDescent="0.25">
      <c r="A386">
        <v>541</v>
      </c>
      <c r="B386">
        <v>288456.43430000002</v>
      </c>
      <c r="C386">
        <v>11695.71788</v>
      </c>
      <c r="D386">
        <v>694681.9719</v>
      </c>
      <c r="E386">
        <v>72160.124689999997</v>
      </c>
      <c r="F386">
        <v>1100117.1980000001</v>
      </c>
      <c r="G386">
        <v>22462.656630000001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69850403.576469138</v>
      </c>
      <c r="M386" s="1">
        <f t="shared" si="23"/>
        <v>144538135.38227454</v>
      </c>
      <c r="N386" s="1">
        <f t="shared" si="24"/>
        <v>21051835.579031639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18012.407640000001</v>
      </c>
      <c r="F387">
        <v>806393.81310000003</v>
      </c>
      <c r="G387">
        <v>52949.344989999998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59519936.394841515</v>
      </c>
      <c r="N387" s="1">
        <f t="shared" ref="N387:N450" si="28">$U$4*$K387*G387</f>
        <v>81864377.104050353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17464.670610000001</v>
      </c>
      <c r="F388">
        <v>711747.63520000002</v>
      </c>
      <c r="G388">
        <v>101200.4072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47312563.430081442</v>
      </c>
      <c r="N388" s="1">
        <f t="shared" si="28"/>
        <v>128274998.46218972</v>
      </c>
      <c r="O388" s="1"/>
    </row>
    <row r="389" spans="1:15" x14ac:dyDescent="0.25">
      <c r="A389">
        <v>544</v>
      </c>
      <c r="B389">
        <v>24217.011689999999</v>
      </c>
      <c r="C389" s="1">
        <v>-3.9999999999999998E-6</v>
      </c>
      <c r="D389">
        <v>310253.00689999998</v>
      </c>
      <c r="E389">
        <v>19120.013879999999</v>
      </c>
      <c r="F389">
        <v>701348.4105</v>
      </c>
      <c r="G389">
        <v>97943.214229999998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-4.5739538749060005E-2</v>
      </c>
      <c r="M389" s="1">
        <f t="shared" si="27"/>
        <v>73326867.012618408</v>
      </c>
      <c r="N389" s="1">
        <f t="shared" si="28"/>
        <v>175749038.12808391</v>
      </c>
      <c r="O389" s="1"/>
    </row>
    <row r="390" spans="1:15" x14ac:dyDescent="0.25">
      <c r="A390">
        <v>545</v>
      </c>
      <c r="B390">
        <v>36291.227480000001</v>
      </c>
      <c r="C390">
        <v>5856.1824029999998</v>
      </c>
      <c r="D390">
        <v>504315.61359999998</v>
      </c>
      <c r="E390">
        <v>56205.77188</v>
      </c>
      <c r="F390">
        <v>826451.88659999997</v>
      </c>
      <c r="G390">
        <v>79594.085089999993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80110996.136706352</v>
      </c>
      <c r="M390" s="1">
        <f t="shared" si="27"/>
        <v>257870457.09713164</v>
      </c>
      <c r="N390" s="1">
        <f t="shared" si="28"/>
        <v>170861866.72056717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>
        <v>5756.3120330000002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11921584.517848458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 s="1">
        <v>-2.9000000000000002E-6</v>
      </c>
      <c r="F392">
        <v>330597.53779999999</v>
      </c>
      <c r="G392">
        <v>17572.075769999999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-1.8080547734403703E-2</v>
      </c>
      <c r="N392" s="1">
        <f t="shared" si="28"/>
        <v>51260204.025163643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8698.6552539999993</v>
      </c>
      <c r="F393">
        <v>585143.9817</v>
      </c>
      <c r="G393">
        <v>69228.389609999998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34315947.4804864</v>
      </c>
      <c r="N393" s="1">
        <f t="shared" si="28"/>
        <v>127782618.28087045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 s="1">
        <v>2.5000000000000002E-6</v>
      </c>
      <c r="F394">
        <v>327992.00209999998</v>
      </c>
      <c r="G394">
        <v>18152.701550000002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1.4357199050320001E-2</v>
      </c>
      <c r="N394" s="1">
        <f t="shared" si="28"/>
        <v>48776952.007979907</v>
      </c>
      <c r="O394" s="1"/>
    </row>
    <row r="395" spans="1:15" x14ac:dyDescent="0.25">
      <c r="A395">
        <v>554</v>
      </c>
      <c r="B395">
        <v>178435.11730000001</v>
      </c>
      <c r="C395">
        <v>830.83355470000004</v>
      </c>
      <c r="D395">
        <v>611141.28489999997</v>
      </c>
      <c r="E395">
        <v>31934.21084</v>
      </c>
      <c r="F395">
        <v>978622.99529999995</v>
      </c>
      <c r="G395">
        <v>19221.266319999999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2996642.8926402321</v>
      </c>
      <c r="M395" s="1">
        <f t="shared" si="27"/>
        <v>38629606.909021333</v>
      </c>
      <c r="N395" s="1">
        <f t="shared" si="28"/>
        <v>10879019.990526652</v>
      </c>
      <c r="O395" s="1"/>
    </row>
    <row r="396" spans="1:15" x14ac:dyDescent="0.25">
      <c r="A396">
        <v>555</v>
      </c>
      <c r="B396">
        <v>297712.71620000002</v>
      </c>
      <c r="C396" s="1">
        <v>3.5299999999999997E-5</v>
      </c>
      <c r="D396">
        <v>687591.76800000004</v>
      </c>
      <c r="E396">
        <v>14942.45847</v>
      </c>
      <c r="F396">
        <v>1064275.1880000001</v>
      </c>
      <c r="G396">
        <v>663.78910729999996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0.19532802444345448</v>
      </c>
      <c r="M396" s="1">
        <f t="shared" si="27"/>
        <v>27730330.561499894</v>
      </c>
      <c r="N396" s="1">
        <f t="shared" si="28"/>
        <v>576377.19448905264</v>
      </c>
      <c r="O396" s="1"/>
    </row>
    <row r="397" spans="1:15" x14ac:dyDescent="0.25">
      <c r="A397">
        <v>556</v>
      </c>
      <c r="B397">
        <v>402571.59789999999</v>
      </c>
      <c r="C397">
        <v>830.83359889999997</v>
      </c>
      <c r="D397">
        <v>779965.09959999996</v>
      </c>
      <c r="E397">
        <v>20673.179649999998</v>
      </c>
      <c r="F397">
        <v>1167884.6040000001</v>
      </c>
      <c r="G397">
        <v>2627.623881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4004174.8647889113</v>
      </c>
      <c r="M397" s="1">
        <f t="shared" si="27"/>
        <v>33415610.471565697</v>
      </c>
      <c r="N397" s="1">
        <f t="shared" si="28"/>
        <v>1987233.9562794613</v>
      </c>
      <c r="O397" s="1"/>
    </row>
    <row r="398" spans="1:15" x14ac:dyDescent="0.25">
      <c r="A398">
        <v>557</v>
      </c>
      <c r="B398">
        <v>227066.4277</v>
      </c>
      <c r="C398" s="1">
        <v>2.76E-5</v>
      </c>
      <c r="D398">
        <v>660022.7182</v>
      </c>
      <c r="E398">
        <v>18192.318569999999</v>
      </c>
      <c r="F398">
        <v>1002102.949</v>
      </c>
      <c r="G398">
        <v>12416.164000000001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0.22616165309349301</v>
      </c>
      <c r="M398" s="1">
        <f t="shared" si="27"/>
        <v>49996669.756077692</v>
      </c>
      <c r="N398" s="1">
        <f t="shared" si="28"/>
        <v>15965559.525230294</v>
      </c>
      <c r="O398" s="1"/>
    </row>
    <row r="399" spans="1:15" x14ac:dyDescent="0.25">
      <c r="A399">
        <v>558</v>
      </c>
      <c r="B399">
        <v>303165.2181</v>
      </c>
      <c r="C399">
        <v>7004.8058879999999</v>
      </c>
      <c r="D399">
        <v>699025.64450000005</v>
      </c>
      <c r="E399">
        <v>61659.724139999998</v>
      </c>
      <c r="F399">
        <v>1078378.4380000001</v>
      </c>
      <c r="G399">
        <v>22254.925879999999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71756682.47709702</v>
      </c>
      <c r="M399" s="1">
        <f t="shared" si="27"/>
        <v>211841460.14810663</v>
      </c>
      <c r="N399" s="1">
        <f t="shared" si="28"/>
        <v>35774964.721805908</v>
      </c>
      <c r="O399" s="1"/>
    </row>
    <row r="400" spans="1:15" x14ac:dyDescent="0.25">
      <c r="A400">
        <v>559</v>
      </c>
      <c r="B400">
        <v>394301.38130000001</v>
      </c>
      <c r="C400" s="1">
        <v>-6.5300000000000002E-6</v>
      </c>
      <c r="D400">
        <v>779948.71719999996</v>
      </c>
      <c r="E400" s="1">
        <v>-4.5200000000000001E-5</v>
      </c>
      <c r="F400">
        <v>1175393.912</v>
      </c>
      <c r="G400">
        <v>0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-2.090475425248535E-2</v>
      </c>
      <c r="M400" s="1">
        <f t="shared" si="27"/>
        <v>-4.8530353752453681E-2</v>
      </c>
      <c r="N400" s="1">
        <f t="shared" si="28"/>
        <v>0</v>
      </c>
      <c r="O400" s="1"/>
    </row>
    <row r="401" spans="1:15" x14ac:dyDescent="0.25">
      <c r="A401">
        <v>560</v>
      </c>
      <c r="B401">
        <v>206737.09779999999</v>
      </c>
      <c r="C401" s="1">
        <v>-3.6199999999999999E-5</v>
      </c>
      <c r="D401">
        <v>634570.81019999995</v>
      </c>
      <c r="E401">
        <v>12391.41426</v>
      </c>
      <c r="F401">
        <v>968361.94510000001</v>
      </c>
      <c r="G401">
        <v>387.50339700000001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-0.1864077542855905</v>
      </c>
      <c r="M401" s="1">
        <f t="shared" si="27"/>
        <v>21400278.096435666</v>
      </c>
      <c r="N401" s="1">
        <f t="shared" si="28"/>
        <v>313124.99266070459</v>
      </c>
      <c r="O401" s="1"/>
    </row>
    <row r="402" spans="1:15" x14ac:dyDescent="0.25">
      <c r="A402">
        <v>561</v>
      </c>
      <c r="B402">
        <v>242560.97409999999</v>
      </c>
      <c r="C402">
        <v>5856.1823720000002</v>
      </c>
      <c r="D402">
        <v>659407.01540000003</v>
      </c>
      <c r="E402">
        <v>62110.39488</v>
      </c>
      <c r="F402">
        <v>1000601.844</v>
      </c>
      <c r="G402">
        <v>22916.53991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28070267.82507892</v>
      </c>
      <c r="M402" s="1">
        <f t="shared" si="27"/>
        <v>99848004.723741561</v>
      </c>
      <c r="N402" s="1">
        <f t="shared" si="28"/>
        <v>17237243.795100383</v>
      </c>
      <c r="O402" s="1"/>
    </row>
    <row r="403" spans="1:15" x14ac:dyDescent="0.25">
      <c r="A403">
        <v>562</v>
      </c>
      <c r="B403">
        <v>283675.45159999997</v>
      </c>
      <c r="C403">
        <v>6687.0160059999998</v>
      </c>
      <c r="D403">
        <v>697337.67090000003</v>
      </c>
      <c r="E403">
        <v>23115.298299999999</v>
      </c>
      <c r="F403">
        <v>1030261.588</v>
      </c>
      <c r="G403">
        <v>14682.317440000001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27728705.252523456</v>
      </c>
      <c r="M403" s="1">
        <f t="shared" si="27"/>
        <v>32146956.897809491</v>
      </c>
      <c r="N403" s="1">
        <f t="shared" si="28"/>
        <v>9553855.16785869</v>
      </c>
      <c r="O403" s="1"/>
    </row>
    <row r="404" spans="1:15" x14ac:dyDescent="0.25">
      <c r="A404">
        <v>563</v>
      </c>
      <c r="B404">
        <v>340554.25020000001</v>
      </c>
      <c r="C404">
        <v>9716.7151670000003</v>
      </c>
      <c r="D404">
        <v>748919.65910000005</v>
      </c>
      <c r="E404">
        <v>38465.935429999998</v>
      </c>
      <c r="F404">
        <v>1090556.433</v>
      </c>
      <c r="G404">
        <v>14978.19001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23155758.021550927</v>
      </c>
      <c r="M404" s="1">
        <f t="shared" si="27"/>
        <v>30743900.478980392</v>
      </c>
      <c r="N404" s="1">
        <f t="shared" si="28"/>
        <v>5601259.340799721</v>
      </c>
      <c r="O404" s="1"/>
    </row>
    <row r="405" spans="1:15" x14ac:dyDescent="0.25">
      <c r="A405">
        <v>564</v>
      </c>
      <c r="B405">
        <v>84255.662590000007</v>
      </c>
      <c r="C405">
        <v>5856.1824029999998</v>
      </c>
      <c r="D405">
        <v>603815.84680000006</v>
      </c>
      <c r="E405">
        <v>18804.211660000001</v>
      </c>
      <c r="F405">
        <v>981813.47979999997</v>
      </c>
      <c r="G405">
        <v>1221.4767340000001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47667676.805759095</v>
      </c>
      <c r="M405" s="1">
        <f t="shared" si="27"/>
        <v>51334301.706654191</v>
      </c>
      <c r="N405" s="1">
        <f t="shared" si="28"/>
        <v>1560204.0651887306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500.1995245</v>
      </c>
      <c r="F406">
        <v>1034483.255</v>
      </c>
      <c r="G406">
        <v>0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4665176.3145413566</v>
      </c>
      <c r="N406" s="1">
        <f t="shared" si="28"/>
        <v>0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>
        <v>317.78992520000003</v>
      </c>
      <c r="F407">
        <v>1077620.0260000001</v>
      </c>
      <c r="G407">
        <v>0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2529392.1945528188</v>
      </c>
      <c r="N407" s="1">
        <f t="shared" si="28"/>
        <v>0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10105.99344</v>
      </c>
      <c r="F408">
        <v>954962.74289999995</v>
      </c>
      <c r="G408">
        <v>1218.913264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30775168.979949862</v>
      </c>
      <c r="N408" s="1">
        <f t="shared" si="28"/>
        <v>1736752.4307424533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>
        <v>9708.661177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30779514.176053829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10383.884050000001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58471418.85344106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>
        <v>0</v>
      </c>
      <c r="F412">
        <v>509767.67469999997</v>
      </c>
      <c r="G412">
        <v>18665.60642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0</v>
      </c>
      <c r="N412" s="1">
        <f t="shared" si="28"/>
        <v>49425187.407736644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>
        <v>830.83358669999996</v>
      </c>
      <c r="F413">
        <v>588063.48190000001</v>
      </c>
      <c r="G413">
        <v>32114.46142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13563995.841935216</v>
      </c>
      <c r="N413" s="1">
        <f t="shared" si="28"/>
        <v>245311509.25897557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>
        <v>830.83362390000002</v>
      </c>
      <c r="D415">
        <v>583245.87049999996</v>
      </c>
      <c r="E415">
        <v>29630.057390000002</v>
      </c>
      <c r="F415">
        <v>945346.68830000004</v>
      </c>
      <c r="G415">
        <v>27067.549129999999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10858928.920527725</v>
      </c>
      <c r="M415" s="1">
        <f t="shared" si="27"/>
        <v>129881876.878435</v>
      </c>
      <c r="N415" s="1">
        <f t="shared" si="28"/>
        <v>55514786.645503461</v>
      </c>
      <c r="O415" s="1"/>
    </row>
    <row r="416" spans="1:15" x14ac:dyDescent="0.25">
      <c r="A416">
        <v>578</v>
      </c>
      <c r="B416">
        <v>180165.15100000001</v>
      </c>
      <c r="C416">
        <v>9708.6611279999997</v>
      </c>
      <c r="D416">
        <v>633523.53249999997</v>
      </c>
      <c r="E416">
        <v>73875.757700000002</v>
      </c>
      <c r="F416">
        <v>979334.48360000004</v>
      </c>
      <c r="G416">
        <v>41570.330829999999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140925851.63574865</v>
      </c>
      <c r="M416" s="1">
        <f t="shared" si="27"/>
        <v>359646973.91853321</v>
      </c>
      <c r="N416" s="1">
        <f t="shared" si="28"/>
        <v>94689455.935920641</v>
      </c>
      <c r="O416" s="1"/>
    </row>
    <row r="417" spans="1:15" x14ac:dyDescent="0.25">
      <c r="A417">
        <v>579</v>
      </c>
      <c r="B417">
        <v>340741.16680000001</v>
      </c>
      <c r="C417">
        <v>21344.33869</v>
      </c>
      <c r="D417">
        <v>725873.68980000005</v>
      </c>
      <c r="E417">
        <v>98327.556920000003</v>
      </c>
      <c r="F417">
        <v>1137053.7250000001</v>
      </c>
      <c r="G417">
        <v>56191.099860000002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179190278.72443822</v>
      </c>
      <c r="M417" s="1">
        <f t="shared" si="27"/>
        <v>276853569.31248927</v>
      </c>
      <c r="N417" s="1">
        <f t="shared" si="28"/>
        <v>74026307.91470553</v>
      </c>
      <c r="O417" s="1"/>
    </row>
    <row r="418" spans="1:15" x14ac:dyDescent="0.25">
      <c r="A418">
        <v>580</v>
      </c>
      <c r="B418">
        <v>103161.03350000001</v>
      </c>
      <c r="C418">
        <v>9708.6611059999996</v>
      </c>
      <c r="D418">
        <v>608110.09420000005</v>
      </c>
      <c r="E418">
        <v>71285.801170000006</v>
      </c>
      <c r="F418">
        <v>957039.66390000004</v>
      </c>
      <c r="G418">
        <v>41663.549919999998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53974572.546584137</v>
      </c>
      <c r="M418" s="1">
        <f t="shared" si="27"/>
        <v>132915626.23115881</v>
      </c>
      <c r="N418" s="1">
        <f t="shared" si="28"/>
        <v>36347366.995558664</v>
      </c>
      <c r="O418" s="1"/>
    </row>
    <row r="419" spans="1:15" x14ac:dyDescent="0.25">
      <c r="A419">
        <v>600</v>
      </c>
      <c r="B419">
        <v>36623.220020000001</v>
      </c>
      <c r="C419">
        <v>5163.0181389999998</v>
      </c>
      <c r="D419">
        <v>358476.56189999997</v>
      </c>
      <c r="E419">
        <v>162235.61439999999</v>
      </c>
      <c r="F419">
        <v>744860.34979999997</v>
      </c>
      <c r="G419">
        <v>152380.6917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35443346.279466778</v>
      </c>
      <c r="M419" s="1">
        <f t="shared" si="27"/>
        <v>373525625.55792916</v>
      </c>
      <c r="N419" s="1">
        <f t="shared" si="28"/>
        <v>164152621.47838074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>
        <v>62285.408219999998</v>
      </c>
      <c r="F420">
        <v>644632.75529999996</v>
      </c>
      <c r="G420">
        <v>128505.2821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366764366.90144932</v>
      </c>
      <c r="N420" s="1">
        <f t="shared" si="28"/>
        <v>354050716.29808223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>
        <v>105171.5689</v>
      </c>
      <c r="F421">
        <v>746517.67989999999</v>
      </c>
      <c r="G421">
        <v>115053.42479999999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530503432.42176467</v>
      </c>
      <c r="N421" s="1">
        <f t="shared" si="28"/>
        <v>271539537.92407006</v>
      </c>
      <c r="O421" s="1"/>
    </row>
    <row r="422" spans="1:15" x14ac:dyDescent="0.25">
      <c r="A422">
        <v>603</v>
      </c>
      <c r="B422">
        <v>17824.366429999998</v>
      </c>
      <c r="C422" s="1">
        <v>5.9999999999999997E-7</v>
      </c>
      <c r="D422">
        <v>149384.2029</v>
      </c>
      <c r="E422">
        <v>79111.510689999996</v>
      </c>
      <c r="F422">
        <v>647929.93649999995</v>
      </c>
      <c r="G422">
        <v>125827.1036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8.372986919602499E-3</v>
      </c>
      <c r="M422" s="1">
        <f t="shared" si="27"/>
        <v>370264416.50006461</v>
      </c>
      <c r="N422" s="1">
        <f t="shared" si="28"/>
        <v>275543504.21173185</v>
      </c>
      <c r="O422" s="1"/>
    </row>
    <row r="423" spans="1:15" x14ac:dyDescent="0.25">
      <c r="A423">
        <v>604</v>
      </c>
      <c r="B423">
        <v>31793.696479999999</v>
      </c>
      <c r="C423">
        <v>5246.4125389999999</v>
      </c>
      <c r="D423">
        <v>184477.13579999999</v>
      </c>
      <c r="E423">
        <v>233380.1979</v>
      </c>
      <c r="F423">
        <v>707446.59510000004</v>
      </c>
      <c r="G423">
        <v>144471.3101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71401972.417631313</v>
      </c>
      <c r="M423" s="1">
        <f t="shared" si="27"/>
        <v>1065258264.8869015</v>
      </c>
      <c r="N423" s="1">
        <f t="shared" si="28"/>
        <v>308543355.19488513</v>
      </c>
      <c r="O423" s="1"/>
    </row>
    <row r="424" spans="1:15" x14ac:dyDescent="0.25">
      <c r="A424">
        <v>605</v>
      </c>
      <c r="B424">
        <v>33606.65756</v>
      </c>
      <c r="C424">
        <v>6077.246118</v>
      </c>
      <c r="D424">
        <v>192936.33300000001</v>
      </c>
      <c r="E424">
        <v>265970.21130000002</v>
      </c>
      <c r="F424">
        <v>715113.90009999997</v>
      </c>
      <c r="G424">
        <v>157377.50700000001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60724659.656421952</v>
      </c>
      <c r="M424" s="1">
        <f t="shared" si="27"/>
        <v>891321535.52204132</v>
      </c>
      <c r="N424" s="1">
        <f t="shared" si="28"/>
        <v>246767374.86490557</v>
      </c>
      <c r="O424" s="1"/>
    </row>
    <row r="425" spans="1:15" x14ac:dyDescent="0.25">
      <c r="A425">
        <v>606</v>
      </c>
      <c r="B425">
        <v>29044.149099999999</v>
      </c>
      <c r="C425">
        <v>2403.9396839999999</v>
      </c>
      <c r="D425">
        <v>153207.4037</v>
      </c>
      <c r="E425">
        <v>117675.3557</v>
      </c>
      <c r="F425">
        <v>695182.20799999998</v>
      </c>
      <c r="G425">
        <v>109882.2852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25770598.756994952</v>
      </c>
      <c r="M425" s="1">
        <f t="shared" si="27"/>
        <v>423086919.95019048</v>
      </c>
      <c r="N425" s="1">
        <f t="shared" si="28"/>
        <v>184848291.21660483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>
        <v>14104.09194</v>
      </c>
      <c r="F426">
        <v>535576.12309999997</v>
      </c>
      <c r="G426">
        <v>135972.61929999999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49463570.353849508</v>
      </c>
      <c r="N426" s="1">
        <f t="shared" si="28"/>
        <v>223118444.04575041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23678.130639999999</v>
      </c>
      <c r="F427">
        <v>587367.99840000004</v>
      </c>
      <c r="G427">
        <v>141079.2579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208649460.32179275</v>
      </c>
      <c r="N427" s="1">
        <f t="shared" si="28"/>
        <v>581670043.7883004</v>
      </c>
      <c r="O427" s="1"/>
    </row>
    <row r="428" spans="1:15" x14ac:dyDescent="0.25">
      <c r="A428">
        <v>609</v>
      </c>
      <c r="B428">
        <v>75617.0236</v>
      </c>
      <c r="C428">
        <v>32031.88942</v>
      </c>
      <c r="D428">
        <v>625790.52910000004</v>
      </c>
      <c r="E428">
        <v>100985.2932</v>
      </c>
      <c r="F428">
        <v>952798.62450000003</v>
      </c>
      <c r="G428">
        <v>99634.740040000004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205711428.75586128</v>
      </c>
      <c r="M428" s="1">
        <f t="shared" si="27"/>
        <v>217508949.91768488</v>
      </c>
      <c r="N428" s="1">
        <f t="shared" si="28"/>
        <v>100409191.73619126</v>
      </c>
      <c r="O428" s="1"/>
    </row>
    <row r="429" spans="1:15" x14ac:dyDescent="0.25">
      <c r="A429">
        <v>610</v>
      </c>
      <c r="B429">
        <v>38289.765299999999</v>
      </c>
      <c r="C429" s="1">
        <v>-2.1500000000000002E-6</v>
      </c>
      <c r="D429">
        <v>301541.87459999998</v>
      </c>
      <c r="E429">
        <v>107267.6434</v>
      </c>
      <c r="F429">
        <v>762655.40150000004</v>
      </c>
      <c r="G429">
        <v>113691.6833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-1.9163311535405375E-2</v>
      </c>
      <c r="M429" s="1">
        <f t="shared" si="27"/>
        <v>320659400.683483</v>
      </c>
      <c r="N429" s="1">
        <f t="shared" si="28"/>
        <v>159018485.07934135</v>
      </c>
      <c r="O429" s="1"/>
    </row>
    <row r="430" spans="1:15" x14ac:dyDescent="0.25">
      <c r="A430">
        <v>611</v>
      </c>
      <c r="B430">
        <v>207488.09450000001</v>
      </c>
      <c r="C430">
        <v>2842.4728730000002</v>
      </c>
      <c r="D430">
        <v>773021.14029999997</v>
      </c>
      <c r="E430">
        <v>17351.967560000001</v>
      </c>
      <c r="F430">
        <v>1134748.328</v>
      </c>
      <c r="G430">
        <v>9326.6985420000001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27226885.925720915</v>
      </c>
      <c r="M430" s="1">
        <f t="shared" si="27"/>
        <v>55743406.757954434</v>
      </c>
      <c r="N430" s="1">
        <f t="shared" si="28"/>
        <v>14018979.409539701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>
        <v>14325.19857</v>
      </c>
      <c r="F431">
        <v>911262.47840000002</v>
      </c>
      <c r="G431">
        <v>13338.372590000001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80737212.637489974</v>
      </c>
      <c r="N431" s="1">
        <f t="shared" si="28"/>
        <v>35173827.061175711</v>
      </c>
      <c r="O431" s="1"/>
    </row>
    <row r="432" spans="1:15" x14ac:dyDescent="0.25">
      <c r="A432">
        <v>613</v>
      </c>
      <c r="B432">
        <v>223122.3921</v>
      </c>
      <c r="C432" s="1">
        <v>3.8099999999999998E-5</v>
      </c>
      <c r="D432">
        <v>794252.72120000003</v>
      </c>
      <c r="E432">
        <v>12846.4982</v>
      </c>
      <c r="F432">
        <v>1140106.689</v>
      </c>
      <c r="G432">
        <v>13717.394340000001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0.27950132994500926</v>
      </c>
      <c r="M432" s="1">
        <f t="shared" si="27"/>
        <v>31607256.46613707</v>
      </c>
      <c r="N432" s="1">
        <f t="shared" si="28"/>
        <v>15791280.277158676</v>
      </c>
      <c r="O432" s="1"/>
    </row>
    <row r="433" spans="1:15" x14ac:dyDescent="0.25">
      <c r="A433">
        <v>614</v>
      </c>
      <c r="B433">
        <v>36675.468849999997</v>
      </c>
      <c r="C433">
        <v>0</v>
      </c>
      <c r="D433">
        <v>504259.97240000003</v>
      </c>
      <c r="E433">
        <v>37176.391089999997</v>
      </c>
      <c r="F433">
        <v>894085.15540000005</v>
      </c>
      <c r="G433">
        <v>16065.01699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0</v>
      </c>
      <c r="M433" s="1">
        <f t="shared" si="27"/>
        <v>158847948.96724284</v>
      </c>
      <c r="N433" s="1">
        <f t="shared" si="28"/>
        <v>32117316.445964791</v>
      </c>
      <c r="O433" s="1"/>
    </row>
    <row r="434" spans="1:15" x14ac:dyDescent="0.25">
      <c r="A434">
        <v>615</v>
      </c>
      <c r="B434">
        <v>60481.518580000004</v>
      </c>
      <c r="C434">
        <v>6077.2461270000003</v>
      </c>
      <c r="D434">
        <v>567068.78209999995</v>
      </c>
      <c r="E434">
        <v>68486.170840000006</v>
      </c>
      <c r="F434">
        <v>942035.95830000006</v>
      </c>
      <c r="G434">
        <v>47524.663509999998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83069483.84522593</v>
      </c>
      <c r="M434" s="1">
        <f t="shared" si="27"/>
        <v>313964617.94221097</v>
      </c>
      <c r="N434" s="1">
        <f t="shared" si="28"/>
        <v>101939043.00875095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29351.612229999999</v>
      </c>
      <c r="F435">
        <v>780993.34169999999</v>
      </c>
      <c r="G435">
        <v>26808.222399999999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203938430.63490173</v>
      </c>
      <c r="N435" s="1">
        <f t="shared" si="28"/>
        <v>87152290.915742695</v>
      </c>
      <c r="O435" s="1"/>
    </row>
    <row r="436" spans="1:15" x14ac:dyDescent="0.25">
      <c r="A436">
        <v>617</v>
      </c>
      <c r="B436">
        <v>36317.416360000003</v>
      </c>
      <c r="C436">
        <v>2842.4728479999999</v>
      </c>
      <c r="D436">
        <v>538125.93550000002</v>
      </c>
      <c r="E436">
        <v>47990.340839999997</v>
      </c>
      <c r="F436">
        <v>904031.57519999996</v>
      </c>
      <c r="G436">
        <v>51901.87199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13866806.015377969</v>
      </c>
      <c r="M436" s="1">
        <f t="shared" si="27"/>
        <v>78519420.676979676</v>
      </c>
      <c r="N436" s="1">
        <f t="shared" si="28"/>
        <v>39732871.492307127</v>
      </c>
      <c r="O436" s="1"/>
    </row>
    <row r="437" spans="1:15" x14ac:dyDescent="0.25">
      <c r="A437">
        <v>618</v>
      </c>
      <c r="B437">
        <v>70816.307310000004</v>
      </c>
      <c r="C437">
        <v>84956.915529999998</v>
      </c>
      <c r="D437">
        <v>606883.22389999998</v>
      </c>
      <c r="E437">
        <v>147048.54180000001</v>
      </c>
      <c r="F437">
        <v>956780.28119999997</v>
      </c>
      <c r="G437">
        <v>132750.2654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450980077.54145271</v>
      </c>
      <c r="M437" s="1">
        <f t="shared" si="27"/>
        <v>261795682.3549096</v>
      </c>
      <c r="N437" s="1">
        <f t="shared" si="28"/>
        <v>110581081.64856434</v>
      </c>
      <c r="O437" s="1"/>
    </row>
    <row r="438" spans="1:15" x14ac:dyDescent="0.25">
      <c r="A438">
        <v>619</v>
      </c>
      <c r="B438">
        <v>32321.082170000001</v>
      </c>
      <c r="C438">
        <v>17559.465550000001</v>
      </c>
      <c r="D438">
        <v>469484.61550000001</v>
      </c>
      <c r="E438">
        <v>174370.9344</v>
      </c>
      <c r="F438">
        <v>872674.35860000004</v>
      </c>
      <c r="G438">
        <v>145999.23740000001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152022011.89953369</v>
      </c>
      <c r="M438" s="1">
        <f t="shared" si="27"/>
        <v>506305230.79157364</v>
      </c>
      <c r="N438" s="1">
        <f t="shared" si="28"/>
        <v>198350173.60328889</v>
      </c>
      <c r="O438" s="1"/>
    </row>
    <row r="439" spans="1:15" x14ac:dyDescent="0.25">
      <c r="A439">
        <v>620</v>
      </c>
      <c r="B439">
        <v>38628.572840000001</v>
      </c>
      <c r="C439">
        <v>76499.356639999998</v>
      </c>
      <c r="D439">
        <v>512226.68040000001</v>
      </c>
      <c r="E439">
        <v>229059.4724</v>
      </c>
      <c r="F439">
        <v>877329.43859999999</v>
      </c>
      <c r="G439">
        <v>206041.21770000001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880554407.36111605</v>
      </c>
      <c r="M439" s="1">
        <f t="shared" si="27"/>
        <v>884280005.81457424</v>
      </c>
      <c r="N439" s="1">
        <f t="shared" si="28"/>
        <v>372168262.92366123</v>
      </c>
      <c r="O439" s="1"/>
    </row>
    <row r="440" spans="1:15" x14ac:dyDescent="0.25">
      <c r="A440">
        <v>621</v>
      </c>
      <c r="B440">
        <v>39478.271959999998</v>
      </c>
      <c r="C440">
        <v>12146.51246</v>
      </c>
      <c r="D440">
        <v>536789.08400000003</v>
      </c>
      <c r="E440">
        <v>98372.874400000001</v>
      </c>
      <c r="F440">
        <v>888171.93460000004</v>
      </c>
      <c r="G440">
        <v>109112.0472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208380809.96644831</v>
      </c>
      <c r="M440" s="1">
        <f t="shared" si="27"/>
        <v>566010672.46989107</v>
      </c>
      <c r="N440" s="1">
        <f t="shared" si="28"/>
        <v>293741725.13061619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70783.179659999994</v>
      </c>
      <c r="F441">
        <v>859972.71499999997</v>
      </c>
      <c r="G441">
        <v>86952.081380000003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174918733.7666879</v>
      </c>
      <c r="N441" s="1">
        <f t="shared" si="28"/>
        <v>100537924.97130659</v>
      </c>
      <c r="O441" s="1"/>
    </row>
    <row r="442" spans="1:15" x14ac:dyDescent="0.25">
      <c r="A442">
        <v>624</v>
      </c>
      <c r="B442">
        <v>19080.807830000002</v>
      </c>
      <c r="C442">
        <v>0</v>
      </c>
      <c r="D442">
        <v>67832.263229999997</v>
      </c>
      <c r="E442">
        <v>11990.08158</v>
      </c>
      <c r="F442">
        <v>503871.57610000001</v>
      </c>
      <c r="G442">
        <v>163053.62040000001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0</v>
      </c>
      <c r="M442" s="1">
        <f t="shared" si="27"/>
        <v>68647686.095144853</v>
      </c>
      <c r="N442" s="1">
        <f t="shared" si="28"/>
        <v>436795232.39197814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>
        <v>3589.1606820000002</v>
      </c>
      <c r="F443">
        <v>454646.54100000003</v>
      </c>
      <c r="G443">
        <v>49765.57144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15847248.033935171</v>
      </c>
      <c r="N443" s="1">
        <f t="shared" si="28"/>
        <v>102809590.00682819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1568.5592650000001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19400851.379419453</v>
      </c>
      <c r="O444" s="1"/>
    </row>
    <row r="445" spans="1:15" x14ac:dyDescent="0.25">
      <c r="A445">
        <v>627</v>
      </c>
      <c r="B445">
        <v>14787.806500000001</v>
      </c>
      <c r="C445">
        <v>19775.759819999999</v>
      </c>
      <c r="D445">
        <v>50891.689230000004</v>
      </c>
      <c r="E445">
        <v>432650.25229999999</v>
      </c>
      <c r="F445">
        <v>431776.10930000001</v>
      </c>
      <c r="G445">
        <v>447729.74890000001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441631054.60030776</v>
      </c>
      <c r="M445" s="1">
        <f t="shared" si="27"/>
        <v>3240458947.8724246</v>
      </c>
      <c r="N445" s="1">
        <f t="shared" si="28"/>
        <v>1569022575.2836742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 s="1">
        <v>-2.43E-6</v>
      </c>
      <c r="F446">
        <v>260402.1256</v>
      </c>
      <c r="G446">
        <v>90533.014259999996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-1.2023747997366987E-2</v>
      </c>
      <c r="N446" s="1">
        <f t="shared" si="28"/>
        <v>209596608.12518543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58587.534350000002</v>
      </c>
      <c r="F447">
        <v>404636.86690000002</v>
      </c>
      <c r="G447">
        <v>313785.5846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853778335.16986513</v>
      </c>
      <c r="N447" s="1">
        <f t="shared" si="28"/>
        <v>2139521107.4687049</v>
      </c>
      <c r="O447" s="1"/>
    </row>
    <row r="448" spans="1:15" x14ac:dyDescent="0.25">
      <c r="A448">
        <v>630</v>
      </c>
      <c r="B448">
        <v>14860.122069999999</v>
      </c>
      <c r="C448">
        <v>9867.7949129999997</v>
      </c>
      <c r="D448">
        <v>47515.13594</v>
      </c>
      <c r="E448">
        <v>229368.18979999999</v>
      </c>
      <c r="F448">
        <v>450944.23149999999</v>
      </c>
      <c r="G448">
        <v>361229.41450000001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135281196.96889463</v>
      </c>
      <c r="M448" s="1">
        <f t="shared" si="27"/>
        <v>1054614277.4261191</v>
      </c>
      <c r="N448" s="1">
        <f t="shared" si="28"/>
        <v>777118494.51632464</v>
      </c>
      <c r="O448" s="1"/>
    </row>
    <row r="449" spans="1:15" x14ac:dyDescent="0.25">
      <c r="A449">
        <v>631</v>
      </c>
      <c r="B449">
        <v>8389.6977330000009</v>
      </c>
      <c r="C449">
        <v>487.41853149999997</v>
      </c>
      <c r="D449">
        <v>42536.300219999997</v>
      </c>
      <c r="E449">
        <v>69742.198319999996</v>
      </c>
      <c r="F449">
        <v>458714.64299999998</v>
      </c>
      <c r="G449">
        <v>284380.28639999998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11407422.783010049</v>
      </c>
      <c r="M449" s="1">
        <f t="shared" si="27"/>
        <v>547424550.29440224</v>
      </c>
      <c r="N449" s="1">
        <f t="shared" si="28"/>
        <v>1044411879.9623592</v>
      </c>
      <c r="O449" s="1"/>
    </row>
    <row r="450" spans="1:15" x14ac:dyDescent="0.25">
      <c r="A450">
        <v>632</v>
      </c>
      <c r="B450">
        <v>4017.5058859999999</v>
      </c>
      <c r="C450">
        <v>1127.162071</v>
      </c>
      <c r="D450">
        <v>31227.07346</v>
      </c>
      <c r="E450">
        <v>11932.98538</v>
      </c>
      <c r="F450">
        <v>182262.26329999999</v>
      </c>
      <c r="G450">
        <v>272769.85979999998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49717596.254760556</v>
      </c>
      <c r="M450" s="1">
        <f t="shared" si="27"/>
        <v>176528976.15947121</v>
      </c>
      <c r="N450" s="1">
        <f t="shared" si="28"/>
        <v>1888021573.5670192</v>
      </c>
      <c r="O450" s="1"/>
    </row>
    <row r="451" spans="1:15" x14ac:dyDescent="0.25">
      <c r="A451">
        <v>633</v>
      </c>
      <c r="B451">
        <v>5557.3761029999996</v>
      </c>
      <c r="C451">
        <v>1127.162071</v>
      </c>
      <c r="D451">
        <v>33280.225680000003</v>
      </c>
      <c r="E451">
        <v>11707.632009999999</v>
      </c>
      <c r="F451">
        <v>188164.80910000001</v>
      </c>
      <c r="G451">
        <v>252144.29259999999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37191169.152368434</v>
      </c>
      <c r="M451" s="1">
        <f t="shared" ref="M451:M514" si="31">$U$3*$K451*E451</f>
        <v>129558426.61157835</v>
      </c>
      <c r="N451" s="1">
        <f t="shared" ref="N451:N514" si="32">$U$4*$K451*G451</f>
        <v>1305537714.0004368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>
        <v>7248.9655240000002</v>
      </c>
      <c r="F452">
        <v>84572.685469999997</v>
      </c>
      <c r="G452">
        <v>158386.96489999999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53851568.816761844</v>
      </c>
      <c r="N452" s="1">
        <f t="shared" si="32"/>
        <v>550535641.59889066</v>
      </c>
      <c r="O452" s="1"/>
    </row>
    <row r="453" spans="1:15" x14ac:dyDescent="0.25">
      <c r="A453">
        <v>635</v>
      </c>
      <c r="B453">
        <v>240.5971844</v>
      </c>
      <c r="C453">
        <v>0</v>
      </c>
      <c r="D453">
        <v>2656.0804159999998</v>
      </c>
      <c r="E453" s="1">
        <v>1.9000000000000001E-7</v>
      </c>
      <c r="F453">
        <v>16009.738950000001</v>
      </c>
      <c r="G453">
        <v>1181.5082520000001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0</v>
      </c>
      <c r="M453" s="1">
        <f t="shared" si="31"/>
        <v>3.6772870771751205E-3</v>
      </c>
      <c r="N453" s="1">
        <f t="shared" si="32"/>
        <v>10699275.536427988</v>
      </c>
      <c r="O453" s="1"/>
    </row>
    <row r="454" spans="1:15" x14ac:dyDescent="0.25">
      <c r="A454">
        <v>636</v>
      </c>
      <c r="B454">
        <v>33288.516130000004</v>
      </c>
      <c r="C454">
        <v>26343.418740000001</v>
      </c>
      <c r="D454">
        <v>407756.9253</v>
      </c>
      <c r="E454">
        <v>181261.99179999999</v>
      </c>
      <c r="F454">
        <v>813690.16090000002</v>
      </c>
      <c r="G454">
        <v>143792.93669999999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288750716.40606803</v>
      </c>
      <c r="M454" s="1">
        <f t="shared" si="31"/>
        <v>666347572.73421943</v>
      </c>
      <c r="N454" s="1">
        <f t="shared" si="32"/>
        <v>247329149.31732339</v>
      </c>
      <c r="O454" s="1"/>
    </row>
    <row r="455" spans="1:15" x14ac:dyDescent="0.25">
      <c r="A455">
        <v>637</v>
      </c>
      <c r="B455">
        <v>34250.602720000003</v>
      </c>
      <c r="C455">
        <v>37445.59216</v>
      </c>
      <c r="D455">
        <v>431063.75219999999</v>
      </c>
      <c r="E455">
        <v>229766.44639999999</v>
      </c>
      <c r="F455">
        <v>848985.83860000002</v>
      </c>
      <c r="G455">
        <v>143231.13130000001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281007132.75989676</v>
      </c>
      <c r="M455" s="1">
        <f t="shared" si="31"/>
        <v>578290935.85446656</v>
      </c>
      <c r="N455" s="1">
        <f t="shared" si="32"/>
        <v>168671178.02327365</v>
      </c>
      <c r="O455" s="1"/>
    </row>
    <row r="456" spans="1:15" x14ac:dyDescent="0.25">
      <c r="A456">
        <v>638</v>
      </c>
      <c r="B456">
        <v>11018.893609999999</v>
      </c>
      <c r="C456">
        <v>12700.20019</v>
      </c>
      <c r="D456">
        <v>91931.688380000007</v>
      </c>
      <c r="E456">
        <v>253651.93340000001</v>
      </c>
      <c r="F456">
        <v>640522.61990000005</v>
      </c>
      <c r="G456">
        <v>201869.78719999999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199786445.59484798</v>
      </c>
      <c r="M456" s="1">
        <f t="shared" si="31"/>
        <v>1338248507.3688941</v>
      </c>
      <c r="N456" s="1">
        <f t="shared" si="32"/>
        <v>498326054.07058632</v>
      </c>
      <c r="O456" s="1"/>
    </row>
    <row r="457" spans="1:15" x14ac:dyDescent="0.25">
      <c r="A457">
        <v>639</v>
      </c>
      <c r="B457">
        <v>9939.0719950000002</v>
      </c>
      <c r="C457">
        <v>5856.1824029999998</v>
      </c>
      <c r="D457">
        <v>58068.459139999999</v>
      </c>
      <c r="E457">
        <v>75536.047730000006</v>
      </c>
      <c r="F457">
        <v>536722.9264</v>
      </c>
      <c r="G457">
        <v>220632.8376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74051924.472979203</v>
      </c>
      <c r="M457" s="1">
        <f t="shared" si="31"/>
        <v>320345884.32428282</v>
      </c>
      <c r="N457" s="1">
        <f t="shared" si="32"/>
        <v>437802986.62727165</v>
      </c>
      <c r="O457" s="1"/>
    </row>
    <row r="458" spans="1:15" x14ac:dyDescent="0.25">
      <c r="A458">
        <v>640</v>
      </c>
      <c r="B458">
        <v>27721.051100000001</v>
      </c>
      <c r="C458">
        <v>19445.166260000002</v>
      </c>
      <c r="D458">
        <v>191680.34760000001</v>
      </c>
      <c r="E458">
        <v>360352.95319999999</v>
      </c>
      <c r="F458">
        <v>706479.13619999995</v>
      </c>
      <c r="G458">
        <v>221513.4437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537639108.84417331</v>
      </c>
      <c r="M458" s="1">
        <f t="shared" si="31"/>
        <v>3341568853.9160943</v>
      </c>
      <c r="N458" s="1">
        <f t="shared" si="32"/>
        <v>961094508.23431218</v>
      </c>
      <c r="O458" s="1"/>
    </row>
    <row r="459" spans="1:15" x14ac:dyDescent="0.25">
      <c r="A459">
        <v>641</v>
      </c>
      <c r="B459">
        <v>18885.373950000001</v>
      </c>
      <c r="C459">
        <v>0</v>
      </c>
      <c r="D459">
        <v>75046.139169999995</v>
      </c>
      <c r="E459">
        <v>18291.69915</v>
      </c>
      <c r="F459">
        <v>548632.82539999997</v>
      </c>
      <c r="G459">
        <v>173049.57930000001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0</v>
      </c>
      <c r="M459" s="1">
        <f t="shared" si="31"/>
        <v>119214568.6145166</v>
      </c>
      <c r="N459" s="1">
        <f t="shared" si="32"/>
        <v>527702932.7411415</v>
      </c>
      <c r="O459" s="1"/>
    </row>
    <row r="460" spans="1:15" x14ac:dyDescent="0.25">
      <c r="A460">
        <v>642</v>
      </c>
      <c r="B460">
        <v>16338.67324</v>
      </c>
      <c r="C460">
        <v>19601.07922</v>
      </c>
      <c r="D460">
        <v>139304.74479999999</v>
      </c>
      <c r="E460">
        <v>387752.78200000001</v>
      </c>
      <c r="F460">
        <v>671484.39020000002</v>
      </c>
      <c r="G460">
        <v>261660.24679999999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200741354.29743713</v>
      </c>
      <c r="M460" s="1">
        <f t="shared" si="31"/>
        <v>1331848804.5749869</v>
      </c>
      <c r="N460" s="1">
        <f t="shared" si="32"/>
        <v>420514937.76883763</v>
      </c>
      <c r="O460" s="1"/>
    </row>
    <row r="461" spans="1:15" x14ac:dyDescent="0.25">
      <c r="A461">
        <v>643</v>
      </c>
      <c r="B461">
        <v>12034.13349</v>
      </c>
      <c r="C461">
        <v>11933.428529999999</v>
      </c>
      <c r="D461">
        <v>73876.642080000005</v>
      </c>
      <c r="E461">
        <v>334967.39840000001</v>
      </c>
      <c r="F461">
        <v>639023.99419999996</v>
      </c>
      <c r="G461">
        <v>208618.8798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196681658.8116405</v>
      </c>
      <c r="M461" s="1">
        <f t="shared" si="31"/>
        <v>1851587768.5809226</v>
      </c>
      <c r="N461" s="1">
        <f t="shared" si="32"/>
        <v>539559135.59635663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172173.88939999999</v>
      </c>
      <c r="F462">
        <v>623786.56149999995</v>
      </c>
      <c r="G462">
        <v>178431.4987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1167788804.8281503</v>
      </c>
      <c r="N462" s="1">
        <f t="shared" si="32"/>
        <v>566255220.13372767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135455.0442</v>
      </c>
      <c r="F463">
        <v>598318.3382</v>
      </c>
      <c r="G463">
        <v>176612.87239999999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954461742.08716857</v>
      </c>
      <c r="N463" s="1">
        <f t="shared" si="32"/>
        <v>582276650.18035495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54041.537080000002</v>
      </c>
      <c r="F464">
        <v>564316.99639999995</v>
      </c>
      <c r="G464">
        <v>177613.68040000001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323999675.04299206</v>
      </c>
      <c r="N464" s="1">
        <f t="shared" si="32"/>
        <v>498238144.30639482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>
        <v>25267.802530000001</v>
      </c>
      <c r="F465">
        <v>519095.32740000001</v>
      </c>
      <c r="G465">
        <v>165909.3432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105265217.07058625</v>
      </c>
      <c r="N465" s="1">
        <f t="shared" si="32"/>
        <v>323393985.33294713</v>
      </c>
      <c r="O465" s="1"/>
    </row>
    <row r="466" spans="1:15" x14ac:dyDescent="0.25">
      <c r="A466">
        <v>650</v>
      </c>
      <c r="B466">
        <v>30705.845700000002</v>
      </c>
      <c r="C466">
        <v>2403.9396879999999</v>
      </c>
      <c r="D466">
        <v>472798.94280000002</v>
      </c>
      <c r="E466">
        <v>57310.43028</v>
      </c>
      <c r="F466">
        <v>861827.21</v>
      </c>
      <c r="G466">
        <v>39849.26096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26041817.365604505</v>
      </c>
      <c r="M466" s="1">
        <f t="shared" si="31"/>
        <v>208220999.74294782</v>
      </c>
      <c r="N466" s="1">
        <f t="shared" si="32"/>
        <v>67741499.818303928</v>
      </c>
      <c r="O466" s="1"/>
    </row>
    <row r="467" spans="1:15" x14ac:dyDescent="0.25">
      <c r="A467">
        <v>651</v>
      </c>
      <c r="B467">
        <v>45071.268219999998</v>
      </c>
      <c r="C467">
        <v>5163.0181350000003</v>
      </c>
      <c r="D467">
        <v>480779.71500000003</v>
      </c>
      <c r="E467">
        <v>78999.489690000002</v>
      </c>
      <c r="F467">
        <v>867778.02339999995</v>
      </c>
      <c r="G467">
        <v>59001.744919999997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67265068.413194403</v>
      </c>
      <c r="M467" s="1">
        <f t="shared" si="31"/>
        <v>345186148.83056325</v>
      </c>
      <c r="N467" s="1">
        <f t="shared" si="32"/>
        <v>120625078.3751189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62552.207329999997</v>
      </c>
      <c r="F468">
        <v>885015.75560000003</v>
      </c>
      <c r="G468">
        <v>27642.764999999999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213772819.80697069</v>
      </c>
      <c r="N468" s="1">
        <f t="shared" si="32"/>
        <v>44201296.298817255</v>
      </c>
      <c r="O468" s="1"/>
    </row>
    <row r="469" spans="1:15" x14ac:dyDescent="0.25">
      <c r="A469">
        <v>653</v>
      </c>
      <c r="B469">
        <v>45654.624470000002</v>
      </c>
      <c r="C469">
        <v>7806.6410210000004</v>
      </c>
      <c r="D469">
        <v>437161.72690000001</v>
      </c>
      <c r="E469">
        <v>151131.6195</v>
      </c>
      <c r="F469">
        <v>836965.28639999998</v>
      </c>
      <c r="G469">
        <v>99672.38884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42537650.279921725</v>
      </c>
      <c r="M469" s="1">
        <f t="shared" si="31"/>
        <v>276189879.30392033</v>
      </c>
      <c r="N469" s="1">
        <f t="shared" si="32"/>
        <v>85225776.987878367</v>
      </c>
      <c r="O469" s="1"/>
    </row>
    <row r="470" spans="1:15" x14ac:dyDescent="0.25">
      <c r="A470">
        <v>654</v>
      </c>
      <c r="B470">
        <v>162619.7028</v>
      </c>
      <c r="C470">
        <v>23444.51685</v>
      </c>
      <c r="D470">
        <v>639860.3358</v>
      </c>
      <c r="E470">
        <v>117080.2507</v>
      </c>
      <c r="F470">
        <v>992389.61679999996</v>
      </c>
      <c r="G470">
        <v>91924.348230000003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217669584.65370908</v>
      </c>
      <c r="M470" s="1">
        <f t="shared" si="31"/>
        <v>364571942.37575203</v>
      </c>
      <c r="N470" s="1">
        <f t="shared" si="32"/>
        <v>133928756.28835842</v>
      </c>
      <c r="O470" s="1"/>
    </row>
    <row r="471" spans="1:15" x14ac:dyDescent="0.25">
      <c r="A471">
        <v>655</v>
      </c>
      <c r="B471">
        <v>31310.227640000001</v>
      </c>
      <c r="C471">
        <v>13708.827950000001</v>
      </c>
      <c r="D471">
        <v>422992.3873</v>
      </c>
      <c r="E471">
        <v>104619.6422</v>
      </c>
      <c r="F471">
        <v>836755.81310000003</v>
      </c>
      <c r="G471">
        <v>67134.669269999999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192429541.15827772</v>
      </c>
      <c r="M471" s="1">
        <f t="shared" si="31"/>
        <v>492524439.82130313</v>
      </c>
      <c r="N471" s="1">
        <f t="shared" si="32"/>
        <v>147878517.22058359</v>
      </c>
      <c r="O471" s="1"/>
    </row>
    <row r="472" spans="1:15" x14ac:dyDescent="0.25">
      <c r="A472">
        <v>656</v>
      </c>
      <c r="B472">
        <v>220385.34830000001</v>
      </c>
      <c r="C472">
        <v>27181.85196</v>
      </c>
      <c r="D472">
        <v>744627.52049999998</v>
      </c>
      <c r="E472">
        <v>39614.669320000001</v>
      </c>
      <c r="F472">
        <v>1104564.1640000001</v>
      </c>
      <c r="G472">
        <v>18315.224109999999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769709160.87257338</v>
      </c>
      <c r="M472" s="1">
        <f t="shared" si="31"/>
        <v>376224249.5606665</v>
      </c>
      <c r="N472" s="1">
        <f t="shared" si="32"/>
        <v>81385430.462826461</v>
      </c>
      <c r="O472" s="1"/>
    </row>
    <row r="473" spans="1:15" x14ac:dyDescent="0.25">
      <c r="A473">
        <v>657</v>
      </c>
      <c r="B473">
        <v>50289.980539999997</v>
      </c>
      <c r="C473">
        <v>249342.7156</v>
      </c>
      <c r="D473">
        <v>549606.08510000003</v>
      </c>
      <c r="E473">
        <v>261788.07560000001</v>
      </c>
      <c r="F473">
        <v>922206.03929999995</v>
      </c>
      <c r="G473">
        <v>230482.40700000001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3454250963.8259792</v>
      </c>
      <c r="M473" s="1">
        <f t="shared" si="31"/>
        <v>1216326587.29475</v>
      </c>
      <c r="N473" s="1">
        <f t="shared" si="32"/>
        <v>501050844.26350355</v>
      </c>
      <c r="O473" s="1"/>
    </row>
    <row r="474" spans="1:15" x14ac:dyDescent="0.25">
      <c r="A474">
        <v>658</v>
      </c>
      <c r="B474">
        <v>31434.613359999999</v>
      </c>
      <c r="C474">
        <v>45614.460910000002</v>
      </c>
      <c r="D474">
        <v>347926.40710000001</v>
      </c>
      <c r="E474">
        <v>331831.5796</v>
      </c>
      <c r="F474">
        <v>790822.29509999999</v>
      </c>
      <c r="G474">
        <v>234410.57800000001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360878148.17166102</v>
      </c>
      <c r="M474" s="1">
        <f t="shared" si="31"/>
        <v>880478773.16159034</v>
      </c>
      <c r="N474" s="1">
        <f t="shared" si="32"/>
        <v>291019479.6363942</v>
      </c>
      <c r="O474" s="1"/>
    </row>
    <row r="475" spans="1:15" x14ac:dyDescent="0.25">
      <c r="A475">
        <v>659</v>
      </c>
      <c r="B475">
        <v>29674.379949999999</v>
      </c>
      <c r="C475">
        <v>32705.062190000001</v>
      </c>
      <c r="D475">
        <v>291904.86139999999</v>
      </c>
      <c r="E475">
        <v>342672.49959999998</v>
      </c>
      <c r="F475">
        <v>797337.68480000005</v>
      </c>
      <c r="G475">
        <v>175262.92310000001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219246532.68962324</v>
      </c>
      <c r="M475" s="1">
        <f t="shared" si="31"/>
        <v>770442344.31517696</v>
      </c>
      <c r="N475" s="1">
        <f t="shared" si="32"/>
        <v>184371852.96598524</v>
      </c>
      <c r="O475" s="1"/>
    </row>
    <row r="476" spans="1:15" x14ac:dyDescent="0.25">
      <c r="A476">
        <v>660</v>
      </c>
      <c r="B476">
        <v>34998.118540000003</v>
      </c>
      <c r="C476">
        <v>45684.45708</v>
      </c>
      <c r="D476">
        <v>441757.5454</v>
      </c>
      <c r="E476">
        <v>269788.69030000002</v>
      </c>
      <c r="F476">
        <v>853986.71660000004</v>
      </c>
      <c r="G476">
        <v>185738.6826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566532048.94778454</v>
      </c>
      <c r="M476" s="1">
        <f t="shared" si="31"/>
        <v>1122077597.9200234</v>
      </c>
      <c r="N476" s="1">
        <f t="shared" si="32"/>
        <v>361447471.53697348</v>
      </c>
      <c r="O476" s="1"/>
    </row>
    <row r="477" spans="1:15" x14ac:dyDescent="0.25">
      <c r="A477">
        <v>661</v>
      </c>
      <c r="B477">
        <v>35998.752699999997</v>
      </c>
      <c r="C477">
        <v>6077.246126</v>
      </c>
      <c r="D477">
        <v>298925.78000000003</v>
      </c>
      <c r="E477">
        <v>239894.32639999999</v>
      </c>
      <c r="F477">
        <v>773754.88329999999</v>
      </c>
      <c r="G477">
        <v>163194.91089999999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64420614.417024627</v>
      </c>
      <c r="M477" s="1">
        <f t="shared" si="31"/>
        <v>852866686.59118629</v>
      </c>
      <c r="N477" s="1">
        <f t="shared" si="32"/>
        <v>271463512.25992227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13164.572399999999</v>
      </c>
      <c r="F478">
        <v>509482.50900000002</v>
      </c>
      <c r="G478">
        <v>116700.62549999999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99228935.208873361</v>
      </c>
      <c r="N478" s="1">
        <f t="shared" si="32"/>
        <v>411574477.75634474</v>
      </c>
      <c r="O478" s="1"/>
    </row>
    <row r="479" spans="1:15" x14ac:dyDescent="0.25">
      <c r="A479">
        <v>663</v>
      </c>
      <c r="B479">
        <v>31694.657729999999</v>
      </c>
      <c r="C479">
        <v>16072.482040000001</v>
      </c>
      <c r="D479">
        <v>263689.72610000003</v>
      </c>
      <c r="E479">
        <v>330954.47850000003</v>
      </c>
      <c r="F479">
        <v>761800.27359999996</v>
      </c>
      <c r="G479">
        <v>212913.7666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115039849.39140752</v>
      </c>
      <c r="M479" s="1">
        <f t="shared" si="31"/>
        <v>794468632.04509437</v>
      </c>
      <c r="N479" s="1">
        <f t="shared" si="32"/>
        <v>239142031.06904939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830.83358299999998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1453925.3644136642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 s="1">
        <v>3.67E-6</v>
      </c>
      <c r="F482">
        <v>1425845.378</v>
      </c>
      <c r="G482">
        <v>8017.2817800000003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6.7976259757944069E-3</v>
      </c>
      <c r="N482" s="1">
        <f t="shared" si="32"/>
        <v>6948035.4649215117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0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0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6687.0159860000003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3861435.8508002991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 s="1">
        <v>-3.2100000000000001E-5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-0.14036099677912431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>
        <v>0</v>
      </c>
      <c r="D490">
        <v>588835.69739999995</v>
      </c>
      <c r="E490" s="1">
        <v>9.5000000000000001E-7</v>
      </c>
      <c r="F490">
        <v>1182686.344</v>
      </c>
      <c r="G490">
        <v>830.83358299999998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0</v>
      </c>
      <c r="M490" s="1">
        <f t="shared" si="31"/>
        <v>6.0104487253882207E-3</v>
      </c>
      <c r="N490" s="1">
        <f t="shared" si="32"/>
        <v>2459467.0704737422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6687.0159860000003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22025151.812789362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830.83358299999998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2661638.3042542958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0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0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 s="1">
        <v>-3.0599999999999999E-6</v>
      </c>
      <c r="F494">
        <v>1414763.8640000001</v>
      </c>
      <c r="G494">
        <v>7034.1987170000002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-7.3941157667050559E-3</v>
      </c>
      <c r="N494" s="1">
        <f t="shared" si="32"/>
        <v>7952856.2139917705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0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0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 s="1">
        <v>2.44E-5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6.0327817074526328E-2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 s="1">
        <v>-9.5799999999999998E-6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-1.1125984171380101E-2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 s="1">
        <v>-8.8799999999999997E-6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-2.2713840886980887E-2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 s="1">
        <v>-1.7399999999999999E-5</v>
      </c>
      <c r="F501">
        <v>1156202.5179999999</v>
      </c>
      <c r="G501">
        <v>0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-0.11294336467962515</v>
      </c>
      <c r="N501" s="1">
        <f t="shared" si="32"/>
        <v>0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0</v>
      </c>
      <c r="F502">
        <v>1478434.932</v>
      </c>
      <c r="G502">
        <v>2909.2685120000001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0</v>
      </c>
      <c r="N502" s="1">
        <f t="shared" si="32"/>
        <v>2452775.683582989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830.83358299999998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671681.10295945208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 s="1">
        <v>-7.96E-6</v>
      </c>
      <c r="F504">
        <v>1094792.3230000001</v>
      </c>
      <c r="G504">
        <v>9440.6738349999996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-3.645190643382798E-2</v>
      </c>
      <c r="N504" s="1">
        <f t="shared" si="32"/>
        <v>20228042.188685525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1342.641633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1977250.6517887095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 s="1">
        <v>3.6999999999999998E-5</v>
      </c>
      <c r="F506">
        <v>1113954.3810000001</v>
      </c>
      <c r="G506">
        <v>14796.736140000001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0.29277884043323954</v>
      </c>
      <c r="N506" s="1">
        <f t="shared" si="32"/>
        <v>54783221.847893953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 s="1">
        <v>-3.4400000000000003E-5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-0.11346969897611929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 s="1">
        <v>-8.8200000000000003E-6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-2.3721863592021216E-2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>
        <v>0</v>
      </c>
      <c r="F509">
        <v>870999.06740000006</v>
      </c>
      <c r="G509" s="1">
        <v>-4.9799999999999998E-5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0</v>
      </c>
      <c r="N509" s="1">
        <f t="shared" si="32"/>
        <v>-0.18926918567290224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6687.01595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14819493.719438113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723.46586939999997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1765478.8474168142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 s="1">
        <v>-3.0800000000000003E-5</v>
      </c>
      <c r="F512">
        <v>1059884.294</v>
      </c>
      <c r="G512">
        <v>8853.2450439999993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-0.17853146116599333</v>
      </c>
      <c r="N512" s="1">
        <f t="shared" si="32"/>
        <v>24010997.695121333</v>
      </c>
      <c r="O512" s="1"/>
    </row>
    <row r="513" spans="1:15" x14ac:dyDescent="0.25">
      <c r="A513">
        <v>734</v>
      </c>
      <c r="B513">
        <v>96731.795029999994</v>
      </c>
      <c r="C513">
        <v>0</v>
      </c>
      <c r="D513">
        <v>642789.57620000001</v>
      </c>
      <c r="E513" s="1">
        <v>-2.7900000000000001E-5</v>
      </c>
      <c r="F513">
        <v>1100479.395</v>
      </c>
      <c r="G513">
        <v>8471.8475770000005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0</v>
      </c>
      <c r="M513" s="1">
        <f t="shared" si="31"/>
        <v>-0.20213956261322391</v>
      </c>
      <c r="N513" s="1">
        <f t="shared" si="32"/>
        <v>28718974.631144892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 s="1">
        <v>4.46E-5</v>
      </c>
      <c r="F514">
        <v>888504.04229999997</v>
      </c>
      <c r="G514" s="1">
        <v>4.99E-5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0.39535109593853296</v>
      </c>
      <c r="N514" s="1">
        <f t="shared" si="32"/>
        <v>0.20696280990125737</v>
      </c>
      <c r="O514" s="1"/>
    </row>
    <row r="515" spans="1:15" x14ac:dyDescent="0.25">
      <c r="A515">
        <v>736</v>
      </c>
      <c r="B515">
        <v>527613.74470000004</v>
      </c>
      <c r="C515" s="1">
        <v>-3.3099999999999998E-5</v>
      </c>
      <c r="D515">
        <v>973510.88419999997</v>
      </c>
      <c r="E515">
        <v>6687.0159819999999</v>
      </c>
      <c r="F515">
        <v>1494061.423</v>
      </c>
      <c r="G515">
        <v>8360.5277330000008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-4.0761057397298225E-2</v>
      </c>
      <c r="M515" s="1">
        <f t="shared" ref="M515:M578" si="35">$U$3*$K515*E515</f>
        <v>2761804.5834279181</v>
      </c>
      <c r="N515" s="1">
        <f t="shared" ref="N515:N578" si="36">$U$4*$K515*G515</f>
        <v>1615615.2907852521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 s="1">
        <v>3.5800000000000003E-5</v>
      </c>
      <c r="F516">
        <v>1161913.196</v>
      </c>
      <c r="G516">
        <v>8749.891044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0.33881915467530443</v>
      </c>
      <c r="N516" s="1">
        <f t="shared" si="36"/>
        <v>38746390.507530093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 s="1">
        <v>3.93E-5</v>
      </c>
      <c r="F517">
        <v>1296339.426</v>
      </c>
      <c r="G517">
        <v>9168.6168720000005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0.14268419093578724</v>
      </c>
      <c r="N517" s="1">
        <f t="shared" si="36"/>
        <v>15575098.792972889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 s="1">
        <v>-2.6599999999999999E-5</v>
      </c>
      <c r="F518">
        <v>1285517.7239999999</v>
      </c>
      <c r="G518">
        <v>6687.0159860000003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-4.1666362037384559E-2</v>
      </c>
      <c r="N518" s="1">
        <f t="shared" si="36"/>
        <v>4900946.7752449336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 s="1">
        <v>3.7299999999999999E-5</v>
      </c>
      <c r="F519">
        <v>1314005.852</v>
      </c>
      <c r="G519">
        <v>6687.0159860000003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4.3023263609128483E-2</v>
      </c>
      <c r="N519" s="1">
        <f t="shared" si="36"/>
        <v>3608864.3598226248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 s="1">
        <v>-2.58E-5</v>
      </c>
      <c r="F520">
        <v>1369110.0449999999</v>
      </c>
      <c r="G520">
        <v>8535.4551210000009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-3.7858160500706818E-2</v>
      </c>
      <c r="N520" s="1">
        <f t="shared" si="36"/>
        <v>5860169.3072282551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 s="1">
        <v>8.6000000000000007E-6</v>
      </c>
      <c r="F521">
        <v>1372938.9569999999</v>
      </c>
      <c r="G521">
        <v>8535.4551210000009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1.2665841169223702E-2</v>
      </c>
      <c r="N521" s="1">
        <f t="shared" si="36"/>
        <v>5881741.6922880067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>
        <v>0</v>
      </c>
      <c r="F522">
        <v>1017598.987</v>
      </c>
      <c r="G522">
        <v>9386.3725279999999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0</v>
      </c>
      <c r="N522" s="1">
        <f t="shared" si="36"/>
        <v>16466366.763160974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 s="1">
        <v>2.2500000000000001E-5</v>
      </c>
      <c r="F523">
        <v>1203552.3219999999</v>
      </c>
      <c r="G523">
        <v>8860.6989900000008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0.11007858091919177</v>
      </c>
      <c r="N523" s="1">
        <f t="shared" si="36"/>
        <v>20282989.483929504</v>
      </c>
      <c r="O523" s="1"/>
    </row>
    <row r="524" spans="1:15" x14ac:dyDescent="0.25">
      <c r="A524">
        <v>745</v>
      </c>
      <c r="B524">
        <v>49689.949919999999</v>
      </c>
      <c r="C524">
        <v>0</v>
      </c>
      <c r="D524">
        <v>529637.23959999997</v>
      </c>
      <c r="E524" s="1">
        <v>2.8900000000000001E-5</v>
      </c>
      <c r="F524">
        <v>959678.84439999994</v>
      </c>
      <c r="G524">
        <v>7835.1851489999999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0</v>
      </c>
      <c r="M524" s="1">
        <f t="shared" si="35"/>
        <v>5.162678061444298E-2</v>
      </c>
      <c r="N524" s="1">
        <f t="shared" si="36"/>
        <v>6548926.8984505888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7517.3951770000003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22032191.4747261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 s="1">
        <v>-2.0599999999999999E-5</v>
      </c>
      <c r="F527">
        <v>992475.56449999998</v>
      </c>
      <c r="G527">
        <v>9367.7756700000009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-5.4943762735859616E-2</v>
      </c>
      <c r="N527" s="1">
        <f t="shared" si="36"/>
        <v>11690452.940472594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>
        <v>7004.8059489999996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8141972.970621964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 s="1">
        <v>2.3200000000000001E-5</v>
      </c>
      <c r="F529">
        <v>1101459.385</v>
      </c>
      <c r="G529">
        <v>14272.691919999999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8.6472785780486477E-2</v>
      </c>
      <c r="N529" s="1">
        <f t="shared" si="36"/>
        <v>24890924.935289882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 s="1">
        <v>3.1099999999999999E-6</v>
      </c>
      <c r="F530">
        <v>850004.07279999997</v>
      </c>
      <c r="G530">
        <v>6687.0159860000003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9.9530883577896509E-3</v>
      </c>
      <c r="N530" s="1">
        <f t="shared" si="36"/>
        <v>10013214.280330112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 s="1">
        <v>-3.67E-6</v>
      </c>
      <c r="F531">
        <v>974089.47149999999</v>
      </c>
      <c r="G531">
        <v>8535.4551250000004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-9.8527176617672525E-3</v>
      </c>
      <c r="N531" s="1">
        <f t="shared" si="36"/>
        <v>10721618.134956818</v>
      </c>
      <c r="O531" s="1"/>
    </row>
    <row r="532" spans="1:15" x14ac:dyDescent="0.25">
      <c r="A532">
        <v>807</v>
      </c>
      <c r="B532">
        <v>387054.18469999998</v>
      </c>
      <c r="C532">
        <v>0</v>
      </c>
      <c r="D532">
        <v>762026.59909999999</v>
      </c>
      <c r="E532">
        <v>830.83358220000002</v>
      </c>
      <c r="F532">
        <v>1270614.585</v>
      </c>
      <c r="G532">
        <v>9463.5636300000006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0</v>
      </c>
      <c r="M532" s="1">
        <f t="shared" si="35"/>
        <v>1956451.7353484975</v>
      </c>
      <c r="N532" s="1">
        <f t="shared" si="36"/>
        <v>10426858.523836305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 s="1">
        <v>1.26E-5</v>
      </c>
      <c r="F533">
        <v>1193933.8729999999</v>
      </c>
      <c r="G533">
        <v>8784.6407799999997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1.215130586178222E-2</v>
      </c>
      <c r="N533" s="1">
        <f t="shared" si="36"/>
        <v>3963876.2976459311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>
        <v>8535.4551350000002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22268364.224956453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>
        <v>7537.9334010000002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23087788.788942866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830.83354359999998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2217743.4458906041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>
        <v>830.83363159999999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1505320.6932410807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>
        <v>830.83356119999996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894766.99187718029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6687.0160299999998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14915009.858239027</v>
      </c>
      <c r="O540" s="1"/>
    </row>
    <row r="541" spans="1:15" x14ac:dyDescent="0.25">
      <c r="A541">
        <v>819</v>
      </c>
      <c r="B541">
        <v>73984.874679999994</v>
      </c>
      <c r="C541">
        <v>0</v>
      </c>
      <c r="D541">
        <v>522863.5969</v>
      </c>
      <c r="E541" s="1">
        <v>-3.0199999999999999E-5</v>
      </c>
      <c r="F541">
        <v>950898.42379999999</v>
      </c>
      <c r="G541">
        <v>2997.0626790000001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0</v>
      </c>
      <c r="M541" s="1">
        <f t="shared" si="35"/>
        <v>-0.12043362998253661</v>
      </c>
      <c r="N541" s="1">
        <f t="shared" si="36"/>
        <v>5592169.6407968141</v>
      </c>
      <c r="O541" s="1"/>
    </row>
    <row r="542" spans="1:15" x14ac:dyDescent="0.25">
      <c r="A542">
        <v>820</v>
      </c>
      <c r="B542">
        <v>79883.119390000007</v>
      </c>
      <c r="C542">
        <v>0</v>
      </c>
      <c r="D542">
        <v>560586.45120000001</v>
      </c>
      <c r="E542" s="1">
        <v>3.2899999999999998E-6</v>
      </c>
      <c r="F542">
        <v>939738.55390000006</v>
      </c>
      <c r="G542">
        <v>1764.747777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0</v>
      </c>
      <c r="M542" s="1">
        <f t="shared" si="35"/>
        <v>1.9260368158123025E-2</v>
      </c>
      <c r="N542" s="1">
        <f t="shared" si="36"/>
        <v>4833870.4622116201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>
        <v>830.83359900000005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2703187.7562901354</v>
      </c>
      <c r="O543" s="1"/>
    </row>
    <row r="544" spans="1:15" x14ac:dyDescent="0.25">
      <c r="A544">
        <v>824</v>
      </c>
      <c r="B544">
        <v>275614.56390000001</v>
      </c>
      <c r="C544">
        <v>0</v>
      </c>
      <c r="D544">
        <v>711584.32310000004</v>
      </c>
      <c r="E544">
        <v>830.83355189999997</v>
      </c>
      <c r="F544">
        <v>1172868.523</v>
      </c>
      <c r="G544">
        <v>9463.5636300000006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</v>
      </c>
      <c r="M544" s="1">
        <f t="shared" si="35"/>
        <v>2307321.7782793511</v>
      </c>
      <c r="N544" s="1">
        <f t="shared" si="36"/>
        <v>12296811.719807068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>
        <v>830.83363199999997</v>
      </c>
      <c r="F545">
        <v>1189934.2879999999</v>
      </c>
      <c r="G545">
        <v>9463.5636300000006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2047471.4756726632</v>
      </c>
      <c r="N545" s="1">
        <f t="shared" si="36"/>
        <v>10911945.203181786</v>
      </c>
      <c r="O545" s="1"/>
    </row>
    <row r="546" spans="1:15" x14ac:dyDescent="0.25">
      <c r="A546">
        <v>826</v>
      </c>
      <c r="B546">
        <v>439768.94699999999</v>
      </c>
      <c r="C546" s="1">
        <v>4.4700000000000002E-5</v>
      </c>
      <c r="D546">
        <v>839954.20750000002</v>
      </c>
      <c r="E546">
        <v>8029.2032559999998</v>
      </c>
      <c r="F546">
        <v>1302781.389</v>
      </c>
      <c r="G546">
        <v>7865.9377560000003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0.46078982161813575</v>
      </c>
      <c r="M546" s="1">
        <f t="shared" si="35"/>
        <v>27759455.503797036</v>
      </c>
      <c r="N546" s="1">
        <f t="shared" si="36"/>
        <v>12724264.107917849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 s="1">
        <v>7.43E-6</v>
      </c>
      <c r="F547">
        <v>1281372.4620000001</v>
      </c>
      <c r="G547">
        <v>10322.949060000001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4.1758686649716265E-3</v>
      </c>
      <c r="N547" s="1">
        <f t="shared" si="36"/>
        <v>2714597.7193838125</v>
      </c>
      <c r="O547" s="1"/>
    </row>
    <row r="548" spans="1:15" x14ac:dyDescent="0.25">
      <c r="A548">
        <v>828</v>
      </c>
      <c r="B548">
        <v>509968.62050000002</v>
      </c>
      <c r="C548" s="1">
        <v>3.6199999999999999E-5</v>
      </c>
      <c r="D548">
        <v>946018.53989999997</v>
      </c>
      <c r="E548">
        <v>6687.0159510000003</v>
      </c>
      <c r="F548">
        <v>1408322.97</v>
      </c>
      <c r="G548">
        <v>7650.2150529999999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9.5682198891760634E-2</v>
      </c>
      <c r="M548" s="1">
        <f t="shared" si="35"/>
        <v>5927861.8388048811</v>
      </c>
      <c r="N548" s="1">
        <f t="shared" si="36"/>
        <v>3173094.7141147684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830.83356579999997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2748990.0439970284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 s="1">
        <v>3.6000000000000001E-5</v>
      </c>
      <c r="F550">
        <v>886091.98490000004</v>
      </c>
      <c r="G550">
        <v>8555.5389279999999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0.104759919205146</v>
      </c>
      <c r="N550" s="1">
        <f t="shared" si="36"/>
        <v>11648867.459108518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6687.0159750000003</v>
      </c>
      <c r="F551">
        <v>1227997.4469999999</v>
      </c>
      <c r="G551">
        <v>10507.363160000001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26605420.972656149</v>
      </c>
      <c r="N551" s="1">
        <f t="shared" si="36"/>
        <v>19560285.765433837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 s="1">
        <v>1.1600000000000001E-5</v>
      </c>
      <c r="F552">
        <v>1077406.531</v>
      </c>
      <c r="G552">
        <v>7771.8118249999998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1.2262021482966014E-2</v>
      </c>
      <c r="N552" s="1">
        <f t="shared" si="36"/>
        <v>3843881.9215008575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 s="1">
        <v>-1.03E-5</v>
      </c>
      <c r="F553">
        <v>977630.06909999996</v>
      </c>
      <c r="G553">
        <v>8296.1531180000002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-4.5093793180229338E-2</v>
      </c>
      <c r="N553" s="1">
        <f t="shared" si="36"/>
        <v>16994170.889485124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>
        <v>6874.2423209999997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19472838.816535532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>
        <v>8535.4550870000003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7014934.1597044254</v>
      </c>
      <c r="O555" s="1"/>
    </row>
    <row r="556" spans="1:15" x14ac:dyDescent="0.25">
      <c r="A556">
        <v>836</v>
      </c>
      <c r="B556">
        <v>518818.85230000003</v>
      </c>
      <c r="C556" s="1">
        <v>2.4199999999999999E-5</v>
      </c>
      <c r="D556">
        <v>979112.55900000001</v>
      </c>
      <c r="E556">
        <v>8662.2675139999992</v>
      </c>
      <c r="F556">
        <v>1414478.6910000001</v>
      </c>
      <c r="G556">
        <v>677.20123669999998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2.9769164079940999E-2</v>
      </c>
      <c r="M556" s="1">
        <f t="shared" si="35"/>
        <v>3573765.0933526177</v>
      </c>
      <c r="N556" s="1">
        <f t="shared" si="36"/>
        <v>130724.15146262229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6687.0159990000002</v>
      </c>
      <c r="F557">
        <v>1178496.3529999999</v>
      </c>
      <c r="G557">
        <v>10507.363160000001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9685337.1429935079</v>
      </c>
      <c r="N557" s="1">
        <f t="shared" si="36"/>
        <v>7120652.6582042212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 s="1">
        <v>1.45E-5</v>
      </c>
      <c r="F558">
        <v>1377564.1869999999</v>
      </c>
      <c r="G558">
        <v>2679.2727180000002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1.1531991570570055E-2</v>
      </c>
      <c r="N558" s="1">
        <f t="shared" si="36"/>
        <v>997004.03059851343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 s="1">
        <v>2.58E-5</v>
      </c>
      <c r="F559">
        <v>1467284.923</v>
      </c>
      <c r="G559">
        <v>1764.747768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2.9641451790290041E-2</v>
      </c>
      <c r="N559" s="1">
        <f t="shared" si="36"/>
        <v>948650.16010486148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 s="1">
        <v>-2.0599999999999999E-5</v>
      </c>
      <c r="F560">
        <v>1531125.3060000001</v>
      </c>
      <c r="G560">
        <v>6594.8314190000001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-1.5681325817784593E-2</v>
      </c>
      <c r="N560" s="1">
        <f t="shared" si="36"/>
        <v>2348891.3823504886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1979.0027070000001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2401455.8974603056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>
        <v>723.46584710000002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1456783.4789042145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 s="1">
        <v>3.2100000000000001E-5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8.000432610070185E-2</v>
      </c>
      <c r="O564" s="1"/>
    </row>
    <row r="565" spans="1:15" x14ac:dyDescent="0.25">
      <c r="A565">
        <v>901</v>
      </c>
      <c r="B565">
        <v>29041.807290000001</v>
      </c>
      <c r="C565">
        <v>0</v>
      </c>
      <c r="D565">
        <v>444396.93300000002</v>
      </c>
      <c r="E565" s="1">
        <v>2.55E-5</v>
      </c>
      <c r="F565">
        <v>1013672.794</v>
      </c>
      <c r="G565">
        <v>0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0</v>
      </c>
      <c r="M565" s="1">
        <f t="shared" si="35"/>
        <v>8.3304289425727651E-2</v>
      </c>
      <c r="N565" s="1">
        <f t="shared" si="36"/>
        <v>0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6687.0159860000003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16390293.278773954</v>
      </c>
      <c r="O566" s="1"/>
    </row>
    <row r="567" spans="1:15" x14ac:dyDescent="0.25">
      <c r="A567">
        <v>903</v>
      </c>
      <c r="B567">
        <v>38538.358639999999</v>
      </c>
      <c r="C567">
        <v>0</v>
      </c>
      <c r="D567">
        <v>529953.41500000004</v>
      </c>
      <c r="E567" s="1">
        <v>4.0500000000000002E-5</v>
      </c>
      <c r="F567">
        <v>1031875.76</v>
      </c>
      <c r="G567">
        <v>0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0</v>
      </c>
      <c r="M567" s="1">
        <f t="shared" si="35"/>
        <v>0.13257074574168212</v>
      </c>
      <c r="N567" s="1">
        <f t="shared" si="36"/>
        <v>0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 s="1">
        <v>-3.4400000000000003E-5</v>
      </c>
      <c r="F568">
        <v>1337769.4569999999</v>
      </c>
      <c r="G568">
        <v>5088.0415439999997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-7.7058630689751925E-2</v>
      </c>
      <c r="N568" s="1">
        <f t="shared" si="36"/>
        <v>5332823.0285720527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>
        <v>6940.3854970000002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18805383.466992088</v>
      </c>
      <c r="O570" s="1"/>
    </row>
    <row r="571" spans="1:15" x14ac:dyDescent="0.25">
      <c r="A571">
        <v>907</v>
      </c>
      <c r="B571">
        <v>16153.59611</v>
      </c>
      <c r="C571">
        <v>0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0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>
        <v>0</v>
      </c>
      <c r="D572">
        <v>781465.2439</v>
      </c>
      <c r="E572" s="1">
        <v>2.1999999999999999E-5</v>
      </c>
      <c r="F572">
        <v>1404221.4480000001</v>
      </c>
      <c r="G572">
        <v>8535.4551210000009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</v>
      </c>
      <c r="M572" s="1">
        <f t="shared" si="35"/>
        <v>8.4887152345402006E-2</v>
      </c>
      <c r="N572" s="1">
        <f t="shared" si="36"/>
        <v>15409538.965336574</v>
      </c>
      <c r="O572" s="1"/>
    </row>
    <row r="573" spans="1:15" x14ac:dyDescent="0.25">
      <c r="A573">
        <v>911</v>
      </c>
      <c r="B573">
        <v>28281.780429999999</v>
      </c>
      <c r="C573">
        <v>0</v>
      </c>
      <c r="D573">
        <v>560803.66229999997</v>
      </c>
      <c r="E573" s="1">
        <v>-3.0199999999999999E-5</v>
      </c>
      <c r="F573">
        <v>1085209.325</v>
      </c>
      <c r="G573">
        <v>830.83358299999998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0</v>
      </c>
      <c r="M573" s="1">
        <f t="shared" si="35"/>
        <v>-0.18685956547066893</v>
      </c>
      <c r="N573" s="1">
        <f t="shared" si="36"/>
        <v>2405282.6165589546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 s="1">
        <v>-1.42E-5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-2.9711786431775883E-2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 s="1">
        <v>-8.0600000000000008E-6</v>
      </c>
      <c r="F575">
        <v>1503592.9110000001</v>
      </c>
      <c r="G575">
        <v>1891.208578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-7.5605146773566421E-3</v>
      </c>
      <c r="N575" s="1">
        <f t="shared" si="36"/>
        <v>830040.77310936432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0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0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1764.747768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1124487.6886757123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 s="1">
        <v>-1.0300000000000001E-6</v>
      </c>
      <c r="F578">
        <v>1086950.43</v>
      </c>
      <c r="G578">
        <v>1681.7509889999999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-3.7317328595337339E-3</v>
      </c>
      <c r="N578" s="1">
        <f t="shared" si="36"/>
        <v>2850878.3894846118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 s="1">
        <v>-3.0199999999999999E-5</v>
      </c>
      <c r="F579">
        <v>1381109.7949999999</v>
      </c>
      <c r="G579">
        <v>3715.4161760000002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-8.2403219683150383E-2</v>
      </c>
      <c r="N579" s="1">
        <f t="shared" ref="N579:N642" si="40">$U$4*$K579*G579</f>
        <v>4743385.0852506794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6687.0159860000003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4614731.1147301011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 s="1">
        <v>-4.74E-5</v>
      </c>
      <c r="F581">
        <v>1064059.0930000001</v>
      </c>
      <c r="G581">
        <v>1681.7509889999999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-0.11275190153054843</v>
      </c>
      <c r="N581" s="1">
        <f t="shared" si="40"/>
        <v>1871763.1938687246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6940.3855210000002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14896165.997782016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1848.893517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4117701.3704092246</v>
      </c>
      <c r="O583" s="1"/>
    </row>
    <row r="584" spans="1:15" x14ac:dyDescent="0.25">
      <c r="A584">
        <v>922</v>
      </c>
      <c r="B584">
        <v>34691.907919999998</v>
      </c>
      <c r="C584">
        <v>0</v>
      </c>
      <c r="D584">
        <v>479364.7243</v>
      </c>
      <c r="E584" s="1">
        <v>9.4299999999999995E-6</v>
      </c>
      <c r="F584">
        <v>1125036.0109999999</v>
      </c>
      <c r="G584">
        <v>0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0</v>
      </c>
      <c r="M584" s="1">
        <f t="shared" si="39"/>
        <v>4.1614437954992332E-2</v>
      </c>
      <c r="N584" s="1">
        <f t="shared" si="40"/>
        <v>0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7864.577918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5670824.8759224704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>
        <v>0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0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>
        <v>6687.0159569999996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8783796.8623276446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>
        <v>830.8335515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1837213.3207805036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 s="1">
        <v>-4.3000000000000003E-6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-7.6419198659005514E-3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 s="1">
        <v>3.2400000000000001E-5</v>
      </c>
      <c r="F596">
        <v>1311662.7080000001</v>
      </c>
      <c r="G596">
        <v>1235.430065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0.18065811544256521</v>
      </c>
      <c r="N596" s="1">
        <f t="shared" si="40"/>
        <v>3223103.928107169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>
        <v>830.83363020000002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1389291.2041049781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 s="1">
        <v>1.49E-5</v>
      </c>
      <c r="F598">
        <v>988115.28220000002</v>
      </c>
      <c r="G598">
        <v>830.83356690000005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5.714668266773159E-2</v>
      </c>
      <c r="N598" s="1">
        <f t="shared" si="40"/>
        <v>1490947.9047250946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6940.3855469999999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13287181.220880382</v>
      </c>
      <c r="O599" s="1"/>
    </row>
    <row r="600" spans="1:15" x14ac:dyDescent="0.25">
      <c r="A600">
        <v>943</v>
      </c>
      <c r="B600">
        <v>18569.85785</v>
      </c>
      <c r="C600">
        <v>0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0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>
        <v>8553.5386749999998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15304127.926334258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 s="1">
        <v>-1.8300000000000001E-5</v>
      </c>
      <c r="F602">
        <v>994329.02309999999</v>
      </c>
      <c r="G602">
        <v>7964.7018129999997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-4.5607353113022393E-2</v>
      </c>
      <c r="N602" s="1">
        <f t="shared" si="40"/>
        <v>9287460.4548535887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8553.5386450000005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8693740.4295715727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 s="1">
        <v>-5.49E-6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-1.8267385106116002E-2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 s="1">
        <v>1.7E-5</v>
      </c>
      <c r="F605">
        <v>1096811.7849999999</v>
      </c>
      <c r="G605">
        <v>8853.2450430000008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0.17228033608762466</v>
      </c>
      <c r="N605" s="1">
        <f t="shared" si="40"/>
        <v>41979083.435068004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 s="1">
        <v>3.68E-5</v>
      </c>
      <c r="F606">
        <v>978930.29150000005</v>
      </c>
      <c r="G606">
        <v>6940.3855169999997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0.3193084306716712</v>
      </c>
      <c r="N606" s="1">
        <f t="shared" si="40"/>
        <v>28176681.290430028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723.46593780000001</v>
      </c>
      <c r="F607">
        <v>1295351.902</v>
      </c>
      <c r="G607">
        <v>2098.0259540000002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2756812.0690893694</v>
      </c>
      <c r="N607" s="1">
        <f t="shared" si="40"/>
        <v>3740620.1369823166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>
        <v>0</v>
      </c>
      <c r="F608">
        <v>1327212.416</v>
      </c>
      <c r="G608">
        <v>153.38469860000001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0</v>
      </c>
      <c r="N608" s="1">
        <f t="shared" si="40"/>
        <v>85851.704402019241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1848.4391350000001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2343846.7910032514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 s="1">
        <v>2.5700000000000001E-5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5.0083454354400959E-2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>
        <v>723.46583029999999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3484452.7030413719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0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2997.062641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1871653.4624535777</v>
      </c>
      <c r="O616" s="1"/>
    </row>
    <row r="617" spans="1:15" x14ac:dyDescent="0.25">
      <c r="A617">
        <v>964</v>
      </c>
      <c r="B617">
        <v>39832.541929999999</v>
      </c>
      <c r="C617">
        <v>0</v>
      </c>
      <c r="D617">
        <v>367446.44679999998</v>
      </c>
      <c r="E617" s="1">
        <v>-3.54E-5</v>
      </c>
      <c r="F617">
        <v>1229459.7050000001</v>
      </c>
      <c r="G617">
        <v>830.83358299999998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0</v>
      </c>
      <c r="M617" s="1">
        <f t="shared" si="39"/>
        <v>-9.5863268943351412E-2</v>
      </c>
      <c r="N617" s="1">
        <f t="shared" si="40"/>
        <v>1052705.0183820974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 s="1">
        <v>7.5299999999999999E-6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1.4700792072061123E-2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0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0</v>
      </c>
      <c r="O619" s="1"/>
    </row>
    <row r="620" spans="1:15" x14ac:dyDescent="0.25">
      <c r="A620">
        <v>967</v>
      </c>
      <c r="B620">
        <v>35399.701130000001</v>
      </c>
      <c r="C620">
        <v>0</v>
      </c>
      <c r="D620">
        <v>283151.55209999997</v>
      </c>
      <c r="E620" s="1">
        <v>3.7200000000000003E-5</v>
      </c>
      <c r="F620">
        <v>1113002.7579999999</v>
      </c>
      <c r="G620">
        <v>6940.3855210000002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0</v>
      </c>
      <c r="M620" s="1">
        <f t="shared" si="39"/>
        <v>5.6452523378126278E-2</v>
      </c>
      <c r="N620" s="1">
        <f t="shared" si="40"/>
        <v>4927965.8848156612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6687.0159860000003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4822501.4193750555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 s="1">
        <v>2.1399999999999998E-5</v>
      </c>
      <c r="F622">
        <v>1504763.4509999999</v>
      </c>
      <c r="G622">
        <v>6381.792504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3.8226340276328395E-2</v>
      </c>
      <c r="N622" s="1">
        <f t="shared" si="40"/>
        <v>5333782.544530618</v>
      </c>
      <c r="O622" s="1"/>
    </row>
    <row r="623" spans="1:15" x14ac:dyDescent="0.25">
      <c r="A623">
        <v>970</v>
      </c>
      <c r="B623">
        <v>150778.6139</v>
      </c>
      <c r="C623">
        <v>0</v>
      </c>
      <c r="D623">
        <v>963034.52190000005</v>
      </c>
      <c r="E623">
        <v>3925.9695780000002</v>
      </c>
      <c r="F623">
        <v>1582930.62</v>
      </c>
      <c r="G623">
        <v>8453.5577369999992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0</v>
      </c>
      <c r="M623" s="1">
        <f t="shared" si="39"/>
        <v>10075443.892168667</v>
      </c>
      <c r="N623" s="1">
        <f t="shared" si="40"/>
        <v>10150804.423423028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 s="1">
        <v>-8.6799999999999999E-6</v>
      </c>
      <c r="F624">
        <v>1558722.6540000001</v>
      </c>
      <c r="G624">
        <v>9810.1055350000006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-6.6896081708076654E-3</v>
      </c>
      <c r="N624" s="1">
        <f t="shared" si="40"/>
        <v>3537515.1876236596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 s="1">
        <v>4.4700000000000004E-6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2.0553962815024165E-2</v>
      </c>
      <c r="O625" s="1"/>
    </row>
    <row r="626" spans="1:15" x14ac:dyDescent="0.25">
      <c r="A626">
        <v>973</v>
      </c>
      <c r="B626">
        <v>20651.81091</v>
      </c>
      <c r="C626">
        <v>0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0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>
        <v>0</v>
      </c>
      <c r="D627">
        <v>728534.63950000005</v>
      </c>
      <c r="E627" s="1">
        <v>-1.0699999999999999E-5</v>
      </c>
      <c r="F627">
        <v>1431634.64</v>
      </c>
      <c r="G627">
        <v>3304.2229849999999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0</v>
      </c>
      <c r="M627" s="1">
        <f t="shared" si="39"/>
        <v>-6.7792509395616471E-2</v>
      </c>
      <c r="N627" s="1">
        <f t="shared" si="40"/>
        <v>9795147.0081000142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6687.0159860000003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8952331.0193733219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>
        <v>0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0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0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0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830.83358299999998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1056853.6766888306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0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0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>
        <v>0</v>
      </c>
      <c r="F636">
        <v>972884.66619999998</v>
      </c>
      <c r="G636" s="1">
        <v>4.9299999999999999E-5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</v>
      </c>
      <c r="N636" s="1">
        <f t="shared" si="40"/>
        <v>0.22357766775893143</v>
      </c>
      <c r="O636" s="1"/>
    </row>
    <row r="637" spans="1:15" x14ac:dyDescent="0.25">
      <c r="A637">
        <v>984</v>
      </c>
      <c r="B637">
        <v>3024.2682639999998</v>
      </c>
      <c r="C637">
        <v>0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0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>
        <v>0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0</v>
      </c>
      <c r="O638" s="1"/>
    </row>
    <row r="639" spans="1:15" x14ac:dyDescent="0.25">
      <c r="A639">
        <v>1000</v>
      </c>
      <c r="B639">
        <v>9102.3904789999997</v>
      </c>
      <c r="C639">
        <v>0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0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>
        <v>0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0</v>
      </c>
      <c r="O640" s="1"/>
    </row>
    <row r="641" spans="1:15" x14ac:dyDescent="0.25">
      <c r="A641">
        <v>1002</v>
      </c>
      <c r="B641">
        <v>10370.900030000001</v>
      </c>
      <c r="C641">
        <v>0</v>
      </c>
      <c r="D641">
        <v>63756.014289999999</v>
      </c>
      <c r="E641" s="1">
        <v>3.9199999999999997E-6</v>
      </c>
      <c r="F641">
        <v>198836.57949999999</v>
      </c>
      <c r="G641">
        <v>0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0</v>
      </c>
      <c r="M641" s="1">
        <f t="shared" si="39"/>
        <v>3.217360162291464E-2</v>
      </c>
      <c r="N641" s="1">
        <f t="shared" si="40"/>
        <v>0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>
        <v>0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0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>
        <v>0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0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>
        <v>0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0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>
        <v>0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0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0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0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>
        <v>0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>
        <v>0</v>
      </c>
      <c r="F648">
        <v>1135935.004</v>
      </c>
      <c r="G648">
        <v>0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0</v>
      </c>
      <c r="N648" s="1">
        <f t="shared" si="44"/>
        <v>0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>
        <v>0</v>
      </c>
      <c r="F649">
        <v>347676.27510000003</v>
      </c>
      <c r="G649">
        <v>0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0</v>
      </c>
      <c r="N649" s="1">
        <f t="shared" si="44"/>
        <v>0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>
        <v>0</v>
      </c>
      <c r="F650">
        <v>844267.11399999994</v>
      </c>
      <c r="G650">
        <v>0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</v>
      </c>
      <c r="N650" s="1">
        <f t="shared" si="44"/>
        <v>0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>
        <v>0</v>
      </c>
      <c r="F651">
        <v>319813.01380000002</v>
      </c>
      <c r="G651">
        <v>0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0</v>
      </c>
      <c r="N651" s="1">
        <f t="shared" si="44"/>
        <v>0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>
        <v>0</v>
      </c>
      <c r="F652">
        <v>821857.69739999995</v>
      </c>
      <c r="G652">
        <v>0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0</v>
      </c>
      <c r="N652" s="1">
        <f t="shared" si="44"/>
        <v>0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>
        <v>0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0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>
        <v>0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0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>
        <v>0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0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>
        <v>0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0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0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0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>
        <v>0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0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0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0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0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>
        <v>0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0</v>
      </c>
      <c r="O666" s="1"/>
    </row>
    <row r="667" spans="1:15" x14ac:dyDescent="0.25">
      <c r="A667">
        <v>1028</v>
      </c>
      <c r="B667">
        <v>56813.14789</v>
      </c>
      <c r="C667">
        <v>0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0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>
        <v>0</v>
      </c>
      <c r="D668">
        <v>144025.12899999999</v>
      </c>
      <c r="E668" s="1">
        <v>3.2299999999999999E-5</v>
      </c>
      <c r="F668">
        <v>523666.60639999999</v>
      </c>
      <c r="G668">
        <v>0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0</v>
      </c>
      <c r="M668" s="1">
        <f t="shared" si="43"/>
        <v>0.12271949535693961</v>
      </c>
      <c r="N668" s="1">
        <f t="shared" si="44"/>
        <v>0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 s="1">
        <v>8.7199999999999995E-6</v>
      </c>
      <c r="F669">
        <v>1527692.63</v>
      </c>
      <c r="G669">
        <v>7620.930171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4.5534015359709815E-3</v>
      </c>
      <c r="N669" s="1">
        <f t="shared" si="44"/>
        <v>1861963.3368972612</v>
      </c>
      <c r="O669" s="1"/>
    </row>
    <row r="670" spans="1:15" x14ac:dyDescent="0.25">
      <c r="A670">
        <v>1031</v>
      </c>
      <c r="B670">
        <v>17856.728429999999</v>
      </c>
      <c r="C670">
        <v>0</v>
      </c>
      <c r="D670">
        <v>311150.2268</v>
      </c>
      <c r="E670" s="1">
        <v>1.6500000000000001E-5</v>
      </c>
      <c r="F670">
        <v>914630.17799999996</v>
      </c>
      <c r="G670" s="1">
        <v>-4.6400000000000003E-5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0</v>
      </c>
      <c r="M670" s="1">
        <f t="shared" si="43"/>
        <v>0.29856521072365355</v>
      </c>
      <c r="N670" s="1">
        <f t="shared" si="44"/>
        <v>-0.39284109794631844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>
        <v>0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0</v>
      </c>
      <c r="O672" s="1"/>
    </row>
    <row r="673" spans="1:15" x14ac:dyDescent="0.25">
      <c r="A673">
        <v>1034</v>
      </c>
      <c r="B673">
        <v>4410.5153760000003</v>
      </c>
      <c r="C673">
        <v>0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0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0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>
        <v>0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0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>
        <v>0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0</v>
      </c>
      <c r="O684" s="1"/>
    </row>
    <row r="685" spans="1:15" x14ac:dyDescent="0.25">
      <c r="A685">
        <v>1046</v>
      </c>
      <c r="B685">
        <v>55578.427759999999</v>
      </c>
      <c r="C685">
        <v>0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0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>
        <v>0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0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>
        <v>0</v>
      </c>
      <c r="F687">
        <v>1084773.4720000001</v>
      </c>
      <c r="G687">
        <v>0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0</v>
      </c>
      <c r="N687" s="1">
        <f t="shared" si="44"/>
        <v>0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0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0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830.83358299999998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216659.6319744846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>
        <v>0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0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0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0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>
        <v>0</v>
      </c>
      <c r="F692">
        <v>1287319.922</v>
      </c>
      <c r="G692">
        <v>0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0</v>
      </c>
      <c r="N692" s="1">
        <f t="shared" si="44"/>
        <v>0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3925.9695780000002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1355467.9127714275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>
        <v>0</v>
      </c>
      <c r="F694">
        <v>1544090.405</v>
      </c>
      <c r="G694">
        <v>6687.0159860000003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0</v>
      </c>
      <c r="N694" s="1">
        <f t="shared" si="44"/>
        <v>1838098.0439313485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>
        <v>0</v>
      </c>
      <c r="F695">
        <v>1177859.8829999999</v>
      </c>
      <c r="G695">
        <v>0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0</v>
      </c>
      <c r="N695" s="1">
        <f t="shared" si="44"/>
        <v>0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>
        <v>0</v>
      </c>
      <c r="F696">
        <v>1377311.9450000001</v>
      </c>
      <c r="G696">
        <v>0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0</v>
      </c>
      <c r="N696" s="1">
        <f t="shared" si="44"/>
        <v>0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>
        <v>0</v>
      </c>
      <c r="F697">
        <v>1313881.5789999999</v>
      </c>
      <c r="G697">
        <v>3925.9695780000002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0</v>
      </c>
      <c r="N697" s="1">
        <f t="shared" si="44"/>
        <v>2198253.1814460955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>
        <v>0</v>
      </c>
      <c r="F698">
        <v>1457460.057</v>
      </c>
      <c r="G698">
        <v>6687.0159860000003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0</v>
      </c>
      <c r="N698" s="1">
        <f t="shared" si="44"/>
        <v>2587522.062769305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0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0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>
        <v>0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0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>
        <v>0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0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>
        <v>0</v>
      </c>
      <c r="F702">
        <v>947457.81460000004</v>
      </c>
      <c r="G702">
        <v>0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0</v>
      </c>
      <c r="N702" s="1">
        <f t="shared" si="44"/>
        <v>0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>
        <v>0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0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0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0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>
        <v>0</v>
      </c>
      <c r="F705">
        <v>774322.48609999998</v>
      </c>
      <c r="G705">
        <v>0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</v>
      </c>
      <c r="N705" s="1">
        <f t="shared" si="44"/>
        <v>0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>
        <v>0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0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>
        <v>0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0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>
        <v>0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0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>
        <v>0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0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0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0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3925.9695780000002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947437.56912215333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>
        <v>0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>
        <v>0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0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>
        <v>0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0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0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0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>
        <v>0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>
        <v>0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0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0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0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0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0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</v>
      </c>
      <c r="O735" s="1"/>
    </row>
    <row r="736" spans="1:15" x14ac:dyDescent="0.25">
      <c r="A736">
        <v>1100</v>
      </c>
      <c r="B736">
        <v>2858.844047</v>
      </c>
      <c r="C736">
        <v>0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0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>
        <v>0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0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>
        <v>0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0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>
        <v>0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0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>
        <v>0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0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>
        <v>0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0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>
        <v>0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0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>
        <v>0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0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>
        <v>0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0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>
        <v>0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0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>
        <v>0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0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>
        <v>0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0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>
        <v>0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0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>
        <v>0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0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>
        <v>0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0</v>
      </c>
      <c r="O791" s="1"/>
    </row>
    <row r="792" spans="1:15" x14ac:dyDescent="0.25">
      <c r="A792">
        <v>1220</v>
      </c>
      <c r="B792">
        <v>83899.611170000004</v>
      </c>
      <c r="C792">
        <v>0</v>
      </c>
      <c r="D792">
        <v>281654.40759999998</v>
      </c>
      <c r="E792" s="1">
        <v>-1.98E-5</v>
      </c>
      <c r="F792">
        <v>1076215.3189999999</v>
      </c>
      <c r="G792">
        <v>0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0</v>
      </c>
      <c r="M792" s="1">
        <f t="shared" si="51"/>
        <v>-3.1176282508339318E-2</v>
      </c>
      <c r="N792" s="1">
        <f t="shared" si="52"/>
        <v>0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>
        <v>0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0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>
        <v>0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0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0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>
        <v>0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0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>
        <v>0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0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>
        <v>0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0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>
        <v>0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0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>
        <v>0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0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>
        <v>0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>
        <v>0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0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>
        <v>0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0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>
        <v>0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0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>
        <v>0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0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>
        <v>0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>
        <v>0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0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>
        <v>0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0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>
        <v>0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</v>
      </c>
      <c r="O814" s="1"/>
    </row>
    <row r="815" spans="1:15" x14ac:dyDescent="0.25">
      <c r="A815">
        <v>1245</v>
      </c>
      <c r="B815">
        <v>6068.5516740000003</v>
      </c>
      <c r="C815">
        <v>0</v>
      </c>
      <c r="D815">
        <v>16883.362499999999</v>
      </c>
      <c r="E815" s="1">
        <v>8.5099999999999998E-7</v>
      </c>
      <c r="F815">
        <v>109643.4547</v>
      </c>
      <c r="G815">
        <v>0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0</v>
      </c>
      <c r="M815" s="1">
        <f t="shared" si="51"/>
        <v>7.3540026939296942E-3</v>
      </c>
      <c r="N815" s="1">
        <f t="shared" si="52"/>
        <v>0</v>
      </c>
      <c r="O815" s="1"/>
    </row>
    <row r="816" spans="1:15" x14ac:dyDescent="0.25">
      <c r="A816">
        <v>1246</v>
      </c>
      <c r="B816">
        <v>20108.659149999999</v>
      </c>
      <c r="C816">
        <v>0</v>
      </c>
      <c r="D816">
        <v>94746.760389999996</v>
      </c>
      <c r="E816" s="1">
        <v>-4.1899999999999998E-7</v>
      </c>
      <c r="F816">
        <v>181921.86249999999</v>
      </c>
      <c r="G816">
        <v>0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0</v>
      </c>
      <c r="M816" s="1">
        <f t="shared" si="51"/>
        <v>-5.0219924290664623E-3</v>
      </c>
      <c r="N816" s="1">
        <f t="shared" si="52"/>
        <v>0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>
        <v>0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0</v>
      </c>
      <c r="O818" s="1"/>
    </row>
    <row r="819" spans="1:15" x14ac:dyDescent="0.25">
      <c r="A819">
        <v>1251</v>
      </c>
      <c r="B819">
        <v>6259.944904</v>
      </c>
      <c r="C819">
        <v>0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0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>
        <v>0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0</v>
      </c>
      <c r="O821" s="1"/>
    </row>
    <row r="822" spans="1:15" x14ac:dyDescent="0.25">
      <c r="A822">
        <v>1254</v>
      </c>
      <c r="B822">
        <v>9601.5373920000002</v>
      </c>
      <c r="C822">
        <v>0</v>
      </c>
      <c r="D822">
        <v>89568.245209999994</v>
      </c>
      <c r="E822" s="1">
        <v>-1.6500000000000001E-6</v>
      </c>
      <c r="F822">
        <v>271252.99129999999</v>
      </c>
      <c r="G822">
        <v>0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0</v>
      </c>
      <c r="M822" s="1">
        <f t="shared" si="51"/>
        <v>-1.4030731722246691E-2</v>
      </c>
      <c r="N822" s="1">
        <f t="shared" si="52"/>
        <v>0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>
        <v>0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0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>
        <v>0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>
        <v>0</v>
      </c>
      <c r="F827">
        <v>299237.63819999999</v>
      </c>
      <c r="G827">
        <v>0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</v>
      </c>
      <c r="N827" s="1">
        <f t="shared" si="52"/>
        <v>0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>
        <v>0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0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>
        <v>0</v>
      </c>
      <c r="F829">
        <v>310602.46100000001</v>
      </c>
      <c r="G829">
        <v>0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</v>
      </c>
      <c r="N829" s="1">
        <f t="shared" si="52"/>
        <v>0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>
        <v>0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0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>
        <v>0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0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>
        <v>0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0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>
        <v>0</v>
      </c>
      <c r="F833">
        <v>470534.64159999997</v>
      </c>
      <c r="G833">
        <v>0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0</v>
      </c>
      <c r="N833" s="1">
        <f t="shared" si="52"/>
        <v>0</v>
      </c>
      <c r="O833" s="1"/>
    </row>
    <row r="834" spans="1:15" x14ac:dyDescent="0.25">
      <c r="A834">
        <v>1270</v>
      </c>
      <c r="B834">
        <v>5264.1664899999996</v>
      </c>
      <c r="C834">
        <v>0</v>
      </c>
      <c r="D834">
        <v>102220.8447</v>
      </c>
      <c r="E834">
        <v>0</v>
      </c>
      <c r="F834">
        <v>272491.08260000002</v>
      </c>
      <c r="G834">
        <v>0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0</v>
      </c>
      <c r="M834" s="1">
        <f t="shared" si="51"/>
        <v>0</v>
      </c>
      <c r="N834" s="1">
        <f t="shared" si="52"/>
        <v>0</v>
      </c>
      <c r="O834" s="1"/>
    </row>
    <row r="835" spans="1:15" x14ac:dyDescent="0.25">
      <c r="A835">
        <v>1271</v>
      </c>
      <c r="B835">
        <v>25623.535650000002</v>
      </c>
      <c r="C835">
        <v>0</v>
      </c>
      <c r="D835">
        <v>110671.757</v>
      </c>
      <c r="E835">
        <v>0</v>
      </c>
      <c r="F835">
        <v>320394.62560000003</v>
      </c>
      <c r="G835">
        <v>0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0</v>
      </c>
      <c r="M835" s="1">
        <f t="shared" ref="M835:M898" si="55">$U$3*$K835*E835</f>
        <v>0</v>
      </c>
      <c r="N835" s="1">
        <f t="shared" ref="N835:N898" si="56">$U$4*$K835*G835</f>
        <v>0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>
        <v>0</v>
      </c>
      <c r="F836">
        <v>283637.66619999998</v>
      </c>
      <c r="G836">
        <v>0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</v>
      </c>
      <c r="N836" s="1">
        <f t="shared" si="56"/>
        <v>0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>
        <v>0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0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>
        <v>0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0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>
        <v>0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0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>
        <v>0</v>
      </c>
      <c r="F840">
        <v>336856.49829999998</v>
      </c>
      <c r="G840">
        <v>0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0</v>
      </c>
      <c r="N840" s="1">
        <f t="shared" si="56"/>
        <v>0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>
        <v>0</v>
      </c>
      <c r="F841">
        <v>818773.65289999999</v>
      </c>
      <c r="G841">
        <v>0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0</v>
      </c>
      <c r="N841" s="1">
        <f t="shared" si="56"/>
        <v>0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>
        <v>0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0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>
        <v>0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0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>
        <v>0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0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>
        <v>0</v>
      </c>
      <c r="F845">
        <v>518717.25660000002</v>
      </c>
      <c r="G845">
        <v>0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0</v>
      </c>
      <c r="N845" s="1">
        <f t="shared" si="56"/>
        <v>0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>
        <v>0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>
        <v>0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0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>
        <v>0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0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>
        <v>0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0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>
        <v>0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0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>
        <v>0</v>
      </c>
      <c r="D852">
        <v>116800.7081</v>
      </c>
      <c r="E852">
        <v>0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0</v>
      </c>
      <c r="M852" s="1">
        <f t="shared" si="55"/>
        <v>0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 s="1">
        <v>1.36E-5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1.1578330225692723E-2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0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0</v>
      </c>
      <c r="O857" s="1"/>
    </row>
    <row r="858" spans="1:15" x14ac:dyDescent="0.25">
      <c r="A858">
        <v>1307</v>
      </c>
      <c r="B858">
        <v>6366.2359539999998</v>
      </c>
      <c r="C858">
        <v>0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0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6940.3855210000002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4788601.8035547119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>
        <v>0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0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>
        <v>0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0</v>
      </c>
      <c r="O870" s="1"/>
    </row>
    <row r="871" spans="1:15" x14ac:dyDescent="0.25">
      <c r="A871">
        <v>1320</v>
      </c>
      <c r="B871">
        <v>13889.336590000001</v>
      </c>
      <c r="C871">
        <v>0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0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>
        <v>0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0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 s="1">
        <v>4.5399999999999999E-5</v>
      </c>
      <c r="F877">
        <v>1322404.5660000001</v>
      </c>
      <c r="G877">
        <v>7835.1851100000003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0.90636288919773456</v>
      </c>
      <c r="N877" s="1">
        <f t="shared" si="56"/>
        <v>73187885.805810168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>
        <v>0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0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>
        <v>0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0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>
        <v>0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0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>
        <v>0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0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3925.9695780000002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6908466.0098440824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 s="1">
        <v>-2.8799999999999999E-5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-9.6541943625869764E-2</v>
      </c>
      <c r="O893" s="1"/>
    </row>
    <row r="894" spans="1:15" x14ac:dyDescent="0.25">
      <c r="A894">
        <v>1343</v>
      </c>
      <c r="B894">
        <v>12113.651750000001</v>
      </c>
      <c r="C894">
        <v>0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0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>
        <v>0</v>
      </c>
      <c r="D900">
        <v>130664.8425</v>
      </c>
      <c r="E900">
        <v>0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0</v>
      </c>
      <c r="M900" s="1">
        <f t="shared" si="59"/>
        <v>0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>
        <v>0</v>
      </c>
      <c r="D904">
        <v>241920.91870000001</v>
      </c>
      <c r="E904">
        <v>0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0</v>
      </c>
      <c r="M904" s="1">
        <f t="shared" si="59"/>
        <v>0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>
        <v>0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0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830.8338205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378761.48720507388</v>
      </c>
      <c r="O909" s="1"/>
    </row>
    <row r="910" spans="1:15" x14ac:dyDescent="0.25">
      <c r="A910">
        <v>1408</v>
      </c>
      <c r="B910">
        <v>12303.379430000001</v>
      </c>
      <c r="C910">
        <v>0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0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>
        <v>0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0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>
        <v>0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>
        <v>0</v>
      </c>
      <c r="D923">
        <v>87946.623649999994</v>
      </c>
      <c r="E923" s="1">
        <v>-4.3599999999999998E-6</v>
      </c>
      <c r="F923">
        <v>376841.57079999999</v>
      </c>
      <c r="G923">
        <v>0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0</v>
      </c>
      <c r="M923" s="1">
        <f t="shared" si="59"/>
        <v>-1.6978605401392951E-2</v>
      </c>
      <c r="N923" s="1">
        <f t="shared" si="60"/>
        <v>0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>
        <v>0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0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0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0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 s="1">
        <v>-3.9900000000000001E-5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-8.4379046366185845E-2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>
        <v>0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0</v>
      </c>
      <c r="O938" s="1"/>
    </row>
    <row r="939" spans="1:15" x14ac:dyDescent="0.25">
      <c r="A939">
        <v>1518</v>
      </c>
      <c r="B939">
        <v>12520.07303</v>
      </c>
      <c r="C939">
        <v>0</v>
      </c>
      <c r="D939">
        <v>55329.487410000002</v>
      </c>
      <c r="E939" s="1">
        <v>-3.8999999999999999E-6</v>
      </c>
      <c r="F939">
        <v>666563.71239999996</v>
      </c>
      <c r="G939">
        <v>0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0</v>
      </c>
      <c r="M939" s="1">
        <f t="shared" si="59"/>
        <v>-3.441262284474924E-2</v>
      </c>
      <c r="N939" s="1">
        <f t="shared" si="60"/>
        <v>0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 s="1">
        <v>-3.8000000000000002E-5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-0.10705867879843141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>
        <v>0</v>
      </c>
      <c r="F941">
        <v>780317.56030000001</v>
      </c>
      <c r="G941" s="1">
        <v>3.3399999999999999E-5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</v>
      </c>
      <c r="N941" s="1">
        <f t="shared" si="60"/>
        <v>0.1599572507774957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 s="1">
        <v>-3.7299999999999999E-5</v>
      </c>
      <c r="F942">
        <v>890798.45460000006</v>
      </c>
      <c r="G942">
        <v>830.83358620000001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-0.19786896646914481</v>
      </c>
      <c r="N942" s="1">
        <f t="shared" si="60"/>
        <v>2062180.0264337275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>
        <v>723.46585330000005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1932456.3883948252</v>
      </c>
      <c r="O943" s="1"/>
    </row>
    <row r="944" spans="1:15" x14ac:dyDescent="0.25">
      <c r="A944">
        <v>1525</v>
      </c>
      <c r="B944">
        <v>17237.505730000001</v>
      </c>
      <c r="C944">
        <v>0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0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0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0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3925.9696039999999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13457677.861995641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>
        <v>0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0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 s="1">
        <v>6.5900000000000003E-5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7.7696820349011902E-2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 s="1">
        <v>-1.6699999999999999E-5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-1.4494605971188892E-2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0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0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>
        <v>0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0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0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830.83338570000001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876743.70298379357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7885.1165659999997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2808024.6583202588</v>
      </c>
      <c r="O969" s="1"/>
    </row>
    <row r="970" spans="1:15" x14ac:dyDescent="0.25">
      <c r="A970">
        <v>1554</v>
      </c>
      <c r="B970">
        <v>27384.856670000001</v>
      </c>
      <c r="C970">
        <v>0</v>
      </c>
      <c r="D970">
        <v>333176.54340000002</v>
      </c>
      <c r="E970" s="1">
        <v>4.7299999999999998E-5</v>
      </c>
      <c r="F970">
        <v>869431.27980000002</v>
      </c>
      <c r="G970" s="1">
        <v>-4.0800000000000002E-5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0</v>
      </c>
      <c r="M970" s="1">
        <f t="shared" si="63"/>
        <v>0.34353240798765811</v>
      </c>
      <c r="N970" s="1">
        <f t="shared" si="64"/>
        <v>-0.13864697995242531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 s="1">
        <v>-8.9500000000000007E-6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-4.0290648616417221E-2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 s="1">
        <v>4.8300000000000002E-5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0.11345364787150737</v>
      </c>
      <c r="O975" s="1"/>
    </row>
    <row r="976" spans="1:15" x14ac:dyDescent="0.25">
      <c r="A976">
        <v>1560</v>
      </c>
      <c r="B976">
        <v>2902.181196</v>
      </c>
      <c r="C976">
        <v>0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0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-1.52E-5</v>
      </c>
      <c r="F978">
        <v>1387757.9210000001</v>
      </c>
      <c r="G978">
        <v>2773.5815819999998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-6.7438544972093593E-3</v>
      </c>
      <c r="N978" s="1">
        <f t="shared" si="64"/>
        <v>575770.25705126463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>
        <v>0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0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>
        <v>0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0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 s="1">
        <v>3.1300000000000002E-5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8.3349895462062742E-2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0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0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>
        <v>0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0</v>
      </c>
      <c r="O994" s="1"/>
    </row>
    <row r="995" spans="1:15" x14ac:dyDescent="0.25">
      <c r="A995">
        <v>1581</v>
      </c>
      <c r="B995">
        <v>33150.360670000002</v>
      </c>
      <c r="C995">
        <v>0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0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>
        <v>0</v>
      </c>
      <c r="D997">
        <v>242819.57130000001</v>
      </c>
      <c r="E997" s="1">
        <v>4.4199999999999997E-5</v>
      </c>
      <c r="F997">
        <v>1127227.304</v>
      </c>
      <c r="G997">
        <v>0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0</v>
      </c>
      <c r="M997" s="1">
        <f t="shared" si="63"/>
        <v>0.1965104719049087</v>
      </c>
      <c r="N997" s="1">
        <f t="shared" si="64"/>
        <v>0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0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0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0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830.83358299999998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948848.11646099715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0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0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0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0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>
        <v>0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0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>
        <v>0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0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>
        <v>0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0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>
        <v>0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0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>
        <v>0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0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>
        <v>0</v>
      </c>
      <c r="F1020">
        <v>10093.031569999999</v>
      </c>
      <c r="G1020">
        <v>0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0</v>
      </c>
      <c r="N1020" s="1">
        <f t="shared" si="64"/>
        <v>0</v>
      </c>
      <c r="O1020" s="1"/>
    </row>
    <row r="1021" spans="1:15" x14ac:dyDescent="0.25">
      <c r="A1021">
        <v>1617</v>
      </c>
      <c r="B1021">
        <v>852.81615380000005</v>
      </c>
      <c r="C1021">
        <v>0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0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>
        <v>0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0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>
        <v>0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0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>
        <v>0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0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>
        <v>0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0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>
        <v>0</v>
      </c>
      <c r="D1041">
        <v>14090.55912</v>
      </c>
      <c r="E1041">
        <v>0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0</v>
      </c>
      <c r="M1041" s="1">
        <f t="shared" si="67"/>
        <v>0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>
        <v>0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0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>
        <v>0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0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 s="1">
        <v>2.9899999999999998E-5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0.20511719717461832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 s="1">
        <v>3.7700000000000002E-5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0.38982619025744164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830.83358299999998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3987653.4561572643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>
        <v>723.46586139999999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3608911.8480403069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>
        <v>0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0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>
        <v>0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0</v>
      </c>
      <c r="O1071" s="1"/>
    </row>
    <row r="1072" spans="1:15" x14ac:dyDescent="0.25">
      <c r="A1072">
        <v>1726</v>
      </c>
      <c r="B1072">
        <v>33336.419479999997</v>
      </c>
      <c r="C1072">
        <v>0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0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>
        <v>0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>
        <v>0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0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>
        <v>0</v>
      </c>
      <c r="D1080">
        <v>16786.81553</v>
      </c>
      <c r="E1080" s="1">
        <v>-3.9099999999999998E-6</v>
      </c>
      <c r="F1080">
        <v>481020.7745</v>
      </c>
      <c r="G1080">
        <v>0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0</v>
      </c>
      <c r="M1080" s="1">
        <f t="shared" si="67"/>
        <v>-5.6320996663851319E-2</v>
      </c>
      <c r="N1080" s="1">
        <f t="shared" si="68"/>
        <v>0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>
        <v>0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0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>
        <v>0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0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>
        <v>0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0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>
        <v>0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0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>
        <v>0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0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>
        <v>0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0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>
        <v>0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0</v>
      </c>
      <c r="O1095" s="1"/>
    </row>
    <row r="1096" spans="1:15" x14ac:dyDescent="0.25">
      <c r="A1096">
        <v>1800</v>
      </c>
      <c r="B1096">
        <v>35268.378140000001</v>
      </c>
      <c r="C1096">
        <v>0</v>
      </c>
      <c r="D1096">
        <v>342007.40389999998</v>
      </c>
      <c r="E1096">
        <v>0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0</v>
      </c>
      <c r="M1096" s="1">
        <f t="shared" si="71"/>
        <v>0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6687.0160050000004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13378311.840915281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 s="1">
        <v>-3.1699999999999998E-5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-7.9887813629131763E-2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>
        <v>7885.1161229999998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7836799.8480611462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830.83353350000004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3085719.8758885362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6715.9320630000002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4164907.4271806418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9200.2455709999995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4374613.0145859644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 s="1">
        <v>1.6900000000000001E-5</v>
      </c>
      <c r="F1103">
        <v>1142420.5009999999</v>
      </c>
      <c r="G1103">
        <v>8853.2450430000008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0.10570846663970984</v>
      </c>
      <c r="N1103" s="1">
        <f t="shared" si="72"/>
        <v>25910108.502436485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9302.2267790000005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44382785.461841047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 s="1">
        <v>5.9599999999999997E-6</v>
      </c>
      <c r="F1105">
        <v>1121986.2690000001</v>
      </c>
      <c r="G1105">
        <v>9631.0937290000002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1.9165513364347665E-2</v>
      </c>
      <c r="N1105" s="1">
        <f t="shared" si="72"/>
        <v>14490837.439809987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 s="1">
        <v>-3.7400000000000001E-5</v>
      </c>
      <c r="F1106">
        <v>1115925.9839999999</v>
      </c>
      <c r="G1106">
        <v>9631.0937290000002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-0.17339254851139121</v>
      </c>
      <c r="N1106" s="1">
        <f t="shared" si="72"/>
        <v>20891908.506547812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 s="1">
        <v>9.8700000000000004E-6</v>
      </c>
      <c r="F1107">
        <v>1252113.926</v>
      </c>
      <c r="G1107">
        <v>2583.593515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8.9613154634178502E-3</v>
      </c>
      <c r="N1107" s="1">
        <f t="shared" si="72"/>
        <v>1097545.357886408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 s="1">
        <v>4.9799999999999998E-5</v>
      </c>
      <c r="F1108">
        <v>1227221.128</v>
      </c>
      <c r="G1108">
        <v>2773.5815819999998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3.88723432309383E-2</v>
      </c>
      <c r="N1108" s="1">
        <f t="shared" si="72"/>
        <v>1012968.6409786218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 s="1">
        <v>1.73E-5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6.5134597512532991E-2</v>
      </c>
      <c r="O1109" s="1"/>
    </row>
    <row r="1110" spans="1:15" x14ac:dyDescent="0.25">
      <c r="A1110">
        <v>1814</v>
      </c>
      <c r="B1110">
        <v>1758.3371500000001</v>
      </c>
      <c r="C1110">
        <v>0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0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3925.969576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14039073.886565823</v>
      </c>
      <c r="O1111" s="1"/>
    </row>
    <row r="1112" spans="1:15" x14ac:dyDescent="0.25">
      <c r="A1112">
        <v>1816</v>
      </c>
      <c r="B1112">
        <v>19165.577389999999</v>
      </c>
      <c r="C1112">
        <v>0</v>
      </c>
      <c r="D1112">
        <v>400822.06530000002</v>
      </c>
      <c r="E1112" s="1">
        <v>-2.8399999999999999E-5</v>
      </c>
      <c r="F1112">
        <v>794543.35389999999</v>
      </c>
      <c r="G1112" s="1">
        <v>-1.3900000000000001E-5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0</v>
      </c>
      <c r="M1112" s="1">
        <f t="shared" si="71"/>
        <v>-0.34049768856017282</v>
      </c>
      <c r="N1112" s="1">
        <f t="shared" si="72"/>
        <v>-7.7974806635323218E-2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 s="1">
        <v>3.65E-5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0.11744133250992227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 s="1">
        <v>3.1600000000000002E-5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4.1898873465305408E-2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 s="1">
        <v>5.9200000000000001E-6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7.7768568429102724E-3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0</v>
      </c>
      <c r="F1116">
        <v>991880.97420000006</v>
      </c>
      <c r="G1116">
        <v>8555.538912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0</v>
      </c>
      <c r="N1116" s="1">
        <f t="shared" si="72"/>
        <v>24244754.073394474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 s="1">
        <v>-9.7000000000000003E-6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-9.1723288908531608E-3</v>
      </c>
      <c r="O1117" s="1"/>
    </row>
    <row r="1118" spans="1:15" x14ac:dyDescent="0.25">
      <c r="A1118">
        <v>1823</v>
      </c>
      <c r="B1118">
        <v>17460.833879999998</v>
      </c>
      <c r="C1118">
        <v>0</v>
      </c>
      <c r="D1118">
        <v>345257.7708</v>
      </c>
      <c r="E1118" s="1">
        <v>2.2399999999999999E-5</v>
      </c>
      <c r="F1118">
        <v>777270.67249999999</v>
      </c>
      <c r="G1118" s="1">
        <v>-4.9599999999999999E-5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0</v>
      </c>
      <c r="M1118" s="1">
        <f t="shared" si="71"/>
        <v>0.22275353666284767</v>
      </c>
      <c r="N1118" s="1">
        <f t="shared" si="72"/>
        <v>-0.23078200620181008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 s="1">
        <v>3.1999999999999999E-5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8.8355595510671986E-2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 s="1">
        <v>-3.1600000000000002E-5</v>
      </c>
      <c r="F1120">
        <v>968225.46219999995</v>
      </c>
      <c r="G1120">
        <v>9386.3725360000008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-4.7537987614952121E-2</v>
      </c>
      <c r="N1120" s="1">
        <f t="shared" si="72"/>
        <v>6606861.0874609323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 s="1">
        <v>-4.5000000000000001E-6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-1.9951984727208001E-2</v>
      </c>
      <c r="O1121" s="1"/>
    </row>
    <row r="1122" spans="1:15" x14ac:dyDescent="0.25">
      <c r="A1122">
        <v>1827</v>
      </c>
      <c r="B1122">
        <v>13892.71925</v>
      </c>
      <c r="C1122">
        <v>0</v>
      </c>
      <c r="D1122">
        <v>138169.57199999999</v>
      </c>
      <c r="E1122" s="1">
        <v>8.8999999999999995E-7</v>
      </c>
      <c r="F1122">
        <v>706600.6679</v>
      </c>
      <c r="G1122">
        <v>0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0</v>
      </c>
      <c r="M1122" s="1">
        <f t="shared" si="71"/>
        <v>6.5322588900247605E-3</v>
      </c>
      <c r="N1122" s="1">
        <f t="shared" si="72"/>
        <v>0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>
        <v>830.83362539999996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2926628.1203450668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 s="1">
        <v>-4.32E-5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-0.14024798412574177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830.83360579999999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3321550.3739715316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 s="1">
        <v>-3.3699999999999999E-5</v>
      </c>
      <c r="F1127">
        <v>1087603.3189999999</v>
      </c>
      <c r="G1127">
        <v>8422.6139010000006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-8.7658988754523201E-2</v>
      </c>
      <c r="N1127" s="1">
        <f t="shared" si="72"/>
        <v>10250785.037651142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>
        <v>830.83353620000003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2892419.3768697069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 s="1">
        <v>1.45E-5</v>
      </c>
      <c r="F1131">
        <v>1097325.3729999999</v>
      </c>
      <c r="G1131">
        <v>15252.55198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3.8594746098752901E-2</v>
      </c>
      <c r="N1131" s="1">
        <f t="shared" si="72"/>
        <v>18995309.662975434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 s="1">
        <v>2.4600000000000002E-5</v>
      </c>
      <c r="F1132">
        <v>1144468.5460000001</v>
      </c>
      <c r="G1132">
        <v>14457.62341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1.5686169216120021E-2</v>
      </c>
      <c r="N1132" s="1">
        <f t="shared" si="72"/>
        <v>4313426.2291646544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6687.0159709999998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9250951.6540600378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 s="1">
        <v>-2.0400000000000001E-5</v>
      </c>
      <c r="F1134">
        <v>1015590.349</v>
      </c>
      <c r="G1134">
        <v>7620.930171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-8.8431050161711558E-2</v>
      </c>
      <c r="N1134" s="1">
        <f t="shared" si="72"/>
        <v>15457038.032811973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 s="1">
        <v>-2.8900000000000001E-5</v>
      </c>
      <c r="F1135">
        <v>881380.74380000005</v>
      </c>
      <c r="G1135">
        <v>7835.1851029999998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-0.17680993520331073</v>
      </c>
      <c r="N1135" s="1">
        <f t="shared" si="72"/>
        <v>22428579.120896529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 s="1">
        <v>-2.2900000000000001E-5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-6.3951163892883037E-2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8817.5683750000007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12827107.683790749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 s="1">
        <v>4.0399999999999999E-5</v>
      </c>
      <c r="F1138">
        <v>1056097.8770000001</v>
      </c>
      <c r="G1138">
        <v>8955.870809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0.10231167343871382</v>
      </c>
      <c r="N1138" s="1">
        <f t="shared" si="72"/>
        <v>10611953.085669819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6687.0159370000001</v>
      </c>
      <c r="F1139">
        <v>1337335.9539999999</v>
      </c>
      <c r="G1139">
        <v>10052.7691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5831168.8896424137</v>
      </c>
      <c r="N1139" s="1">
        <f t="shared" si="72"/>
        <v>4101593.7961931759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 s="1">
        <v>-3.8500000000000001E-5</v>
      </c>
      <c r="F1140">
        <v>1174570.3049999999</v>
      </c>
      <c r="G1140">
        <v>13813.70624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-3.2830559554454582E-2</v>
      </c>
      <c r="N1140" s="1">
        <f t="shared" si="72"/>
        <v>5511520.7850311231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6940.3854799999999</v>
      </c>
      <c r="F1141">
        <v>1202796.99</v>
      </c>
      <c r="G1141">
        <v>11656.24525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9918999.3155746348</v>
      </c>
      <c r="N1141" s="1">
        <f t="shared" si="72"/>
        <v>7794470.5850119293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 s="1">
        <v>3.0499999999999999E-5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0.10521535698911536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 s="1">
        <v>4.1600000000000002E-5</v>
      </c>
      <c r="F1145">
        <v>1077350.463</v>
      </c>
      <c r="G1145">
        <v>8928.8992319999998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0.3509603959308471</v>
      </c>
      <c r="N1145" s="1">
        <f t="shared" si="72"/>
        <v>35245719.498535015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 s="1">
        <v>2.9099999999999999E-5</v>
      </c>
      <c r="F1148">
        <v>963410.88219999999</v>
      </c>
      <c r="G1148">
        <v>7725.159791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0.18423557506975968</v>
      </c>
      <c r="N1148" s="1">
        <f t="shared" si="72"/>
        <v>22883985.020534746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 s="1">
        <v>-4.9200000000000003E-5</v>
      </c>
      <c r="F1149">
        <v>981907.60789999994</v>
      </c>
      <c r="G1149">
        <v>7811.3500469999999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-0.29472336083446393</v>
      </c>
      <c r="N1149" s="1">
        <f t="shared" si="72"/>
        <v>21893703.711460557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>
        <v>8686.1025300000001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27166462.68329512</v>
      </c>
      <c r="O1150" s="1"/>
    </row>
    <row r="1151" spans="1:15" x14ac:dyDescent="0.25">
      <c r="A1151">
        <v>1856</v>
      </c>
      <c r="B1151">
        <v>14196.551369999999</v>
      </c>
      <c r="C1151">
        <v>0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0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8308.2838059999995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30563633.308173493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 s="1">
        <v>-6.8199999999999999E-6</v>
      </c>
      <c r="F1153">
        <v>1040347.374</v>
      </c>
      <c r="G1153">
        <v>14711.208699999999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-1.8784101566404723E-2</v>
      </c>
      <c r="N1153" s="1">
        <f t="shared" si="72"/>
        <v>18958243.102658421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 s="1">
        <v>2.73E-5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5.345679449166147E-2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>
        <v>8692.5527920000004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41712399.261963822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 s="1">
        <v>3.4700000000000003E-5</v>
      </c>
      <c r="F1156">
        <v>1008634.988</v>
      </c>
      <c r="G1156">
        <v>9160.4053879999992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0.16698904768733797</v>
      </c>
      <c r="N1156" s="1">
        <f t="shared" si="76"/>
        <v>20626088.88263122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 s="1">
        <v>-2.0299999999999999E-5</v>
      </c>
      <c r="F1157">
        <v>926311.81980000006</v>
      </c>
      <c r="G1157">
        <v>8535.4551179999999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-8.7667722583204946E-2</v>
      </c>
      <c r="N1157" s="1">
        <f t="shared" si="76"/>
        <v>17247019.244234316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 s="1">
        <v>4.6400000000000003E-5</v>
      </c>
      <c r="F1158">
        <v>1078270.976</v>
      </c>
      <c r="G1158">
        <v>13352.690199999999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0.1522797226272154</v>
      </c>
      <c r="N1158" s="1">
        <f t="shared" si="76"/>
        <v>20503903.424379148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 s="1">
        <v>4.4400000000000002E-5</v>
      </c>
      <c r="F1159">
        <v>948456.81140000001</v>
      </c>
      <c r="G1159">
        <v>8555.5389039999991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9.3692031074037951E-2</v>
      </c>
      <c r="N1159" s="1">
        <f t="shared" si="76"/>
        <v>8447160.2321026828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 s="1">
        <v>1.5299999999999999E-5</v>
      </c>
      <c r="F1161">
        <v>1068173.5630000001</v>
      </c>
      <c r="G1161">
        <v>9946.9591660000006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1.98659899903725E-2</v>
      </c>
      <c r="N1161" s="1">
        <f t="shared" si="76"/>
        <v>6043002.7897981657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 s="1">
        <v>-2.48E-5</v>
      </c>
      <c r="F1162">
        <v>946225.47600000002</v>
      </c>
      <c r="G1162">
        <v>8686.1024980000002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-6.8381738238372874E-2</v>
      </c>
      <c r="N1162" s="1">
        <f t="shared" si="76"/>
        <v>11206166.822220167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>
        <v>7811.3500649999996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3861545.8125359444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 s="1">
        <v>4.0800000000000002E-5</v>
      </c>
      <c r="F1164">
        <v>1053737.2139999999</v>
      </c>
      <c r="G1164">
        <v>8765.4509149999994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7.8515170738882797E-2</v>
      </c>
      <c r="N1164" s="1">
        <f t="shared" si="76"/>
        <v>7892441.2292949716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 s="1">
        <v>-4.4499999999999997E-5</v>
      </c>
      <c r="F1165">
        <v>1159791.1299999999</v>
      </c>
      <c r="G1165">
        <v>7857.3871559999998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-0.18107681574894569</v>
      </c>
      <c r="N1165" s="1">
        <f t="shared" si="76"/>
        <v>14959761.460070584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 s="1">
        <v>1.34E-5</v>
      </c>
      <c r="F1166">
        <v>1114619.8459999999</v>
      </c>
      <c r="G1166">
        <v>13873.464180000001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1.6945055645656459E-2</v>
      </c>
      <c r="N1166" s="1">
        <f t="shared" si="76"/>
        <v>8208556.5856046882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 s="1">
        <v>4.5099999999999998E-5</v>
      </c>
      <c r="F1167">
        <v>1082876.497</v>
      </c>
      <c r="G1167">
        <v>14045.075129999999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8.438157737160272E-2</v>
      </c>
      <c r="N1167" s="1">
        <f t="shared" si="76"/>
        <v>12295291.86565542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830.8336286</v>
      </c>
      <c r="F1168">
        <v>1231100.067</v>
      </c>
      <c r="G1168">
        <v>10772.65077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3907627.4643792585</v>
      </c>
      <c r="N1168" s="1">
        <f t="shared" si="76"/>
        <v>23706385.693182737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830.83359470000005</v>
      </c>
      <c r="F1169">
        <v>1238182.557</v>
      </c>
      <c r="G1169">
        <v>10772.65077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3678006.09956301</v>
      </c>
      <c r="N1169" s="1">
        <f t="shared" si="76"/>
        <v>22313343.718301971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830.83361969999999</v>
      </c>
      <c r="F1170">
        <v>1246894.149</v>
      </c>
      <c r="G1170">
        <v>11085.708490000001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2357989.5814986685</v>
      </c>
      <c r="N1170" s="1">
        <f t="shared" si="76"/>
        <v>14720919.990491245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830.8335664</v>
      </c>
      <c r="F1171">
        <v>1228771.6089999999</v>
      </c>
      <c r="G1171">
        <v>11111.720600000001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4995300.5355136674</v>
      </c>
      <c r="N1171" s="1">
        <f t="shared" si="76"/>
        <v>31258819.941724334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7198.8240230000001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33697356.060432844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>
        <v>0</v>
      </c>
      <c r="F1173">
        <v>812611.6152</v>
      </c>
      <c r="G1173">
        <v>6687.0159860000003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0</v>
      </c>
      <c r="N1173" s="1">
        <f t="shared" si="76"/>
        <v>23461024.661992092</v>
      </c>
      <c r="O1173" s="1"/>
    </row>
    <row r="1174" spans="1:15" x14ac:dyDescent="0.25">
      <c r="A1174">
        <v>1924</v>
      </c>
      <c r="B1174">
        <v>16461.750489999999</v>
      </c>
      <c r="C1174">
        <v>0</v>
      </c>
      <c r="D1174">
        <v>423309.13699999999</v>
      </c>
      <c r="E1174" s="1">
        <v>-2.6999999999999999E-5</v>
      </c>
      <c r="F1174">
        <v>758196.98910000001</v>
      </c>
      <c r="G1174">
        <v>830.83358299999998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0</v>
      </c>
      <c r="M1174" s="1">
        <f t="shared" si="75"/>
        <v>-0.20408158590231781</v>
      </c>
      <c r="N1174" s="1">
        <f t="shared" si="76"/>
        <v>2938311.1101654079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 s="1">
        <v>1.31E-5</v>
      </c>
      <c r="F1175">
        <v>926522.57649999997</v>
      </c>
      <c r="G1175">
        <v>8535.4551210000009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4.6895988577602049E-2</v>
      </c>
      <c r="N1175" s="1">
        <f t="shared" si="76"/>
        <v>14296665.662029274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 s="1">
        <v>-4.0299999999999997E-5</v>
      </c>
      <c r="F1176">
        <v>1019127.36</v>
      </c>
      <c r="G1176">
        <v>9572.3102500000005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-2.2661804020961209E-2</v>
      </c>
      <c r="N1176" s="1">
        <f t="shared" si="76"/>
        <v>2518545.9431739585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 s="1">
        <v>2.5299999999999998E-5</v>
      </c>
      <c r="F1177">
        <v>1015212.3419999999</v>
      </c>
      <c r="G1177">
        <v>9572.3102500000005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7.6101041331043409E-2</v>
      </c>
      <c r="N1177" s="1">
        <f t="shared" si="76"/>
        <v>13471951.871635729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0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0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 s="1">
        <v>1.8600000000000001E-5</v>
      </c>
      <c r="F1179">
        <v>938302.85739999998</v>
      </c>
      <c r="G1179">
        <v>8535.4551210000009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6.3578005159361892E-2</v>
      </c>
      <c r="N1179" s="1">
        <f t="shared" si="76"/>
        <v>13650995.213446993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6687.0159990000002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8312648.1768544307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830.83353709999994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991607.25311579229</v>
      </c>
      <c r="O1181" s="1"/>
    </row>
    <row r="1182" spans="1:15" x14ac:dyDescent="0.25">
      <c r="A1182">
        <v>1932</v>
      </c>
      <c r="B1182">
        <v>5304.8497729999999</v>
      </c>
      <c r="C1182">
        <v>0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0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830.83362820000002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2157509.0879517402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830.83358299999998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1435533.4459537084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0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0</v>
      </c>
      <c r="O1186" s="1"/>
    </row>
    <row r="1187" spans="1:15" x14ac:dyDescent="0.25">
      <c r="A1187">
        <v>1937</v>
      </c>
      <c r="B1187">
        <v>5071.3331310000003</v>
      </c>
      <c r="C1187">
        <v>0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0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>
        <v>0</v>
      </c>
      <c r="D1188">
        <v>738755.72620000003</v>
      </c>
      <c r="E1188">
        <v>830.83361079999997</v>
      </c>
      <c r="F1188">
        <v>1229026.149</v>
      </c>
      <c r="G1188">
        <v>10074.86976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0</v>
      </c>
      <c r="M1188" s="1">
        <f t="shared" si="75"/>
        <v>1374834.8853205342</v>
      </c>
      <c r="N1188" s="1">
        <f t="shared" si="76"/>
        <v>7800449.057824634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3925.9695969999998</v>
      </c>
      <c r="F1189">
        <v>1160795.0619999999</v>
      </c>
      <c r="G1189">
        <v>10516.52065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18640604.527781978</v>
      </c>
      <c r="N1189" s="1">
        <f t="shared" si="76"/>
        <v>23363011.230712581</v>
      </c>
      <c r="O1189" s="1"/>
    </row>
    <row r="1190" spans="1:15" x14ac:dyDescent="0.25">
      <c r="A1190">
        <v>1942</v>
      </c>
      <c r="B1190">
        <v>167045.00949999999</v>
      </c>
      <c r="C1190">
        <v>0</v>
      </c>
      <c r="D1190">
        <v>556292.272</v>
      </c>
      <c r="E1190" s="1">
        <v>3.3699999999999999E-5</v>
      </c>
      <c r="F1190">
        <v>930250.10629999998</v>
      </c>
      <c r="G1190">
        <v>8897.0873699999993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</v>
      </c>
      <c r="M1190" s="1">
        <f t="shared" si="75"/>
        <v>0.19946225685130306</v>
      </c>
      <c r="N1190" s="1">
        <f t="shared" si="76"/>
        <v>24638959.365528177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830.83355440000003</v>
      </c>
      <c r="F1191">
        <v>1205344.74</v>
      </c>
      <c r="G1191">
        <v>10344.499180000001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1445390.5489477548</v>
      </c>
      <c r="N1191" s="1">
        <f t="shared" si="76"/>
        <v>8420237.2902624588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>
        <v>0</v>
      </c>
      <c r="F1192">
        <v>859946.40350000001</v>
      </c>
      <c r="G1192">
        <v>9386.3724949999996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0</v>
      </c>
      <c r="N1192" s="1">
        <f t="shared" si="76"/>
        <v>18590996.339200765</v>
      </c>
      <c r="O1192" s="1"/>
    </row>
    <row r="1193" spans="1:15" x14ac:dyDescent="0.25">
      <c r="A1193">
        <v>1945</v>
      </c>
      <c r="B1193">
        <v>519230.30839999998</v>
      </c>
      <c r="C1193" s="1">
        <v>1.8199999999999999E-5</v>
      </c>
      <c r="D1193">
        <v>913221.14599999995</v>
      </c>
      <c r="E1193">
        <v>8142.3454529999999</v>
      </c>
      <c r="F1193">
        <v>1345850.9709999999</v>
      </c>
      <c r="G1193">
        <v>1487.9458099999999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0.1802933314873145</v>
      </c>
      <c r="M1193" s="1">
        <f t="shared" si="75"/>
        <v>27052097.05406142</v>
      </c>
      <c r="N1193" s="1">
        <f t="shared" si="76"/>
        <v>2313035.0067678825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830.8335644</v>
      </c>
      <c r="F1194">
        <v>1121695.422</v>
      </c>
      <c r="G1194">
        <v>10374.741749999999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2017650.5762065933</v>
      </c>
      <c r="N1194" s="1">
        <f t="shared" si="76"/>
        <v>11788346.583893478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>
        <v>7835.1851139999999</v>
      </c>
      <c r="F1195">
        <v>1425049.8060000001</v>
      </c>
      <c r="G1195">
        <v>777.33780690000003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8402066.2966582943</v>
      </c>
      <c r="N1195" s="1">
        <f t="shared" si="76"/>
        <v>390023.08337699907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830.83362069999998</v>
      </c>
      <c r="F1196">
        <v>1335064.415</v>
      </c>
      <c r="G1196">
        <v>1278.8330719999999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1086516.5650882912</v>
      </c>
      <c r="N1196" s="1">
        <f t="shared" si="76"/>
        <v>782491.85695377982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4.3099999999999997E-5</v>
      </c>
      <c r="F1197">
        <v>1210524.4550000001</v>
      </c>
      <c r="G1197">
        <v>9463.5636300000006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2.9498637316867748E-2</v>
      </c>
      <c r="N1197" s="1">
        <f t="shared" si="76"/>
        <v>3030561.2706890302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 s="1">
        <v>-2.41E-5</v>
      </c>
      <c r="F1198">
        <v>1263959.1159999999</v>
      </c>
      <c r="G1198">
        <v>9575.8565760000001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-8.0437556165988661E-2</v>
      </c>
      <c r="N1198" s="1">
        <f t="shared" si="76"/>
        <v>14954198.317272089</v>
      </c>
      <c r="O1198" s="1"/>
    </row>
    <row r="1199" spans="1:15" x14ac:dyDescent="0.25">
      <c r="A1199">
        <v>1951</v>
      </c>
      <c r="B1199">
        <v>573376.3811</v>
      </c>
      <c r="C1199" s="1">
        <v>3.3500000000000001E-5</v>
      </c>
      <c r="D1199">
        <v>1026006.527</v>
      </c>
      <c r="E1199">
        <v>8853.2450430000008</v>
      </c>
      <c r="F1199">
        <v>1441035.5390000001</v>
      </c>
      <c r="G1199">
        <v>0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9.4273189926103521E-2</v>
      </c>
      <c r="M1199" s="1">
        <f t="shared" si="75"/>
        <v>8355818.8751060404</v>
      </c>
      <c r="N1199" s="1">
        <f t="shared" si="76"/>
        <v>0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>
        <v>6687.0159780000004</v>
      </c>
      <c r="F1200">
        <v>1355897.716</v>
      </c>
      <c r="G1200">
        <v>1255.4991600000001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3761054.1095470269</v>
      </c>
      <c r="N1200" s="1">
        <f t="shared" si="76"/>
        <v>330397.93576758838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>
        <v>8686.1025079999999</v>
      </c>
      <c r="F1201">
        <v>1375388.037</v>
      </c>
      <c r="G1201">
        <v>1179.240262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4304499.0040545836</v>
      </c>
      <c r="N1201" s="1">
        <f t="shared" si="76"/>
        <v>273428.41066820128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830.83362260000001</v>
      </c>
      <c r="F1202">
        <v>1261973.69</v>
      </c>
      <c r="G1202">
        <v>11451.341619999999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1630159.5875975566</v>
      </c>
      <c r="N1202" s="1">
        <f t="shared" si="76"/>
        <v>10512744.466427475</v>
      </c>
      <c r="O1202" s="1"/>
    </row>
    <row r="1203" spans="1:15" x14ac:dyDescent="0.25">
      <c r="A1203">
        <v>1955</v>
      </c>
      <c r="B1203">
        <v>580875.98620000004</v>
      </c>
      <c r="C1203" s="1">
        <v>3.8800000000000001E-5</v>
      </c>
      <c r="D1203">
        <v>999974.48219999997</v>
      </c>
      <c r="E1203">
        <v>15252.552030000001</v>
      </c>
      <c r="F1203">
        <v>1416672.784</v>
      </c>
      <c r="G1203">
        <v>1929.132987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3.1771730541248107E-2</v>
      </c>
      <c r="M1203" s="1">
        <f t="shared" si="75"/>
        <v>4188849.8869805252</v>
      </c>
      <c r="N1203" s="1">
        <f t="shared" si="76"/>
        <v>247889.49766067017</v>
      </c>
      <c r="O1203" s="1"/>
    </row>
    <row r="1204" spans="1:15" x14ac:dyDescent="0.25">
      <c r="A1204">
        <v>1956</v>
      </c>
      <c r="B1204">
        <v>490418.26929999999</v>
      </c>
      <c r="C1204" s="1">
        <v>-3.5899999999999998E-5</v>
      </c>
      <c r="D1204">
        <v>882053.29119999998</v>
      </c>
      <c r="E1204">
        <v>8555.5389830000004</v>
      </c>
      <c r="F1204">
        <v>1327578.591</v>
      </c>
      <c r="G1204">
        <v>595.83277210000006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-0.10807703363780959</v>
      </c>
      <c r="M1204" s="1">
        <f t="shared" si="75"/>
        <v>8638323.7982109077</v>
      </c>
      <c r="N1204" s="1">
        <f t="shared" si="76"/>
        <v>281481.70269473438</v>
      </c>
      <c r="O1204" s="1"/>
    </row>
    <row r="1205" spans="1:15" x14ac:dyDescent="0.25">
      <c r="A1205">
        <v>1957</v>
      </c>
      <c r="B1205">
        <v>540194.6237</v>
      </c>
      <c r="C1205" s="1">
        <v>4.8399999999999997E-5</v>
      </c>
      <c r="D1205">
        <v>940906.2463</v>
      </c>
      <c r="E1205">
        <v>8142.3454830000001</v>
      </c>
      <c r="F1205">
        <v>1377150.0560000001</v>
      </c>
      <c r="G1205">
        <v>1487.9458099999999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0.166344713440334</v>
      </c>
      <c r="M1205" s="1">
        <f t="shared" si="75"/>
        <v>9385476.0168531332</v>
      </c>
      <c r="N1205" s="1">
        <f t="shared" si="76"/>
        <v>802486.19760578393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8376.3859279999997</v>
      </c>
      <c r="F1206">
        <v>1246931.5190000001</v>
      </c>
      <c r="G1206">
        <v>10329.288769999999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22520951.425906681</v>
      </c>
      <c r="N1206" s="1">
        <f t="shared" si="76"/>
        <v>12994038.596642768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830.83358720000001</v>
      </c>
      <c r="F1207">
        <v>1147216.709</v>
      </c>
      <c r="G1207">
        <v>10005.429340000001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1487960.3278686798</v>
      </c>
      <c r="N1207" s="1">
        <f t="shared" si="76"/>
        <v>8384105.1151405806</v>
      </c>
      <c r="O1207" s="1"/>
    </row>
    <row r="1208" spans="1:15" x14ac:dyDescent="0.25">
      <c r="A1208">
        <v>1960</v>
      </c>
      <c r="B1208">
        <v>575404.92590000003</v>
      </c>
      <c r="C1208" s="1">
        <v>8.0000000000000002E-8</v>
      </c>
      <c r="D1208">
        <v>992720.52339999995</v>
      </c>
      <c r="E1208">
        <v>13439.176509999999</v>
      </c>
      <c r="F1208">
        <v>1410977.077</v>
      </c>
      <c r="G1208">
        <v>2029.3713909999999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5.2496383863040008E-4</v>
      </c>
      <c r="M1208" s="1">
        <f t="shared" si="75"/>
        <v>29577073.233484618</v>
      </c>
      <c r="N1208" s="1">
        <f t="shared" si="76"/>
        <v>2089718.3217972999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>
        <v>830.83362390000002</v>
      </c>
      <c r="F1209">
        <v>1301455.496</v>
      </c>
      <c r="G1209">
        <v>7061.5325160000002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587225.1706002322</v>
      </c>
      <c r="N1209" s="1">
        <f t="shared" si="76"/>
        <v>2335249.2430903437</v>
      </c>
      <c r="O1209" s="1"/>
    </row>
    <row r="1210" spans="1:15" x14ac:dyDescent="0.25">
      <c r="A1210">
        <v>1962</v>
      </c>
      <c r="B1210">
        <v>583195.08609999996</v>
      </c>
      <c r="C1210" s="1">
        <v>-8.5199999999999997E-6</v>
      </c>
      <c r="D1210">
        <v>1031766.632</v>
      </c>
      <c r="E1210">
        <v>8535.4551210000009</v>
      </c>
      <c r="F1210">
        <v>1440112.9950000001</v>
      </c>
      <c r="G1210">
        <v>183.28449660000001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-1.1168377873934579E-2</v>
      </c>
      <c r="M1210" s="1">
        <f t="shared" si="75"/>
        <v>3752496.7514589541</v>
      </c>
      <c r="N1210" s="1">
        <f t="shared" si="76"/>
        <v>37701.883835173918</v>
      </c>
      <c r="O1210" s="1"/>
    </row>
    <row r="1211" spans="1:15" x14ac:dyDescent="0.25">
      <c r="A1211">
        <v>1963</v>
      </c>
      <c r="B1211">
        <v>584528.87049999996</v>
      </c>
      <c r="C1211" s="1">
        <v>3.8099999999999998E-5</v>
      </c>
      <c r="D1211">
        <v>995534.37670000002</v>
      </c>
      <c r="E1211">
        <v>8943.3879120000001</v>
      </c>
      <c r="F1211">
        <v>1426713.8859999999</v>
      </c>
      <c r="G1211">
        <v>1487.9458099999999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2.2581609409144499E-2</v>
      </c>
      <c r="M1211" s="1">
        <f t="shared" si="75"/>
        <v>1777768.1482684496</v>
      </c>
      <c r="N1211" s="1">
        <f t="shared" si="76"/>
        <v>138389.72471415708</v>
      </c>
      <c r="O1211" s="1"/>
    </row>
    <row r="1212" spans="1:15" x14ac:dyDescent="0.25">
      <c r="A1212">
        <v>2000</v>
      </c>
      <c r="B1212">
        <v>1425.9722469999999</v>
      </c>
      <c r="C1212">
        <v>0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0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>
        <v>0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0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>
        <v>0</v>
      </c>
      <c r="F1220">
        <v>21286.19785</v>
      </c>
      <c r="G1220">
        <v>0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0</v>
      </c>
      <c r="N1220" s="1">
        <f t="shared" si="80"/>
        <v>0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>
        <v>0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0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>
        <v>0</v>
      </c>
      <c r="D1230">
        <v>30050.20522</v>
      </c>
      <c r="E1230" s="1">
        <v>1.9599999999999999E-6</v>
      </c>
      <c r="F1230">
        <v>54428.795169999998</v>
      </c>
      <c r="G1230">
        <v>0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0</v>
      </c>
      <c r="M1230" s="1">
        <f t="shared" si="79"/>
        <v>2.5534883330045877E-2</v>
      </c>
      <c r="N1230" s="1">
        <f t="shared" si="80"/>
        <v>0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>
        <v>0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0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>
        <v>0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0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>
        <v>0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0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>
        <v>0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0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>
        <v>0</v>
      </c>
      <c r="F1241">
        <v>76449.012560000003</v>
      </c>
      <c r="G1241">
        <v>0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0</v>
      </c>
      <c r="N1241" s="1">
        <f t="shared" si="80"/>
        <v>0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>
        <v>0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0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>
        <v>0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0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>
        <v>0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0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>
        <v>0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0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>
        <v>0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0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>
        <v>0</v>
      </c>
      <c r="F1247">
        <v>108450.25410000001</v>
      </c>
      <c r="G1247">
        <v>0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0</v>
      </c>
      <c r="N1247" s="1">
        <f t="shared" si="80"/>
        <v>0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>
        <v>0</v>
      </c>
      <c r="F1248">
        <v>148546.1329</v>
      </c>
      <c r="G1248">
        <v>0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0</v>
      </c>
      <c r="N1248" s="1">
        <f t="shared" si="80"/>
        <v>0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>
        <v>0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0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>
        <v>0</v>
      </c>
      <c r="F1250">
        <v>112124.894</v>
      </c>
      <c r="G1250">
        <v>0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0</v>
      </c>
      <c r="N1250" s="1">
        <f t="shared" si="80"/>
        <v>0</v>
      </c>
      <c r="O1250" s="1"/>
    </row>
    <row r="1251" spans="1:15" x14ac:dyDescent="0.25">
      <c r="A1251">
        <v>2107</v>
      </c>
      <c r="B1251">
        <v>47391.728419999999</v>
      </c>
      <c r="C1251">
        <v>0</v>
      </c>
      <c r="D1251">
        <v>81292.258919999993</v>
      </c>
      <c r="E1251">
        <v>0</v>
      </c>
      <c r="F1251">
        <v>508111.6986</v>
      </c>
      <c r="G1251">
        <v>0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0</v>
      </c>
      <c r="M1251" s="1">
        <f t="shared" si="79"/>
        <v>0</v>
      </c>
      <c r="N1251" s="1">
        <f t="shared" si="80"/>
        <v>0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>
        <v>0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0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>
        <v>0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0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>
        <v>0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0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>
        <v>0</v>
      </c>
      <c r="F1255">
        <v>259162.52439999999</v>
      </c>
      <c r="G1255">
        <v>0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0</v>
      </c>
      <c r="N1255" s="1">
        <f t="shared" si="80"/>
        <v>0</v>
      </c>
      <c r="O1255" s="1"/>
    </row>
    <row r="1256" spans="1:15" x14ac:dyDescent="0.25">
      <c r="A1256">
        <v>2114</v>
      </c>
      <c r="B1256">
        <v>17217.36161</v>
      </c>
      <c r="C1256">
        <v>0</v>
      </c>
      <c r="D1256">
        <v>53029.575510000002</v>
      </c>
      <c r="E1256">
        <v>0</v>
      </c>
      <c r="F1256">
        <v>119857.29090000001</v>
      </c>
      <c r="G1256">
        <v>0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0</v>
      </c>
      <c r="M1256" s="1">
        <f t="shared" si="79"/>
        <v>0</v>
      </c>
      <c r="N1256" s="1">
        <f t="shared" si="80"/>
        <v>0</v>
      </c>
      <c r="O1256" s="1"/>
    </row>
    <row r="1257" spans="1:15" x14ac:dyDescent="0.25">
      <c r="A1257">
        <v>2115</v>
      </c>
      <c r="B1257">
        <v>35266.504300000001</v>
      </c>
      <c r="C1257">
        <v>0</v>
      </c>
      <c r="D1257">
        <v>79451.054189999995</v>
      </c>
      <c r="E1257">
        <v>0</v>
      </c>
      <c r="F1257">
        <v>482660.99209999997</v>
      </c>
      <c r="G1257">
        <v>0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0</v>
      </c>
      <c r="M1257" s="1">
        <f t="shared" si="79"/>
        <v>0</v>
      </c>
      <c r="N1257" s="1">
        <f t="shared" si="80"/>
        <v>0</v>
      </c>
      <c r="O1257" s="1"/>
    </row>
    <row r="1258" spans="1:15" x14ac:dyDescent="0.25">
      <c r="A1258">
        <v>2116</v>
      </c>
      <c r="B1258">
        <v>17681.73054</v>
      </c>
      <c r="C1258">
        <v>0</v>
      </c>
      <c r="D1258">
        <v>62501.239629999996</v>
      </c>
      <c r="E1258">
        <v>0</v>
      </c>
      <c r="F1258">
        <v>192124.4798</v>
      </c>
      <c r="G1258">
        <v>0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0</v>
      </c>
      <c r="M1258" s="1">
        <f t="shared" si="79"/>
        <v>0</v>
      </c>
      <c r="N1258" s="1">
        <f t="shared" si="80"/>
        <v>0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>
        <v>0</v>
      </c>
      <c r="F1259">
        <v>106725.3523</v>
      </c>
      <c r="G1259">
        <v>0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0</v>
      </c>
      <c r="N1259" s="1">
        <f t="shared" si="80"/>
        <v>0</v>
      </c>
      <c r="O1259" s="1"/>
    </row>
    <row r="1260" spans="1:15" x14ac:dyDescent="0.25">
      <c r="A1260">
        <v>2118</v>
      </c>
      <c r="B1260">
        <v>19316.271929999999</v>
      </c>
      <c r="C1260">
        <v>0</v>
      </c>
      <c r="D1260">
        <v>62424.019039999999</v>
      </c>
      <c r="E1260">
        <v>0</v>
      </c>
      <c r="F1260">
        <v>238714.63759999999</v>
      </c>
      <c r="G1260">
        <v>0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0</v>
      </c>
      <c r="M1260" s="1">
        <f t="shared" si="79"/>
        <v>0</v>
      </c>
      <c r="N1260" s="1">
        <f t="shared" si="80"/>
        <v>0</v>
      </c>
      <c r="O1260" s="1"/>
    </row>
    <row r="1261" spans="1:15" x14ac:dyDescent="0.25">
      <c r="A1261">
        <v>2119</v>
      </c>
      <c r="B1261">
        <v>17014.594730000001</v>
      </c>
      <c r="C1261">
        <v>0</v>
      </c>
      <c r="D1261">
        <v>57050.602709999999</v>
      </c>
      <c r="E1261">
        <v>0</v>
      </c>
      <c r="F1261">
        <v>187561.62349999999</v>
      </c>
      <c r="G1261">
        <v>0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0</v>
      </c>
      <c r="M1261" s="1">
        <f t="shared" si="79"/>
        <v>0</v>
      </c>
      <c r="N1261" s="1">
        <f t="shared" si="80"/>
        <v>0</v>
      </c>
      <c r="O1261" s="1"/>
    </row>
    <row r="1262" spans="1:15" x14ac:dyDescent="0.25">
      <c r="A1262">
        <v>2120</v>
      </c>
      <c r="B1262">
        <v>18777.545259999999</v>
      </c>
      <c r="C1262">
        <v>0</v>
      </c>
      <c r="D1262">
        <v>58688.870569999999</v>
      </c>
      <c r="E1262">
        <v>0</v>
      </c>
      <c r="F1262">
        <v>174379.0723</v>
      </c>
      <c r="G1262">
        <v>0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0</v>
      </c>
      <c r="M1262" s="1">
        <f t="shared" si="79"/>
        <v>0</v>
      </c>
      <c r="N1262" s="1">
        <f t="shared" si="80"/>
        <v>0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>
        <v>0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0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>
        <v>0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0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>
        <v>0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0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>
        <v>0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0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>
        <v>0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0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>
        <v>0</v>
      </c>
      <c r="D1278">
        <v>66445.111600000004</v>
      </c>
      <c r="E1278">
        <v>0</v>
      </c>
      <c r="F1278">
        <v>413242.13140000001</v>
      </c>
      <c r="G1278">
        <v>0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0</v>
      </c>
      <c r="M1278" s="1">
        <f t="shared" si="79"/>
        <v>0</v>
      </c>
      <c r="N1278" s="1">
        <f t="shared" si="80"/>
        <v>0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>
        <v>0</v>
      </c>
      <c r="F1279">
        <v>292877.96279999998</v>
      </c>
      <c r="G1279">
        <v>0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0</v>
      </c>
      <c r="N1279" s="1">
        <f t="shared" si="80"/>
        <v>0</v>
      </c>
      <c r="O1279" s="1"/>
    </row>
    <row r="1280" spans="1:15" x14ac:dyDescent="0.25">
      <c r="A1280">
        <v>2140</v>
      </c>
      <c r="B1280">
        <v>14981.85881</v>
      </c>
      <c r="C1280">
        <v>0</v>
      </c>
      <c r="D1280">
        <v>71049.681100000002</v>
      </c>
      <c r="E1280" s="1">
        <v>-9.9999999999999995E-8</v>
      </c>
      <c r="F1280">
        <v>421777.10110000003</v>
      </c>
      <c r="G1280">
        <v>0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0</v>
      </c>
      <c r="M1280" s="1">
        <f t="shared" si="79"/>
        <v>-1.6846210016447998E-4</v>
      </c>
      <c r="N1280" s="1">
        <f t="shared" si="80"/>
        <v>0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>
        <v>0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0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>
        <v>0</v>
      </c>
      <c r="D1283">
        <v>65383.430509999998</v>
      </c>
      <c r="E1283">
        <v>0</v>
      </c>
      <c r="F1283">
        <v>338185.60749999998</v>
      </c>
      <c r="G1283">
        <v>0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0</v>
      </c>
      <c r="M1283" s="1">
        <f t="shared" ref="M1283:M1346" si="83">$U$3*$K1283*E1283</f>
        <v>0</v>
      </c>
      <c r="N1283" s="1">
        <f t="shared" ref="N1283:N1346" si="84">$U$4*$K1283*G1283</f>
        <v>0</v>
      </c>
      <c r="O1283" s="1"/>
    </row>
    <row r="1284" spans="1:15" x14ac:dyDescent="0.25">
      <c r="A1284">
        <v>2144</v>
      </c>
      <c r="B1284">
        <v>30510.54336</v>
      </c>
      <c r="C1284">
        <v>0</v>
      </c>
      <c r="D1284">
        <v>67270.365950000007</v>
      </c>
      <c r="E1284">
        <v>0</v>
      </c>
      <c r="F1284">
        <v>453507.38030000002</v>
      </c>
      <c r="G1284">
        <v>0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0</v>
      </c>
      <c r="M1284" s="1">
        <f t="shared" si="83"/>
        <v>0</v>
      </c>
      <c r="N1284" s="1">
        <f t="shared" si="84"/>
        <v>0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>
        <v>0</v>
      </c>
      <c r="F1285">
        <v>246388.61319999999</v>
      </c>
      <c r="G1285">
        <v>0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0</v>
      </c>
      <c r="N1285" s="1">
        <f t="shared" si="84"/>
        <v>0</v>
      </c>
      <c r="O1285" s="1"/>
    </row>
    <row r="1286" spans="1:15" x14ac:dyDescent="0.25">
      <c r="A1286">
        <v>2146</v>
      </c>
      <c r="B1286">
        <v>15684.537899999999</v>
      </c>
      <c r="C1286">
        <v>0</v>
      </c>
      <c r="D1286">
        <v>49764.66315</v>
      </c>
      <c r="E1286">
        <v>0</v>
      </c>
      <c r="F1286">
        <v>85229.572010000004</v>
      </c>
      <c r="G1286">
        <v>0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0</v>
      </c>
      <c r="M1286" s="1">
        <f t="shared" si="83"/>
        <v>0</v>
      </c>
      <c r="N1286" s="1">
        <f t="shared" si="84"/>
        <v>0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>
        <v>0</v>
      </c>
      <c r="F1287">
        <v>81793.72292</v>
      </c>
      <c r="G1287">
        <v>0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0</v>
      </c>
      <c r="N1287" s="1">
        <f t="shared" si="84"/>
        <v>0</v>
      </c>
      <c r="O1287" s="1"/>
    </row>
    <row r="1288" spans="1:15" x14ac:dyDescent="0.25">
      <c r="A1288">
        <v>2148</v>
      </c>
      <c r="B1288">
        <v>36980.90885</v>
      </c>
      <c r="C1288">
        <v>0</v>
      </c>
      <c r="D1288">
        <v>70126.418350000007</v>
      </c>
      <c r="E1288">
        <v>0</v>
      </c>
      <c r="F1288">
        <v>460845.9325</v>
      </c>
      <c r="G1288">
        <v>0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0</v>
      </c>
      <c r="M1288" s="1">
        <f t="shared" si="83"/>
        <v>0</v>
      </c>
      <c r="N1288" s="1">
        <f t="shared" si="84"/>
        <v>0</v>
      </c>
      <c r="O1288" s="1"/>
    </row>
    <row r="1289" spans="1:15" x14ac:dyDescent="0.25">
      <c r="A1289">
        <v>2149</v>
      </c>
      <c r="B1289">
        <v>10874.0555</v>
      </c>
      <c r="C1289">
        <v>0</v>
      </c>
      <c r="D1289">
        <v>41940.197379999998</v>
      </c>
      <c r="E1289">
        <v>0</v>
      </c>
      <c r="F1289">
        <v>313148.32569999999</v>
      </c>
      <c r="G1289">
        <v>0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0</v>
      </c>
      <c r="M1289" s="1">
        <f t="shared" si="83"/>
        <v>0</v>
      </c>
      <c r="N1289" s="1">
        <f t="shared" si="84"/>
        <v>0</v>
      </c>
      <c r="O1289" s="1"/>
    </row>
    <row r="1290" spans="1:15" x14ac:dyDescent="0.25">
      <c r="A1290">
        <v>2150</v>
      </c>
      <c r="B1290">
        <v>16842.851490000001</v>
      </c>
      <c r="C1290">
        <v>0</v>
      </c>
      <c r="D1290">
        <v>61945.453459999997</v>
      </c>
      <c r="E1290">
        <v>0</v>
      </c>
      <c r="F1290">
        <v>447734.54470000003</v>
      </c>
      <c r="G1290">
        <v>0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0</v>
      </c>
      <c r="M1290" s="1">
        <f t="shared" si="83"/>
        <v>0</v>
      </c>
      <c r="N1290" s="1">
        <f t="shared" si="84"/>
        <v>0</v>
      </c>
      <c r="O1290" s="1"/>
    </row>
    <row r="1291" spans="1:15" x14ac:dyDescent="0.25">
      <c r="A1291">
        <v>2151</v>
      </c>
      <c r="B1291">
        <v>28163.459940000001</v>
      </c>
      <c r="C1291">
        <v>0</v>
      </c>
      <c r="D1291">
        <v>62459.156329999998</v>
      </c>
      <c r="E1291">
        <v>0</v>
      </c>
      <c r="F1291">
        <v>424467.98940000002</v>
      </c>
      <c r="G1291">
        <v>0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0</v>
      </c>
      <c r="M1291" s="1">
        <f t="shared" si="83"/>
        <v>0</v>
      </c>
      <c r="N1291" s="1">
        <f t="shared" si="84"/>
        <v>0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>
        <v>0</v>
      </c>
      <c r="F1292">
        <v>303658.6838</v>
      </c>
      <c r="G1292">
        <v>0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0</v>
      </c>
      <c r="N1292" s="1">
        <f t="shared" si="84"/>
        <v>0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>
        <v>0</v>
      </c>
      <c r="F1293">
        <v>59282.510020000002</v>
      </c>
      <c r="G1293">
        <v>0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</v>
      </c>
      <c r="N1293" s="1">
        <f t="shared" si="84"/>
        <v>0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>
        <v>0</v>
      </c>
      <c r="F1294">
        <v>565159.98199999996</v>
      </c>
      <c r="G1294">
        <v>0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0</v>
      </c>
      <c r="N1294" s="1">
        <f t="shared" si="84"/>
        <v>0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>
        <v>0</v>
      </c>
      <c r="F1295">
        <v>510035.8798</v>
      </c>
      <c r="G1295">
        <v>0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0</v>
      </c>
      <c r="N1295" s="1">
        <f t="shared" si="84"/>
        <v>0</v>
      </c>
      <c r="O1295" s="1"/>
    </row>
    <row r="1296" spans="1:15" x14ac:dyDescent="0.25">
      <c r="A1296">
        <v>2157</v>
      </c>
      <c r="B1296">
        <v>11592.313529999999</v>
      </c>
      <c r="C1296">
        <v>0</v>
      </c>
      <c r="D1296">
        <v>110717.1716</v>
      </c>
      <c r="E1296">
        <v>0</v>
      </c>
      <c r="F1296">
        <v>576916.07519999996</v>
      </c>
      <c r="G1296">
        <v>0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0</v>
      </c>
      <c r="M1296" s="1">
        <f t="shared" si="83"/>
        <v>0</v>
      </c>
      <c r="N1296" s="1">
        <f t="shared" si="84"/>
        <v>0</v>
      </c>
      <c r="O1296" s="1"/>
    </row>
    <row r="1297" spans="1:15" x14ac:dyDescent="0.25">
      <c r="A1297">
        <v>2158</v>
      </c>
      <c r="B1297">
        <v>7952.8562780000002</v>
      </c>
      <c r="C1297">
        <v>0</v>
      </c>
      <c r="D1297">
        <v>65484.998760000002</v>
      </c>
      <c r="E1297">
        <v>0</v>
      </c>
      <c r="F1297">
        <v>533913.60179999995</v>
      </c>
      <c r="G1297">
        <v>0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0</v>
      </c>
      <c r="M1297" s="1">
        <f t="shared" si="83"/>
        <v>0</v>
      </c>
      <c r="N1297" s="1">
        <f t="shared" si="84"/>
        <v>0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>
        <v>0</v>
      </c>
      <c r="F1298">
        <v>102077.1689</v>
      </c>
      <c r="G1298">
        <v>0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0</v>
      </c>
      <c r="N1298" s="1">
        <f t="shared" si="84"/>
        <v>0</v>
      </c>
      <c r="O1298" s="1"/>
    </row>
    <row r="1299" spans="1:15" x14ac:dyDescent="0.25">
      <c r="A1299">
        <v>2162</v>
      </c>
      <c r="B1299">
        <v>6395.3288309999998</v>
      </c>
      <c r="C1299">
        <v>0</v>
      </c>
      <c r="D1299">
        <v>23845.624349999998</v>
      </c>
      <c r="E1299" s="1">
        <v>-3.0000000000000001E-6</v>
      </c>
      <c r="F1299">
        <v>66302.358259999994</v>
      </c>
      <c r="G1299">
        <v>0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0</v>
      </c>
      <c r="M1299" s="1">
        <f t="shared" si="83"/>
        <v>-5.4426307683627009E-2</v>
      </c>
      <c r="N1299" s="1">
        <f t="shared" si="84"/>
        <v>0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>
        <v>0</v>
      </c>
      <c r="F1300">
        <v>86570.833549999996</v>
      </c>
      <c r="G1300">
        <v>0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0</v>
      </c>
      <c r="N1300" s="1">
        <f t="shared" si="84"/>
        <v>0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>
        <v>0</v>
      </c>
      <c r="F1301">
        <v>97528.993300000002</v>
      </c>
      <c r="G1301">
        <v>0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0</v>
      </c>
      <c r="N1301" s="1">
        <f t="shared" si="84"/>
        <v>0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>
        <v>0</v>
      </c>
      <c r="F1302">
        <v>79949.571129999997</v>
      </c>
      <c r="G1302">
        <v>0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0</v>
      </c>
      <c r="N1302" s="1">
        <f t="shared" si="84"/>
        <v>0</v>
      </c>
      <c r="O1302" s="1"/>
    </row>
    <row r="1303" spans="1:15" x14ac:dyDescent="0.25">
      <c r="A1303">
        <v>2166</v>
      </c>
      <c r="B1303">
        <v>10124.09251</v>
      </c>
      <c r="C1303">
        <v>0</v>
      </c>
      <c r="D1303">
        <v>66178.455230000007</v>
      </c>
      <c r="E1303" s="1">
        <v>3.0000000000000001E-6</v>
      </c>
      <c r="F1303">
        <v>173245.0448</v>
      </c>
      <c r="G1303">
        <v>0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0</v>
      </c>
      <c r="M1303" s="1">
        <f t="shared" si="83"/>
        <v>1.44903951453597E-2</v>
      </c>
      <c r="N1303" s="1">
        <f t="shared" si="84"/>
        <v>0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>
        <v>0</v>
      </c>
      <c r="F1304">
        <v>91414.421159999998</v>
      </c>
      <c r="G1304">
        <v>0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0</v>
      </c>
      <c r="N1304" s="1">
        <f t="shared" si="84"/>
        <v>0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>
        <v>0</v>
      </c>
      <c r="F1307">
        <v>459135.7205</v>
      </c>
      <c r="G1307">
        <v>0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0</v>
      </c>
      <c r="N1307" s="1">
        <f t="shared" si="84"/>
        <v>0</v>
      </c>
      <c r="O1307" s="1"/>
    </row>
    <row r="1308" spans="1:15" x14ac:dyDescent="0.25">
      <c r="A1308">
        <v>2201</v>
      </c>
      <c r="B1308">
        <v>44495.263720000003</v>
      </c>
      <c r="C1308">
        <v>0</v>
      </c>
      <c r="D1308">
        <v>255443.31719999999</v>
      </c>
      <c r="E1308">
        <v>0</v>
      </c>
      <c r="F1308">
        <v>653087.59829999995</v>
      </c>
      <c r="G1308" s="1">
        <v>3.3800000000000002E-5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0</v>
      </c>
      <c r="M1308" s="1">
        <f t="shared" si="83"/>
        <v>0</v>
      </c>
      <c r="N1308" s="1">
        <f t="shared" si="84"/>
        <v>6.4389381648681174E-2</v>
      </c>
      <c r="O1308" s="1"/>
    </row>
    <row r="1309" spans="1:15" x14ac:dyDescent="0.25">
      <c r="A1309">
        <v>2202</v>
      </c>
      <c r="B1309">
        <v>18610.486250000002</v>
      </c>
      <c r="C1309">
        <v>0</v>
      </c>
      <c r="D1309">
        <v>259622.81880000001</v>
      </c>
      <c r="E1309">
        <v>0</v>
      </c>
      <c r="F1309">
        <v>654712.67119999998</v>
      </c>
      <c r="G1309">
        <v>0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0</v>
      </c>
      <c r="M1309" s="1">
        <f t="shared" si="83"/>
        <v>0</v>
      </c>
      <c r="N1309" s="1">
        <f t="shared" si="84"/>
        <v>0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>
        <v>0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0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>
        <v>0</v>
      </c>
      <c r="D1311">
        <v>72705.216369999995</v>
      </c>
      <c r="E1311">
        <v>0</v>
      </c>
      <c r="F1311">
        <v>536731.40150000004</v>
      </c>
      <c r="G1311">
        <v>0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0</v>
      </c>
      <c r="M1311" s="1">
        <f t="shared" si="83"/>
        <v>0</v>
      </c>
      <c r="N1311" s="1">
        <f t="shared" si="84"/>
        <v>0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>
        <v>0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0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>
        <v>0</v>
      </c>
      <c r="F1314">
        <v>30638.962100000001</v>
      </c>
      <c r="G1314">
        <v>0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0</v>
      </c>
      <c r="N1314" s="1">
        <f t="shared" si="84"/>
        <v>0</v>
      </c>
      <c r="O1314" s="1"/>
    </row>
    <row r="1315" spans="1:15" x14ac:dyDescent="0.25">
      <c r="A1315">
        <v>2208</v>
      </c>
      <c r="B1315">
        <v>26253.823540000001</v>
      </c>
      <c r="C1315">
        <v>0</v>
      </c>
      <c r="D1315">
        <v>142256.55100000001</v>
      </c>
      <c r="E1315">
        <v>0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0</v>
      </c>
      <c r="M1315" s="1">
        <f t="shared" si="83"/>
        <v>0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>
        <v>0</v>
      </c>
      <c r="F1316">
        <v>296024.47639999999</v>
      </c>
      <c r="G1316">
        <v>0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0</v>
      </c>
      <c r="N1316" s="1">
        <f t="shared" si="84"/>
        <v>0</v>
      </c>
      <c r="O1316" s="1"/>
    </row>
    <row r="1317" spans="1:15" x14ac:dyDescent="0.25">
      <c r="A1317">
        <v>2210</v>
      </c>
      <c r="B1317">
        <v>22360.577789999999</v>
      </c>
      <c r="C1317">
        <v>0</v>
      </c>
      <c r="D1317">
        <v>64936.108090000002</v>
      </c>
      <c r="E1317">
        <v>0</v>
      </c>
      <c r="F1317">
        <v>478283.23050000001</v>
      </c>
      <c r="G1317">
        <v>0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0</v>
      </c>
      <c r="M1317" s="1">
        <f t="shared" si="83"/>
        <v>0</v>
      </c>
      <c r="N1317" s="1">
        <f t="shared" si="84"/>
        <v>0</v>
      </c>
      <c r="O1317" s="1"/>
    </row>
    <row r="1318" spans="1:15" x14ac:dyDescent="0.25">
      <c r="A1318">
        <v>2211</v>
      </c>
      <c r="B1318">
        <v>11773.02507</v>
      </c>
      <c r="C1318">
        <v>0</v>
      </c>
      <c r="D1318">
        <v>49555.261449999998</v>
      </c>
      <c r="E1318">
        <v>0</v>
      </c>
      <c r="F1318">
        <v>413861.30070000002</v>
      </c>
      <c r="G1318">
        <v>0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0</v>
      </c>
      <c r="M1318" s="1">
        <f t="shared" si="83"/>
        <v>0</v>
      </c>
      <c r="N1318" s="1">
        <f t="shared" si="84"/>
        <v>0</v>
      </c>
      <c r="O1318" s="1"/>
    </row>
    <row r="1319" spans="1:15" x14ac:dyDescent="0.25">
      <c r="A1319">
        <v>2212</v>
      </c>
      <c r="B1319">
        <v>13544.18123</v>
      </c>
      <c r="C1319">
        <v>0</v>
      </c>
      <c r="D1319">
        <v>64001.479030000002</v>
      </c>
      <c r="E1319">
        <v>0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0</v>
      </c>
      <c r="M1319" s="1">
        <f t="shared" si="83"/>
        <v>0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>
        <v>0</v>
      </c>
      <c r="F1320">
        <v>600328.40020000003</v>
      </c>
      <c r="G1320">
        <v>0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0</v>
      </c>
      <c r="N1320" s="1">
        <f t="shared" si="84"/>
        <v>0</v>
      </c>
      <c r="O1320" s="1"/>
    </row>
    <row r="1321" spans="1:15" x14ac:dyDescent="0.25">
      <c r="A1321">
        <v>2214</v>
      </c>
      <c r="B1321">
        <v>18735.869739999998</v>
      </c>
      <c r="C1321">
        <v>0</v>
      </c>
      <c r="D1321">
        <v>131470.71660000001</v>
      </c>
      <c r="E1321">
        <v>0</v>
      </c>
      <c r="F1321">
        <v>598073.91559999995</v>
      </c>
      <c r="G1321">
        <v>0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0</v>
      </c>
      <c r="M1321" s="1">
        <f t="shared" si="83"/>
        <v>0</v>
      </c>
      <c r="N1321" s="1">
        <f t="shared" si="84"/>
        <v>0</v>
      </c>
      <c r="O1321" s="1"/>
    </row>
    <row r="1322" spans="1:15" x14ac:dyDescent="0.25">
      <c r="A1322">
        <v>2215</v>
      </c>
      <c r="B1322">
        <v>15475.10693</v>
      </c>
      <c r="C1322">
        <v>0</v>
      </c>
      <c r="D1322">
        <v>200036.05170000001</v>
      </c>
      <c r="E1322">
        <v>0</v>
      </c>
      <c r="F1322">
        <v>626018.21970000002</v>
      </c>
      <c r="G1322">
        <v>0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0</v>
      </c>
      <c r="M1322" s="1">
        <f t="shared" si="83"/>
        <v>0</v>
      </c>
      <c r="N1322" s="1">
        <f t="shared" si="84"/>
        <v>0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>
        <v>0</v>
      </c>
      <c r="F1323">
        <v>367723.60849999997</v>
      </c>
      <c r="G1323">
        <v>0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0</v>
      </c>
      <c r="N1323" s="1">
        <f t="shared" si="84"/>
        <v>0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>
        <v>0</v>
      </c>
      <c r="F1324">
        <v>15475.10693</v>
      </c>
      <c r="G1324">
        <v>0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0</v>
      </c>
      <c r="N1324" s="1">
        <f t="shared" si="84"/>
        <v>0</v>
      </c>
      <c r="O1324" s="1"/>
    </row>
    <row r="1325" spans="1:15" x14ac:dyDescent="0.25">
      <c r="A1325">
        <v>2218</v>
      </c>
      <c r="B1325">
        <v>27320.355879999999</v>
      </c>
      <c r="C1325">
        <v>0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0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>
        <v>0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0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>
        <v>0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0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>
        <v>0</v>
      </c>
      <c r="D1332">
        <v>79390.145770000003</v>
      </c>
      <c r="E1332" s="1">
        <v>-7.8999999999999995E-7</v>
      </c>
      <c r="F1332">
        <v>303305.88540000003</v>
      </c>
      <c r="G1332">
        <v>0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0</v>
      </c>
      <c r="M1332" s="1">
        <f t="shared" si="83"/>
        <v>-1.5470972686809018E-3</v>
      </c>
      <c r="N1332" s="1">
        <f t="shared" si="84"/>
        <v>0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0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0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>
        <v>0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0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 s="1">
        <v>1.8700000000000001E-5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5.5256084441470781E-2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>
        <v>0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0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>
        <v>0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0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>
        <v>0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0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>
        <v>0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0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>
        <v>0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0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>
        <v>0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0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>
        <v>0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0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>
        <v>0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0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>
        <v>1446.2416499999999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5011383.2714089006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>
        <v>0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0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>
        <v>0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0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>
        <v>0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0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>
        <v>0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0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>
        <v>0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0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>
        <v>0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0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 s="1">
        <v>1.98E-5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5.9798910327706456E-2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>
        <v>0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0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>
        <v>0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0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>
        <v>0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0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>
        <v>3925.9695879999999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6016293.8187062358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>
        <v>0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0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8423.4294559999998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9164759.9151213299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>
        <v>0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0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6687.0159860000003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5309001.9920105832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>
        <v>0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 s="1">
        <v>1.6500000000000001E-5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8.4857927239107012E-2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>
        <v>0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0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 s="1">
        <v>2.5299999999999998E-5</v>
      </c>
      <c r="F1435">
        <v>931812.69299999997</v>
      </c>
      <c r="G1435">
        <v>8586.2786049999995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0.17500515208370337</v>
      </c>
      <c r="N1435" s="1">
        <f t="shared" si="92"/>
        <v>27789387.04288166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>
        <v>7306.0044189999999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42157953.255539991</v>
      </c>
      <c r="O1436" s="1"/>
    </row>
    <row r="1437" spans="1:15" x14ac:dyDescent="0.25">
      <c r="A1437">
        <v>2525</v>
      </c>
      <c r="B1437">
        <v>7148.1812389999996</v>
      </c>
      <c r="C1437">
        <v>0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0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>
        <v>0</v>
      </c>
      <c r="D1438">
        <v>61100.532700000003</v>
      </c>
      <c r="E1438" s="1">
        <v>4.3000000000000001E-7</v>
      </c>
      <c r="F1438">
        <v>444762.88170000003</v>
      </c>
      <c r="G1438">
        <v>8992.2944439999992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0</v>
      </c>
      <c r="M1438" s="1">
        <f t="shared" si="91"/>
        <v>4.6498468334506349E-3</v>
      </c>
      <c r="N1438" s="1">
        <f t="shared" si="92"/>
        <v>45497170.559853762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>
        <v>8992.294484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18069417.287743229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 s="1">
        <v>-1.31E-5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-2.1968101413682804E-2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>
        <v>0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0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>
        <v>0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0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>
        <v>0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0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>
        <v>0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0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>
        <v>0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0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>
        <v>1940.5965349999999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4383920.2320864573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>
        <v>7771.2191000000003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24326662.781349991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7835.185074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9571955.7019438986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830.83357769999998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1526495.4258300806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 s="1">
        <v>-4.9300000000000002E-6</v>
      </c>
      <c r="F1476">
        <v>1011263.6580000001</v>
      </c>
      <c r="G1476">
        <v>7704.6211240000002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-1.0010011512332669E-2</v>
      </c>
      <c r="N1476" s="1">
        <f t="shared" si="96"/>
        <v>7319520.3558432264</v>
      </c>
      <c r="O1476" s="1"/>
    </row>
    <row r="1477" spans="1:15" x14ac:dyDescent="0.25">
      <c r="A1477">
        <v>2607</v>
      </c>
      <c r="B1477">
        <v>15424.37766</v>
      </c>
      <c r="C1477">
        <v>0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0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>
        <v>0</v>
      </c>
      <c r="D1478">
        <v>400220.60680000001</v>
      </c>
      <c r="E1478" s="1">
        <v>5.0000000000000002E-5</v>
      </c>
      <c r="F1478">
        <v>983047.76919999998</v>
      </c>
      <c r="G1478">
        <v>8853.2450470000003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0</v>
      </c>
      <c r="M1478" s="1">
        <f t="shared" si="95"/>
        <v>8.4600925267665009E-2</v>
      </c>
      <c r="N1478" s="1">
        <f t="shared" si="96"/>
        <v>7008922.7252249904</v>
      </c>
      <c r="O1478" s="1"/>
    </row>
    <row r="1479" spans="1:15" x14ac:dyDescent="0.25">
      <c r="A1479">
        <v>2609</v>
      </c>
      <c r="B1479">
        <v>8840.2381129999994</v>
      </c>
      <c r="C1479">
        <v>0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0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>
        <v>0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0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>
        <v>7517.3952300000001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15158422.530345721</v>
      </c>
      <c r="O1482" s="1"/>
    </row>
    <row r="1483" spans="1:15" x14ac:dyDescent="0.25">
      <c r="A1483">
        <v>2613</v>
      </c>
      <c r="B1483">
        <v>20821.610349999999</v>
      </c>
      <c r="C1483">
        <v>0</v>
      </c>
      <c r="D1483">
        <v>67682.711649999997</v>
      </c>
      <c r="E1483" s="1">
        <v>1.61E-6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0</v>
      </c>
      <c r="M1483" s="1">
        <f t="shared" si="95"/>
        <v>1.048530231860258E-2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>
        <v>0</v>
      </c>
      <c r="D1484">
        <v>320494.9179</v>
      </c>
      <c r="E1484" s="1">
        <v>1.1399999999999999E-5</v>
      </c>
      <c r="F1484">
        <v>962087.60549999995</v>
      </c>
      <c r="G1484">
        <v>8368.3125999999993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0</v>
      </c>
      <c r="M1484" s="1">
        <f t="shared" si="95"/>
        <v>4.4461291087169702E-2</v>
      </c>
      <c r="N1484" s="1">
        <f t="shared" si="96"/>
        <v>15270694.59461494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>
        <v>11731.74447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47155632.668622926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>
        <v>13530.62213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50784734.061100699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>
        <v>8368.3126439999996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20010084.708451487</v>
      </c>
      <c r="O1493" s="1"/>
    </row>
    <row r="1494" spans="1:15" x14ac:dyDescent="0.25">
      <c r="A1494">
        <v>2628</v>
      </c>
      <c r="B1494">
        <v>14772.7618</v>
      </c>
      <c r="C1494">
        <v>0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0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830.83357249999995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2686120.0268433783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>
        <v>0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0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>
        <v>0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0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>
        <v>5486.814867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18528942.81632534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>
        <v>1446.2417069999999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5076711.6848971331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 s="1">
        <v>8.1300000000000001E-6</v>
      </c>
      <c r="F1512">
        <v>1076702.3910000001</v>
      </c>
      <c r="G1512">
        <v>7009.0896030000004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3.6205613452813978E-2</v>
      </c>
      <c r="N1512" s="1">
        <f t="shared" si="96"/>
        <v>14604633.23057667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 s="1">
        <v>-3.5800000000000003E-5</v>
      </c>
      <c r="F1513">
        <v>1000574.583</v>
      </c>
      <c r="G1513">
        <v>7704.6214840000002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-0.11729479230561292</v>
      </c>
      <c r="N1513" s="1">
        <f t="shared" si="96"/>
        <v>11811109.326717313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>
        <v>0</v>
      </c>
      <c r="D1516">
        <v>51182.243990000003</v>
      </c>
      <c r="E1516" s="1">
        <v>-3.89E-6</v>
      </c>
      <c r="F1516">
        <v>484597.30680000002</v>
      </c>
      <c r="G1516" s="1">
        <v>-4.1100000000000003E-5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0</v>
      </c>
      <c r="M1516" s="1">
        <f t="shared" si="95"/>
        <v>-1.7584338900343444E-2</v>
      </c>
      <c r="N1516" s="1">
        <f t="shared" si="96"/>
        <v>-8.6928451614372057E-2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>
        <v>0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0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>
        <v>0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0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 s="1">
        <v>1.88E-5</v>
      </c>
      <c r="F1521">
        <v>1168832.662</v>
      </c>
      <c r="G1521">
        <v>1528.8825220000001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3.1966459061126558E-2</v>
      </c>
      <c r="N1521" s="1">
        <f t="shared" si="96"/>
        <v>1216338.5652879328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 s="1">
        <v>-2.0999999999999999E-5</v>
      </c>
      <c r="F1522">
        <v>1122352.827</v>
      </c>
      <c r="G1522">
        <v>2245.9008979999999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-3.6716060453683801E-2</v>
      </c>
      <c r="N1522" s="1">
        <f t="shared" si="96"/>
        <v>1837261.8131679718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>
        <v>3673.097561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0.2760490177231032</v>
      </c>
      <c r="N1523" s="1">
        <f t="shared" si="96"/>
        <v>9642668.6916301157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2679.2727610000002</v>
      </c>
      <c r="F1524">
        <v>1411547.01</v>
      </c>
      <c r="G1524">
        <v>420.41221139999999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-2.0495281598291497E-2</v>
      </c>
      <c r="M1524" s="1">
        <f t="shared" si="95"/>
        <v>3095258.9626221787</v>
      </c>
      <c r="N1524" s="1">
        <f t="shared" si="96"/>
        <v>227247.47235173947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>
        <v>11095.44793</v>
      </c>
      <c r="F1525">
        <v>918165.39800000004</v>
      </c>
      <c r="G1525">
        <v>4180.7093349999996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49025671.130414255</v>
      </c>
      <c r="N1525" s="1">
        <f t="shared" si="96"/>
        <v>8643156.1714904401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5974.0237999999999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-3.9717039245974202E-2</v>
      </c>
      <c r="N1526" s="1">
        <f t="shared" si="96"/>
        <v>6167582.7847962175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0</v>
      </c>
      <c r="F1527">
        <v>1061271.909</v>
      </c>
      <c r="G1527">
        <v>9343.3871209999998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0</v>
      </c>
      <c r="N1527" s="1">
        <f t="shared" si="96"/>
        <v>14364512.861575076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6687.0160029999997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5608886.149212081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8114.02243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12640151.701289834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>
        <v>0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0</v>
      </c>
      <c r="O1530" s="1"/>
    </row>
    <row r="1531" spans="1:15" x14ac:dyDescent="0.25">
      <c r="A1531">
        <v>2709</v>
      </c>
      <c r="B1531">
        <v>3819.1996720000002</v>
      </c>
      <c r="C1531">
        <v>0</v>
      </c>
      <c r="D1531">
        <v>27562.909820000001</v>
      </c>
      <c r="E1531" s="1">
        <v>-4.3000000000000003E-6</v>
      </c>
      <c r="F1531">
        <v>477632.16590000002</v>
      </c>
      <c r="G1531" s="1">
        <v>-1.8E-5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0</v>
      </c>
      <c r="M1531" s="1">
        <f t="shared" si="95"/>
        <v>-2.2113136645033712E-2</v>
      </c>
      <c r="N1531" s="1">
        <f t="shared" si="96"/>
        <v>-4.3310986644209404E-2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 s="1">
        <v>3.4799999999999999E-5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5.5843907155223048E-2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6687.0159620000004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8488137.3683166914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 s="1">
        <v>2.4199999999999999E-5</v>
      </c>
      <c r="F1534">
        <v>937190.68590000004</v>
      </c>
      <c r="G1534">
        <v>9805.8607109999994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6.4843690353355091E-2</v>
      </c>
      <c r="N1534" s="1">
        <f t="shared" si="96"/>
        <v>12293675.781030759</v>
      </c>
      <c r="O1534" s="1"/>
    </row>
    <row r="1535" spans="1:15" x14ac:dyDescent="0.25">
      <c r="A1535">
        <v>2713</v>
      </c>
      <c r="B1535">
        <v>12380.487789999999</v>
      </c>
      <c r="C1535">
        <v>0</v>
      </c>
      <c r="D1535">
        <v>106681.13529999999</v>
      </c>
      <c r="E1535" s="1">
        <v>-4.5000000000000001E-6</v>
      </c>
      <c r="F1535">
        <v>762532.4669</v>
      </c>
      <c r="G1535">
        <v>6940.3855100000001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0</v>
      </c>
      <c r="M1535" s="1">
        <f t="shared" si="95"/>
        <v>-4.5579294776613148E-2</v>
      </c>
      <c r="N1535" s="1">
        <f t="shared" si="96"/>
        <v>32891400.057502251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>
        <v>0</v>
      </c>
      <c r="F1536">
        <v>647476.4118</v>
      </c>
      <c r="G1536" s="1">
        <v>-4.1300000000000001E-5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0</v>
      </c>
      <c r="N1536" s="1">
        <f t="shared" si="96"/>
        <v>-7.9363911249343139E-2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 s="1">
        <v>-1.5800000000000001E-5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-4.5771047151742274E-2</v>
      </c>
      <c r="O1537" s="1"/>
    </row>
    <row r="1538" spans="1:15" x14ac:dyDescent="0.25">
      <c r="A1538">
        <v>2718</v>
      </c>
      <c r="B1538">
        <v>20193.95796</v>
      </c>
      <c r="C1538">
        <v>0</v>
      </c>
      <c r="D1538">
        <v>62690.958740000002</v>
      </c>
      <c r="E1538" s="1">
        <v>1.4100000000000001E-6</v>
      </c>
      <c r="F1538">
        <v>490734.4877</v>
      </c>
      <c r="G1538" s="1">
        <v>4.9799999999999998E-5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0</v>
      </c>
      <c r="M1538" s="1">
        <f t="shared" si="95"/>
        <v>1.0166673154191928E-2</v>
      </c>
      <c r="N1538" s="1">
        <f t="shared" si="96"/>
        <v>0.16800908632322636</v>
      </c>
      <c r="O1538" s="1"/>
    </row>
    <row r="1539" spans="1:15" x14ac:dyDescent="0.25">
      <c r="A1539">
        <v>2719</v>
      </c>
      <c r="B1539">
        <v>13285.99884</v>
      </c>
      <c r="C1539">
        <v>0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0</v>
      </c>
      <c r="M1539" s="1">
        <f t="shared" ref="M1539:M1602" si="99">$U$3*$K1539*E1539</f>
        <v>-2.176247412518081E-3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>
        <v>0</v>
      </c>
      <c r="D1540">
        <v>62562.446279999996</v>
      </c>
      <c r="E1540" s="1">
        <v>-4.2899999999999996E-6</v>
      </c>
      <c r="F1540">
        <v>578597.91810000001</v>
      </c>
      <c r="G1540" s="1">
        <v>-3.3300000000000003E-5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0</v>
      </c>
      <c r="M1540" s="1">
        <f t="shared" si="99"/>
        <v>-4.5364646207995678E-2</v>
      </c>
      <c r="N1540" s="1">
        <f t="shared" si="100"/>
        <v>-0.1647586207631126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8853.2450869999993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17528995.965108156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 s="1">
        <v>-9.0699999999999996E-6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-2.6273716129885511E-2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8853.2450349999999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21230887.706834454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>
        <v>0</v>
      </c>
      <c r="F1546">
        <v>916635.02099999995</v>
      </c>
      <c r="G1546">
        <v>13719.256880000001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0</v>
      </c>
      <c r="N1546" s="1">
        <f t="shared" si="100"/>
        <v>52260221.299037702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>
        <v>6980.6233339999999</v>
      </c>
      <c r="F1547">
        <v>979750.39939999999</v>
      </c>
      <c r="G1547">
        <v>2056.8234200000002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43519799.097823359</v>
      </c>
      <c r="N1547" s="1">
        <f t="shared" si="100"/>
        <v>5999752.897237191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>
        <v>9724.5269200000002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42071752.971461907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>
        <v>13530.622170000001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49179731.237602293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>
        <v>14474.93158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29303837.122893054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 s="1">
        <v>1.91E-5</v>
      </c>
      <c r="F1552">
        <v>974259.37600000005</v>
      </c>
      <c r="G1552">
        <v>9261.5015739999999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8.8543397154708478E-2</v>
      </c>
      <c r="N1552" s="1">
        <f t="shared" si="100"/>
        <v>20088517.900906686</v>
      </c>
      <c r="O1552" s="1"/>
    </row>
    <row r="1553" spans="1:15" x14ac:dyDescent="0.25">
      <c r="A1553">
        <v>2737</v>
      </c>
      <c r="B1553">
        <v>22221.072069999998</v>
      </c>
      <c r="C1553">
        <v>0</v>
      </c>
      <c r="D1553">
        <v>55785.996019999999</v>
      </c>
      <c r="E1553" s="1">
        <v>-4.7899999999999999E-6</v>
      </c>
      <c r="F1553">
        <v>675373.7426</v>
      </c>
      <c r="G1553" s="1">
        <v>-3.5599999999999998E-5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0</v>
      </c>
      <c r="M1553" s="1">
        <f t="shared" si="99"/>
        <v>-1.3463165771860195E-2</v>
      </c>
      <c r="N1553" s="1">
        <f t="shared" si="100"/>
        <v>-4.6817191349312157E-2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723.46585700000003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1401491.2662401777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>
        <v>0</v>
      </c>
      <c r="D1556">
        <v>68487.655660000004</v>
      </c>
      <c r="E1556" s="1">
        <v>-4.9599999999999999E-6</v>
      </c>
      <c r="F1556">
        <v>676231.48739999998</v>
      </c>
      <c r="G1556" s="1">
        <v>-3.9900000000000001E-5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0</v>
      </c>
      <c r="M1556" s="1">
        <f t="shared" si="99"/>
        <v>-5.8081199984491528E-3</v>
      </c>
      <c r="N1556" s="1">
        <f t="shared" si="100"/>
        <v>-2.1861022833760322E-2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>
        <v>0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0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6687.0159739999999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13567113.62154091</v>
      </c>
      <c r="O1558" s="1"/>
    </row>
    <row r="1559" spans="1:15" x14ac:dyDescent="0.25">
      <c r="A1559">
        <v>2745</v>
      </c>
      <c r="B1559">
        <v>28609.149140000001</v>
      </c>
      <c r="C1559">
        <v>0</v>
      </c>
      <c r="D1559">
        <v>118532.1306</v>
      </c>
      <c r="E1559" s="1">
        <v>-4.8699999999999998E-5</v>
      </c>
      <c r="F1559">
        <v>798083.47919999994</v>
      </c>
      <c r="G1559">
        <v>830.83354670000006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0</v>
      </c>
      <c r="M1559" s="1">
        <f t="shared" si="99"/>
        <v>-0.31749242867252681</v>
      </c>
      <c r="N1559" s="1">
        <f t="shared" si="100"/>
        <v>2534323.8680526731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 s="1">
        <v>4.9400000000000001E-5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6.9842613902894826E-2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>
        <v>0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0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>
        <v>0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0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 s="1">
        <v>-3.6799999999999999E-6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-6.8355512831984166E-3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 s="1">
        <v>-2.6100000000000001E-5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-8.6533922900462593E-2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 s="1">
        <v>-2.1299999999999999E-5</v>
      </c>
      <c r="F1571">
        <v>981474.29269999999</v>
      </c>
      <c r="G1571">
        <v>3818.041913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-5.9315408247931224E-2</v>
      </c>
      <c r="N1571" s="1">
        <f t="shared" si="100"/>
        <v>4974761.7924980288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>
        <v>0</v>
      </c>
      <c r="F1572">
        <v>714288.50569999998</v>
      </c>
      <c r="G1572">
        <v>3925.9696140000001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0</v>
      </c>
      <c r="N1572" s="1">
        <f t="shared" si="100"/>
        <v>5066287.2686457261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830.83356089999995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3255365.7028021379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 s="1">
        <v>-4.3699999999999998E-5</v>
      </c>
      <c r="F1574">
        <v>981248.4902</v>
      </c>
      <c r="G1574">
        <v>9805.8607260000008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-0.13854372177917282</v>
      </c>
      <c r="N1574" s="1">
        <f t="shared" si="100"/>
        <v>14545706.222921368</v>
      </c>
      <c r="O1574" s="1"/>
    </row>
    <row r="1575" spans="1:15" x14ac:dyDescent="0.25">
      <c r="A1575">
        <v>2765</v>
      </c>
      <c r="B1575">
        <v>15844.888580000001</v>
      </c>
      <c r="C1575">
        <v>0</v>
      </c>
      <c r="D1575">
        <v>209661.09169999999</v>
      </c>
      <c r="E1575">
        <v>0</v>
      </c>
      <c r="F1575">
        <v>862586.21589999995</v>
      </c>
      <c r="G1575">
        <v>6687.0160249999999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0</v>
      </c>
      <c r="M1575" s="1">
        <f t="shared" si="99"/>
        <v>0</v>
      </c>
      <c r="N1575" s="1">
        <f t="shared" si="100"/>
        <v>9518866.7574115861</v>
      </c>
      <c r="O1575" s="1"/>
    </row>
    <row r="1576" spans="1:15" x14ac:dyDescent="0.25">
      <c r="A1576">
        <v>2766</v>
      </c>
      <c r="B1576">
        <v>25930.045470000001</v>
      </c>
      <c r="C1576">
        <v>0</v>
      </c>
      <c r="D1576">
        <v>250353.25750000001</v>
      </c>
      <c r="E1576" s="1">
        <v>3.8399999999999997E-6</v>
      </c>
      <c r="F1576">
        <v>880387.55500000005</v>
      </c>
      <c r="G1576">
        <v>7517.3951569999999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0</v>
      </c>
      <c r="M1576" s="1">
        <f t="shared" si="99"/>
        <v>1.7267736190064255E-2</v>
      </c>
      <c r="N1576" s="1">
        <f t="shared" si="100"/>
        <v>15816676.74117134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 s="1">
        <v>3.3800000000000002E-5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7.5694500662868369E-2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7835.185144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10596122.112932133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 s="1">
        <v>3.3500000000000001E-5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0.10356681405807346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>
        <v>0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0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>
        <v>0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0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>
        <v>0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0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>
        <v>0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0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>
        <v>0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0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>
        <v>0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0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>
        <v>0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0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>
        <v>0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>
        <v>0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0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>
        <v>0</v>
      </c>
      <c r="F1609">
        <v>16107.839040000001</v>
      </c>
      <c r="G1609">
        <v>0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0</v>
      </c>
      <c r="N1609" s="1">
        <f t="shared" si="104"/>
        <v>0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>
        <v>0</v>
      </c>
      <c r="F1613">
        <v>55368.948620000003</v>
      </c>
      <c r="G1613">
        <v>0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0</v>
      </c>
      <c r="N1613" s="1">
        <f t="shared" si="104"/>
        <v>0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>
        <v>0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0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>
        <v>0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0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>
        <v>0</v>
      </c>
      <c r="D1625">
        <v>73758.461169999995</v>
      </c>
      <c r="E1625" s="1">
        <v>-1.5E-6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0</v>
      </c>
      <c r="M1625" s="1">
        <f t="shared" si="103"/>
        <v>-6.9785382159105007E-3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>
        <v>0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0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>
        <v>0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0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>
        <v>0</v>
      </c>
      <c r="F1647">
        <v>25217.743050000001</v>
      </c>
      <c r="G1647">
        <v>0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0</v>
      </c>
      <c r="N1647" s="1">
        <f t="shared" si="104"/>
        <v>0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>
        <v>0</v>
      </c>
      <c r="D1650">
        <v>39743.357889999999</v>
      </c>
      <c r="E1650">
        <v>0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0</v>
      </c>
      <c r="M1650" s="1">
        <f t="shared" si="103"/>
        <v>0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>
        <v>0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0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>
        <v>0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0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>
        <v>0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0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>
        <v>0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0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>
        <v>0</v>
      </c>
      <c r="F1673">
        <v>80806.422460000002</v>
      </c>
      <c r="G1673">
        <v>0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0</v>
      </c>
      <c r="N1673" s="1">
        <f t="shared" si="108"/>
        <v>0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>
        <v>0</v>
      </c>
      <c r="D1676">
        <v>29730.197499999998</v>
      </c>
      <c r="E1676">
        <v>0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0</v>
      </c>
      <c r="M1676" s="1">
        <f t="shared" si="107"/>
        <v>0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>
        <v>0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0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>
        <v>0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0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>
        <v>0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0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>
        <v>0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0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>
        <v>0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0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>
        <v>0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0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>
        <v>0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0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>
        <v>0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0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>
        <v>0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0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>
        <v>0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0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>
        <v>0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0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>
        <v>0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0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>
        <v>0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0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>
        <v>0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0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>
        <v>0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0</v>
      </c>
      <c r="O1737" s="1"/>
    </row>
    <row r="1738" spans="1:15" x14ac:dyDescent="0.25">
      <c r="A1738">
        <v>3207</v>
      </c>
      <c r="B1738">
        <v>218.09424290000001</v>
      </c>
      <c r="C1738">
        <v>0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0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>
        <v>0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0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>
        <v>0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0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>
        <v>0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0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>
        <v>0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0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>
        <v>0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0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>
        <v>0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0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>
        <v>0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0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>
        <v>0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0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>
        <v>0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0</v>
      </c>
      <c r="O1759" s="1"/>
    </row>
    <row r="1760" spans="1:15" x14ac:dyDescent="0.25">
      <c r="A1760">
        <v>3230</v>
      </c>
      <c r="B1760">
        <v>1014.207363</v>
      </c>
      <c r="C1760">
        <v>0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0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>
        <v>0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0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>
        <v>0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0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>
        <v>0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>
        <v>0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0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>
        <v>0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0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>
        <v>0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0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>
        <v>0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0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>
        <v>0</v>
      </c>
      <c r="D1806">
        <v>17400.249210000002</v>
      </c>
      <c r="E1806" s="1">
        <v>-3.0299999999999998E-6</v>
      </c>
      <c r="F1806">
        <v>31078.289219999999</v>
      </c>
      <c r="G1806">
        <v>0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0</v>
      </c>
      <c r="M1806" s="1">
        <f t="shared" si="115"/>
        <v>-4.6853411649211675E-2</v>
      </c>
      <c r="N1806" s="1">
        <f t="shared" si="116"/>
        <v>0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>
        <v>0</v>
      </c>
      <c r="F1812">
        <v>129625.4795</v>
      </c>
      <c r="G1812">
        <v>0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0</v>
      </c>
      <c r="N1812" s="1">
        <f t="shared" si="116"/>
        <v>0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>
        <v>0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0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>
        <v>0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>
        <v>0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0</v>
      </c>
      <c r="O1816" s="1"/>
    </row>
    <row r="1817" spans="1:15" x14ac:dyDescent="0.25">
      <c r="A1817">
        <v>3405</v>
      </c>
      <c r="B1817">
        <v>3325.034971</v>
      </c>
      <c r="C1817">
        <v>0</v>
      </c>
      <c r="D1817">
        <v>36077.549149999999</v>
      </c>
      <c r="E1817" s="1">
        <v>-3.3799999999999998E-6</v>
      </c>
      <c r="F1817">
        <v>100951.6456</v>
      </c>
      <c r="G1817">
        <v>0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0</v>
      </c>
      <c r="M1817" s="1">
        <f t="shared" si="115"/>
        <v>-3.1019651011061931E-2</v>
      </c>
      <c r="N1817" s="1">
        <f t="shared" si="116"/>
        <v>0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>
        <v>0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0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>
        <v>0</v>
      </c>
      <c r="F1820">
        <v>152843.17050000001</v>
      </c>
      <c r="G1820">
        <v>0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0</v>
      </c>
      <c r="N1820" s="1">
        <f t="shared" si="116"/>
        <v>0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>
        <v>0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0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>
        <v>0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0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>
        <v>0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0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>
        <v>0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0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>
        <v>0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0</v>
      </c>
      <c r="O1828" s="1"/>
    </row>
    <row r="1829" spans="1:15" x14ac:dyDescent="0.25">
      <c r="A1829">
        <v>3421</v>
      </c>
      <c r="B1829">
        <v>2424.961198</v>
      </c>
      <c r="C1829">
        <v>0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0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>
        <v>0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0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>
        <v>0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0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>
        <v>0</v>
      </c>
      <c r="F1835">
        <v>101357.433</v>
      </c>
      <c r="G1835">
        <v>0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0</v>
      </c>
      <c r="N1835" s="1">
        <f t="shared" si="116"/>
        <v>0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>
        <v>0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0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>
        <v>0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0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>
        <v>0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0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>
        <v>0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0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>
        <v>0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>
        <v>0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>
        <v>0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0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>
        <v>0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0</v>
      </c>
      <c r="O1847" s="1"/>
    </row>
    <row r="1848" spans="1:15" x14ac:dyDescent="0.25">
      <c r="A1848">
        <v>3444</v>
      </c>
      <c r="B1848">
        <v>2193.3580029999998</v>
      </c>
      <c r="C1848">
        <v>0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0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>
        <v>0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0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>
        <v>0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0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>
        <v>0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>
        <v>0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0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>
        <v>0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0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>
        <v>0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0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>
        <v>0</v>
      </c>
      <c r="F1856">
        <v>414694.20419999998</v>
      </c>
      <c r="G1856">
        <v>0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0</v>
      </c>
      <c r="N1856" s="1">
        <f t="shared" si="116"/>
        <v>0</v>
      </c>
      <c r="O1856" s="1"/>
    </row>
    <row r="1857" spans="1:15" x14ac:dyDescent="0.25">
      <c r="A1857">
        <v>3457</v>
      </c>
      <c r="B1857">
        <v>12880.1101</v>
      </c>
      <c r="C1857">
        <v>0</v>
      </c>
      <c r="D1857">
        <v>83167.117710000006</v>
      </c>
      <c r="E1857" s="1">
        <v>-4.1500000000000001E-6</v>
      </c>
      <c r="F1857">
        <v>270190.18949999998</v>
      </c>
      <c r="G1857">
        <v>0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0</v>
      </c>
      <c r="M1857" s="1">
        <f t="shared" si="115"/>
        <v>-1.271886213454638E-2</v>
      </c>
      <c r="N1857" s="1">
        <f t="shared" si="116"/>
        <v>0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>
        <v>0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0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>
        <v>0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>
        <v>0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>
        <v>0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0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>
        <v>0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</v>
      </c>
      <c r="O1862" s="1"/>
    </row>
    <row r="1863" spans="1:15" x14ac:dyDescent="0.25">
      <c r="A1863">
        <v>3465</v>
      </c>
      <c r="B1863">
        <v>6496.8582100000003</v>
      </c>
      <c r="C1863">
        <v>0</v>
      </c>
      <c r="D1863">
        <v>29057.965800000002</v>
      </c>
      <c r="E1863" s="1">
        <v>3.4999999999999999E-6</v>
      </c>
      <c r="F1863">
        <v>98455.541750000004</v>
      </c>
      <c r="G1863">
        <v>0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0</v>
      </c>
      <c r="M1863" s="1">
        <f t="shared" si="119"/>
        <v>2.5410911327865351E-2</v>
      </c>
      <c r="N1863" s="1">
        <f t="shared" si="120"/>
        <v>0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>
        <v>0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0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>
        <v>0</v>
      </c>
      <c r="F1865">
        <v>118923.0619</v>
      </c>
      <c r="G1865">
        <v>0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0</v>
      </c>
      <c r="N1865" s="1">
        <f t="shared" si="120"/>
        <v>0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>
        <v>0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>
        <v>0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0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>
        <v>0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0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>
        <v>0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0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>
        <v>0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0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>
        <v>0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0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>
        <v>0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</v>
      </c>
      <c r="O1881" s="1"/>
    </row>
    <row r="1882" spans="1:15" x14ac:dyDescent="0.25">
      <c r="A1882">
        <v>3489</v>
      </c>
      <c r="B1882">
        <v>10670.788</v>
      </c>
      <c r="C1882">
        <v>0</v>
      </c>
      <c r="D1882">
        <v>57049.462489999998</v>
      </c>
      <c r="E1882" s="1">
        <v>-8.8899999999999998E-7</v>
      </c>
      <c r="F1882">
        <v>140601.3591</v>
      </c>
      <c r="G1882">
        <v>0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0</v>
      </c>
      <c r="M1882" s="1">
        <f t="shared" si="119"/>
        <v>-8.5087204985802248E-3</v>
      </c>
      <c r="N1882" s="1">
        <f t="shared" si="120"/>
        <v>0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>
        <v>0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>
        <v>0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>
        <v>0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0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>
        <v>0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0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>
        <v>0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0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>
        <v>0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0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>
        <v>0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0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>
        <v>0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>
        <v>0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>
        <v>0</v>
      </c>
      <c r="F1893">
        <v>83884.8802</v>
      </c>
      <c r="G1893">
        <v>0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</v>
      </c>
      <c r="N1893" s="1">
        <f t="shared" si="120"/>
        <v>0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>
        <v>0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>
        <v>0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0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>
        <v>0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0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>
        <v>0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>
        <v>0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0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>
        <v>0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0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>
        <v>0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0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>
        <v>0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0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>
        <v>0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0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>
        <v>0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0</v>
      </c>
      <c r="O1929" s="1"/>
    </row>
    <row r="1930" spans="1:15" x14ac:dyDescent="0.25">
      <c r="A1930">
        <v>3631</v>
      </c>
      <c r="B1930">
        <v>278.31116960000003</v>
      </c>
      <c r="C1930">
        <v>0</v>
      </c>
      <c r="D1930">
        <v>278.31116960000003</v>
      </c>
      <c r="E1930">
        <v>0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0</v>
      </c>
      <c r="M1930" s="1">
        <f t="shared" si="123"/>
        <v>0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>
        <v>0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0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>
        <v>0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0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>
        <v>0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0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>
        <v>0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0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>
        <v>0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0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>
        <v>0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0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>
        <v>0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0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>
        <v>0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0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>
        <v>0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0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>
        <v>0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0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>
        <v>0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0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>
        <v>0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0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>
        <v>0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0</v>
      </c>
      <c r="O1975" s="1"/>
    </row>
    <row r="1976" spans="1:15" x14ac:dyDescent="0.25">
      <c r="A1976">
        <v>3690</v>
      </c>
      <c r="B1976">
        <v>118.6287457</v>
      </c>
      <c r="C1976">
        <v>0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0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>
        <v>0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0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>
        <v>0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0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>
        <v>0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>
        <v>0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0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>
        <v>0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>
        <v>0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0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>
        <v>0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0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>
        <v>0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0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>
        <v>0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0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>
        <v>0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0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>
        <v>0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0</v>
      </c>
      <c r="O2019" s="1"/>
    </row>
    <row r="2020" spans="1:15" x14ac:dyDescent="0.25">
      <c r="A2020">
        <v>3822</v>
      </c>
      <c r="B2020">
        <v>1383.106663</v>
      </c>
      <c r="C2020">
        <v>0</v>
      </c>
      <c r="D2020">
        <v>27670.32561</v>
      </c>
      <c r="E2020" s="1">
        <v>3.89E-6</v>
      </c>
      <c r="F2020">
        <v>64648.230049999998</v>
      </c>
      <c r="G2020">
        <v>0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0</v>
      </c>
      <c r="M2020" s="1">
        <f t="shared" si="127"/>
        <v>4.6064737401879094E-2</v>
      </c>
      <c r="N2020" s="1">
        <f t="shared" si="128"/>
        <v>0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>
        <v>0</v>
      </c>
      <c r="F2026">
        <v>49101.02923</v>
      </c>
      <c r="G2026">
        <v>0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0</v>
      </c>
      <c r="N2026" s="1">
        <f t="shared" si="128"/>
        <v>0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>
        <v>0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0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>
        <v>0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0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>
        <v>0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0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>
        <v>0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0</v>
      </c>
      <c r="O2045" s="1"/>
    </row>
    <row r="2046" spans="1:15" x14ac:dyDescent="0.25">
      <c r="A2046">
        <v>3849</v>
      </c>
      <c r="B2046">
        <v>1681.759323</v>
      </c>
      <c r="C2046">
        <v>0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0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>
        <v>0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>
        <v>0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0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>
        <v>0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0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>
        <v>0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0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>
        <v>0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0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>
        <v>0</v>
      </c>
      <c r="D2062">
        <v>6076.6023059999998</v>
      </c>
      <c r="E2062" s="1">
        <v>-1.86E-7</v>
      </c>
      <c r="F2062">
        <v>61280.375220000002</v>
      </c>
      <c r="G2062">
        <v>0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0</v>
      </c>
      <c r="M2062" s="1">
        <f t="shared" si="131"/>
        <v>-1.8957762751393829E-3</v>
      </c>
      <c r="N2062" s="1">
        <f t="shared" si="132"/>
        <v>0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>
        <v>0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0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>
        <v>0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0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>
        <v>0</v>
      </c>
      <c r="D2070">
        <v>59376.087359999998</v>
      </c>
      <c r="E2070">
        <v>0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0</v>
      </c>
      <c r="M2070" s="1">
        <f t="shared" si="131"/>
        <v>0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>
        <v>0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0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>
        <v>0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0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>
        <v>0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0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>
        <v>0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0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>
        <v>0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0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>
        <v>0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0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>
        <v>0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0</v>
      </c>
      <c r="O2106" s="1"/>
    </row>
    <row r="2107" spans="1:15" x14ac:dyDescent="0.25">
      <c r="A2107">
        <v>3940</v>
      </c>
      <c r="B2107">
        <v>3474.948605</v>
      </c>
      <c r="C2107">
        <v>0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0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>
        <v>0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0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>
        <v>0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0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>
        <v>0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0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>
        <v>0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0</v>
      </c>
      <c r="O2138" s="1"/>
    </row>
    <row r="2139" spans="1:15" x14ac:dyDescent="0.25">
      <c r="A2139">
        <v>3972</v>
      </c>
      <c r="B2139">
        <v>1805.2592910000001</v>
      </c>
      <c r="C2139">
        <v>0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0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>
        <v>0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0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>
        <v>0</v>
      </c>
      <c r="D2147">
        <v>14341.67396</v>
      </c>
      <c r="E2147">
        <v>0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0</v>
      </c>
      <c r="M2147" s="1">
        <f t="shared" si="135"/>
        <v>0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>
        <v>0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0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>
        <v>0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0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>
        <v>0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0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>
        <v>0</v>
      </c>
      <c r="D2154">
        <v>14649.63089</v>
      </c>
      <c r="E2154">
        <v>0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0</v>
      </c>
      <c r="M2154" s="1">
        <f t="shared" si="135"/>
        <v>0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>
        <v>0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0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>
        <v>0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0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>
        <v>0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0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>
        <v>0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0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>
        <v>0</v>
      </c>
      <c r="D2179">
        <v>10885.928739999999</v>
      </c>
      <c r="E2179">
        <v>0</v>
      </c>
      <c r="F2179">
        <v>10885.928819999999</v>
      </c>
      <c r="G2179">
        <v>0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0</v>
      </c>
      <c r="M2179" s="1">
        <f t="shared" ref="M2179:M2242" si="139">$U$3*$K2179*E2179</f>
        <v>0</v>
      </c>
      <c r="N2179" s="1">
        <f t="shared" ref="N2179:N2242" si="140">$U$4*$K2179*G2179</f>
        <v>0</v>
      </c>
      <c r="O2179" s="1"/>
    </row>
    <row r="2180" spans="1:15" x14ac:dyDescent="0.25">
      <c r="A2180">
        <v>4048</v>
      </c>
      <c r="B2180">
        <v>1497.644644</v>
      </c>
      <c r="C2180">
        <v>0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0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>
        <v>0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0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>
        <v>0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0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>
        <v>0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0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>
        <v>0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>
        <v>0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0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0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>
        <v>0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0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>
        <v>0</v>
      </c>
      <c r="F2200">
        <v>982515.70929999999</v>
      </c>
      <c r="G2200">
        <v>0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0</v>
      </c>
      <c r="N2200" s="1">
        <f t="shared" si="140"/>
        <v>0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>
        <v>0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0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>
        <v>0</v>
      </c>
      <c r="F2202">
        <v>548600.78489999997</v>
      </c>
      <c r="G2202">
        <v>0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</v>
      </c>
      <c r="N2202" s="1">
        <f t="shared" si="140"/>
        <v>0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>
        <v>0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0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>
        <v>0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0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>
        <v>0</v>
      </c>
      <c r="F2205">
        <v>601157.3909</v>
      </c>
      <c r="G2205">
        <v>0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0</v>
      </c>
      <c r="N2205" s="1">
        <f t="shared" si="140"/>
        <v>0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>
        <v>0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0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>
        <v>0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0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>
        <v>0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0</v>
      </c>
      <c r="O2212" s="1"/>
    </row>
    <row r="2213" spans="1:15" x14ac:dyDescent="0.25">
      <c r="A2213">
        <v>4120</v>
      </c>
      <c r="B2213">
        <v>17877.405910000001</v>
      </c>
      <c r="C2213">
        <v>0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0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>
        <v>0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>
        <v>0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0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>
        <v>0</v>
      </c>
      <c r="D2220">
        <v>27375.685549999998</v>
      </c>
      <c r="E2220">
        <v>0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0</v>
      </c>
      <c r="M2220" s="1">
        <f t="shared" si="139"/>
        <v>0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>
        <v>0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0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>
        <v>0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0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>
        <v>0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0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>
        <v>0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0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>
        <v>0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0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>
        <v>0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0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>
        <v>0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0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>
        <v>0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0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>
        <v>0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0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>
        <v>0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0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>
        <v>0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0</v>
      </c>
      <c r="O2243" s="1"/>
    </row>
    <row r="2244" spans="1:15" x14ac:dyDescent="0.25">
      <c r="A2244">
        <v>4156</v>
      </c>
      <c r="B2244">
        <v>3140.6219289999999</v>
      </c>
      <c r="C2244">
        <v>0</v>
      </c>
      <c r="D2244">
        <v>27369.947029999999</v>
      </c>
      <c r="E2244" s="1">
        <v>4.3000000000000003E-6</v>
      </c>
      <c r="F2244">
        <v>157289.2273</v>
      </c>
      <c r="G2244">
        <v>0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0</v>
      </c>
      <c r="M2244" s="1">
        <f t="shared" si="143"/>
        <v>3.8383497644204539E-2</v>
      </c>
      <c r="N2244" s="1">
        <f t="shared" si="144"/>
        <v>0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>
        <v>0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0</v>
      </c>
      <c r="O2246" s="1"/>
    </row>
    <row r="2247" spans="1:15" x14ac:dyDescent="0.25">
      <c r="A2247">
        <v>4159</v>
      </c>
      <c r="B2247">
        <v>2719.0611960000001</v>
      </c>
      <c r="C2247">
        <v>0</v>
      </c>
      <c r="D2247">
        <v>30181.518100000001</v>
      </c>
      <c r="E2247" s="1">
        <v>9.9999999999999995E-7</v>
      </c>
      <c r="F2247">
        <v>158926.40479999999</v>
      </c>
      <c r="G2247">
        <v>0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0</v>
      </c>
      <c r="M2247" s="1">
        <f t="shared" si="143"/>
        <v>8.1801204709929E-3</v>
      </c>
      <c r="N2247" s="1">
        <f t="shared" si="144"/>
        <v>0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>
        <v>0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0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>
        <v>0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>
        <v>0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0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>
        <v>0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0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>
        <v>0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0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>
        <v>0</v>
      </c>
      <c r="F2283">
        <v>486.12950310000002</v>
      </c>
      <c r="G2283">
        <v>0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0</v>
      </c>
      <c r="N2283" s="1">
        <f t="shared" si="144"/>
        <v>0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>
        <v>0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0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>
        <v>0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0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>
        <v>0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0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>
        <v>0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0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>
        <v>0</v>
      </c>
      <c r="D2296">
        <v>3508.764091</v>
      </c>
      <c r="E2296">
        <v>0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0</v>
      </c>
      <c r="M2296" s="1">
        <f t="shared" si="143"/>
        <v>0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>
        <v>0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0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>
        <v>0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0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>
        <v>0</v>
      </c>
      <c r="D2308">
        <v>39503.1371</v>
      </c>
      <c r="E2308">
        <v>0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0</v>
      </c>
      <c r="M2308" s="1">
        <f t="shared" si="147"/>
        <v>0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>
        <v>0</v>
      </c>
      <c r="F2309">
        <v>52314.406389999996</v>
      </c>
      <c r="G2309">
        <v>0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0</v>
      </c>
      <c r="N2309" s="1">
        <f t="shared" si="148"/>
        <v>0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>
        <v>0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0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>
        <v>0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0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>
        <v>0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0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>
        <v>0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0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>
        <v>0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0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>
        <v>0</v>
      </c>
      <c r="D2333">
        <v>126326.5105</v>
      </c>
      <c r="E2333">
        <v>0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0</v>
      </c>
      <c r="M2333" s="1">
        <f t="shared" si="147"/>
        <v>0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>
        <v>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0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>
        <v>0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0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>
        <v>0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0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>
        <v>0</v>
      </c>
      <c r="D2346">
        <v>108755.86079999999</v>
      </c>
      <c r="E2346">
        <v>0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</v>
      </c>
      <c r="M2346" s="1">
        <f t="shared" si="147"/>
        <v>0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>
        <v>0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0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>
        <v>0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0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>
        <v>0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0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>
        <v>0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0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>
        <v>0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0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>
        <v>0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0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>
        <v>0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0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>
        <v>0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>
        <v>0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0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>
        <v>0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0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>
        <v>0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0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>
        <v>0</v>
      </c>
      <c r="D2415" s="1">
        <v>4.95E-6</v>
      </c>
      <c r="E2415">
        <v>0</v>
      </c>
      <c r="F2415" s="1">
        <v>4.95E-6</v>
      </c>
      <c r="G2415">
        <v>0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0</v>
      </c>
      <c r="M2415" s="1">
        <f t="shared" si="151"/>
        <v>0</v>
      </c>
      <c r="N2415" s="1">
        <f t="shared" si="152"/>
        <v>0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>
        <v>0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0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>
        <v>0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0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>
        <v>0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0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>
        <v>0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0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>
        <v>0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0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>
        <v>0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0</v>
      </c>
      <c r="O2465" s="1"/>
    </row>
    <row r="2466" spans="1:15" x14ac:dyDescent="0.25">
      <c r="A2466">
        <v>4906</v>
      </c>
      <c r="B2466">
        <v>5369.4526329999999</v>
      </c>
      <c r="C2466">
        <v>0</v>
      </c>
      <c r="D2466">
        <v>28334.315600000002</v>
      </c>
      <c r="E2466">
        <v>0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0</v>
      </c>
      <c r="M2466" s="1">
        <f t="shared" si="155"/>
        <v>0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>
        <v>0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0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>
        <v>0</v>
      </c>
      <c r="F2478">
        <v>5317.9159970000001</v>
      </c>
      <c r="G2478">
        <v>0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0</v>
      </c>
      <c r="N2478" s="1">
        <f t="shared" si="156"/>
        <v>0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>
        <v>0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0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>
        <v>0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0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>
        <v>0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0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>
        <v>0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0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>
        <v>0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0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>
        <v>0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0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>
        <v>0</v>
      </c>
      <c r="D2551">
        <v>6677.418525</v>
      </c>
      <c r="E2551">
        <v>0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0</v>
      </c>
      <c r="M2551" s="1">
        <f t="shared" si="159"/>
        <v>0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>
        <v>0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0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2024-10-24T11:54:58Z</dcterms:modified>
</cp:coreProperties>
</file>