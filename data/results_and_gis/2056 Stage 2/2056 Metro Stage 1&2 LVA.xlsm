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2056 Stage 2\"/>
    </mc:Choice>
  </mc:AlternateContent>
  <xr:revisionPtr revIDLastSave="0" documentId="13_ncr:1_{088C4585-E79E-4658-91FA-4F4B468DFBCC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T16" i="1" l="1"/>
  <c r="U12" i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<sst xmlns="http://schemas.openxmlformats.org/spreadsheetml/2006/main" count="2595" uniqueCount="2587">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</sst>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U23" sqref="U23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2" width="12.5703125" bestFit="1" customWidth="1"/>
    <col min="23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>
        <v>594.94635749999998</v>
      </c>
      <c r="D2">
        <v>637053.04879999999</v>
      </c>
      <c r="E2">
        <v>15016.10651</v>
      </c>
      <c r="F2">
        <v>1099931.1640000001</v>
      </c>
      <c r="G2">
        <v>23824.23314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1254583.6738358124</v>
      </c>
      <c r="M2" s="1">
        <f>$U$3*$K2*E2</f>
        <v>10619945.763382006</v>
      </c>
      <c r="N2" s="1">
        <f>$U$4*$K2*G2</f>
        <v>7883654.2109555854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>
        <v>10833.30486</v>
      </c>
      <c r="D3">
        <v>754544.03890000004</v>
      </c>
      <c r="E3">
        <v>44322.259010000002</v>
      </c>
      <c r="F3">
        <v>1188749.6769999999</v>
      </c>
      <c r="G3">
        <v>30940.879089999999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26226141.817631885</v>
      </c>
      <c r="M3" s="1">
        <f t="shared" ref="M3:M66" si="2">$U$3*$K3*E3</f>
        <v>35986405.125832677</v>
      </c>
      <c r="N3" s="1">
        <f t="shared" ref="N3:N66" si="3">$U$4*$K3*G3</f>
        <v>11754195.352379177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>
        <v>15799.422479999999</v>
      </c>
      <c r="D4">
        <v>912192.62890000001</v>
      </c>
      <c r="E4">
        <v>34957.383220000003</v>
      </c>
      <c r="F4">
        <v>1336597.4709999999</v>
      </c>
      <c r="G4">
        <v>17366.33136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15812538.446385302</v>
      </c>
      <c r="M4" s="1">
        <f t="shared" si="2"/>
        <v>11733901.400852667</v>
      </c>
      <c r="N4" s="1">
        <f t="shared" si="3"/>
        <v>2727440.4715964715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>
        <v>12725.270200000001</v>
      </c>
      <c r="D5">
        <v>1001489.622</v>
      </c>
      <c r="E5">
        <v>49041.549980000003</v>
      </c>
      <c r="F5">
        <v>1434338.5179999999</v>
      </c>
      <c r="G5">
        <v>12807.819799999999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5775295.5363272987</v>
      </c>
      <c r="M5" s="1">
        <f t="shared" si="2"/>
        <v>7464737.241832206</v>
      </c>
      <c r="N5" s="1">
        <f t="shared" si="3"/>
        <v>912156.22054072539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>
        <v>17156.743839999999</v>
      </c>
      <c r="D6">
        <v>987289.85869999998</v>
      </c>
      <c r="E6">
        <v>48816.196640000002</v>
      </c>
      <c r="F6">
        <v>1425828.1129999999</v>
      </c>
      <c r="G6">
        <v>12807.819799999999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18848964.355426718</v>
      </c>
      <c r="M6" s="1">
        <f t="shared" si="2"/>
        <v>17987040.096567359</v>
      </c>
      <c r="N6" s="1">
        <f t="shared" si="3"/>
        <v>2208079.2159178336</v>
      </c>
      <c r="O6" s="1"/>
    </row>
    <row r="7" spans="1:25" x14ac:dyDescent="0.25">
      <c r="A7">
        <v>6</v>
      </c>
      <c r="B7">
        <v>342568.37469999999</v>
      </c>
      <c r="C7">
        <v>4627.9616649999998</v>
      </c>
      <c r="D7">
        <v>676491.53819999995</v>
      </c>
      <c r="E7">
        <v>27745.995269999999</v>
      </c>
      <c r="F7">
        <v>1144015.318</v>
      </c>
      <c r="G7">
        <v>24892.353950000001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3520384.3994832998</v>
      </c>
      <c r="M7" s="1">
        <f t="shared" si="2"/>
        <v>7078541.4536250941</v>
      </c>
      <c r="N7" s="1">
        <f t="shared" si="3"/>
        <v>2971345.25612057</v>
      </c>
      <c r="O7" s="1"/>
    </row>
    <row r="8" spans="1:25" x14ac:dyDescent="0.25">
      <c r="A8">
        <v>7</v>
      </c>
      <c r="B8">
        <v>447450.14120000001</v>
      </c>
      <c r="C8">
        <v>4711.0863239999999</v>
      </c>
      <c r="D8">
        <v>797901.67200000002</v>
      </c>
      <c r="E8">
        <v>28039.769939999998</v>
      </c>
      <c r="F8">
        <v>1224440.2320000001</v>
      </c>
      <c r="G8">
        <v>27727.961319999999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4091867.1340278457</v>
      </c>
      <c r="M8" s="1">
        <f t="shared" si="2"/>
        <v>8168043.542592939</v>
      </c>
      <c r="N8" s="1">
        <f t="shared" si="3"/>
        <v>3779246.4684425159</v>
      </c>
      <c r="O8" s="1"/>
    </row>
    <row r="9" spans="1:25" x14ac:dyDescent="0.25">
      <c r="A9">
        <v>8</v>
      </c>
      <c r="B9">
        <v>395243.76449999999</v>
      </c>
      <c r="C9">
        <v>5486.3973210000004</v>
      </c>
      <c r="D9">
        <v>770947.84470000002</v>
      </c>
      <c r="E9">
        <v>30852.203460000001</v>
      </c>
      <c r="F9">
        <v>1203647.425</v>
      </c>
      <c r="G9">
        <v>29489.39471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4523031.6708911536</v>
      </c>
      <c r="M9" s="1">
        <f t="shared" si="2"/>
        <v>8530445.1870798524</v>
      </c>
      <c r="N9" s="1">
        <f t="shared" si="3"/>
        <v>3815004.4301403887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12122.337100000001</v>
      </c>
      <c r="F10">
        <v>1089044.08</v>
      </c>
      <c r="G10">
        <v>19092.68504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1.6511368906021603E-3</v>
      </c>
      <c r="M10" s="1">
        <f t="shared" si="2"/>
        <v>8832811.9048082903</v>
      </c>
      <c r="N10" s="1">
        <f t="shared" si="3"/>
        <v>6509135.4944121093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>
        <v>4627.9616850000002</v>
      </c>
      <c r="D11">
        <v>718636.73510000005</v>
      </c>
      <c r="E11">
        <v>23633.065429999999</v>
      </c>
      <c r="F11">
        <v>1177436.6510000001</v>
      </c>
      <c r="G11">
        <v>20082.217089999998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4931130.8408007585</v>
      </c>
      <c r="M11" s="1">
        <f t="shared" si="2"/>
        <v>8445394.977674108</v>
      </c>
      <c r="N11" s="1">
        <f t="shared" si="3"/>
        <v>3357803.2410591333</v>
      </c>
      <c r="O11" s="1"/>
      <c r="S11" s="2" t="str" cm="1">
        <f t="array" ref="S11:S16">TRANSPOSE(L1:Q1)</f>
        <v xml:space="preserve">30 Min Lin </v>
      </c>
      <c r="T11" s="6">
        <f>SUM(L2:L2563)/1000000</f>
        <v>86829.89421266818</v>
      </c>
      <c r="U11" s="3">
        <f>SUM(L$374:L$390,L$395:L$399,L$409:L$418)/1000000</f>
        <v>1587.6685918478859</v>
      </c>
      <c r="V11" s="3">
        <f>SUM(L$352:L$377,L$391:L$394)/1000000</f>
        <v>105.87399798661768</v>
      </c>
      <c r="W11" s="3">
        <f>SUM(L$419:L$479)/1000000</f>
        <v>29715.5595371249</v>
      </c>
      <c r="X11" s="3">
        <f>T11-W11-U11-V11</f>
        <v>55420.792085708781</v>
      </c>
      <c r="Y11" t="s">
        <v>12</v>
      </c>
    </row>
    <row r="12" spans="1:25" x14ac:dyDescent="0.25">
      <c r="A12">
        <v>11</v>
      </c>
      <c r="B12">
        <v>337462.87430000002</v>
      </c>
      <c r="C12">
        <v>5606.0123670000003</v>
      </c>
      <c r="D12">
        <v>675140.07010000001</v>
      </c>
      <c r="E12">
        <v>24499.49566</v>
      </c>
      <c r="F12">
        <v>1103143.1740000001</v>
      </c>
      <c r="G12">
        <v>24691.142830000001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7606267.0669982666</v>
      </c>
      <c r="M12" s="1">
        <f t="shared" si="2"/>
        <v>11148534.950802824</v>
      </c>
      <c r="N12" s="1">
        <f t="shared" si="3"/>
        <v>5257091.371649839</v>
      </c>
      <c r="O12" s="1"/>
      <c r="S12" s="2" t="str">
        <v>45 Min Lin</v>
      </c>
      <c r="T12" s="6">
        <f>SUM(M2:M2563)/1000000</f>
        <v>127518.71484672502</v>
      </c>
      <c r="U12" s="3">
        <f>SUM(M$374:M$390,M$395:M$399,M$409:M$418)/1000000</f>
        <v>1406.1928177146219</v>
      </c>
      <c r="V12" s="3">
        <f>SUM(M$352:M$377,M$391:M$394)/1000000</f>
        <v>737.4775899127111</v>
      </c>
      <c r="W12" s="3">
        <f>SUM(M$419:M$479)/1000000</f>
        <v>54764.551975374117</v>
      </c>
      <c r="X12" s="3">
        <f t="shared" ref="X12:X13" si="4">T12-W12-U12-V12</f>
        <v>70610.492463723582</v>
      </c>
      <c r="Y12" s="3"/>
    </row>
    <row r="13" spans="1:25" x14ac:dyDescent="0.25">
      <c r="A13">
        <v>12</v>
      </c>
      <c r="B13">
        <v>357991.37280000001</v>
      </c>
      <c r="C13">
        <v>7666.9351580000002</v>
      </c>
      <c r="D13">
        <v>692904.25670000003</v>
      </c>
      <c r="E13">
        <v>25173.255000000001</v>
      </c>
      <c r="F13">
        <v>1139271.5209999999</v>
      </c>
      <c r="G13">
        <v>23253.25879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7583504.3923877906</v>
      </c>
      <c r="M13" s="1">
        <f t="shared" si="2"/>
        <v>8350849.646525559</v>
      </c>
      <c r="N13" s="1">
        <f t="shared" si="3"/>
        <v>3609265.1861132463</v>
      </c>
      <c r="O13" s="1"/>
      <c r="S13" s="2" t="str">
        <v>60 Min Lin</v>
      </c>
      <c r="T13" s="6">
        <f>SUM(N2:N2563)/1000000</f>
        <v>82069.049819855107</v>
      </c>
      <c r="U13" s="3">
        <f>SUM(N$374:N$390,N$395:N$399,N$409:N$418)/1000000</f>
        <v>1083.7227967726676</v>
      </c>
      <c r="V13" s="3">
        <f>SUM(N$352:N$377,N$391:N$394)/1000000</f>
        <v>822.69181473551555</v>
      </c>
      <c r="W13" s="3">
        <f>SUM(N$419:N$479)/1000000</f>
        <v>28158.707903225892</v>
      </c>
      <c r="X13" s="3">
        <f t="shared" si="4"/>
        <v>52003.927305121033</v>
      </c>
      <c r="Y13" s="4"/>
    </row>
    <row r="14" spans="1:25" x14ac:dyDescent="0.25">
      <c r="A14">
        <v>13</v>
      </c>
      <c r="B14">
        <v>436547.72960000002</v>
      </c>
      <c r="C14">
        <v>9339.5164719999993</v>
      </c>
      <c r="D14">
        <v>839867.22930000001</v>
      </c>
      <c r="E14">
        <v>21069.712599999999</v>
      </c>
      <c r="F14">
        <v>1260453.6569999999</v>
      </c>
      <c r="G14">
        <v>13693.398950000001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3879140.0644697533</v>
      </c>
      <c r="M14" s="1">
        <f t="shared" si="2"/>
        <v>2935031.8419597703</v>
      </c>
      <c r="N14" s="1">
        <f t="shared" si="3"/>
        <v>892501.89109176234</v>
      </c>
      <c r="O14" s="1"/>
      <c r="S14" s="2" t="str">
        <v>30 Min Log</v>
      </c>
      <c r="T14" s="6">
        <f>SUM(U14:X14)</f>
        <v>32630.875842184083</v>
      </c>
      <c r="U14" s="7">
        <f>$V2*$Y$2*(SUM(C$374:C$390,C$395:C$399,C$409:C$418))/(SUM(B$374:B$390,B$395:B$399,B$409:B$418))</f>
        <v>801.34096965740275</v>
      </c>
      <c r="V14" s="7">
        <f>$V2*$Y$3*(SUM(C$352:C$377,C$391:C$394))/(SUM(B$352:B$377,B$391:B$394))</f>
        <v>87.926786977184079</v>
      </c>
      <c r="W14" s="8">
        <f>V2*$Y$4*(SUM(C$419:C$479))/(SUM(B$419:B$479))</f>
        <v>11573.802004186389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20167.806081363109</v>
      </c>
    </row>
    <row r="15" spans="1:25" x14ac:dyDescent="0.25">
      <c r="A15">
        <v>14</v>
      </c>
      <c r="B15">
        <v>477278.10139999999</v>
      </c>
      <c r="C15">
        <v>13666.994339999999</v>
      </c>
      <c r="D15">
        <v>886862.5466</v>
      </c>
      <c r="E15">
        <v>27133.746350000001</v>
      </c>
      <c r="F15">
        <v>1280429.3540000001</v>
      </c>
      <c r="G15">
        <v>13374.74713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9132087.6450934149</v>
      </c>
      <c r="M15" s="1">
        <f t="shared" si="2"/>
        <v>6080649.2707125163</v>
      </c>
      <c r="N15" s="1">
        <f t="shared" si="3"/>
        <v>1402392.0828561641</v>
      </c>
      <c r="O15" s="1"/>
      <c r="S15" s="2" t="str">
        <v>45 Min Log</v>
      </c>
      <c r="T15" s="6">
        <f>SUM(U15:X15)</f>
        <v>24612.587116722367</v>
      </c>
      <c r="U15" s="7">
        <f>$V3*$Y$2*(SUM(E$374:E$390,E$395:E$399,E$409:E$418))/(SUM(D$374:D$390,D$395:D$399,D$409:D$418))</f>
        <v>480.23085300578379</v>
      </c>
      <c r="V15" s="7">
        <f>$V3*$Y$3*(SUM(E$352:E$377,E$391:E$394))/(SUM(D$352:D$377,D$391:D$394))</f>
        <v>137.29233873709325</v>
      </c>
      <c r="W15" s="8">
        <f>V3*$Y$4*(SUM(E$419:E$479))/(SUM(D$419:D$479))</f>
        <v>8055.5003225751771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15939.563602404312</v>
      </c>
    </row>
    <row r="16" spans="1:25" x14ac:dyDescent="0.25">
      <c r="A16">
        <v>15</v>
      </c>
      <c r="B16">
        <v>380423.7929</v>
      </c>
      <c r="C16">
        <v>5998.4223959999999</v>
      </c>
      <c r="D16">
        <v>729459.53590000002</v>
      </c>
      <c r="E16">
        <v>29098.5154</v>
      </c>
      <c r="F16">
        <v>1190614.932</v>
      </c>
      <c r="G16">
        <v>24167.908930000001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4010635.0517574772</v>
      </c>
      <c r="M16" s="1">
        <f t="shared" si="2"/>
        <v>6525143.5354701383</v>
      </c>
      <c r="N16" s="1">
        <f t="shared" si="3"/>
        <v>2535724.059761913</v>
      </c>
      <c r="O16" s="1"/>
      <c r="S16" s="2" t="str">
        <v>60 Min Log</v>
      </c>
      <c r="T16" s="6">
        <f>SUM(U16:X16)</f>
        <v>13051.4529141202</v>
      </c>
      <c r="U16" s="7">
        <f>$V4*$Y$2*(SUM(G$374:G$390,G$395:G$399,G$409:G$418))/(SUM(F$374:F$390,F$395:F$399,F$409:F$418))</f>
        <v>406.69594988242488</v>
      </c>
      <c r="V16" s="7">
        <f>$V4*$Y$3*(SUM(G$352:G$377,G$391:G$394))/(SUM(F$352:F$377,F$391:F$394))</f>
        <v>175.31441802197773</v>
      </c>
      <c r="W16" s="8">
        <f>V4*$Y$4*(SUM(G$419:G$479))/(SUM(F$419:F$479))</f>
        <v>3280.0702714031072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9189.3722748126911</v>
      </c>
    </row>
    <row r="17" spans="1:25" x14ac:dyDescent="0.25">
      <c r="A17">
        <v>16</v>
      </c>
      <c r="B17">
        <v>500344.1017</v>
      </c>
      <c r="C17">
        <v>9195.1564629999993</v>
      </c>
      <c r="D17">
        <v>888591.84479999996</v>
      </c>
      <c r="E17">
        <v>25071.66777</v>
      </c>
      <c r="F17">
        <v>1299324.5079999999</v>
      </c>
      <c r="G17">
        <v>11079.941279999999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7868018.2775861826</v>
      </c>
      <c r="M17" s="1">
        <f t="shared" si="2"/>
        <v>7195029.813221084</v>
      </c>
      <c r="N17" s="1">
        <f t="shared" si="3"/>
        <v>1487751.8895374374</v>
      </c>
      <c r="O17" s="1"/>
    </row>
    <row r="18" spans="1:25" x14ac:dyDescent="0.25">
      <c r="A18">
        <v>17</v>
      </c>
      <c r="B18">
        <v>405817.66460000002</v>
      </c>
      <c r="C18">
        <v>2552.8697360000001</v>
      </c>
      <c r="D18">
        <v>779015.06539999996</v>
      </c>
      <c r="E18">
        <v>21593.398300000001</v>
      </c>
      <c r="F18">
        <v>1207419.095</v>
      </c>
      <c r="G18">
        <v>28226.059580000001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3387147.9846800817</v>
      </c>
      <c r="M18" s="1">
        <f t="shared" si="2"/>
        <v>9608810.9553537946</v>
      </c>
      <c r="N18" s="1">
        <f t="shared" si="3"/>
        <v>5876822.660403735</v>
      </c>
      <c r="O18" s="1"/>
      <c r="T18" cm="1">
        <f t="array" ref="T18:Y18">TRANSPOSE(T11:T16)</f>
        <v>86829.89421266818</v>
      </c>
      <c r="U18">
        <v>127518.71484672502</v>
      </c>
      <c r="V18">
        <v>82069.049819855107</v>
      </c>
      <c r="W18">
        <v>32630.875842184083</v>
      </c>
      <c r="X18">
        <v>24612.587116722367</v>
      </c>
      <c r="Y18">
        <v>13051.4529141202</v>
      </c>
    </row>
    <row r="19" spans="1:25" x14ac:dyDescent="0.25">
      <c r="A19">
        <v>18</v>
      </c>
      <c r="B19">
        <v>445777.7329</v>
      </c>
      <c r="C19">
        <v>29796.626420000001</v>
      </c>
      <c r="D19">
        <v>828799.30909999995</v>
      </c>
      <c r="E19">
        <v>42661.331749999998</v>
      </c>
      <c r="F19">
        <v>1258727.352</v>
      </c>
      <c r="G19">
        <v>31771.42957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30600667.01036917</v>
      </c>
      <c r="M19" s="1">
        <f t="shared" si="2"/>
        <v>14694044.225341043</v>
      </c>
      <c r="N19" s="1">
        <f t="shared" si="3"/>
        <v>5120205.2281464338</v>
      </c>
      <c r="O19" s="1"/>
    </row>
    <row r="20" spans="1:25" x14ac:dyDescent="0.25">
      <c r="A20">
        <v>19</v>
      </c>
      <c r="B20">
        <v>450878.02289999998</v>
      </c>
      <c r="C20">
        <v>24186.467670000002</v>
      </c>
      <c r="D20">
        <v>832070.60530000005</v>
      </c>
      <c r="E20">
        <v>42108.233010000004</v>
      </c>
      <c r="F20">
        <v>1261316.0549999999</v>
      </c>
      <c r="G20">
        <v>31771.42957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93003864.926368266</v>
      </c>
      <c r="M20" s="1">
        <f t="shared" si="2"/>
        <v>54304860.829370208</v>
      </c>
      <c r="N20" s="1">
        <f t="shared" si="3"/>
        <v>19171324.676600233</v>
      </c>
      <c r="O20" s="1"/>
    </row>
    <row r="21" spans="1:25" x14ac:dyDescent="0.25">
      <c r="A21">
        <v>20</v>
      </c>
      <c r="B21">
        <v>502288.82179999998</v>
      </c>
      <c r="C21">
        <v>4824.4155170000004</v>
      </c>
      <c r="D21">
        <v>932607.06099999999</v>
      </c>
      <c r="E21">
        <v>35962.027719999998</v>
      </c>
      <c r="F21">
        <v>1315359.115</v>
      </c>
      <c r="G21">
        <v>12695.24387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4354108.438905553</v>
      </c>
      <c r="M21" s="1">
        <f t="shared" si="2"/>
        <v>10885336.117008306</v>
      </c>
      <c r="N21" s="1">
        <f t="shared" si="3"/>
        <v>1797969.8230648772</v>
      </c>
      <c r="O21" s="1"/>
    </row>
    <row r="22" spans="1:25" x14ac:dyDescent="0.25">
      <c r="A22">
        <v>21</v>
      </c>
      <c r="B22">
        <v>541738.39029999997</v>
      </c>
      <c r="C22">
        <v>5158.4538860000002</v>
      </c>
      <c r="D22">
        <v>967780.33840000001</v>
      </c>
      <c r="E22">
        <v>33360.993909999997</v>
      </c>
      <c r="F22">
        <v>1346300.28</v>
      </c>
      <c r="G22">
        <v>11014.278120000001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2679553.3923429917</v>
      </c>
      <c r="M22" s="1">
        <f t="shared" si="2"/>
        <v>5811991.6341738738</v>
      </c>
      <c r="N22" s="1">
        <f t="shared" si="3"/>
        <v>897812.64195547032</v>
      </c>
      <c r="O22" s="1"/>
    </row>
    <row r="23" spans="1:25" x14ac:dyDescent="0.25">
      <c r="A23">
        <v>22</v>
      </c>
      <c r="B23">
        <v>562585.60560000001</v>
      </c>
      <c r="C23">
        <v>4796.8313939999998</v>
      </c>
      <c r="D23">
        <v>1004964.159</v>
      </c>
      <c r="E23">
        <v>34631.331789999997</v>
      </c>
      <c r="F23">
        <v>1408220.392</v>
      </c>
      <c r="G23">
        <v>12016.35671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3198862.9033923014</v>
      </c>
      <c r="M23" s="1">
        <f t="shared" si="2"/>
        <v>7745572.1573183797</v>
      </c>
      <c r="N23" s="1">
        <f t="shared" si="3"/>
        <v>1257479.1741084242</v>
      </c>
      <c r="O23" s="1"/>
    </row>
    <row r="24" spans="1:25" x14ac:dyDescent="0.25">
      <c r="A24">
        <v>23</v>
      </c>
      <c r="B24">
        <v>564141.62809999997</v>
      </c>
      <c r="C24">
        <v>1716.8400360000001</v>
      </c>
      <c r="D24">
        <v>999994.98849999998</v>
      </c>
      <c r="E24">
        <v>24766.124299999999</v>
      </c>
      <c r="F24">
        <v>1391814.067</v>
      </c>
      <c r="G24">
        <v>7799.1466389999996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1339307.3133734982</v>
      </c>
      <c r="M24" s="1">
        <f t="shared" si="2"/>
        <v>6479650.6760523561</v>
      </c>
      <c r="N24" s="1">
        <f t="shared" si="3"/>
        <v>954738.22128579638</v>
      </c>
      <c r="O24" s="1"/>
    </row>
    <row r="25" spans="1:25" x14ac:dyDescent="0.25">
      <c r="A25">
        <v>24</v>
      </c>
      <c r="B25">
        <v>498597.93070000003</v>
      </c>
      <c r="C25">
        <v>15308.18015</v>
      </c>
      <c r="D25">
        <v>914110.74549999996</v>
      </c>
      <c r="E25">
        <v>42456.986620000003</v>
      </c>
      <c r="F25">
        <v>1321500.5060000001</v>
      </c>
      <c r="G25">
        <v>13374.74713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6292647.7964533251</v>
      </c>
      <c r="M25" s="1">
        <f t="shared" si="2"/>
        <v>5853318.6056635929</v>
      </c>
      <c r="N25" s="1">
        <f t="shared" si="3"/>
        <v>862744.6108064017</v>
      </c>
      <c r="O25" s="1"/>
    </row>
    <row r="26" spans="1:25" x14ac:dyDescent="0.25">
      <c r="A26">
        <v>25</v>
      </c>
      <c r="B26">
        <v>560605.33940000006</v>
      </c>
      <c r="C26">
        <v>26716.3164</v>
      </c>
      <c r="D26">
        <v>1019757.0060000001</v>
      </c>
      <c r="E26">
        <v>49198.257389999999</v>
      </c>
      <c r="F26">
        <v>1429100.459</v>
      </c>
      <c r="G26">
        <v>19988.839499999998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8675726.0790707245</v>
      </c>
      <c r="M26" s="1">
        <f t="shared" si="2"/>
        <v>5358239.3636450917</v>
      </c>
      <c r="N26" s="1">
        <f t="shared" si="3"/>
        <v>1018599.9470825203</v>
      </c>
      <c r="O26" s="1"/>
    </row>
    <row r="27" spans="1:25" x14ac:dyDescent="0.25">
      <c r="A27">
        <v>26</v>
      </c>
      <c r="B27">
        <v>634663.14879999997</v>
      </c>
      <c r="C27">
        <v>9979.6510259999995</v>
      </c>
      <c r="D27">
        <v>1095423.182</v>
      </c>
      <c r="E27">
        <v>21332.42395</v>
      </c>
      <c r="F27">
        <v>1509892.3740000001</v>
      </c>
      <c r="G27">
        <v>10752.56768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8853905.6857780535</v>
      </c>
      <c r="M27" s="1">
        <f t="shared" si="2"/>
        <v>6347502.4847810166</v>
      </c>
      <c r="N27" s="1">
        <f t="shared" si="3"/>
        <v>1496988.7496073074</v>
      </c>
      <c r="O27" s="1"/>
    </row>
    <row r="28" spans="1:25" x14ac:dyDescent="0.25">
      <c r="A28">
        <v>27</v>
      </c>
      <c r="B28">
        <v>555934.62650000001</v>
      </c>
      <c r="C28">
        <v>23735.46125</v>
      </c>
      <c r="D28">
        <v>1002145.927</v>
      </c>
      <c r="E28">
        <v>47058.014580000003</v>
      </c>
      <c r="F28">
        <v>1439892.5109999999</v>
      </c>
      <c r="G28">
        <v>17949.422259999999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5576960.5093436027</v>
      </c>
      <c r="M28" s="1">
        <f t="shared" si="2"/>
        <v>3708315.1071430375</v>
      </c>
      <c r="N28" s="1">
        <f t="shared" si="3"/>
        <v>661815.87908160023</v>
      </c>
      <c r="O28" s="1"/>
    </row>
    <row r="29" spans="1:25" x14ac:dyDescent="0.25">
      <c r="A29">
        <v>28</v>
      </c>
      <c r="B29">
        <v>568716.83239999996</v>
      </c>
      <c r="C29">
        <v>21760.950789999999</v>
      </c>
      <c r="D29">
        <v>1028686.291</v>
      </c>
      <c r="E29">
        <v>43367.031770000001</v>
      </c>
      <c r="F29">
        <v>1452619.673</v>
      </c>
      <c r="G29">
        <v>17210.87239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6635005.5746734431</v>
      </c>
      <c r="M29" s="1">
        <f t="shared" si="2"/>
        <v>4434720.5704846298</v>
      </c>
      <c r="N29" s="1">
        <f t="shared" si="3"/>
        <v>823480.13093408605</v>
      </c>
      <c r="O29" s="1"/>
    </row>
    <row r="30" spans="1:25" x14ac:dyDescent="0.25">
      <c r="A30">
        <v>29</v>
      </c>
      <c r="B30">
        <v>603337.15549999999</v>
      </c>
      <c r="C30">
        <v>38895.646220000002</v>
      </c>
      <c r="D30">
        <v>1089846.081</v>
      </c>
      <c r="E30">
        <v>36238.327619999996</v>
      </c>
      <c r="F30">
        <v>1497092.192</v>
      </c>
      <c r="G30">
        <v>17114.05773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15138142.08077509</v>
      </c>
      <c r="M30" s="1">
        <f t="shared" si="2"/>
        <v>4730236.6606153389</v>
      </c>
      <c r="N30" s="1">
        <f t="shared" si="3"/>
        <v>1045228.8620628108</v>
      </c>
      <c r="O30" s="1"/>
    </row>
    <row r="31" spans="1:25" x14ac:dyDescent="0.25">
      <c r="A31">
        <v>30</v>
      </c>
      <c r="B31">
        <v>575646.05630000005</v>
      </c>
      <c r="C31">
        <v>36342.15597</v>
      </c>
      <c r="D31">
        <v>1050928.7930000001</v>
      </c>
      <c r="E31">
        <v>44556.959479999998</v>
      </c>
      <c r="F31">
        <v>1459115.736</v>
      </c>
      <c r="G31">
        <v>18257.053820000001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37902519.281007387</v>
      </c>
      <c r="M31" s="1">
        <f t="shared" si="2"/>
        <v>15585332.562630773</v>
      </c>
      <c r="N31" s="1">
        <f t="shared" si="3"/>
        <v>2987960.8332204991</v>
      </c>
      <c r="O31" s="1"/>
    </row>
    <row r="32" spans="1:25" x14ac:dyDescent="0.25">
      <c r="A32">
        <v>31</v>
      </c>
      <c r="B32">
        <v>586446.74959999998</v>
      </c>
      <c r="C32">
        <v>18608.33526</v>
      </c>
      <c r="D32">
        <v>1064238.3489999999</v>
      </c>
      <c r="E32">
        <v>33154.26986</v>
      </c>
      <c r="F32">
        <v>1451409.389</v>
      </c>
      <c r="G32">
        <v>15259.28477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17547964.77383389</v>
      </c>
      <c r="M32" s="1">
        <f t="shared" si="2"/>
        <v>10485806.446981922</v>
      </c>
      <c r="N32" s="1">
        <f t="shared" si="3"/>
        <v>2258084.6836319817</v>
      </c>
      <c r="O32" s="1"/>
    </row>
    <row r="33" spans="1:15" x14ac:dyDescent="0.25">
      <c r="A33">
        <v>32</v>
      </c>
      <c r="B33">
        <v>598863.00379999995</v>
      </c>
      <c r="C33">
        <v>13491.83185</v>
      </c>
      <c r="D33">
        <v>1070569.9509999999</v>
      </c>
      <c r="E33">
        <v>23791.105589999999</v>
      </c>
      <c r="F33">
        <v>1475724.1059999999</v>
      </c>
      <c r="G33">
        <v>11902.27325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5566798.5469711171</v>
      </c>
      <c r="M33" s="1">
        <f t="shared" si="2"/>
        <v>3292246.5160767343</v>
      </c>
      <c r="N33" s="1">
        <f t="shared" si="3"/>
        <v>770639.59123623674</v>
      </c>
      <c r="O33" s="1"/>
    </row>
    <row r="34" spans="1:15" x14ac:dyDescent="0.25">
      <c r="A34">
        <v>33</v>
      </c>
      <c r="B34">
        <v>601496.34459999995</v>
      </c>
      <c r="C34">
        <v>12313.338320000001</v>
      </c>
      <c r="D34">
        <v>1058122.304</v>
      </c>
      <c r="E34">
        <v>26319.126690000001</v>
      </c>
      <c r="F34">
        <v>1434478.459</v>
      </c>
      <c r="G34">
        <v>14361.643169999999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5247202.3557376172</v>
      </c>
      <c r="M34" s="1">
        <f t="shared" si="2"/>
        <v>3761548.035344338</v>
      </c>
      <c r="N34" s="1">
        <f t="shared" si="3"/>
        <v>960379.64727323921</v>
      </c>
      <c r="O34" s="1"/>
    </row>
    <row r="35" spans="1:15" x14ac:dyDescent="0.25">
      <c r="A35">
        <v>34</v>
      </c>
      <c r="B35">
        <v>599859.0514</v>
      </c>
      <c r="C35">
        <v>12184.05358</v>
      </c>
      <c r="D35">
        <v>1055031.0719999999</v>
      </c>
      <c r="E35">
        <v>26319.126690000001</v>
      </c>
      <c r="F35">
        <v>1425782.25</v>
      </c>
      <c r="G35">
        <v>11097.44708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5569333.6915571932</v>
      </c>
      <c r="M35" s="1">
        <f t="shared" si="2"/>
        <v>4034837.5249046641</v>
      </c>
      <c r="N35" s="1">
        <f t="shared" si="3"/>
        <v>796015.15736876207</v>
      </c>
      <c r="O35" s="1"/>
    </row>
    <row r="36" spans="1:15" x14ac:dyDescent="0.25">
      <c r="A36">
        <v>35</v>
      </c>
      <c r="B36">
        <v>468243.08049999998</v>
      </c>
      <c r="C36">
        <v>4099.6673179999998</v>
      </c>
      <c r="D36">
        <v>851644.01229999994</v>
      </c>
      <c r="E36">
        <v>33559.828000000001</v>
      </c>
      <c r="F36">
        <v>1265153.023</v>
      </c>
      <c r="G36">
        <v>13449.41783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57512769.979634315</v>
      </c>
      <c r="M36" s="1">
        <f t="shared" si="2"/>
        <v>157898692.0180141</v>
      </c>
      <c r="N36" s="1">
        <f t="shared" si="3"/>
        <v>29607788.531185556</v>
      </c>
      <c r="O36" s="1"/>
    </row>
    <row r="37" spans="1:15" x14ac:dyDescent="0.25">
      <c r="A37">
        <v>36</v>
      </c>
      <c r="B37">
        <v>601905.54110000003</v>
      </c>
      <c r="C37">
        <v>20163.942429999999</v>
      </c>
      <c r="D37">
        <v>1065052.3870000001</v>
      </c>
      <c r="E37">
        <v>34459.259819999999</v>
      </c>
      <c r="F37">
        <v>1484167.2609999999</v>
      </c>
      <c r="G37">
        <v>16846.990539999999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13073952.122075897</v>
      </c>
      <c r="M37" s="1">
        <f t="shared" si="2"/>
        <v>7493427.7274397928</v>
      </c>
      <c r="N37" s="1">
        <f t="shared" si="3"/>
        <v>1714117.4988691558</v>
      </c>
      <c r="O37" s="1"/>
    </row>
    <row r="38" spans="1:15" x14ac:dyDescent="0.25">
      <c r="A38">
        <v>37</v>
      </c>
      <c r="B38">
        <v>632414.45990000002</v>
      </c>
      <c r="C38">
        <v>29429.22035</v>
      </c>
      <c r="D38">
        <v>1115824.4069999999</v>
      </c>
      <c r="E38">
        <v>30916.27736</v>
      </c>
      <c r="F38">
        <v>1533520.737</v>
      </c>
      <c r="G38">
        <v>15025.468430000001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12268150.779707817</v>
      </c>
      <c r="M38" s="1">
        <f t="shared" si="2"/>
        <v>4322456.9843371212</v>
      </c>
      <c r="N38" s="1">
        <f t="shared" si="3"/>
        <v>982913.23669547937</v>
      </c>
      <c r="O38" s="1"/>
    </row>
    <row r="39" spans="1:15" x14ac:dyDescent="0.25">
      <c r="A39">
        <v>38</v>
      </c>
      <c r="B39">
        <v>631246.86849999998</v>
      </c>
      <c r="C39">
        <v>26213.211480000002</v>
      </c>
      <c r="D39">
        <v>1093682.8230000001</v>
      </c>
      <c r="E39">
        <v>29269.64518</v>
      </c>
      <c r="F39">
        <v>1543904.906</v>
      </c>
      <c r="G39">
        <v>14645.202219999999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6499848.2452676622</v>
      </c>
      <c r="M39" s="1">
        <f t="shared" si="2"/>
        <v>2434128.9439980779</v>
      </c>
      <c r="N39" s="1">
        <f t="shared" si="3"/>
        <v>569856.06351951126</v>
      </c>
      <c r="O39" s="1"/>
    </row>
    <row r="40" spans="1:15" x14ac:dyDescent="0.25">
      <c r="A40">
        <v>39</v>
      </c>
      <c r="B40">
        <v>634500.60600000003</v>
      </c>
      <c r="C40">
        <v>35340.320979999997</v>
      </c>
      <c r="D40">
        <v>1110085.9909999999</v>
      </c>
      <c r="E40">
        <v>32845.798349999997</v>
      </c>
      <c r="F40">
        <v>1546883.1910000001</v>
      </c>
      <c r="G40">
        <v>17392.20507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22386509.544669557</v>
      </c>
      <c r="M40" s="1">
        <f t="shared" si="2"/>
        <v>6978126.7583580613</v>
      </c>
      <c r="N40" s="1">
        <f t="shared" si="3"/>
        <v>1728850.1722925403</v>
      </c>
      <c r="O40" s="1"/>
    </row>
    <row r="41" spans="1:15" x14ac:dyDescent="0.25">
      <c r="A41">
        <v>40</v>
      </c>
      <c r="B41">
        <v>654875.77229999995</v>
      </c>
      <c r="C41">
        <v>48995.680590000004</v>
      </c>
      <c r="D41">
        <v>1143140.983</v>
      </c>
      <c r="E41">
        <v>40990.495280000003</v>
      </c>
      <c r="F41">
        <v>1548153.882</v>
      </c>
      <c r="G41">
        <v>17649.459650000001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23204899.211217344</v>
      </c>
      <c r="M41" s="1">
        <f t="shared" si="2"/>
        <v>6511007.4831624003</v>
      </c>
      <c r="N41" s="1">
        <f t="shared" si="3"/>
        <v>1311716.9197412347</v>
      </c>
      <c r="O41" s="1"/>
    </row>
    <row r="42" spans="1:15" x14ac:dyDescent="0.25">
      <c r="A42">
        <v>41</v>
      </c>
      <c r="B42">
        <v>625705.83499999996</v>
      </c>
      <c r="C42">
        <v>40183.785349999998</v>
      </c>
      <c r="D42">
        <v>1120140.4790000001</v>
      </c>
      <c r="E42">
        <v>40496.210209999997</v>
      </c>
      <c r="F42">
        <v>1520121.632</v>
      </c>
      <c r="G42">
        <v>19756.992869999998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9333550.1116680577</v>
      </c>
      <c r="M42" s="1">
        <f t="shared" si="2"/>
        <v>3154667.1060994519</v>
      </c>
      <c r="N42" s="1">
        <f t="shared" si="3"/>
        <v>720118.01633575221</v>
      </c>
      <c r="O42" s="1"/>
    </row>
    <row r="43" spans="1:15" x14ac:dyDescent="0.25">
      <c r="A43">
        <v>42</v>
      </c>
      <c r="B43">
        <v>623032.63529999997</v>
      </c>
      <c r="C43">
        <v>36909.020859999997</v>
      </c>
      <c r="D43">
        <v>1103878.1680000001</v>
      </c>
      <c r="E43">
        <v>47300.826840000002</v>
      </c>
      <c r="F43">
        <v>1498892.7919999999</v>
      </c>
      <c r="G43">
        <v>21084.451539999998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7626382.9314112756</v>
      </c>
      <c r="M43" s="1">
        <f t="shared" si="2"/>
        <v>3277917.0049307346</v>
      </c>
      <c r="N43" s="1">
        <f t="shared" si="3"/>
        <v>683652.1868682463</v>
      </c>
      <c r="O43" s="1"/>
    </row>
    <row r="44" spans="1:15" x14ac:dyDescent="0.25">
      <c r="A44">
        <v>43</v>
      </c>
      <c r="B44">
        <v>613221.04539999994</v>
      </c>
      <c r="C44">
        <v>18776.028429999998</v>
      </c>
      <c r="D44">
        <v>1094689.42</v>
      </c>
      <c r="E44">
        <v>34347.770839999997</v>
      </c>
      <c r="F44">
        <v>1477008.7290000001</v>
      </c>
      <c r="G44">
        <v>16160.234259999999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3904653.9167742152</v>
      </c>
      <c r="M44" s="1">
        <f t="shared" si="2"/>
        <v>2395634.2107291701</v>
      </c>
      <c r="N44" s="1">
        <f t="shared" si="3"/>
        <v>527367.40015424858</v>
      </c>
      <c r="O44" s="1"/>
    </row>
    <row r="45" spans="1:15" x14ac:dyDescent="0.25">
      <c r="A45">
        <v>44</v>
      </c>
      <c r="B45">
        <v>623289.37150000001</v>
      </c>
      <c r="C45">
        <v>14180.880880000001</v>
      </c>
      <c r="D45">
        <v>1093018.0379999999</v>
      </c>
      <c r="E45">
        <v>21482.896720000001</v>
      </c>
      <c r="F45">
        <v>1473073.023</v>
      </c>
      <c r="G45">
        <v>10950.842070000001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5356632.985951772</v>
      </c>
      <c r="M45" s="1">
        <f t="shared" si="2"/>
        <v>2721602.2789675598</v>
      </c>
      <c r="N45" s="1">
        <f t="shared" si="3"/>
        <v>649117.04492553021</v>
      </c>
      <c r="O45" s="1"/>
    </row>
    <row r="46" spans="1:15" x14ac:dyDescent="0.25">
      <c r="A46">
        <v>45</v>
      </c>
      <c r="B46">
        <v>623978.84829999995</v>
      </c>
      <c r="C46">
        <v>12777.844160000001</v>
      </c>
      <c r="D46">
        <v>1081143.4010000001</v>
      </c>
      <c r="E46">
        <v>21262.546829999999</v>
      </c>
      <c r="F46">
        <v>1448935.466</v>
      </c>
      <c r="G46">
        <v>11722.387699999999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9212602.6827407461</v>
      </c>
      <c r="M46" s="1">
        <f t="shared" si="2"/>
        <v>5141421.0874947906</v>
      </c>
      <c r="N46" s="1">
        <f t="shared" si="3"/>
        <v>1326256.8817291856</v>
      </c>
      <c r="O46" s="1"/>
    </row>
    <row r="47" spans="1:15" x14ac:dyDescent="0.25">
      <c r="A47">
        <v>46</v>
      </c>
      <c r="B47">
        <v>683647.95279999997</v>
      </c>
      <c r="C47">
        <v>40782.581380000003</v>
      </c>
      <c r="D47">
        <v>1142893.0830000001</v>
      </c>
      <c r="E47">
        <v>30927.200970000002</v>
      </c>
      <c r="F47">
        <v>1571932.2890000001</v>
      </c>
      <c r="G47">
        <v>13628.144319999999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8124394.8008085946</v>
      </c>
      <c r="M47" s="1">
        <f t="shared" si="2"/>
        <v>2066331.8102635832</v>
      </c>
      <c r="N47" s="1">
        <f t="shared" si="3"/>
        <v>426029.67146852537</v>
      </c>
      <c r="O47" s="1"/>
    </row>
    <row r="48" spans="1:15" x14ac:dyDescent="0.25">
      <c r="A48">
        <v>47</v>
      </c>
      <c r="B48">
        <v>706893.60699999996</v>
      </c>
      <c r="C48">
        <v>62618.681270000001</v>
      </c>
      <c r="D48">
        <v>1181617.9180000001</v>
      </c>
      <c r="E48">
        <v>39743.34031</v>
      </c>
      <c r="F48">
        <v>1576696.86</v>
      </c>
      <c r="G48">
        <v>16673.811819999999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28263566.880493924</v>
      </c>
      <c r="M48" s="1">
        <f t="shared" si="2"/>
        <v>6016314.8278294932</v>
      </c>
      <c r="N48" s="1">
        <f t="shared" si="3"/>
        <v>1180986.036776264</v>
      </c>
      <c r="O48" s="1"/>
    </row>
    <row r="49" spans="1:15" x14ac:dyDescent="0.25">
      <c r="A49">
        <v>48</v>
      </c>
      <c r="B49">
        <v>683325.00210000004</v>
      </c>
      <c r="C49">
        <v>72033.662450000003</v>
      </c>
      <c r="D49">
        <v>1178616.9280000001</v>
      </c>
      <c r="E49">
        <v>44716.413009999997</v>
      </c>
      <c r="F49">
        <v>1583613.334</v>
      </c>
      <c r="G49">
        <v>22681.34836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31370492.048762191</v>
      </c>
      <c r="M49" s="1">
        <f t="shared" si="2"/>
        <v>6531244.3179159109</v>
      </c>
      <c r="N49" s="1">
        <f t="shared" si="3"/>
        <v>1550035.0484992901</v>
      </c>
      <c r="O49" s="1"/>
    </row>
    <row r="50" spans="1:15" x14ac:dyDescent="0.25">
      <c r="A50">
        <v>49</v>
      </c>
      <c r="B50">
        <v>640322.72990000003</v>
      </c>
      <c r="C50">
        <v>50660.336040000002</v>
      </c>
      <c r="D50">
        <v>1134765.5319999999</v>
      </c>
      <c r="E50">
        <v>40630.683539999998</v>
      </c>
      <c r="F50">
        <v>1534006.2720000001</v>
      </c>
      <c r="G50">
        <v>21716.789100000002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21367233.300294824</v>
      </c>
      <c r="M50" s="1">
        <f t="shared" si="2"/>
        <v>5747480.2991007091</v>
      </c>
      <c r="N50" s="1">
        <f t="shared" si="3"/>
        <v>1437350.4013807648</v>
      </c>
      <c r="O50" s="1"/>
    </row>
    <row r="51" spans="1:15" x14ac:dyDescent="0.25">
      <c r="A51">
        <v>50</v>
      </c>
      <c r="B51">
        <v>646642.72640000004</v>
      </c>
      <c r="C51">
        <v>34005.674169999998</v>
      </c>
      <c r="D51">
        <v>1141586.9539999999</v>
      </c>
      <c r="E51">
        <v>29786.964940000002</v>
      </c>
      <c r="F51">
        <v>1537749.9469999999</v>
      </c>
      <c r="G51">
        <v>14694.100930000001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18511181.65871175</v>
      </c>
      <c r="M51" s="1">
        <f t="shared" si="2"/>
        <v>5438162.0484173866</v>
      </c>
      <c r="N51" s="1">
        <f t="shared" si="3"/>
        <v>1255199.0075910178</v>
      </c>
      <c r="O51" s="1"/>
    </row>
    <row r="52" spans="1:15" x14ac:dyDescent="0.25">
      <c r="A52">
        <v>51</v>
      </c>
      <c r="B52">
        <v>636716.86620000005</v>
      </c>
      <c r="C52">
        <v>26506.800459999999</v>
      </c>
      <c r="D52">
        <v>1129001.483</v>
      </c>
      <c r="E52">
        <v>24991.192439999999</v>
      </c>
      <c r="F52">
        <v>1523933.8089999999</v>
      </c>
      <c r="G52">
        <v>12517.70767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10980725.922465205</v>
      </c>
      <c r="M52" s="1">
        <f t="shared" si="2"/>
        <v>3472193.0115770125</v>
      </c>
      <c r="N52" s="1">
        <f t="shared" si="3"/>
        <v>813739.43528433237</v>
      </c>
      <c r="O52" s="1"/>
    </row>
    <row r="53" spans="1:15" x14ac:dyDescent="0.25">
      <c r="A53">
        <v>52</v>
      </c>
      <c r="B53">
        <v>654341.81259999995</v>
      </c>
      <c r="C53">
        <v>28961.50735</v>
      </c>
      <c r="D53">
        <v>1145072.1640000001</v>
      </c>
      <c r="E53">
        <v>28416.789779999999</v>
      </c>
      <c r="F53">
        <v>1535235.7139999999</v>
      </c>
      <c r="G53">
        <v>10534.25101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14339684.821242478</v>
      </c>
      <c r="M53" s="1">
        <f t="shared" si="2"/>
        <v>4718854.5979154659</v>
      </c>
      <c r="N53" s="1">
        <f t="shared" si="3"/>
        <v>818481.60220410279</v>
      </c>
      <c r="O53" s="1"/>
    </row>
    <row r="54" spans="1:15" x14ac:dyDescent="0.25">
      <c r="A54">
        <v>53</v>
      </c>
      <c r="B54">
        <v>558219.8077</v>
      </c>
      <c r="C54">
        <v>17822.33714</v>
      </c>
      <c r="D54">
        <v>989736.83609999996</v>
      </c>
      <c r="E54">
        <v>48816.19659</v>
      </c>
      <c r="F54">
        <v>1433753.9809999999</v>
      </c>
      <c r="G54">
        <v>12807.819799999999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16816412.034832872</v>
      </c>
      <c r="M54" s="1">
        <f t="shared" si="2"/>
        <v>15448124.514529977</v>
      </c>
      <c r="N54" s="1">
        <f t="shared" si="3"/>
        <v>1896403.3280212658</v>
      </c>
      <c r="O54" s="1"/>
    </row>
    <row r="55" spans="1:15" x14ac:dyDescent="0.25">
      <c r="A55">
        <v>54</v>
      </c>
      <c r="B55">
        <v>657888.67310000001</v>
      </c>
      <c r="C55">
        <v>17561.29938</v>
      </c>
      <c r="D55">
        <v>1119389.7080000001</v>
      </c>
      <c r="E55">
        <v>25655.447619999999</v>
      </c>
      <c r="F55">
        <v>1545799.1869999999</v>
      </c>
      <c r="G55">
        <v>13762.078289999999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9770653.2059655655</v>
      </c>
      <c r="M55" s="1">
        <f t="shared" si="2"/>
        <v>4787289.4379856745</v>
      </c>
      <c r="N55" s="1">
        <f t="shared" si="3"/>
        <v>1201538.777744574</v>
      </c>
      <c r="O55" s="1"/>
    </row>
    <row r="56" spans="1:15" x14ac:dyDescent="0.25">
      <c r="A56">
        <v>55</v>
      </c>
      <c r="B56">
        <v>667430.5675</v>
      </c>
      <c r="C56">
        <v>24573.285769999999</v>
      </c>
      <c r="D56">
        <v>1144125.638</v>
      </c>
      <c r="E56">
        <v>26499.092400000001</v>
      </c>
      <c r="F56">
        <v>1567041.3</v>
      </c>
      <c r="G56">
        <v>11152.890530000001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8742647.4667117279</v>
      </c>
      <c r="M56" s="1">
        <f t="shared" si="2"/>
        <v>3161941.7992025134</v>
      </c>
      <c r="N56" s="1">
        <f t="shared" si="3"/>
        <v>622664.33351976215</v>
      </c>
      <c r="O56" s="1"/>
    </row>
    <row r="57" spans="1:15" x14ac:dyDescent="0.25">
      <c r="A57">
        <v>56</v>
      </c>
      <c r="B57">
        <v>703969.06350000005</v>
      </c>
      <c r="C57">
        <v>35539.327389999999</v>
      </c>
      <c r="D57">
        <v>1151677.375</v>
      </c>
      <c r="E57">
        <v>30207.6872</v>
      </c>
      <c r="F57">
        <v>1574381.389</v>
      </c>
      <c r="G57">
        <v>15551.09195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14335405.204629356</v>
      </c>
      <c r="M57" s="1">
        <f t="shared" si="2"/>
        <v>4086592.9509109869</v>
      </c>
      <c r="N57" s="1">
        <f t="shared" si="3"/>
        <v>984347.56980380381</v>
      </c>
      <c r="O57" s="1"/>
    </row>
    <row r="58" spans="1:15" x14ac:dyDescent="0.25">
      <c r="A58">
        <v>57</v>
      </c>
      <c r="B58">
        <v>716864.38890000002</v>
      </c>
      <c r="C58">
        <v>61664.609499999999</v>
      </c>
      <c r="D58">
        <v>1185634.0719999999</v>
      </c>
      <c r="E58">
        <v>40408.384050000001</v>
      </c>
      <c r="F58">
        <v>1577632.6470000001</v>
      </c>
      <c r="G58">
        <v>14706.055469999999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60328647.528820992</v>
      </c>
      <c r="M58" s="1">
        <f t="shared" si="2"/>
        <v>13258739.066940863</v>
      </c>
      <c r="N58" s="1">
        <f t="shared" si="3"/>
        <v>2257722.7984796055</v>
      </c>
      <c r="O58" s="1"/>
    </row>
    <row r="59" spans="1:15" x14ac:dyDescent="0.25">
      <c r="A59">
        <v>58</v>
      </c>
      <c r="B59">
        <v>686818.17420000001</v>
      </c>
      <c r="C59">
        <v>50979.574789999999</v>
      </c>
      <c r="D59">
        <v>1169405.317</v>
      </c>
      <c r="E59">
        <v>41228.822789999998</v>
      </c>
      <c r="F59">
        <v>1569909.8959999999</v>
      </c>
      <c r="G59">
        <v>17177.248540000001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35943310.297972359</v>
      </c>
      <c r="M59" s="1">
        <f t="shared" si="2"/>
        <v>9749131.646023782</v>
      </c>
      <c r="N59" s="1">
        <f t="shared" si="3"/>
        <v>1900475.512216364</v>
      </c>
      <c r="O59" s="1"/>
    </row>
    <row r="60" spans="1:15" x14ac:dyDescent="0.25">
      <c r="A60">
        <v>59</v>
      </c>
      <c r="B60">
        <v>656568.69330000004</v>
      </c>
      <c r="C60">
        <v>33747.955450000001</v>
      </c>
      <c r="D60">
        <v>1144579.612</v>
      </c>
      <c r="E60">
        <v>25952.24207</v>
      </c>
      <c r="F60">
        <v>1547928.307</v>
      </c>
      <c r="G60">
        <v>12472.10642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11369538.862346858</v>
      </c>
      <c r="M60" s="1">
        <f t="shared" si="2"/>
        <v>2932333.7822901541</v>
      </c>
      <c r="N60" s="1">
        <f t="shared" si="3"/>
        <v>659359.10296303965</v>
      </c>
      <c r="O60" s="1"/>
    </row>
    <row r="61" spans="1:15" x14ac:dyDescent="0.25">
      <c r="A61">
        <v>60</v>
      </c>
      <c r="B61">
        <v>659034.6986</v>
      </c>
      <c r="C61" s="1">
        <v>-2.4700000000000001E-5</v>
      </c>
      <c r="D61">
        <v>1077264.7660000001</v>
      </c>
      <c r="E61">
        <v>23018.156299999999</v>
      </c>
      <c r="F61">
        <v>1464171.1089999999</v>
      </c>
      <c r="G61">
        <v>4340.0499799999998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-8.6826517268825763E-3</v>
      </c>
      <c r="M61" s="1">
        <f t="shared" si="2"/>
        <v>2713745.3959159679</v>
      </c>
      <c r="N61" s="1">
        <f t="shared" si="3"/>
        <v>239407.07133401281</v>
      </c>
      <c r="O61" s="1"/>
    </row>
    <row r="62" spans="1:15" x14ac:dyDescent="0.25">
      <c r="A62">
        <v>61</v>
      </c>
      <c r="B62">
        <v>680583.82539999997</v>
      </c>
      <c r="C62">
        <v>27589.00923</v>
      </c>
      <c r="D62">
        <v>1147397.125</v>
      </c>
      <c r="E62">
        <v>19949.946380000001</v>
      </c>
      <c r="F62">
        <v>1531584.226</v>
      </c>
      <c r="G62">
        <v>8994.3807930000003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8583947.0809860863</v>
      </c>
      <c r="M62" s="1">
        <f t="shared" si="2"/>
        <v>2081784.6254844526</v>
      </c>
      <c r="N62" s="1">
        <f t="shared" si="3"/>
        <v>439146.08208872256</v>
      </c>
      <c r="O62" s="1"/>
    </row>
    <row r="63" spans="1:15" x14ac:dyDescent="0.25">
      <c r="A63">
        <v>62</v>
      </c>
      <c r="B63">
        <v>655803.60019999999</v>
      </c>
      <c r="C63">
        <v>22751.30228</v>
      </c>
      <c r="D63">
        <v>1136514.3940000001</v>
      </c>
      <c r="E63">
        <v>25288.460500000001</v>
      </c>
      <c r="F63">
        <v>1523551.2109999999</v>
      </c>
      <c r="G63">
        <v>8712.9661720000004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10401693.924880091</v>
      </c>
      <c r="M63" s="1">
        <f t="shared" si="2"/>
        <v>3877602.9576683538</v>
      </c>
      <c r="N63" s="1">
        <f t="shared" si="3"/>
        <v>625101.660672314</v>
      </c>
      <c r="O63" s="1"/>
    </row>
    <row r="64" spans="1:15" x14ac:dyDescent="0.25">
      <c r="A64">
        <v>63</v>
      </c>
      <c r="B64">
        <v>665915.45920000004</v>
      </c>
      <c r="C64">
        <v>78128.309460000004</v>
      </c>
      <c r="D64">
        <v>1111753.7879999999</v>
      </c>
      <c r="E64">
        <v>79500.020910000007</v>
      </c>
      <c r="F64">
        <v>1494529.0360000001</v>
      </c>
      <c r="G64">
        <v>64307.806259999998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174644250.83821261</v>
      </c>
      <c r="M64" s="1">
        <f t="shared" si="2"/>
        <v>59601370.504730836</v>
      </c>
      <c r="N64" s="1">
        <f t="shared" si="3"/>
        <v>22557781.009314552</v>
      </c>
      <c r="O64" s="1"/>
    </row>
    <row r="65" spans="1:15" x14ac:dyDescent="0.25">
      <c r="A65">
        <v>64</v>
      </c>
      <c r="B65">
        <v>279396.8028</v>
      </c>
      <c r="C65">
        <v>25674.988069999999</v>
      </c>
      <c r="D65">
        <v>633036.03060000006</v>
      </c>
      <c r="E65">
        <v>102160.1274</v>
      </c>
      <c r="F65">
        <v>1100057.0819999999</v>
      </c>
      <c r="G65">
        <v>91505.040479999996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119768346.37911898</v>
      </c>
      <c r="M65" s="1">
        <f t="shared" si="2"/>
        <v>159829288.33820671</v>
      </c>
      <c r="N65" s="1">
        <f t="shared" si="3"/>
        <v>66982852.074014455</v>
      </c>
      <c r="O65" s="1"/>
    </row>
    <row r="66" spans="1:15" x14ac:dyDescent="0.25">
      <c r="A66">
        <v>65</v>
      </c>
      <c r="B66">
        <v>532611.43290000001</v>
      </c>
      <c r="C66">
        <v>16286.51352</v>
      </c>
      <c r="D66">
        <v>938933.34239999996</v>
      </c>
      <c r="E66">
        <v>40547.612220000003</v>
      </c>
      <c r="F66">
        <v>1367756.4140000001</v>
      </c>
      <c r="G66">
        <v>12576.846740000001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7619677.2000301871</v>
      </c>
      <c r="M66" s="1">
        <f t="shared" si="2"/>
        <v>6362339.9513714835</v>
      </c>
      <c r="N66" s="1">
        <f t="shared" si="3"/>
        <v>923351.44450442062</v>
      </c>
      <c r="O66" s="1"/>
    </row>
    <row r="67" spans="1:15" x14ac:dyDescent="0.25">
      <c r="A67">
        <v>66</v>
      </c>
      <c r="B67">
        <v>553286.84589999996</v>
      </c>
      <c r="C67">
        <v>10885.157950000001</v>
      </c>
      <c r="D67">
        <v>975253.5638</v>
      </c>
      <c r="E67">
        <v>41623.874539999997</v>
      </c>
      <c r="F67">
        <v>1406559.6259999999</v>
      </c>
      <c r="G67">
        <v>11481.081109999999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5828531.1705164732</v>
      </c>
      <c r="M67" s="1">
        <f t="shared" ref="M67:M130" si="7">$U$3*$K67*E67</f>
        <v>7474979.895382639</v>
      </c>
      <c r="N67" s="1">
        <f t="shared" ref="N67:N130" si="8">$U$4*$K67*G67</f>
        <v>964703.79797192093</v>
      </c>
      <c r="O67" s="1"/>
    </row>
    <row r="68" spans="1:15" x14ac:dyDescent="0.25">
      <c r="A68">
        <v>67</v>
      </c>
      <c r="B68">
        <v>595570.29410000006</v>
      </c>
      <c r="C68">
        <v>13850.82308</v>
      </c>
      <c r="D68">
        <v>1045099.18</v>
      </c>
      <c r="E68">
        <v>40167.185169999997</v>
      </c>
      <c r="F68">
        <v>1474977.254</v>
      </c>
      <c r="G68">
        <v>16846.990539999999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8969723.8171926681</v>
      </c>
      <c r="M68" s="1">
        <f t="shared" si="7"/>
        <v>8724047.5589776337</v>
      </c>
      <c r="N68" s="1">
        <f t="shared" si="8"/>
        <v>1712034.9893820253</v>
      </c>
      <c r="O68" s="1"/>
    </row>
    <row r="69" spans="1:15" x14ac:dyDescent="0.25">
      <c r="A69">
        <v>68</v>
      </c>
      <c r="B69">
        <v>624702.1311</v>
      </c>
      <c r="C69">
        <v>22261.437760000001</v>
      </c>
      <c r="D69">
        <v>1095124.871</v>
      </c>
      <c r="E69">
        <v>27146.166840000002</v>
      </c>
      <c r="F69">
        <v>1511831.5460000001</v>
      </c>
      <c r="G69">
        <v>14503.99057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10222920.517602801</v>
      </c>
      <c r="M69" s="1">
        <f t="shared" si="7"/>
        <v>4180935.0910297562</v>
      </c>
      <c r="N69" s="1">
        <f t="shared" si="8"/>
        <v>1045192.0510143945</v>
      </c>
      <c r="O69" s="1"/>
    </row>
    <row r="70" spans="1:15" x14ac:dyDescent="0.25">
      <c r="A70">
        <v>69</v>
      </c>
      <c r="B70">
        <v>649439.59880000004</v>
      </c>
      <c r="C70">
        <v>25887.568920000002</v>
      </c>
      <c r="D70">
        <v>1110700.0260000001</v>
      </c>
      <c r="E70">
        <v>28277.070380000001</v>
      </c>
      <c r="F70">
        <v>1540817.6769999999</v>
      </c>
      <c r="G70">
        <v>14567.46766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6874498.9560769331</v>
      </c>
      <c r="M70" s="1">
        <f t="shared" si="7"/>
        <v>2518415.2004593057</v>
      </c>
      <c r="N70" s="1">
        <f t="shared" si="8"/>
        <v>607044.68359041249</v>
      </c>
      <c r="O70" s="1"/>
    </row>
    <row r="71" spans="1:15" x14ac:dyDescent="0.25">
      <c r="A71">
        <v>70</v>
      </c>
      <c r="B71">
        <v>618703.35389999999</v>
      </c>
      <c r="C71">
        <v>20186.92007</v>
      </c>
      <c r="D71">
        <v>1085522.959</v>
      </c>
      <c r="E71">
        <v>28041.7166</v>
      </c>
      <c r="F71">
        <v>1497735.8289999999</v>
      </c>
      <c r="G71">
        <v>14147.49538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5104401.7035937477</v>
      </c>
      <c r="M71" s="1">
        <f t="shared" si="7"/>
        <v>2378058.3921492919</v>
      </c>
      <c r="N71" s="1">
        <f t="shared" si="8"/>
        <v>561359.60432431719</v>
      </c>
      <c r="O71" s="1"/>
    </row>
    <row r="72" spans="1:15" x14ac:dyDescent="0.25">
      <c r="A72">
        <v>71</v>
      </c>
      <c r="B72">
        <v>662425.14839999995</v>
      </c>
      <c r="C72">
        <v>38506.126629999999</v>
      </c>
      <c r="D72">
        <v>1146003.0649999999</v>
      </c>
      <c r="E72">
        <v>30636.590690000001</v>
      </c>
      <c r="F72">
        <v>1563460.0390000001</v>
      </c>
      <c r="G72">
        <v>15155.85601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9411848.995156372</v>
      </c>
      <c r="M72" s="1">
        <f t="shared" si="7"/>
        <v>2511474.0047457782</v>
      </c>
      <c r="N72" s="1">
        <f t="shared" si="8"/>
        <v>581316.16748315492</v>
      </c>
      <c r="O72" s="1"/>
    </row>
    <row r="73" spans="1:15" x14ac:dyDescent="0.25">
      <c r="A73">
        <v>72</v>
      </c>
      <c r="B73">
        <v>624109.89859999996</v>
      </c>
      <c r="C73">
        <v>26614.91244</v>
      </c>
      <c r="D73">
        <v>1119524.284</v>
      </c>
      <c r="E73">
        <v>28040.851879999998</v>
      </c>
      <c r="F73">
        <v>1513477.7</v>
      </c>
      <c r="G73">
        <v>12464.418669999999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9440235.7484169845</v>
      </c>
      <c r="M73" s="1">
        <f t="shared" si="7"/>
        <v>3335739.5834631436</v>
      </c>
      <c r="N73" s="1">
        <f t="shared" si="8"/>
        <v>693771.79773861729</v>
      </c>
      <c r="O73" s="1"/>
    </row>
    <row r="74" spans="1:15" x14ac:dyDescent="0.25">
      <c r="A74">
        <v>73</v>
      </c>
      <c r="B74">
        <v>643838.20460000006</v>
      </c>
      <c r="C74">
        <v>33747.955390000003</v>
      </c>
      <c r="D74">
        <v>1140932.058</v>
      </c>
      <c r="E74">
        <v>28338.577280000001</v>
      </c>
      <c r="F74">
        <v>1544322.327</v>
      </c>
      <c r="G74">
        <v>14327.536340000001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26428187.610229228</v>
      </c>
      <c r="M74" s="1">
        <f t="shared" si="7"/>
        <v>7442881.3320175409</v>
      </c>
      <c r="N74" s="1">
        <f t="shared" si="8"/>
        <v>1760671.1521896482</v>
      </c>
      <c r="O74" s="1"/>
    </row>
    <row r="75" spans="1:15" x14ac:dyDescent="0.25">
      <c r="A75">
        <v>74</v>
      </c>
      <c r="B75">
        <v>653928.64280000003</v>
      </c>
      <c r="C75">
        <v>21721.377090000002</v>
      </c>
      <c r="D75">
        <v>1127760.9809999999</v>
      </c>
      <c r="E75">
        <v>21132.283149999999</v>
      </c>
      <c r="F75">
        <v>1530798.898</v>
      </c>
      <c r="G75">
        <v>10622.367130000001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13567551.72032468</v>
      </c>
      <c r="M75" s="1">
        <f t="shared" si="7"/>
        <v>4426940.5391726596</v>
      </c>
      <c r="N75" s="1">
        <f t="shared" si="8"/>
        <v>1041171.4557509767</v>
      </c>
      <c r="O75" s="1"/>
    </row>
    <row r="76" spans="1:15" x14ac:dyDescent="0.25">
      <c r="A76">
        <v>75</v>
      </c>
      <c r="B76">
        <v>661320.95479999995</v>
      </c>
      <c r="C76">
        <v>34621.305410000001</v>
      </c>
      <c r="D76">
        <v>1129542.2379999999</v>
      </c>
      <c r="E76">
        <v>23580.48458</v>
      </c>
      <c r="F76">
        <v>1519406.298</v>
      </c>
      <c r="G76">
        <v>12595.989159999999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12146040.375058463</v>
      </c>
      <c r="M76" s="1">
        <f t="shared" si="7"/>
        <v>2774515.4269299055</v>
      </c>
      <c r="N76" s="1">
        <f t="shared" si="8"/>
        <v>693442.37117826275</v>
      </c>
      <c r="O76" s="1"/>
    </row>
    <row r="77" spans="1:15" x14ac:dyDescent="0.25">
      <c r="A77">
        <v>76</v>
      </c>
      <c r="B77">
        <v>675412.00450000004</v>
      </c>
      <c r="C77">
        <v>31140.77101</v>
      </c>
      <c r="D77">
        <v>1141519.4240000001</v>
      </c>
      <c r="E77">
        <v>15575.81179</v>
      </c>
      <c r="F77">
        <v>1523316.943</v>
      </c>
      <c r="G77">
        <v>11121.99345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9554493.7583128437</v>
      </c>
      <c r="M77" s="1">
        <f t="shared" si="7"/>
        <v>1602773.479709625</v>
      </c>
      <c r="N77" s="1">
        <f t="shared" si="8"/>
        <v>535485.56749791838</v>
      </c>
      <c r="O77" s="1"/>
    </row>
    <row r="78" spans="1:15" x14ac:dyDescent="0.25">
      <c r="A78">
        <v>77</v>
      </c>
      <c r="B78">
        <v>696186.70669999998</v>
      </c>
      <c r="C78">
        <v>35384.641860000003</v>
      </c>
      <c r="D78">
        <v>1136004.969</v>
      </c>
      <c r="E78">
        <v>46658.112869999997</v>
      </c>
      <c r="F78">
        <v>1508295.5970000001</v>
      </c>
      <c r="G78">
        <v>39625.808980000002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16301537.27432457</v>
      </c>
      <c r="M78" s="1">
        <f t="shared" si="7"/>
        <v>7209150.0238054721</v>
      </c>
      <c r="N78" s="1">
        <f t="shared" si="8"/>
        <v>2864697.1355185215</v>
      </c>
      <c r="O78" s="1"/>
    </row>
    <row r="79" spans="1:15" x14ac:dyDescent="0.25">
      <c r="A79">
        <v>78</v>
      </c>
      <c r="B79">
        <v>559522.71499999997</v>
      </c>
      <c r="C79">
        <v>71472.140100000004</v>
      </c>
      <c r="D79">
        <v>994268.05130000005</v>
      </c>
      <c r="E79">
        <v>107934.909</v>
      </c>
      <c r="F79">
        <v>1407068.567</v>
      </c>
      <c r="G79">
        <v>52311.322899999999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51895533.237725332</v>
      </c>
      <c r="M79" s="1">
        <f t="shared" si="7"/>
        <v>26284411.576981146</v>
      </c>
      <c r="N79" s="1">
        <f t="shared" si="8"/>
        <v>5960404.1783971209</v>
      </c>
      <c r="O79" s="1"/>
    </row>
    <row r="80" spans="1:15" x14ac:dyDescent="0.25">
      <c r="A80">
        <v>79</v>
      </c>
      <c r="B80">
        <v>539763.70719999995</v>
      </c>
      <c r="C80">
        <v>8962.8374189999995</v>
      </c>
      <c r="D80">
        <v>972729.84400000004</v>
      </c>
      <c r="E80">
        <v>36958.424379999997</v>
      </c>
      <c r="F80">
        <v>1384357.105</v>
      </c>
      <c r="G80">
        <v>11068.125959999999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12378899.886911025</v>
      </c>
      <c r="M80" s="1">
        <f t="shared" si="7"/>
        <v>17119580.440860659</v>
      </c>
      <c r="N80" s="1">
        <f t="shared" si="8"/>
        <v>2398818.7793195266</v>
      </c>
      <c r="O80" s="1"/>
    </row>
    <row r="81" spans="1:15" x14ac:dyDescent="0.25">
      <c r="A81">
        <v>80</v>
      </c>
      <c r="B81">
        <v>574092.85419999994</v>
      </c>
      <c r="C81">
        <v>1028.9765190000001</v>
      </c>
      <c r="D81">
        <v>1013672.069</v>
      </c>
      <c r="E81">
        <v>17810.826850000001</v>
      </c>
      <c r="F81">
        <v>1412382.041</v>
      </c>
      <c r="G81">
        <v>10891.755219999999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747967.83367534226</v>
      </c>
      <c r="M81" s="1">
        <f t="shared" si="7"/>
        <v>4342148.5355982222</v>
      </c>
      <c r="N81" s="1">
        <f t="shared" si="8"/>
        <v>1242402.0081381632</v>
      </c>
      <c r="O81" s="1"/>
    </row>
    <row r="82" spans="1:15" x14ac:dyDescent="0.25">
      <c r="A82">
        <v>81</v>
      </c>
      <c r="B82">
        <v>601412.6483</v>
      </c>
      <c r="C82">
        <v>5614.1905539999998</v>
      </c>
      <c r="D82">
        <v>1047764.909</v>
      </c>
      <c r="E82">
        <v>21980.21009</v>
      </c>
      <c r="F82">
        <v>1457872.2919999999</v>
      </c>
      <c r="G82">
        <v>8845.1073450000004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2753168.3973338935</v>
      </c>
      <c r="M82" s="1">
        <f t="shared" si="7"/>
        <v>3615102.3941583736</v>
      </c>
      <c r="N82" s="1">
        <f t="shared" si="8"/>
        <v>680668.33841387939</v>
      </c>
      <c r="O82" s="1"/>
    </row>
    <row r="83" spans="1:15" x14ac:dyDescent="0.25">
      <c r="A83">
        <v>82</v>
      </c>
      <c r="B83">
        <v>628226.8848</v>
      </c>
      <c r="C83">
        <v>8979.127117</v>
      </c>
      <c r="D83">
        <v>1084681.236</v>
      </c>
      <c r="E83">
        <v>22630.626929999999</v>
      </c>
      <c r="F83">
        <v>1514196.9439999999</v>
      </c>
      <c r="G83">
        <v>8788.3482650000005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4916124.3078089505</v>
      </c>
      <c r="M83" s="1">
        <f t="shared" si="7"/>
        <v>4155549.4832204906</v>
      </c>
      <c r="N83" s="1">
        <f t="shared" si="8"/>
        <v>755062.34039239178</v>
      </c>
      <c r="O83" s="1"/>
    </row>
    <row r="84" spans="1:15" x14ac:dyDescent="0.25">
      <c r="A84">
        <v>83</v>
      </c>
      <c r="B84">
        <v>622301.30759999994</v>
      </c>
      <c r="C84">
        <v>14506.52348</v>
      </c>
      <c r="D84">
        <v>1091641.6299999999</v>
      </c>
      <c r="E84">
        <v>25218.794180000001</v>
      </c>
      <c r="F84">
        <v>1493463.81</v>
      </c>
      <c r="G84">
        <v>11703.99886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8043747.6566174943</v>
      </c>
      <c r="M84" s="1">
        <f t="shared" si="7"/>
        <v>4689888.8126141233</v>
      </c>
      <c r="N84" s="1">
        <f t="shared" si="8"/>
        <v>1018394.8123395735</v>
      </c>
      <c r="O84" s="1"/>
    </row>
    <row r="85" spans="1:15" x14ac:dyDescent="0.25">
      <c r="A85">
        <v>84</v>
      </c>
      <c r="B85">
        <v>635368.84180000005</v>
      </c>
      <c r="C85">
        <v>13669.072889999999</v>
      </c>
      <c r="D85">
        <v>1119773.2690000001</v>
      </c>
      <c r="E85">
        <v>21332.42395</v>
      </c>
      <c r="F85">
        <v>1522926.388</v>
      </c>
      <c r="G85">
        <v>9212.6974630000004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7364118.9906527158</v>
      </c>
      <c r="M85" s="1">
        <f t="shared" si="7"/>
        <v>3854473.6485223165</v>
      </c>
      <c r="N85" s="1">
        <f t="shared" si="8"/>
        <v>778852.75880302314</v>
      </c>
      <c r="O85" s="1"/>
    </row>
    <row r="86" spans="1:15" x14ac:dyDescent="0.25">
      <c r="A86">
        <v>85</v>
      </c>
      <c r="B86">
        <v>643156.78170000005</v>
      </c>
      <c r="C86">
        <v>11690.053169999999</v>
      </c>
      <c r="D86">
        <v>1110231.675</v>
      </c>
      <c r="E86">
        <v>20252.1646</v>
      </c>
      <c r="F86">
        <v>1501429.264</v>
      </c>
      <c r="G86">
        <v>7594.4544960000003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5803538.7327175857</v>
      </c>
      <c r="M86" s="1">
        <f t="shared" si="7"/>
        <v>3372026.5561314858</v>
      </c>
      <c r="N86" s="1">
        <f t="shared" si="8"/>
        <v>591643.09486100357</v>
      </c>
      <c r="O86" s="1"/>
    </row>
    <row r="87" spans="1:15" x14ac:dyDescent="0.25">
      <c r="A87">
        <v>86</v>
      </c>
      <c r="B87">
        <v>664435.13749999995</v>
      </c>
      <c r="C87">
        <v>36298.719749999997</v>
      </c>
      <c r="D87">
        <v>1086262.635</v>
      </c>
      <c r="E87">
        <v>45858.547509999997</v>
      </c>
      <c r="F87">
        <v>1481142.2990000001</v>
      </c>
      <c r="G87">
        <v>28133.47855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14301085.364502704</v>
      </c>
      <c r="M87" s="1">
        <f t="shared" si="7"/>
        <v>6059560.4625087092</v>
      </c>
      <c r="N87" s="1">
        <f t="shared" si="8"/>
        <v>1739353.8383607545</v>
      </c>
      <c r="O87" s="1"/>
    </row>
    <row r="88" spans="1:15" x14ac:dyDescent="0.25">
      <c r="A88">
        <v>87</v>
      </c>
      <c r="B88">
        <v>681737.19609999994</v>
      </c>
      <c r="C88">
        <v>35206.633609999997</v>
      </c>
      <c r="D88">
        <v>1109749.132</v>
      </c>
      <c r="E88">
        <v>60739.555090000002</v>
      </c>
      <c r="F88">
        <v>1487923.7250000001</v>
      </c>
      <c r="G88">
        <v>42541.164169999996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13562546.577132488</v>
      </c>
      <c r="M88" s="1">
        <f t="shared" si="7"/>
        <v>7847502.9098869739</v>
      </c>
      <c r="N88" s="1">
        <f t="shared" si="8"/>
        <v>2571656.3157265927</v>
      </c>
      <c r="O88" s="1"/>
    </row>
    <row r="89" spans="1:15" x14ac:dyDescent="0.25">
      <c r="A89">
        <v>88</v>
      </c>
      <c r="B89">
        <v>540322.37150000001</v>
      </c>
      <c r="C89">
        <v>47480.73287</v>
      </c>
      <c r="D89">
        <v>948476.53899999999</v>
      </c>
      <c r="E89">
        <v>102200.3915</v>
      </c>
      <c r="F89">
        <v>1376484.825</v>
      </c>
      <c r="G89">
        <v>53973.354030000002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61631447.170081981</v>
      </c>
      <c r="M89" s="1">
        <f t="shared" si="7"/>
        <v>44491868.836703256</v>
      </c>
      <c r="N89" s="1">
        <f t="shared" si="8"/>
        <v>10993884.598433614</v>
      </c>
      <c r="O89" s="1"/>
    </row>
    <row r="90" spans="1:15" x14ac:dyDescent="0.25">
      <c r="A90">
        <v>89</v>
      </c>
      <c r="B90">
        <v>500885.06209999998</v>
      </c>
      <c r="C90">
        <v>28103.08856</v>
      </c>
      <c r="D90">
        <v>935810.10770000005</v>
      </c>
      <c r="E90">
        <v>41816.840559999997</v>
      </c>
      <c r="F90">
        <v>1341063.328</v>
      </c>
      <c r="G90">
        <v>18261.085490000001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85693892.969756454</v>
      </c>
      <c r="M90" s="1">
        <f t="shared" si="7"/>
        <v>42765167.233139172</v>
      </c>
      <c r="N90" s="1">
        <f t="shared" si="8"/>
        <v>8737943.3659792468</v>
      </c>
      <c r="O90" s="1"/>
    </row>
    <row r="91" spans="1:15" x14ac:dyDescent="0.25">
      <c r="A91">
        <v>90</v>
      </c>
      <c r="B91">
        <v>536905.21440000006</v>
      </c>
      <c r="C91">
        <v>4948.4041180000004</v>
      </c>
      <c r="D91">
        <v>978755.58089999994</v>
      </c>
      <c r="E91">
        <v>25040.089629999999</v>
      </c>
      <c r="F91">
        <v>1357029.52</v>
      </c>
      <c r="G91">
        <v>10830.998250000001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2047265.2944181575</v>
      </c>
      <c r="M91" s="1">
        <f t="shared" si="7"/>
        <v>3474465.3159242244</v>
      </c>
      <c r="N91" s="1">
        <f t="shared" si="8"/>
        <v>703176.36580680602</v>
      </c>
      <c r="O91" s="1"/>
    </row>
    <row r="92" spans="1:15" x14ac:dyDescent="0.25">
      <c r="A92">
        <v>91</v>
      </c>
      <c r="B92">
        <v>507687.76699999999</v>
      </c>
      <c r="C92">
        <v>11603.725060000001</v>
      </c>
      <c r="D92">
        <v>941994.58479999995</v>
      </c>
      <c r="E92">
        <v>24254.881560000002</v>
      </c>
      <c r="F92">
        <v>1336454.125</v>
      </c>
      <c r="G92">
        <v>11653.558139999999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10704940.142717706</v>
      </c>
      <c r="M92" s="1">
        <f t="shared" si="7"/>
        <v>7504626.9466657238</v>
      </c>
      <c r="N92" s="1">
        <f t="shared" si="8"/>
        <v>1687066.3983026985</v>
      </c>
      <c r="O92" s="1"/>
    </row>
    <row r="93" spans="1:15" x14ac:dyDescent="0.25">
      <c r="A93">
        <v>92</v>
      </c>
      <c r="B93">
        <v>627792.07209999999</v>
      </c>
      <c r="C93" s="1">
        <v>1.9599999999999999E-5</v>
      </c>
      <c r="D93">
        <v>1066481.791</v>
      </c>
      <c r="E93">
        <v>18168.72063</v>
      </c>
      <c r="F93">
        <v>1439412.078</v>
      </c>
      <c r="G93">
        <v>7663.7467710000001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1.2069440253525202E-2</v>
      </c>
      <c r="M93" s="1">
        <f t="shared" si="7"/>
        <v>3752308.5409448282</v>
      </c>
      <c r="N93" s="1">
        <f t="shared" si="8"/>
        <v>740557.89989125438</v>
      </c>
      <c r="O93" s="1"/>
    </row>
    <row r="94" spans="1:15" x14ac:dyDescent="0.25">
      <c r="A94">
        <v>93</v>
      </c>
      <c r="B94">
        <v>670392.42839999998</v>
      </c>
      <c r="C94" s="1">
        <v>3.5800000000000003E-5</v>
      </c>
      <c r="D94">
        <v>1110217.6100000001</v>
      </c>
      <c r="E94">
        <v>16251.705830000001</v>
      </c>
      <c r="F94">
        <v>1503735.4680000001</v>
      </c>
      <c r="G94">
        <v>4999.975058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1.45871480606319E-2</v>
      </c>
      <c r="M94" s="1">
        <f t="shared" si="7"/>
        <v>2220902.3008702076</v>
      </c>
      <c r="N94" s="1">
        <f t="shared" si="8"/>
        <v>319699.54447753687</v>
      </c>
      <c r="O94" s="1"/>
    </row>
    <row r="95" spans="1:15" x14ac:dyDescent="0.25">
      <c r="A95">
        <v>94</v>
      </c>
      <c r="B95">
        <v>694974.45360000001</v>
      </c>
      <c r="C95" s="1">
        <v>-2.0299999999999999E-5</v>
      </c>
      <c r="D95">
        <v>1127144.4029999999</v>
      </c>
      <c r="E95">
        <v>17028.48835</v>
      </c>
      <c r="F95">
        <v>1508664.743</v>
      </c>
      <c r="G95">
        <v>5464.6514740000002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-1.01887236331608E-2</v>
      </c>
      <c r="M95" s="1">
        <f t="shared" si="7"/>
        <v>2866440.8069818374</v>
      </c>
      <c r="N95" s="1">
        <f t="shared" si="8"/>
        <v>430400.75856410328</v>
      </c>
      <c r="O95" s="1"/>
    </row>
    <row r="96" spans="1:15" x14ac:dyDescent="0.25">
      <c r="A96">
        <v>95</v>
      </c>
      <c r="B96">
        <v>709154.72730000003</v>
      </c>
      <c r="C96">
        <v>7536.4431759999998</v>
      </c>
      <c r="D96">
        <v>1158650.7520000001</v>
      </c>
      <c r="E96">
        <v>11834.208210000001</v>
      </c>
      <c r="F96">
        <v>1536501.4669999999</v>
      </c>
      <c r="G96">
        <v>8697.665841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2935847.744858596</v>
      </c>
      <c r="M96" s="1">
        <f t="shared" si="7"/>
        <v>1546142.2324244445</v>
      </c>
      <c r="N96" s="1">
        <f t="shared" si="8"/>
        <v>531687.72445445135</v>
      </c>
      <c r="O96" s="1"/>
    </row>
    <row r="97" spans="1:15" x14ac:dyDescent="0.25">
      <c r="A97">
        <v>96</v>
      </c>
      <c r="B97">
        <v>703359.34409999999</v>
      </c>
      <c r="C97">
        <v>6983.3444529999997</v>
      </c>
      <c r="D97">
        <v>1127704.2960000001</v>
      </c>
      <c r="E97">
        <v>18224.694029999999</v>
      </c>
      <c r="F97">
        <v>1500351.817</v>
      </c>
      <c r="G97">
        <v>5464.6514740000002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6369503.3061396182</v>
      </c>
      <c r="M97" s="1">
        <f t="shared" si="7"/>
        <v>5575007.8855161974</v>
      </c>
      <c r="N97" s="1">
        <f t="shared" si="8"/>
        <v>782152.40853768738</v>
      </c>
      <c r="O97" s="1"/>
    </row>
    <row r="98" spans="1:15" x14ac:dyDescent="0.25">
      <c r="A98">
        <v>97</v>
      </c>
      <c r="B98">
        <v>659982.86919999996</v>
      </c>
      <c r="C98">
        <v>17287.055980000001</v>
      </c>
      <c r="D98">
        <v>1110761.828</v>
      </c>
      <c r="E98">
        <v>24443.17584</v>
      </c>
      <c r="F98">
        <v>1479301.534</v>
      </c>
      <c r="G98">
        <v>6871.5567090000004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16163417.98103787</v>
      </c>
      <c r="M98" s="1">
        <f t="shared" si="7"/>
        <v>7665013.6823383598</v>
      </c>
      <c r="N98" s="1">
        <f t="shared" si="8"/>
        <v>1008217.2310302326</v>
      </c>
      <c r="O98" s="1"/>
    </row>
    <row r="99" spans="1:15" x14ac:dyDescent="0.25">
      <c r="A99">
        <v>98</v>
      </c>
      <c r="B99">
        <v>672796.68579999998</v>
      </c>
      <c r="C99">
        <v>20956.79104</v>
      </c>
      <c r="D99">
        <v>1135278.43</v>
      </c>
      <c r="E99">
        <v>18894.571820000001</v>
      </c>
      <c r="F99">
        <v>1479775.085</v>
      </c>
      <c r="G99">
        <v>19370.785670000001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13066532.905971549</v>
      </c>
      <c r="M99" s="1">
        <f t="shared" si="7"/>
        <v>3951079.5612429688</v>
      </c>
      <c r="N99" s="1">
        <f t="shared" si="8"/>
        <v>1895263.6553376031</v>
      </c>
      <c r="O99" s="1"/>
    </row>
    <row r="100" spans="1:15" x14ac:dyDescent="0.25">
      <c r="A100">
        <v>99</v>
      </c>
      <c r="B100">
        <v>579723.35549999995</v>
      </c>
      <c r="C100">
        <v>116243.02069999999</v>
      </c>
      <c r="D100">
        <v>975062.16680000001</v>
      </c>
      <c r="E100">
        <v>161682.82149999999</v>
      </c>
      <c r="F100">
        <v>1368198.202</v>
      </c>
      <c r="G100">
        <v>126951.2879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76390032.202901334</v>
      </c>
      <c r="M100" s="1">
        <f t="shared" si="7"/>
        <v>35635004.862862691</v>
      </c>
      <c r="N100" s="1">
        <f t="shared" si="8"/>
        <v>13091630.290154191</v>
      </c>
      <c r="O100" s="1"/>
    </row>
    <row r="101" spans="1:15" x14ac:dyDescent="0.25">
      <c r="A101">
        <v>100</v>
      </c>
      <c r="B101">
        <v>539643.71189999999</v>
      </c>
      <c r="C101">
        <v>145306.8688</v>
      </c>
      <c r="D101">
        <v>936152.21799999999</v>
      </c>
      <c r="E101">
        <v>180954.73860000001</v>
      </c>
      <c r="F101">
        <v>1327589.4369999999</v>
      </c>
      <c r="G101">
        <v>147250.4589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882103401.67187417</v>
      </c>
      <c r="M101" s="1">
        <f t="shared" si="7"/>
        <v>368422758.4043808</v>
      </c>
      <c r="N101" s="1">
        <f t="shared" si="8"/>
        <v>140273884.7700938</v>
      </c>
      <c r="O101" s="1"/>
    </row>
    <row r="102" spans="1:15" x14ac:dyDescent="0.25">
      <c r="A102">
        <v>101</v>
      </c>
      <c r="B102">
        <v>629217.79200000002</v>
      </c>
      <c r="C102" s="1">
        <v>2.8500000000000002E-5</v>
      </c>
      <c r="D102">
        <v>1046674.302</v>
      </c>
      <c r="E102">
        <v>17936.396570000001</v>
      </c>
      <c r="F102">
        <v>1429219.1310000001</v>
      </c>
      <c r="G102">
        <v>7663.7467710000001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1.4667051054376502E-2</v>
      </c>
      <c r="M102" s="1">
        <f t="shared" si="7"/>
        <v>3095824.1101632342</v>
      </c>
      <c r="N102" s="1">
        <f t="shared" si="8"/>
        <v>618907.72718613478</v>
      </c>
      <c r="O102" s="1"/>
    </row>
    <row r="103" spans="1:15" x14ac:dyDescent="0.25">
      <c r="A103">
        <v>102</v>
      </c>
      <c r="B103">
        <v>642977.14159999997</v>
      </c>
      <c r="C103">
        <v>510.7633763</v>
      </c>
      <c r="D103">
        <v>1093102.5490000001</v>
      </c>
      <c r="E103">
        <v>17260.590090000002</v>
      </c>
      <c r="F103">
        <v>1464864.8829999999</v>
      </c>
      <c r="G103">
        <v>4999.975058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229514.4818281781</v>
      </c>
      <c r="M103" s="1">
        <f t="shared" si="7"/>
        <v>2601292.0906954953</v>
      </c>
      <c r="N103" s="1">
        <f t="shared" si="8"/>
        <v>352569.7093336886</v>
      </c>
      <c r="O103" s="1"/>
    </row>
    <row r="104" spans="1:15" x14ac:dyDescent="0.25">
      <c r="A104">
        <v>103</v>
      </c>
      <c r="B104">
        <v>738848.34259999997</v>
      </c>
      <c r="C104">
        <v>6983.3444820000004</v>
      </c>
      <c r="D104">
        <v>1185230.487</v>
      </c>
      <c r="E104">
        <v>10451.31703</v>
      </c>
      <c r="F104">
        <v>1552085.429</v>
      </c>
      <c r="G104">
        <v>5820.910398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6058627.4707622677</v>
      </c>
      <c r="M104" s="1">
        <f t="shared" si="7"/>
        <v>3041059.675774808</v>
      </c>
      <c r="N104" s="1">
        <f t="shared" si="8"/>
        <v>792480.36938201485</v>
      </c>
      <c r="O104" s="1"/>
    </row>
    <row r="105" spans="1:15" x14ac:dyDescent="0.25">
      <c r="A105">
        <v>104</v>
      </c>
      <c r="B105">
        <v>774605.9852</v>
      </c>
      <c r="C105">
        <v>6983.3444529999997</v>
      </c>
      <c r="D105">
        <v>1185163.237</v>
      </c>
      <c r="E105">
        <v>11211.51641</v>
      </c>
      <c r="F105">
        <v>1567817.226</v>
      </c>
      <c r="G105">
        <v>2538.8704910000001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3647868.7178146467</v>
      </c>
      <c r="M105" s="1">
        <f t="shared" si="7"/>
        <v>1964188.7985401142</v>
      </c>
      <c r="N105" s="1">
        <f t="shared" si="8"/>
        <v>208114.86378845322</v>
      </c>
      <c r="O105" s="1"/>
    </row>
    <row r="106" spans="1:15" x14ac:dyDescent="0.25">
      <c r="A106">
        <v>105</v>
      </c>
      <c r="B106">
        <v>748468.65359999996</v>
      </c>
      <c r="C106">
        <v>7834.2618769999999</v>
      </c>
      <c r="D106">
        <v>1201405.094</v>
      </c>
      <c r="E106">
        <v>13582.802659999999</v>
      </c>
      <c r="F106">
        <v>1543798.993</v>
      </c>
      <c r="G106">
        <v>4829.7070629999998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3688813.6851186594</v>
      </c>
      <c r="M106" s="1">
        <f t="shared" si="7"/>
        <v>2144969.7099554376</v>
      </c>
      <c r="N106" s="1">
        <f t="shared" si="8"/>
        <v>356858.66055851983</v>
      </c>
      <c r="O106" s="1"/>
    </row>
    <row r="107" spans="1:15" x14ac:dyDescent="0.25">
      <c r="A107">
        <v>106</v>
      </c>
      <c r="B107">
        <v>709353.16830000002</v>
      </c>
      <c r="C107">
        <v>6983.3444829999999</v>
      </c>
      <c r="D107">
        <v>1132742.7590000001</v>
      </c>
      <c r="E107">
        <v>17985.895140000001</v>
      </c>
      <c r="F107">
        <v>1490605.067</v>
      </c>
      <c r="G107">
        <v>4715.5086920000003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2256426.2867987636</v>
      </c>
      <c r="M107" s="1">
        <f t="shared" si="7"/>
        <v>1949094.4218835935</v>
      </c>
      <c r="N107" s="1">
        <f t="shared" si="8"/>
        <v>239096.40673312923</v>
      </c>
      <c r="O107" s="1"/>
    </row>
    <row r="108" spans="1:15" x14ac:dyDescent="0.25">
      <c r="A108">
        <v>107</v>
      </c>
      <c r="B108">
        <v>681985.84909999999</v>
      </c>
      <c r="C108">
        <v>25596.869600000002</v>
      </c>
      <c r="D108">
        <v>1070963.4609999999</v>
      </c>
      <c r="E108">
        <v>38529.333709999999</v>
      </c>
      <c r="F108">
        <v>1450881.4029999999</v>
      </c>
      <c r="G108">
        <v>23753.269980000001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160619130.85728082</v>
      </c>
      <c r="M108" s="1">
        <f t="shared" si="7"/>
        <v>81085845.824032515</v>
      </c>
      <c r="N108" s="1">
        <f t="shared" si="8"/>
        <v>23389483.717842285</v>
      </c>
      <c r="O108" s="1"/>
    </row>
    <row r="109" spans="1:15" x14ac:dyDescent="0.25">
      <c r="A109">
        <v>108</v>
      </c>
      <c r="B109">
        <v>479547.31530000002</v>
      </c>
      <c r="C109">
        <v>4800.8602879999999</v>
      </c>
      <c r="D109">
        <v>854858.90399999998</v>
      </c>
      <c r="E109">
        <v>19425.91646</v>
      </c>
      <c r="F109">
        <v>1276790.477</v>
      </c>
      <c r="G109">
        <v>14127.73272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23483042.342114404</v>
      </c>
      <c r="M109" s="1">
        <f t="shared" si="7"/>
        <v>31868377.084013883</v>
      </c>
      <c r="N109" s="1">
        <f t="shared" si="8"/>
        <v>10844126.589975284</v>
      </c>
      <c r="O109" s="1"/>
    </row>
    <row r="110" spans="1:15" x14ac:dyDescent="0.25">
      <c r="A110">
        <v>109</v>
      </c>
      <c r="B110">
        <v>606152.33869999996</v>
      </c>
      <c r="C110">
        <v>104.7317685</v>
      </c>
      <c r="D110">
        <v>1019048.326</v>
      </c>
      <c r="E110">
        <v>16550.883160000001</v>
      </c>
      <c r="F110">
        <v>1396045.5549999999</v>
      </c>
      <c r="G110">
        <v>6460.8621469999998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78195.971729074721</v>
      </c>
      <c r="M110" s="1">
        <f t="shared" si="7"/>
        <v>4144481.9601842235</v>
      </c>
      <c r="N110" s="1">
        <f t="shared" si="8"/>
        <v>756977.95799783268</v>
      </c>
      <c r="O110" s="1"/>
    </row>
    <row r="111" spans="1:15" x14ac:dyDescent="0.25">
      <c r="A111">
        <v>110</v>
      </c>
      <c r="B111">
        <v>635787.79680000001</v>
      </c>
      <c r="C111">
        <v>510.76335189999998</v>
      </c>
      <c r="D111">
        <v>1079069.145</v>
      </c>
      <c r="E111">
        <v>17260.590090000002</v>
      </c>
      <c r="F111">
        <v>1462937.973</v>
      </c>
      <c r="G111">
        <v>4953.5844999999999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344458.58512385603</v>
      </c>
      <c r="M111" s="1">
        <f t="shared" si="7"/>
        <v>3904056.2003874802</v>
      </c>
      <c r="N111" s="1">
        <f t="shared" si="8"/>
        <v>524232.1791040579</v>
      </c>
      <c r="O111" s="1"/>
    </row>
    <row r="112" spans="1:15" x14ac:dyDescent="0.25">
      <c r="A112">
        <v>111</v>
      </c>
      <c r="B112">
        <v>705289.56099999999</v>
      </c>
      <c r="C112">
        <v>1127.162071</v>
      </c>
      <c r="D112">
        <v>1147428.45</v>
      </c>
      <c r="E112">
        <v>8497.4601789999997</v>
      </c>
      <c r="F112">
        <v>1525919.523</v>
      </c>
      <c r="G112">
        <v>8697.665841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834988.37540615152</v>
      </c>
      <c r="M112" s="1">
        <f t="shared" si="7"/>
        <v>2111185.2258710023</v>
      </c>
      <c r="N112" s="1">
        <f t="shared" si="8"/>
        <v>1011075.5223089028</v>
      </c>
      <c r="O112" s="1"/>
    </row>
    <row r="113" spans="1:15" x14ac:dyDescent="0.25">
      <c r="A113">
        <v>112</v>
      </c>
      <c r="B113">
        <v>746292.40090000001</v>
      </c>
      <c r="C113">
        <v>6983.3444369999997</v>
      </c>
      <c r="D113">
        <v>1176071.172</v>
      </c>
      <c r="E113">
        <v>11530.168229999999</v>
      </c>
      <c r="F113">
        <v>1547424.129</v>
      </c>
      <c r="G113">
        <v>8363.3614890000008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2588301.5734032062</v>
      </c>
      <c r="M113" s="1">
        <f t="shared" si="7"/>
        <v>1433277.205662231</v>
      </c>
      <c r="N113" s="1">
        <f t="shared" si="8"/>
        <v>486428.59469477949</v>
      </c>
      <c r="O113" s="1"/>
    </row>
    <row r="114" spans="1:15" x14ac:dyDescent="0.25">
      <c r="A114">
        <v>113</v>
      </c>
      <c r="B114">
        <v>699229.30810000002</v>
      </c>
      <c r="C114" s="1">
        <v>-4.5000000000000003E-5</v>
      </c>
      <c r="D114">
        <v>1121621.2660000001</v>
      </c>
      <c r="E114">
        <v>16419.178769999999</v>
      </c>
      <c r="F114">
        <v>1493192.1939999999</v>
      </c>
      <c r="G114">
        <v>5464.6514740000002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-7.6600215955721258E-3</v>
      </c>
      <c r="M114" s="1">
        <f t="shared" si="7"/>
        <v>937372.15532401833</v>
      </c>
      <c r="N114" s="1">
        <f t="shared" si="8"/>
        <v>145971.06074932427</v>
      </c>
      <c r="O114" s="1"/>
    </row>
    <row r="115" spans="1:15" x14ac:dyDescent="0.25">
      <c r="A115">
        <v>114</v>
      </c>
      <c r="B115">
        <v>646199.41009999998</v>
      </c>
      <c r="C115">
        <v>510.7633313</v>
      </c>
      <c r="D115">
        <v>1090699.76</v>
      </c>
      <c r="E115">
        <v>10286.55431</v>
      </c>
      <c r="F115">
        <v>1462140.9850000001</v>
      </c>
      <c r="G115">
        <v>4999.975058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253364.33782224436</v>
      </c>
      <c r="M115" s="1">
        <f t="shared" si="7"/>
        <v>1711349.9851324719</v>
      </c>
      <c r="N115" s="1">
        <f t="shared" si="8"/>
        <v>389206.80778017495</v>
      </c>
      <c r="O115" s="1"/>
    </row>
    <row r="116" spans="1:15" x14ac:dyDescent="0.25">
      <c r="A116">
        <v>115</v>
      </c>
      <c r="B116">
        <v>679966.50859999994</v>
      </c>
      <c r="C116">
        <v>1127.162063</v>
      </c>
      <c r="D116">
        <v>1062495.635</v>
      </c>
      <c r="E116">
        <v>11396.191440000001</v>
      </c>
      <c r="F116">
        <v>1441018.446</v>
      </c>
      <c r="G116">
        <v>8319.9970269999994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798214.97199077124</v>
      </c>
      <c r="M116" s="1">
        <f t="shared" si="7"/>
        <v>2706676.6687380318</v>
      </c>
      <c r="N116" s="1">
        <f t="shared" si="8"/>
        <v>924577.86617156398</v>
      </c>
      <c r="O116" s="1"/>
    </row>
    <row r="117" spans="1:15" x14ac:dyDescent="0.25">
      <c r="A117">
        <v>116</v>
      </c>
      <c r="B117">
        <v>695264.42579999997</v>
      </c>
      <c r="C117">
        <v>6983.3444399999998</v>
      </c>
      <c r="D117">
        <v>1082534.1059999999</v>
      </c>
      <c r="E117">
        <v>17985.895140000001</v>
      </c>
      <c r="F117">
        <v>1459050.0149999999</v>
      </c>
      <c r="G117">
        <v>5838.621357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3573247.3049049573</v>
      </c>
      <c r="M117" s="1">
        <f t="shared" si="7"/>
        <v>3086560.5819395967</v>
      </c>
      <c r="N117" s="1">
        <f t="shared" si="8"/>
        <v>468809.86107316508</v>
      </c>
      <c r="O117" s="1"/>
    </row>
    <row r="118" spans="1:15" x14ac:dyDescent="0.25">
      <c r="A118">
        <v>117</v>
      </c>
      <c r="B118">
        <v>584761.99340000004</v>
      </c>
      <c r="C118" s="1">
        <v>2.6999999999999999E-5</v>
      </c>
      <c r="D118">
        <v>977111.74540000001</v>
      </c>
      <c r="E118">
        <v>7811.5665650000001</v>
      </c>
      <c r="F118">
        <v>1348966.6359999999</v>
      </c>
      <c r="G118">
        <v>4817.0849930000004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1.7259380127054001E-2</v>
      </c>
      <c r="M118" s="1">
        <f t="shared" si="7"/>
        <v>1674721.9195339181</v>
      </c>
      <c r="N118" s="1">
        <f t="shared" si="8"/>
        <v>483206.26221358718</v>
      </c>
      <c r="O118" s="1"/>
    </row>
    <row r="119" spans="1:15" x14ac:dyDescent="0.25">
      <c r="A119">
        <v>118</v>
      </c>
      <c r="B119">
        <v>632272.4081</v>
      </c>
      <c r="C119" s="1">
        <v>-1.4100000000000001E-5</v>
      </c>
      <c r="D119">
        <v>1036030.019</v>
      </c>
      <c r="E119">
        <v>9529.4043710000005</v>
      </c>
      <c r="F119">
        <v>1418951.0970000001</v>
      </c>
      <c r="G119">
        <v>5460.5086490000003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-9.0202813532578516E-3</v>
      </c>
      <c r="M119" s="1">
        <f t="shared" si="7"/>
        <v>2044607.0992988506</v>
      </c>
      <c r="N119" s="1">
        <f t="shared" si="8"/>
        <v>548177.09582973795</v>
      </c>
      <c r="O119" s="1"/>
    </row>
    <row r="120" spans="1:15" x14ac:dyDescent="0.25">
      <c r="A120">
        <v>119</v>
      </c>
      <c r="B120">
        <v>663612.86560000002</v>
      </c>
      <c r="C120" s="1">
        <v>2.3E-5</v>
      </c>
      <c r="D120">
        <v>1038420.978</v>
      </c>
      <c r="E120">
        <v>7985.6830909999999</v>
      </c>
      <c r="F120">
        <v>1421717.5649999999</v>
      </c>
      <c r="G120">
        <v>5097.7505520000004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1.95464077954275E-2</v>
      </c>
      <c r="M120" s="1">
        <f t="shared" si="7"/>
        <v>2276115.6637015683</v>
      </c>
      <c r="N120" s="1">
        <f t="shared" si="8"/>
        <v>679836.55753399874</v>
      </c>
      <c r="O120" s="1"/>
    </row>
    <row r="121" spans="1:15" x14ac:dyDescent="0.25">
      <c r="A121">
        <v>120</v>
      </c>
      <c r="B121">
        <v>663586.36159999995</v>
      </c>
      <c r="C121" s="1">
        <v>-1.6699999999999999E-5</v>
      </c>
      <c r="D121">
        <v>1015359.84</v>
      </c>
      <c r="E121">
        <v>10996.199989999999</v>
      </c>
      <c r="F121">
        <v>1405286.09</v>
      </c>
      <c r="G121">
        <v>6393.4207210000004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-8.8726634514303491E-3</v>
      </c>
      <c r="M121" s="1">
        <f t="shared" si="7"/>
        <v>1959400.904908743</v>
      </c>
      <c r="N121" s="1">
        <f t="shared" si="8"/>
        <v>533037.34470797668</v>
      </c>
      <c r="O121" s="1"/>
    </row>
    <row r="122" spans="1:15" x14ac:dyDescent="0.25">
      <c r="A122">
        <v>121</v>
      </c>
      <c r="B122">
        <v>679236.84019999998</v>
      </c>
      <c r="C122">
        <v>6983.3444680000002</v>
      </c>
      <c r="D122">
        <v>1059976.821</v>
      </c>
      <c r="E122">
        <v>22666.63838</v>
      </c>
      <c r="F122">
        <v>1451094.6869999999</v>
      </c>
      <c r="G122">
        <v>6400.269593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2441533.0892560137</v>
      </c>
      <c r="M122" s="1">
        <f t="shared" si="7"/>
        <v>2657843.4837045101</v>
      </c>
      <c r="N122" s="1">
        <f t="shared" si="8"/>
        <v>351143.17555778107</v>
      </c>
      <c r="O122" s="1"/>
    </row>
    <row r="123" spans="1:15" x14ac:dyDescent="0.25">
      <c r="A123">
        <v>122</v>
      </c>
      <c r="B123">
        <v>668175.5527</v>
      </c>
      <c r="C123">
        <v>8248.8209509999997</v>
      </c>
      <c r="D123">
        <v>1031419.366</v>
      </c>
      <c r="E123">
        <v>32609.46516</v>
      </c>
      <c r="F123">
        <v>1433666.7709999999</v>
      </c>
      <c r="G123">
        <v>11436.148569999999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3611786.8778816708</v>
      </c>
      <c r="M123" s="1">
        <f t="shared" si="7"/>
        <v>4788693.6186989984</v>
      </c>
      <c r="N123" s="1">
        <f t="shared" si="8"/>
        <v>785772.53116018558</v>
      </c>
      <c r="O123" s="1"/>
    </row>
    <row r="124" spans="1:15" x14ac:dyDescent="0.25">
      <c r="A124">
        <v>123</v>
      </c>
      <c r="B124">
        <v>626318.17180000001</v>
      </c>
      <c r="C124">
        <v>17288.49411</v>
      </c>
      <c r="D124">
        <v>978561.15289999999</v>
      </c>
      <c r="E124">
        <v>46890.078759999997</v>
      </c>
      <c r="F124">
        <v>1386317.4650000001</v>
      </c>
      <c r="G124">
        <v>35519.095589999997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8875674.9970663693</v>
      </c>
      <c r="M124" s="1">
        <f t="shared" si="7"/>
        <v>8073620.3599873995</v>
      </c>
      <c r="N124" s="1">
        <f t="shared" si="8"/>
        <v>2861494.6544886678</v>
      </c>
      <c r="O124" s="1"/>
    </row>
    <row r="125" spans="1:15" x14ac:dyDescent="0.25">
      <c r="A125">
        <v>124</v>
      </c>
      <c r="B125">
        <v>614657.81920000003</v>
      </c>
      <c r="C125">
        <v>43708.52044</v>
      </c>
      <c r="D125">
        <v>960189.37789999996</v>
      </c>
      <c r="E125">
        <v>64752.966339999999</v>
      </c>
      <c r="F125">
        <v>1355654.39</v>
      </c>
      <c r="G125">
        <v>59842.074630000003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14436780.94661838</v>
      </c>
      <c r="M125" s="1">
        <f t="shared" si="7"/>
        <v>7173102.9915680308</v>
      </c>
      <c r="N125" s="1">
        <f t="shared" si="8"/>
        <v>3101685.2000837489</v>
      </c>
      <c r="O125" s="1"/>
    </row>
    <row r="126" spans="1:15" x14ac:dyDescent="0.25">
      <c r="A126">
        <v>125</v>
      </c>
      <c r="B126">
        <v>549709.18810000003</v>
      </c>
      <c r="C126" s="1">
        <v>1.01E-5</v>
      </c>
      <c r="D126">
        <v>933838.61970000004</v>
      </c>
      <c r="E126">
        <v>16676.47536</v>
      </c>
      <c r="F126">
        <v>1327194.1980000001</v>
      </c>
      <c r="G126">
        <v>8875.9397489999992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1.7436592699175E-2</v>
      </c>
      <c r="M126" s="1">
        <f t="shared" si="7"/>
        <v>9655786.4516697973</v>
      </c>
      <c r="N126" s="1">
        <f t="shared" si="8"/>
        <v>2404592.066264207</v>
      </c>
      <c r="O126" s="1"/>
    </row>
    <row r="127" spans="1:15" x14ac:dyDescent="0.25">
      <c r="A127">
        <v>126</v>
      </c>
      <c r="B127">
        <v>577774.50600000005</v>
      </c>
      <c r="C127" s="1">
        <v>1.2099999999999999E-5</v>
      </c>
      <c r="D127">
        <v>942037.46070000005</v>
      </c>
      <c r="E127">
        <v>11490.4503</v>
      </c>
      <c r="F127">
        <v>1333285.6129999999</v>
      </c>
      <c r="G127">
        <v>5696.3126099999999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5.6983322312416504E-3</v>
      </c>
      <c r="M127" s="1">
        <f t="shared" si="7"/>
        <v>1814857.7137344594</v>
      </c>
      <c r="N127" s="1">
        <f t="shared" si="8"/>
        <v>420962.12815876765</v>
      </c>
      <c r="O127" s="1"/>
    </row>
    <row r="128" spans="1:15" x14ac:dyDescent="0.25">
      <c r="A128">
        <v>127</v>
      </c>
      <c r="B128">
        <v>617046.87990000006</v>
      </c>
      <c r="C128">
        <v>104.73169369999999</v>
      </c>
      <c r="D128">
        <v>1016686.696</v>
      </c>
      <c r="E128">
        <v>8104.3602380000002</v>
      </c>
      <c r="F128">
        <v>1382263.2620000001</v>
      </c>
      <c r="G128">
        <v>5471.1933049999998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28820.326491630582</v>
      </c>
      <c r="M128" s="1">
        <f t="shared" si="7"/>
        <v>747967.3551352967</v>
      </c>
      <c r="N128" s="1">
        <f t="shared" si="8"/>
        <v>236259.69768573699</v>
      </c>
      <c r="O128" s="1"/>
    </row>
    <row r="129" spans="1:15" x14ac:dyDescent="0.25">
      <c r="A129">
        <v>128</v>
      </c>
      <c r="B129">
        <v>637911.85930000001</v>
      </c>
      <c r="C129">
        <v>510.76334079999998</v>
      </c>
      <c r="D129">
        <v>1033739.204</v>
      </c>
      <c r="E129">
        <v>7468.0246319999997</v>
      </c>
      <c r="F129">
        <v>1395808.2690000001</v>
      </c>
      <c r="G129">
        <v>4401.3513700000003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98413.878992680053</v>
      </c>
      <c r="M129" s="1">
        <f t="shared" si="7"/>
        <v>482597.99099524401</v>
      </c>
      <c r="N129" s="1">
        <f t="shared" si="8"/>
        <v>133078.98712544635</v>
      </c>
      <c r="O129" s="1"/>
    </row>
    <row r="130" spans="1:15" x14ac:dyDescent="0.25">
      <c r="A130">
        <v>129</v>
      </c>
      <c r="B130">
        <v>654747.41839999997</v>
      </c>
      <c r="C130" s="1">
        <v>-6.7399999999999998E-6</v>
      </c>
      <c r="D130">
        <v>1057052.6910000001</v>
      </c>
      <c r="E130">
        <v>7818.9721060000002</v>
      </c>
      <c r="F130">
        <v>1432855.5519999999</v>
      </c>
      <c r="G130">
        <v>2064.2776210000002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-3.0907855738587751E-3</v>
      </c>
      <c r="M130" s="1">
        <f t="shared" si="7"/>
        <v>1202546.2289210488</v>
      </c>
      <c r="N130" s="1">
        <f t="shared" si="8"/>
        <v>148547.00482206894</v>
      </c>
      <c r="O130" s="1"/>
    </row>
    <row r="131" spans="1:15" x14ac:dyDescent="0.25">
      <c r="A131">
        <v>130</v>
      </c>
      <c r="B131">
        <v>639290.65890000004</v>
      </c>
      <c r="C131">
        <v>0</v>
      </c>
      <c r="D131">
        <v>1034202.718</v>
      </c>
      <c r="E131">
        <v>8641.9423999999999</v>
      </c>
      <c r="F131">
        <v>1405441.311</v>
      </c>
      <c r="G131">
        <v>7665.547458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0</v>
      </c>
      <c r="M131" s="1">
        <f t="shared" ref="M131:M194" si="11">$U$3*$K131*E131</f>
        <v>2138656.5874215174</v>
      </c>
      <c r="N131" s="1">
        <f t="shared" ref="N131:N194" si="12">$U$4*$K131*G131</f>
        <v>887598.4626261231</v>
      </c>
      <c r="O131" s="1"/>
    </row>
    <row r="132" spans="1:15" x14ac:dyDescent="0.25">
      <c r="A132">
        <v>131</v>
      </c>
      <c r="B132">
        <v>616418.23600000003</v>
      </c>
      <c r="C132">
        <v>6983.3444769999996</v>
      </c>
      <c r="D132">
        <v>993193.01930000004</v>
      </c>
      <c r="E132">
        <v>14483.33661</v>
      </c>
      <c r="F132">
        <v>1404673.152</v>
      </c>
      <c r="G132">
        <v>6905.8287350000001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4105634.4147045235</v>
      </c>
      <c r="M132" s="1">
        <f t="shared" si="11"/>
        <v>2855805.1390179466</v>
      </c>
      <c r="N132" s="1">
        <f t="shared" si="12"/>
        <v>637117.34451880201</v>
      </c>
      <c r="O132" s="1"/>
    </row>
    <row r="133" spans="1:15" x14ac:dyDescent="0.25">
      <c r="A133">
        <v>132</v>
      </c>
      <c r="B133">
        <v>642089.01930000004</v>
      </c>
      <c r="C133">
        <v>8797.1445270000004</v>
      </c>
      <c r="D133">
        <v>990589.44629999995</v>
      </c>
      <c r="E133">
        <v>29258.234710000001</v>
      </c>
      <c r="F133">
        <v>1408307.291</v>
      </c>
      <c r="G133">
        <v>19117.894230000002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5749439.9864379605</v>
      </c>
      <c r="M133" s="1">
        <f t="shared" si="11"/>
        <v>6413204.2924465518</v>
      </c>
      <c r="N133" s="1">
        <f t="shared" si="12"/>
        <v>1960697.9184106521</v>
      </c>
      <c r="O133" s="1"/>
    </row>
    <row r="134" spans="1:15" x14ac:dyDescent="0.25">
      <c r="A134">
        <v>133</v>
      </c>
      <c r="B134">
        <v>645309.62470000004</v>
      </c>
      <c r="C134" s="1">
        <v>3.26E-5</v>
      </c>
      <c r="D134">
        <v>1041246.2439999999</v>
      </c>
      <c r="E134">
        <v>8641.9423999999999</v>
      </c>
      <c r="F134">
        <v>1426175.077</v>
      </c>
      <c r="G134">
        <v>5402.1375959999996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1.25055697660855E-2</v>
      </c>
      <c r="M134" s="1">
        <f t="shared" si="11"/>
        <v>1111835.1186548814</v>
      </c>
      <c r="N134" s="1">
        <f t="shared" si="12"/>
        <v>325190.86722334515</v>
      </c>
      <c r="O134" s="1"/>
    </row>
    <row r="135" spans="1:15" x14ac:dyDescent="0.25">
      <c r="A135">
        <v>134</v>
      </c>
      <c r="B135">
        <v>677362.09600000002</v>
      </c>
      <c r="C135" s="1">
        <v>-2.0999999999999999E-5</v>
      </c>
      <c r="D135">
        <v>1089775.298</v>
      </c>
      <c r="E135">
        <v>15107.36901</v>
      </c>
      <c r="F135">
        <v>1473526.0689999999</v>
      </c>
      <c r="G135">
        <v>6216.9856840000002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-4.3106653403131495E-2</v>
      </c>
      <c r="M135" s="1">
        <f t="shared" si="11"/>
        <v>10400566.308051795</v>
      </c>
      <c r="N135" s="1">
        <f t="shared" si="12"/>
        <v>2002588.3958554342</v>
      </c>
      <c r="O135" s="1"/>
    </row>
    <row r="136" spans="1:15" x14ac:dyDescent="0.25">
      <c r="A136">
        <v>135</v>
      </c>
      <c r="B136">
        <v>617862.22849999997</v>
      </c>
      <c r="C136">
        <v>0</v>
      </c>
      <c r="D136">
        <v>1006591.963</v>
      </c>
      <c r="E136">
        <v>8641.9423999999999</v>
      </c>
      <c r="F136">
        <v>1401314.7949999999</v>
      </c>
      <c r="G136">
        <v>5402.1375959999996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0</v>
      </c>
      <c r="M136" s="1">
        <f t="shared" si="11"/>
        <v>1865764.9367645346</v>
      </c>
      <c r="N136" s="1">
        <f t="shared" si="12"/>
        <v>545701.16345614404</v>
      </c>
      <c r="O136" s="1"/>
    </row>
    <row r="137" spans="1:15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9273.3069919999998</v>
      </c>
      <c r="F137">
        <v>1271853.504</v>
      </c>
      <c r="G137">
        <v>9024.2819080000008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-3.9260725454392E-2</v>
      </c>
      <c r="M137" s="1">
        <f t="shared" si="11"/>
        <v>3815804.5024543675</v>
      </c>
      <c r="N137" s="1">
        <f t="shared" si="12"/>
        <v>1737431.9783715643</v>
      </c>
      <c r="O137" s="1"/>
    </row>
    <row r="138" spans="1:15" x14ac:dyDescent="0.25">
      <c r="A138">
        <v>137</v>
      </c>
      <c r="B138">
        <v>617862.22849999997</v>
      </c>
      <c r="C138">
        <v>0</v>
      </c>
      <c r="D138">
        <v>1006828.188</v>
      </c>
      <c r="E138">
        <v>8641.9423999999999</v>
      </c>
      <c r="F138">
        <v>1403728.7620000001</v>
      </c>
      <c r="G138">
        <v>5402.1375959999996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0</v>
      </c>
      <c r="M138" s="1">
        <f t="shared" si="11"/>
        <v>585707.10662620887</v>
      </c>
      <c r="N138" s="1">
        <f t="shared" si="12"/>
        <v>171308.31608654631</v>
      </c>
      <c r="O138" s="1"/>
    </row>
    <row r="139" spans="1:15" x14ac:dyDescent="0.25">
      <c r="A139">
        <v>138</v>
      </c>
      <c r="B139">
        <v>684073.38219999999</v>
      </c>
      <c r="C139" s="1">
        <v>2.69E-5</v>
      </c>
      <c r="D139">
        <v>1065427.6100000001</v>
      </c>
      <c r="E139">
        <v>8512.4968229999995</v>
      </c>
      <c r="F139">
        <v>1445122.47</v>
      </c>
      <c r="G139">
        <v>921.93951749999997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5.3688211136135875E-3</v>
      </c>
      <c r="M139" s="1">
        <f t="shared" si="11"/>
        <v>569805.65299915546</v>
      </c>
      <c r="N139" s="1">
        <f t="shared" si="12"/>
        <v>28874.594875432074</v>
      </c>
      <c r="O139" s="1"/>
    </row>
    <row r="140" spans="1:15" x14ac:dyDescent="0.25">
      <c r="A140">
        <v>139</v>
      </c>
      <c r="B140">
        <v>661278.17319999996</v>
      </c>
      <c r="C140" s="1">
        <v>1.9199999999999999E-5</v>
      </c>
      <c r="D140">
        <v>1049835.898</v>
      </c>
      <c r="E140">
        <v>8512.4968229999995</v>
      </c>
      <c r="F140">
        <v>1434412.6259999999</v>
      </c>
      <c r="G140">
        <v>2064.2776210000002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3.1181533255516805E-3</v>
      </c>
      <c r="M140" s="1">
        <f t="shared" si="11"/>
        <v>463656.48401202337</v>
      </c>
      <c r="N140" s="1">
        <f t="shared" si="12"/>
        <v>52607.923167938483</v>
      </c>
      <c r="O140" s="1"/>
    </row>
    <row r="141" spans="1:15" x14ac:dyDescent="0.25">
      <c r="A141">
        <v>140</v>
      </c>
      <c r="B141">
        <v>617134.82869999995</v>
      </c>
      <c r="C141" s="1">
        <v>-7.7200000000000006E-6</v>
      </c>
      <c r="D141">
        <v>1012511.968</v>
      </c>
      <c r="E141">
        <v>8641.9423999999999</v>
      </c>
      <c r="F141">
        <v>1419902.466</v>
      </c>
      <c r="G141">
        <v>5402.1375959999996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-2.5580341041976503E-3</v>
      </c>
      <c r="M141" s="1">
        <f t="shared" si="11"/>
        <v>960380.94421784545</v>
      </c>
      <c r="N141" s="1">
        <f t="shared" si="12"/>
        <v>280893.36887722265</v>
      </c>
      <c r="O141" s="1"/>
    </row>
    <row r="142" spans="1:15" x14ac:dyDescent="0.25">
      <c r="A142">
        <v>141</v>
      </c>
      <c r="B142">
        <v>588073.7831</v>
      </c>
      <c r="C142" s="1">
        <v>-2.7199999999999998E-6</v>
      </c>
      <c r="D142">
        <v>989478.98499999999</v>
      </c>
      <c r="E142">
        <v>6993.1109759999999</v>
      </c>
      <c r="F142">
        <v>1380284.493</v>
      </c>
      <c r="G142">
        <v>4401.3513709999997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-7.1595258203825196E-4</v>
      </c>
      <c r="M142" s="1">
        <f t="shared" si="11"/>
        <v>617346.3899462095</v>
      </c>
      <c r="N142" s="1">
        <f t="shared" si="12"/>
        <v>181797.62760721444</v>
      </c>
      <c r="O142" s="1"/>
    </row>
    <row r="143" spans="1:15" x14ac:dyDescent="0.25">
      <c r="A143">
        <v>142</v>
      </c>
      <c r="B143">
        <v>654730.73620000004</v>
      </c>
      <c r="C143" s="1">
        <v>8.5799999999999992E-6</v>
      </c>
      <c r="D143">
        <v>1026039.214</v>
      </c>
      <c r="E143">
        <v>8512.4968229999995</v>
      </c>
      <c r="F143">
        <v>1431011.3740000001</v>
      </c>
      <c r="G143">
        <v>2064.2776199999998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6.1558931119407145E-3</v>
      </c>
      <c r="M143" s="1">
        <f t="shared" si="11"/>
        <v>2048348.6608697858</v>
      </c>
      <c r="N143" s="1">
        <f t="shared" si="12"/>
        <v>232412.08229752912</v>
      </c>
      <c r="O143" s="1"/>
    </row>
    <row r="144" spans="1:15" x14ac:dyDescent="0.25">
      <c r="A144">
        <v>143</v>
      </c>
      <c r="B144">
        <v>691644.60439999995</v>
      </c>
      <c r="C144">
        <v>6983.3444499999996</v>
      </c>
      <c r="D144">
        <v>1077478.1950000001</v>
      </c>
      <c r="E144">
        <v>15135.59937</v>
      </c>
      <c r="F144">
        <v>1464323.0179999999</v>
      </c>
      <c r="G144">
        <v>2288.6015640000001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1574477.0659480873</v>
      </c>
      <c r="M144" s="1">
        <f t="shared" si="11"/>
        <v>1144499.5750540402</v>
      </c>
      <c r="N144" s="1">
        <f t="shared" si="12"/>
        <v>80971.070423099954</v>
      </c>
      <c r="O144" s="1"/>
    </row>
    <row r="145" spans="1:15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7405.6592570000003</v>
      </c>
      <c r="F145">
        <v>1391643.9450000001</v>
      </c>
      <c r="G145">
        <v>5460.5086490000003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-4.0449970656881495E-2</v>
      </c>
      <c r="M145" s="1">
        <f t="shared" si="11"/>
        <v>2124046.0732357064</v>
      </c>
      <c r="N145" s="1">
        <f t="shared" si="12"/>
        <v>732785.69821490208</v>
      </c>
      <c r="O145" s="1"/>
    </row>
    <row r="146" spans="1:15" x14ac:dyDescent="0.25">
      <c r="A146">
        <v>145</v>
      </c>
      <c r="B146">
        <v>695087.51100000006</v>
      </c>
      <c r="C146" s="1">
        <v>-1.2099999999999999E-5</v>
      </c>
      <c r="D146">
        <v>1091212.442</v>
      </c>
      <c r="E146">
        <v>14545.8467</v>
      </c>
      <c r="F146">
        <v>1467470.861</v>
      </c>
      <c r="G146">
        <v>2734.9198339999998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-5.6990531976628244E-3</v>
      </c>
      <c r="M146" s="1">
        <f t="shared" si="11"/>
        <v>2297732.5879643885</v>
      </c>
      <c r="N146" s="1">
        <f t="shared" si="12"/>
        <v>202138.36869441022</v>
      </c>
      <c r="O146" s="1"/>
    </row>
    <row r="147" spans="1:15" x14ac:dyDescent="0.25">
      <c r="A147">
        <v>146</v>
      </c>
      <c r="B147">
        <v>757147.87699999998</v>
      </c>
      <c r="C147">
        <v>6983.3445140000003</v>
      </c>
      <c r="D147">
        <v>1204923.44</v>
      </c>
      <c r="E147">
        <v>12190.37456</v>
      </c>
      <c r="F147">
        <v>1577093.3430000001</v>
      </c>
      <c r="G147">
        <v>1877.276447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30216042.018902898</v>
      </c>
      <c r="M147" s="1">
        <f t="shared" si="11"/>
        <v>17690263.208851121</v>
      </c>
      <c r="N147" s="1">
        <f t="shared" si="12"/>
        <v>1274644.7288364049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>
        <v>7795.712931</v>
      </c>
      <c r="F148">
        <v>792492.29980000004</v>
      </c>
      <c r="G148">
        <v>27193.63337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5453948.8365473775</v>
      </c>
      <c r="N148" s="1">
        <f t="shared" si="12"/>
        <v>8901560.2844191939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33876.005469999996</v>
      </c>
      <c r="F149">
        <v>849571.42909999995</v>
      </c>
      <c r="G149">
        <v>75033.323260000005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-5.9229081060528611E-4</v>
      </c>
      <c r="M149" s="1">
        <f t="shared" si="11"/>
        <v>1522467.591123285</v>
      </c>
      <c r="N149" s="1">
        <f t="shared" si="12"/>
        <v>1577806.4327600189</v>
      </c>
      <c r="O149" s="1"/>
    </row>
    <row r="150" spans="1:15" x14ac:dyDescent="0.25">
      <c r="A150">
        <v>149</v>
      </c>
      <c r="B150">
        <v>528047.92740000004</v>
      </c>
      <c r="C150">
        <v>13821.70455</v>
      </c>
      <c r="D150">
        <v>949631.4523</v>
      </c>
      <c r="E150">
        <v>42519.435830000002</v>
      </c>
      <c r="F150">
        <v>1389819.6710000001</v>
      </c>
      <c r="G150">
        <v>12129.32056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7687387.716833272</v>
      </c>
      <c r="M150" s="1">
        <f t="shared" si="11"/>
        <v>7931362.6994910808</v>
      </c>
      <c r="N150" s="1">
        <f t="shared" si="12"/>
        <v>1058620.9129957107</v>
      </c>
      <c r="O150" s="1"/>
    </row>
    <row r="151" spans="1:15" x14ac:dyDescent="0.25">
      <c r="A151">
        <v>150</v>
      </c>
      <c r="B151">
        <v>521584.07689999999</v>
      </c>
      <c r="C151">
        <v>14748.17726</v>
      </c>
      <c r="D151">
        <v>922666.41509999998</v>
      </c>
      <c r="E151">
        <v>34588.354890000002</v>
      </c>
      <c r="F151">
        <v>1347281.102</v>
      </c>
      <c r="G151">
        <v>12927.890289999999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5861598.4890499525</v>
      </c>
      <c r="M151" s="1">
        <f t="shared" si="11"/>
        <v>4610529.0323131159</v>
      </c>
      <c r="N151" s="1">
        <f t="shared" si="12"/>
        <v>806291.70300055936</v>
      </c>
      <c r="O151" s="1"/>
    </row>
    <row r="152" spans="1:15" x14ac:dyDescent="0.25">
      <c r="A152">
        <v>151</v>
      </c>
      <c r="B152">
        <v>432159.64059999998</v>
      </c>
      <c r="C152">
        <v>66122.766879999996</v>
      </c>
      <c r="D152">
        <v>801522.96759999997</v>
      </c>
      <c r="E152">
        <v>116653.96859999999</v>
      </c>
      <c r="F152">
        <v>1262048.7039999999</v>
      </c>
      <c r="G152">
        <v>63982.634839999999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240850237.73025775</v>
      </c>
      <c r="M152" s="1">
        <f t="shared" si="11"/>
        <v>142507826.48826534</v>
      </c>
      <c r="N152" s="1">
        <f t="shared" si="12"/>
        <v>36571687.22719533</v>
      </c>
      <c r="O152" s="1"/>
    </row>
    <row r="153" spans="1:15" x14ac:dyDescent="0.25">
      <c r="A153">
        <v>152</v>
      </c>
      <c r="B153">
        <v>407131.11700000003</v>
      </c>
      <c r="C153">
        <v>43962.214010000003</v>
      </c>
      <c r="D153">
        <v>731423.63950000005</v>
      </c>
      <c r="E153">
        <v>87984.571710000004</v>
      </c>
      <c r="F153">
        <v>1185115.6839999999</v>
      </c>
      <c r="G153">
        <v>73470.208360000004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271814738.73978961</v>
      </c>
      <c r="M153" s="1">
        <f t="shared" si="11"/>
        <v>182449680.50258276</v>
      </c>
      <c r="N153" s="1">
        <f t="shared" si="12"/>
        <v>71283913.169014022</v>
      </c>
      <c r="O153" s="1"/>
    </row>
    <row r="154" spans="1:15" x14ac:dyDescent="0.25">
      <c r="A154">
        <v>153</v>
      </c>
      <c r="B154">
        <v>478992.022</v>
      </c>
      <c r="C154">
        <v>51991.354859999999</v>
      </c>
      <c r="D154">
        <v>891439.9584</v>
      </c>
      <c r="E154">
        <v>68240.431920000003</v>
      </c>
      <c r="F154">
        <v>1314338.6370000001</v>
      </c>
      <c r="G154">
        <v>49479.210570000003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288789395.40300041</v>
      </c>
      <c r="M154" s="1">
        <f t="shared" si="11"/>
        <v>127126183.90510561</v>
      </c>
      <c r="N154" s="1">
        <f t="shared" si="12"/>
        <v>43128036.222072579</v>
      </c>
      <c r="O154" s="1"/>
    </row>
    <row r="155" spans="1:15" x14ac:dyDescent="0.25">
      <c r="A155">
        <v>154</v>
      </c>
      <c r="B155">
        <v>577520.01850000001</v>
      </c>
      <c r="C155">
        <v>78994.880959999995</v>
      </c>
      <c r="D155">
        <v>1000663.858</v>
      </c>
      <c r="E155">
        <v>123200.31510000001</v>
      </c>
      <c r="F155">
        <v>1434643.585</v>
      </c>
      <c r="G155">
        <v>52592.434840000002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91637295.353475064</v>
      </c>
      <c r="M155" s="1">
        <f t="shared" si="11"/>
        <v>47932300.04286357</v>
      </c>
      <c r="N155" s="1">
        <f t="shared" si="12"/>
        <v>9573779.182313744</v>
      </c>
      <c r="O155" s="1"/>
    </row>
    <row r="156" spans="1:15" x14ac:dyDescent="0.25">
      <c r="A156">
        <v>155</v>
      </c>
      <c r="B156">
        <v>507464.4423</v>
      </c>
      <c r="C156">
        <v>63773.356610000003</v>
      </c>
      <c r="D156">
        <v>905013.24950000003</v>
      </c>
      <c r="E156">
        <v>95959.325870000001</v>
      </c>
      <c r="F156">
        <v>1342365.5930000001</v>
      </c>
      <c r="G156">
        <v>62882.745040000002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54593944.395219982</v>
      </c>
      <c r="M156" s="1">
        <f t="shared" si="11"/>
        <v>27550882.994012587</v>
      </c>
      <c r="N156" s="1">
        <f t="shared" si="12"/>
        <v>8447408.6502911504</v>
      </c>
      <c r="O156" s="1"/>
    </row>
    <row r="157" spans="1:15" x14ac:dyDescent="0.25">
      <c r="A157">
        <v>156</v>
      </c>
      <c r="B157">
        <v>461071.71620000002</v>
      </c>
      <c r="C157">
        <v>34515.685010000001</v>
      </c>
      <c r="D157">
        <v>851750.37659999996</v>
      </c>
      <c r="E157">
        <v>65967.152650000004</v>
      </c>
      <c r="F157">
        <v>1281744.27</v>
      </c>
      <c r="G157">
        <v>43582.81007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144609313.47895056</v>
      </c>
      <c r="M157" s="1">
        <f t="shared" si="11"/>
        <v>92693790.779325396</v>
      </c>
      <c r="N157" s="1">
        <f t="shared" si="12"/>
        <v>28653772.677631691</v>
      </c>
      <c r="O157" s="1"/>
    </row>
    <row r="158" spans="1:15" x14ac:dyDescent="0.25">
      <c r="A158">
        <v>157</v>
      </c>
      <c r="B158">
        <v>428680.88860000001</v>
      </c>
      <c r="C158">
        <v>15218.12932</v>
      </c>
      <c r="D158">
        <v>790912.8273</v>
      </c>
      <c r="E158">
        <v>21673.36017</v>
      </c>
      <c r="F158">
        <v>1200485.1610000001</v>
      </c>
      <c r="G158">
        <v>35011.00101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106832401.0746839</v>
      </c>
      <c r="M158" s="1">
        <f t="shared" si="11"/>
        <v>51028300.478212804</v>
      </c>
      <c r="N158" s="1">
        <f t="shared" si="12"/>
        <v>38568527.836791284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2328.1189979999999</v>
      </c>
      <c r="F159">
        <v>1189368.7180000001</v>
      </c>
      <c r="G159">
        <v>8011.7023300000001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0.14453084981973299</v>
      </c>
      <c r="M159" s="1">
        <f t="shared" si="11"/>
        <v>3242870.6349780876</v>
      </c>
      <c r="N159" s="1">
        <f t="shared" si="12"/>
        <v>5221471.747050344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13288.27577</v>
      </c>
      <c r="F160">
        <v>1236645.5870000001</v>
      </c>
      <c r="G160">
        <v>6924.0478750000002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0</v>
      </c>
      <c r="M160" s="1">
        <f t="shared" si="11"/>
        <v>27005928.398477655</v>
      </c>
      <c r="N160" s="1">
        <f t="shared" si="12"/>
        <v>6584066.6671280209</v>
      </c>
      <c r="O160" s="1"/>
    </row>
    <row r="161" spans="1:15" x14ac:dyDescent="0.25">
      <c r="A161">
        <v>160</v>
      </c>
      <c r="B161">
        <v>552867.91269999999</v>
      </c>
      <c r="C161" s="1">
        <v>1.84E-5</v>
      </c>
      <c r="D161">
        <v>932969.70929999999</v>
      </c>
      <c r="E161">
        <v>13522.27392</v>
      </c>
      <c r="F161">
        <v>1329881.0360000001</v>
      </c>
      <c r="G161">
        <v>8156.8993220000002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1.4742503970992202E-2</v>
      </c>
      <c r="M161" s="1">
        <f t="shared" si="11"/>
        <v>3633676.804164954</v>
      </c>
      <c r="N161" s="1">
        <f t="shared" si="12"/>
        <v>1025570.0924622071</v>
      </c>
      <c r="O161" s="1"/>
    </row>
    <row r="162" spans="1:15" x14ac:dyDescent="0.25">
      <c r="A162">
        <v>161</v>
      </c>
      <c r="B162">
        <v>676738.40500000003</v>
      </c>
      <c r="C162">
        <v>44793.105259999997</v>
      </c>
      <c r="D162">
        <v>1172954.585</v>
      </c>
      <c r="E162">
        <v>35767.391790000001</v>
      </c>
      <c r="F162">
        <v>1559221.1610000001</v>
      </c>
      <c r="G162">
        <v>19085.12257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20010688.176544029</v>
      </c>
      <c r="M162" s="1">
        <f t="shared" si="11"/>
        <v>5358969.2199929114</v>
      </c>
      <c r="N162" s="1">
        <f t="shared" si="12"/>
        <v>1337927.6291243171</v>
      </c>
      <c r="O162" s="1"/>
    </row>
    <row r="163" spans="1:15" x14ac:dyDescent="0.25">
      <c r="A163">
        <v>162</v>
      </c>
      <c r="B163">
        <v>664079.1875</v>
      </c>
      <c r="C163">
        <v>12599.78095</v>
      </c>
      <c r="D163">
        <v>1125072.8940000001</v>
      </c>
      <c r="E163">
        <v>14235.79931</v>
      </c>
      <c r="F163">
        <v>1518312.091</v>
      </c>
      <c r="G163">
        <v>7034.1710730000004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4151731.3994739</v>
      </c>
      <c r="M163" s="1">
        <f t="shared" si="11"/>
        <v>1573226.4796289694</v>
      </c>
      <c r="N163" s="1">
        <f t="shared" si="12"/>
        <v>363719.00565957581</v>
      </c>
      <c r="O163" s="1"/>
    </row>
    <row r="164" spans="1:15" x14ac:dyDescent="0.25">
      <c r="A164">
        <v>163</v>
      </c>
      <c r="B164">
        <v>102828.5062</v>
      </c>
      <c r="C164">
        <v>4625.4966759999998</v>
      </c>
      <c r="D164">
        <v>572403.46440000006</v>
      </c>
      <c r="E164">
        <v>46204.401579999998</v>
      </c>
      <c r="F164">
        <v>956857.34400000004</v>
      </c>
      <c r="G164">
        <v>59105.790930000003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57303183.087359361</v>
      </c>
      <c r="M164" s="1">
        <f t="shared" si="11"/>
        <v>191975965.51446259</v>
      </c>
      <c r="N164" s="1">
        <f t="shared" si="12"/>
        <v>114904548.8968796</v>
      </c>
      <c r="O164" s="1"/>
    </row>
    <row r="165" spans="1:15" x14ac:dyDescent="0.25">
      <c r="A165">
        <v>164</v>
      </c>
      <c r="B165">
        <v>245372.50649999999</v>
      </c>
      <c r="C165">
        <v>83226.357139999993</v>
      </c>
      <c r="D165">
        <v>637800.96369999996</v>
      </c>
      <c r="E165">
        <v>120504.0043</v>
      </c>
      <c r="F165">
        <v>1051222.3589999999</v>
      </c>
      <c r="G165">
        <v>128734.8912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140896558.53437361</v>
      </c>
      <c r="M165" s="1">
        <f t="shared" si="11"/>
        <v>68420164.683918804</v>
      </c>
      <c r="N165" s="1">
        <f t="shared" si="12"/>
        <v>34199722.728042133</v>
      </c>
      <c r="O165" s="1"/>
    </row>
    <row r="166" spans="1:15" x14ac:dyDescent="0.25">
      <c r="A166">
        <v>165</v>
      </c>
      <c r="B166">
        <v>394722.24339999998</v>
      </c>
      <c r="C166">
        <v>103324.1783</v>
      </c>
      <c r="D166">
        <v>752523.54489999998</v>
      </c>
      <c r="E166">
        <v>166966.87409999999</v>
      </c>
      <c r="F166">
        <v>1184271.48</v>
      </c>
      <c r="G166">
        <v>109293.64380000001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508175535.01064676</v>
      </c>
      <c r="M166" s="1">
        <f t="shared" si="11"/>
        <v>275413513.96893662</v>
      </c>
      <c r="N166" s="1">
        <f t="shared" si="12"/>
        <v>84351636.629549697</v>
      </c>
      <c r="O166" s="1"/>
    </row>
    <row r="167" spans="1:15" x14ac:dyDescent="0.25">
      <c r="A167">
        <v>166</v>
      </c>
      <c r="B167">
        <v>277078.3322</v>
      </c>
      <c r="C167" s="1">
        <v>4.21E-5</v>
      </c>
      <c r="D167">
        <v>675012.2709</v>
      </c>
      <c r="E167">
        <v>20882.05574</v>
      </c>
      <c r="F167">
        <v>1074091.0549999999</v>
      </c>
      <c r="G167">
        <v>40441.475129999999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0.11779130643753394</v>
      </c>
      <c r="M167" s="1">
        <f t="shared" si="11"/>
        <v>19595102.087487265</v>
      </c>
      <c r="N167" s="1">
        <f t="shared" si="12"/>
        <v>17755992.229564089</v>
      </c>
      <c r="O167" s="1"/>
    </row>
    <row r="168" spans="1:15" x14ac:dyDescent="0.25">
      <c r="A168">
        <v>167</v>
      </c>
      <c r="B168">
        <v>185414.20689999999</v>
      </c>
      <c r="C168" s="1">
        <v>-3.8500000000000001E-5</v>
      </c>
      <c r="D168">
        <v>611072.92929999996</v>
      </c>
      <c r="E168">
        <v>26008.460770000002</v>
      </c>
      <c r="F168">
        <v>1010780.121</v>
      </c>
      <c r="G168">
        <v>38992.087440000003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-0.21291147040288125</v>
      </c>
      <c r="M168" s="1">
        <f t="shared" si="11"/>
        <v>48238757.976003394</v>
      </c>
      <c r="N168" s="1">
        <f t="shared" si="12"/>
        <v>33837761.935451269</v>
      </c>
      <c r="O168" s="1"/>
    </row>
    <row r="169" spans="1:15" x14ac:dyDescent="0.25">
      <c r="A169">
        <v>168</v>
      </c>
      <c r="B169">
        <v>548999.27469999995</v>
      </c>
      <c r="C169">
        <v>55884.147550000002</v>
      </c>
      <c r="D169">
        <v>926535.13150000002</v>
      </c>
      <c r="E169">
        <v>112966.84450000001</v>
      </c>
      <c r="F169">
        <v>1321189.67</v>
      </c>
      <c r="G169">
        <v>88760.478369999997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166078995.32664225</v>
      </c>
      <c r="M169" s="1">
        <f t="shared" si="11"/>
        <v>112595287.21416764</v>
      </c>
      <c r="N169" s="1">
        <f t="shared" si="12"/>
        <v>41393536.045391306</v>
      </c>
      <c r="O169" s="1"/>
    </row>
    <row r="170" spans="1:15" x14ac:dyDescent="0.25">
      <c r="A170">
        <v>169</v>
      </c>
      <c r="B170">
        <v>477002.73109999998</v>
      </c>
      <c r="C170">
        <v>57622.787989999997</v>
      </c>
      <c r="D170">
        <v>850222.68319999997</v>
      </c>
      <c r="E170">
        <v>128139.38740000001</v>
      </c>
      <c r="F170">
        <v>1243095.9099999999</v>
      </c>
      <c r="G170">
        <v>82089.695519999994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159177507.8300322</v>
      </c>
      <c r="M170" s="1">
        <f t="shared" si="11"/>
        <v>118717082.21121585</v>
      </c>
      <c r="N170" s="1">
        <f t="shared" si="12"/>
        <v>35584665.985164806</v>
      </c>
      <c r="O170" s="1"/>
    </row>
    <row r="171" spans="1:15" x14ac:dyDescent="0.25">
      <c r="A171">
        <v>170</v>
      </c>
      <c r="B171">
        <v>489271.78539999999</v>
      </c>
      <c r="C171">
        <v>19298.936150000001</v>
      </c>
      <c r="D171">
        <v>865039.95</v>
      </c>
      <c r="E171">
        <v>50719.042710000002</v>
      </c>
      <c r="F171">
        <v>1252649.8470000001</v>
      </c>
      <c r="G171">
        <v>37484.122790000001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64382747.01673618</v>
      </c>
      <c r="M171" s="1">
        <f t="shared" si="11"/>
        <v>56747968.420163199</v>
      </c>
      <c r="N171" s="1">
        <f t="shared" si="12"/>
        <v>19623221.249047585</v>
      </c>
      <c r="O171" s="1"/>
    </row>
    <row r="172" spans="1:15" x14ac:dyDescent="0.25">
      <c r="A172">
        <v>171</v>
      </c>
      <c r="B172">
        <v>532755.79310000001</v>
      </c>
      <c r="C172">
        <v>10578.269340000001</v>
      </c>
      <c r="D172">
        <v>914735.38450000004</v>
      </c>
      <c r="E172">
        <v>28001.33483</v>
      </c>
      <c r="F172">
        <v>1307230.7150000001</v>
      </c>
      <c r="G172">
        <v>15347.36859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34190578.852362759</v>
      </c>
      <c r="M172" s="1">
        <f t="shared" si="11"/>
        <v>30353844.474595577</v>
      </c>
      <c r="N172" s="1">
        <f t="shared" si="12"/>
        <v>7784174.6504257265</v>
      </c>
      <c r="O172" s="1"/>
    </row>
    <row r="173" spans="1:15" x14ac:dyDescent="0.25">
      <c r="A173">
        <v>172</v>
      </c>
      <c r="B173">
        <v>450180.64510000002</v>
      </c>
      <c r="C173">
        <v>1327.1896529999999</v>
      </c>
      <c r="D173">
        <v>796820.15319999994</v>
      </c>
      <c r="E173">
        <v>24884.635610000001</v>
      </c>
      <c r="F173">
        <v>1218190.4010000001</v>
      </c>
      <c r="G173">
        <v>14706.4679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1384137.3830842276</v>
      </c>
      <c r="M173" s="1">
        <f t="shared" si="11"/>
        <v>8704035.1014158335</v>
      </c>
      <c r="N173" s="1">
        <f t="shared" si="12"/>
        <v>2406807.7739658738</v>
      </c>
      <c r="O173" s="1"/>
    </row>
    <row r="174" spans="1:15" x14ac:dyDescent="0.25">
      <c r="A174">
        <v>173</v>
      </c>
      <c r="B174">
        <v>320642.55940000003</v>
      </c>
      <c r="C174" s="1">
        <v>1.13E-5</v>
      </c>
      <c r="D174">
        <v>693439.7548</v>
      </c>
      <c r="E174">
        <v>18208.29853</v>
      </c>
      <c r="F174">
        <v>1105440.7150000001</v>
      </c>
      <c r="G174">
        <v>32946.160020000003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7.5457790521597248E-2</v>
      </c>
      <c r="M174" s="1">
        <f t="shared" si="11"/>
        <v>40779147.558673307</v>
      </c>
      <c r="N174" s="1">
        <f t="shared" si="12"/>
        <v>34523694.079044059</v>
      </c>
      <c r="O174" s="1"/>
    </row>
    <row r="175" spans="1:15" x14ac:dyDescent="0.25">
      <c r="A175">
        <v>174</v>
      </c>
      <c r="B175">
        <v>648546.16240000003</v>
      </c>
      <c r="C175">
        <v>23003.819769999998</v>
      </c>
      <c r="D175">
        <v>1120177.7490000001</v>
      </c>
      <c r="E175">
        <v>24866.40049</v>
      </c>
      <c r="F175">
        <v>1525823.693</v>
      </c>
      <c r="G175">
        <v>10526.643389999999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6316282.7721416513</v>
      </c>
      <c r="M175" s="1">
        <f t="shared" si="11"/>
        <v>2289906.0746456771</v>
      </c>
      <c r="N175" s="1">
        <f t="shared" si="12"/>
        <v>453563.74654743512</v>
      </c>
      <c r="O175" s="1"/>
    </row>
    <row r="176" spans="1:15" x14ac:dyDescent="0.25">
      <c r="A176">
        <v>175</v>
      </c>
      <c r="B176">
        <v>481084.4472</v>
      </c>
      <c r="C176">
        <v>61716.608010000004</v>
      </c>
      <c r="D176">
        <v>837568.92920000001</v>
      </c>
      <c r="E176">
        <v>142359.6171</v>
      </c>
      <c r="F176">
        <v>1231243.8189999999</v>
      </c>
      <c r="G176">
        <v>96275.639649999997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108471859.61060892</v>
      </c>
      <c r="M176" s="1">
        <f t="shared" si="11"/>
        <v>83916040.700049147</v>
      </c>
      <c r="N176" s="1">
        <f t="shared" si="12"/>
        <v>26553285.47412451</v>
      </c>
      <c r="O176" s="1"/>
    </row>
    <row r="177" spans="1:15" x14ac:dyDescent="0.25">
      <c r="A177">
        <v>176</v>
      </c>
      <c r="B177">
        <v>586009.43830000004</v>
      </c>
      <c r="C177">
        <v>19735.457569999999</v>
      </c>
      <c r="D177">
        <v>969485.76910000003</v>
      </c>
      <c r="E177">
        <v>61582.498919999998</v>
      </c>
      <c r="F177">
        <v>1359123.6769999999</v>
      </c>
      <c r="G177">
        <v>38201.229659999997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28578552.263782121</v>
      </c>
      <c r="M177" s="1">
        <f t="shared" si="11"/>
        <v>29908419.898833096</v>
      </c>
      <c r="N177" s="1">
        <f t="shared" si="12"/>
        <v>8680748.6645791586</v>
      </c>
      <c r="O177" s="1"/>
    </row>
    <row r="178" spans="1:15" x14ac:dyDescent="0.25">
      <c r="A178">
        <v>177</v>
      </c>
      <c r="B178">
        <v>614430.53370000003</v>
      </c>
      <c r="C178">
        <v>21590.53224</v>
      </c>
      <c r="D178">
        <v>957222.26679999998</v>
      </c>
      <c r="E178">
        <v>56092.100489999997</v>
      </c>
      <c r="F178">
        <v>1354775.6189999999</v>
      </c>
      <c r="G178">
        <v>46876.747519999997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5499556.9459635131</v>
      </c>
      <c r="M178" s="1">
        <f t="shared" si="11"/>
        <v>4791915.9864715068</v>
      </c>
      <c r="N178" s="1">
        <f t="shared" si="12"/>
        <v>1873737.0361680901</v>
      </c>
      <c r="O178" s="1"/>
    </row>
    <row r="179" spans="1:15" x14ac:dyDescent="0.25">
      <c r="A179">
        <v>178</v>
      </c>
      <c r="B179">
        <v>543579.96250000002</v>
      </c>
      <c r="C179">
        <v>53328.093760000003</v>
      </c>
      <c r="D179">
        <v>917518.48730000004</v>
      </c>
      <c r="E179">
        <v>86290.405660000004</v>
      </c>
      <c r="F179">
        <v>1290791.0630000001</v>
      </c>
      <c r="G179">
        <v>79658.422649999993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260151055.50677946</v>
      </c>
      <c r="M179" s="1">
        <f t="shared" si="11"/>
        <v>141180650.96193865</v>
      </c>
      <c r="N179" s="1">
        <f t="shared" si="12"/>
        <v>60980088.460804507</v>
      </c>
      <c r="O179" s="1"/>
    </row>
    <row r="180" spans="1:15" x14ac:dyDescent="0.25">
      <c r="A180">
        <v>179</v>
      </c>
      <c r="B180">
        <v>494666.22379999998</v>
      </c>
      <c r="C180">
        <v>13960.742340000001</v>
      </c>
      <c r="D180">
        <v>861392.56079999998</v>
      </c>
      <c r="E180">
        <v>45790.220009999997</v>
      </c>
      <c r="F180">
        <v>1253545.3729999999</v>
      </c>
      <c r="G180">
        <v>35603.300380000001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47072515.864466205</v>
      </c>
      <c r="M180" s="1">
        <f t="shared" si="11"/>
        <v>51781516.568648286</v>
      </c>
      <c r="N180" s="1">
        <f t="shared" si="12"/>
        <v>18838051.166534435</v>
      </c>
      <c r="O180" s="1"/>
    </row>
    <row r="181" spans="1:15" x14ac:dyDescent="0.25">
      <c r="A181">
        <v>180</v>
      </c>
      <c r="B181">
        <v>388003.53320000001</v>
      </c>
      <c r="C181">
        <v>16652.131420000002</v>
      </c>
      <c r="D181">
        <v>750599.91760000004</v>
      </c>
      <c r="E181">
        <v>27211.830740000001</v>
      </c>
      <c r="F181">
        <v>1150846.422</v>
      </c>
      <c r="G181">
        <v>53836.309359999999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105924915.21581732</v>
      </c>
      <c r="M181" s="1">
        <f t="shared" si="11"/>
        <v>58053604.948286988</v>
      </c>
      <c r="N181" s="1">
        <f t="shared" si="12"/>
        <v>53739100.214608043</v>
      </c>
      <c r="O181" s="1"/>
    </row>
    <row r="182" spans="1:15" x14ac:dyDescent="0.25">
      <c r="A182">
        <v>181</v>
      </c>
      <c r="B182">
        <v>554074.38130000001</v>
      </c>
      <c r="C182">
        <v>35270.857980000001</v>
      </c>
      <c r="D182">
        <v>931861.77980000002</v>
      </c>
      <c r="E182">
        <v>78952.572419999997</v>
      </c>
      <c r="F182">
        <v>1339014.67</v>
      </c>
      <c r="G182">
        <v>55110.097070000003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9578756.5460155476</v>
      </c>
      <c r="M182" s="1">
        <f t="shared" si="11"/>
        <v>7191219.296727377</v>
      </c>
      <c r="N182" s="1">
        <f t="shared" si="12"/>
        <v>2348611.0628926419</v>
      </c>
      <c r="O182" s="1"/>
    </row>
    <row r="183" spans="1:15" x14ac:dyDescent="0.25">
      <c r="A183">
        <v>182</v>
      </c>
      <c r="B183">
        <v>520149.02399999998</v>
      </c>
      <c r="C183">
        <v>161762.40919999999</v>
      </c>
      <c r="D183">
        <v>885604.85679999995</v>
      </c>
      <c r="E183">
        <v>198956.25690000001</v>
      </c>
      <c r="F183">
        <v>1250715.973</v>
      </c>
      <c r="G183">
        <v>196954.2825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507669856.77513409</v>
      </c>
      <c r="M183" s="1">
        <f t="shared" si="11"/>
        <v>209413420.18345442</v>
      </c>
      <c r="N183" s="1">
        <f t="shared" si="12"/>
        <v>96996489.091308028</v>
      </c>
      <c r="O183" s="1"/>
    </row>
    <row r="184" spans="1:15" x14ac:dyDescent="0.25">
      <c r="A184">
        <v>183</v>
      </c>
      <c r="B184">
        <v>419907.26770000003</v>
      </c>
      <c r="C184">
        <v>81499.07488</v>
      </c>
      <c r="D184">
        <v>810270.24639999995</v>
      </c>
      <c r="E184">
        <v>107264.98149999999</v>
      </c>
      <c r="F184">
        <v>1214547.095</v>
      </c>
      <c r="G184">
        <v>76370.238750000004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291075420.62911779</v>
      </c>
      <c r="M184" s="1">
        <f t="shared" si="11"/>
        <v>128485451.18710269</v>
      </c>
      <c r="N184" s="1">
        <f t="shared" si="12"/>
        <v>42801975.904336222</v>
      </c>
      <c r="O184" s="1"/>
    </row>
    <row r="185" spans="1:15" x14ac:dyDescent="0.25">
      <c r="A185">
        <v>184</v>
      </c>
      <c r="B185">
        <v>531156.76379999996</v>
      </c>
      <c r="C185">
        <v>166700.27660000001</v>
      </c>
      <c r="D185">
        <v>885742.26540000003</v>
      </c>
      <c r="E185">
        <v>216868.67850000001</v>
      </c>
      <c r="F185">
        <v>1255293.19</v>
      </c>
      <c r="G185">
        <v>214122.1771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204635733.75634617</v>
      </c>
      <c r="M185" s="1">
        <f t="shared" si="11"/>
        <v>89286360.931139261</v>
      </c>
      <c r="N185" s="1">
        <f t="shared" si="12"/>
        <v>41247118.861757278</v>
      </c>
      <c r="O185" s="1"/>
    </row>
    <row r="186" spans="1:15" x14ac:dyDescent="0.25">
      <c r="A186">
        <v>185</v>
      </c>
      <c r="B186">
        <v>441353.17739999999</v>
      </c>
      <c r="C186">
        <v>119135.5787</v>
      </c>
      <c r="D186">
        <v>838850.5736</v>
      </c>
      <c r="E186">
        <v>132142.36180000001</v>
      </c>
      <c r="F186">
        <v>1224997.7320000001</v>
      </c>
      <c r="G186">
        <v>100427.6869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181511511.0749667</v>
      </c>
      <c r="M186" s="1">
        <f t="shared" si="11"/>
        <v>67522403.871351585</v>
      </c>
      <c r="N186" s="1">
        <f t="shared" si="12"/>
        <v>24010597.557365816</v>
      </c>
      <c r="O186" s="1"/>
    </row>
    <row r="187" spans="1:15" x14ac:dyDescent="0.25">
      <c r="A187">
        <v>186</v>
      </c>
      <c r="B187">
        <v>404581.50770000002</v>
      </c>
      <c r="C187">
        <v>45337.478609999998</v>
      </c>
      <c r="D187">
        <v>715590.88910000003</v>
      </c>
      <c r="E187">
        <v>91541.784409999993</v>
      </c>
      <c r="F187">
        <v>1179532.9909999999</v>
      </c>
      <c r="G187">
        <v>80963.955170000001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210466300.13592637</v>
      </c>
      <c r="M187" s="1">
        <f t="shared" si="11"/>
        <v>142523905.17989674</v>
      </c>
      <c r="N187" s="1">
        <f t="shared" si="12"/>
        <v>58979859.501756288</v>
      </c>
      <c r="O187" s="1"/>
    </row>
    <row r="188" spans="1:15" x14ac:dyDescent="0.25">
      <c r="A188">
        <v>187</v>
      </c>
      <c r="B188">
        <v>531248.28249999997</v>
      </c>
      <c r="C188">
        <v>64148.739679999999</v>
      </c>
      <c r="D188">
        <v>944944.00269999995</v>
      </c>
      <c r="E188">
        <v>126557.21060000001</v>
      </c>
      <c r="F188">
        <v>1370307.1170000001</v>
      </c>
      <c r="G188">
        <v>71368.443270000003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263653517.11097598</v>
      </c>
      <c r="M188" s="1">
        <f t="shared" si="11"/>
        <v>174451806.86690331</v>
      </c>
      <c r="N188" s="1">
        <f t="shared" si="12"/>
        <v>46029735.547032945</v>
      </c>
      <c r="O188" s="1"/>
    </row>
    <row r="189" spans="1:15" x14ac:dyDescent="0.25">
      <c r="A189">
        <v>188</v>
      </c>
      <c r="B189">
        <v>579759.68830000004</v>
      </c>
      <c r="C189">
        <v>82893.766300000003</v>
      </c>
      <c r="D189">
        <v>939626.61769999994</v>
      </c>
      <c r="E189">
        <v>123887.40180000001</v>
      </c>
      <c r="F189">
        <v>1342467.5919999999</v>
      </c>
      <c r="G189">
        <v>95528.102190000005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128182559.96592513</v>
      </c>
      <c r="M189" s="1">
        <f t="shared" si="11"/>
        <v>64250624.052326322</v>
      </c>
      <c r="N189" s="1">
        <f t="shared" si="12"/>
        <v>23180619.240639798</v>
      </c>
      <c r="O189" s="1"/>
    </row>
    <row r="190" spans="1:15" x14ac:dyDescent="0.25">
      <c r="A190">
        <v>189</v>
      </c>
      <c r="B190">
        <v>573563.61809999996</v>
      </c>
      <c r="C190">
        <v>22426.134320000001</v>
      </c>
      <c r="D190">
        <v>956348.83589999995</v>
      </c>
      <c r="E190">
        <v>59175.018689999997</v>
      </c>
      <c r="F190">
        <v>1342688.8049999999</v>
      </c>
      <c r="G190">
        <v>49359.792459999997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21246686.970544022</v>
      </c>
      <c r="M190" s="1">
        <f t="shared" si="11"/>
        <v>18802618.792195067</v>
      </c>
      <c r="N190" s="1">
        <f t="shared" si="12"/>
        <v>7338324.976987157</v>
      </c>
      <c r="O190" s="1"/>
    </row>
    <row r="191" spans="1:15" x14ac:dyDescent="0.25">
      <c r="A191">
        <v>190</v>
      </c>
      <c r="B191">
        <v>532768.24300000002</v>
      </c>
      <c r="C191">
        <v>72576.495569999999</v>
      </c>
      <c r="D191">
        <v>896551.15049999999</v>
      </c>
      <c r="E191">
        <v>124840.857</v>
      </c>
      <c r="F191">
        <v>1282580.7309999999</v>
      </c>
      <c r="G191">
        <v>112663.67329999999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71508977.257196248</v>
      </c>
      <c r="M191" s="1">
        <f t="shared" si="11"/>
        <v>41253846.750744253</v>
      </c>
      <c r="N191" s="1">
        <f t="shared" si="12"/>
        <v>17419484.341138985</v>
      </c>
      <c r="O191" s="1"/>
    </row>
    <row r="192" spans="1:15" x14ac:dyDescent="0.25">
      <c r="A192">
        <v>191</v>
      </c>
      <c r="B192">
        <v>514073.04979999998</v>
      </c>
      <c r="C192">
        <v>134632.05489999999</v>
      </c>
      <c r="D192">
        <v>876823.60360000003</v>
      </c>
      <c r="E192">
        <v>190906.79939999999</v>
      </c>
      <c r="F192">
        <v>1258174.6029999999</v>
      </c>
      <c r="G192">
        <v>163651.8069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47542311.338378675</v>
      </c>
      <c r="M192" s="1">
        <f t="shared" si="11"/>
        <v>22609780.74470811</v>
      </c>
      <c r="N192" s="1">
        <f t="shared" si="12"/>
        <v>9068583.1025412958</v>
      </c>
      <c r="O192" s="1"/>
    </row>
    <row r="193" spans="1:15" x14ac:dyDescent="0.25">
      <c r="A193">
        <v>192</v>
      </c>
      <c r="B193">
        <v>643873.63230000006</v>
      </c>
      <c r="C193">
        <v>7587.0897830000004</v>
      </c>
      <c r="D193">
        <v>1009040.7070000001</v>
      </c>
      <c r="E193">
        <v>23741.560959999999</v>
      </c>
      <c r="F193">
        <v>1429353.1980000001</v>
      </c>
      <c r="G193">
        <v>7562.9801939999998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6875515.8510298952</v>
      </c>
      <c r="M193" s="1">
        <f t="shared" si="11"/>
        <v>7215766.49409102</v>
      </c>
      <c r="N193" s="1">
        <f t="shared" si="12"/>
        <v>1075498.5827841025</v>
      </c>
      <c r="O193" s="1"/>
    </row>
    <row r="194" spans="1:15" x14ac:dyDescent="0.25">
      <c r="A194">
        <v>193</v>
      </c>
      <c r="B194">
        <v>539487.03980000003</v>
      </c>
      <c r="C194">
        <v>26137.435750000001</v>
      </c>
      <c r="D194">
        <v>942763.63540000003</v>
      </c>
      <c r="E194">
        <v>51247.057260000001</v>
      </c>
      <c r="F194">
        <v>1335857.3759999999</v>
      </c>
      <c r="G194">
        <v>42412.939550000003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74602734.880197585</v>
      </c>
      <c r="M194" s="1">
        <f t="shared" si="11"/>
        <v>49057322.312261954</v>
      </c>
      <c r="N194" s="1">
        <f t="shared" si="12"/>
        <v>18996647.280480225</v>
      </c>
      <c r="O194" s="1"/>
    </row>
    <row r="195" spans="1:15" x14ac:dyDescent="0.25">
      <c r="A195">
        <v>194</v>
      </c>
      <c r="B195">
        <v>745287.24690000003</v>
      </c>
      <c r="C195">
        <v>1127.162086</v>
      </c>
      <c r="D195">
        <v>1133185.8160000001</v>
      </c>
      <c r="E195">
        <v>10974.99554</v>
      </c>
      <c r="F195">
        <v>1511271.585</v>
      </c>
      <c r="G195">
        <v>2208.5290540000001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698948.60494354577</v>
      </c>
      <c r="M195" s="1">
        <f t="shared" ref="M195:M258" si="15">$U$3*$K195*E195</f>
        <v>2282476.7357766759</v>
      </c>
      <c r="N195" s="1">
        <f t="shared" ref="N195:N258" si="16">$U$4*$K195*G195</f>
        <v>214906.12941221806</v>
      </c>
      <c r="O195" s="1"/>
    </row>
    <row r="196" spans="1:15" x14ac:dyDescent="0.25">
      <c r="A196">
        <v>195</v>
      </c>
      <c r="B196">
        <v>617195.20539999998</v>
      </c>
      <c r="C196">
        <v>6643.800741</v>
      </c>
      <c r="D196">
        <v>1004056.251</v>
      </c>
      <c r="E196">
        <v>23724.329730000001</v>
      </c>
      <c r="F196">
        <v>1428525.737</v>
      </c>
      <c r="G196">
        <v>8031.9542279999996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13373908.347082173</v>
      </c>
      <c r="M196" s="1">
        <f t="shared" si="15"/>
        <v>16016913.576275511</v>
      </c>
      <c r="N196" s="1">
        <f t="shared" si="16"/>
        <v>2537171.2635912807</v>
      </c>
      <c r="O196" s="1"/>
    </row>
    <row r="197" spans="1:15" x14ac:dyDescent="0.25">
      <c r="A197">
        <v>196</v>
      </c>
      <c r="B197">
        <v>439019.63370000001</v>
      </c>
      <c r="C197">
        <v>119791.58500000001</v>
      </c>
      <c r="D197">
        <v>855608.03189999994</v>
      </c>
      <c r="E197">
        <v>128209.3423</v>
      </c>
      <c r="F197">
        <v>1265290.149</v>
      </c>
      <c r="G197">
        <v>84935.2356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781126256.87093997</v>
      </c>
      <c r="M197" s="1">
        <f t="shared" si="15"/>
        <v>280386909.99458158</v>
      </c>
      <c r="N197" s="1">
        <f t="shared" si="16"/>
        <v>86909977.234329998</v>
      </c>
      <c r="O197" s="1"/>
    </row>
    <row r="198" spans="1:15" x14ac:dyDescent="0.25">
      <c r="A198">
        <v>197</v>
      </c>
      <c r="B198">
        <v>744884.93689999997</v>
      </c>
      <c r="C198">
        <v>1127.1620270000001</v>
      </c>
      <c r="D198">
        <v>1145572.598</v>
      </c>
      <c r="E198">
        <v>11084.04046</v>
      </c>
      <c r="F198">
        <v>1526475.977</v>
      </c>
      <c r="G198">
        <v>240.5971844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1763983.9131267555</v>
      </c>
      <c r="M198" s="1">
        <f t="shared" si="15"/>
        <v>5817675.7253062343</v>
      </c>
      <c r="N198" s="1">
        <f t="shared" si="16"/>
        <v>59086.141015028166</v>
      </c>
      <c r="O198" s="1"/>
    </row>
    <row r="199" spans="1:15" x14ac:dyDescent="0.25">
      <c r="A199">
        <v>198</v>
      </c>
      <c r="B199">
        <v>608295.50289999996</v>
      </c>
      <c r="C199">
        <v>21376.097600000001</v>
      </c>
      <c r="D199">
        <v>994672.05009999999</v>
      </c>
      <c r="E199">
        <v>44580.739450000001</v>
      </c>
      <c r="F199">
        <v>1422400.8419999999</v>
      </c>
      <c r="G199">
        <v>13497.95047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74533738.656495363</v>
      </c>
      <c r="M199" s="1">
        <f t="shared" si="15"/>
        <v>52133260.494941108</v>
      </c>
      <c r="N199" s="1">
        <f t="shared" si="16"/>
        <v>7385486.8265707195</v>
      </c>
      <c r="O199" s="1"/>
    </row>
    <row r="200" spans="1:15" x14ac:dyDescent="0.25">
      <c r="A200">
        <v>199</v>
      </c>
      <c r="B200">
        <v>419798.50959999999</v>
      </c>
      <c r="C200">
        <v>128259.64810000001</v>
      </c>
      <c r="D200">
        <v>855397.5355</v>
      </c>
      <c r="E200">
        <v>127308.12579999999</v>
      </c>
      <c r="F200">
        <v>1259111.142</v>
      </c>
      <c r="G200">
        <v>87264.464649999994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863719333.47365022</v>
      </c>
      <c r="M200" s="1">
        <f t="shared" si="15"/>
        <v>287529135.43930614</v>
      </c>
      <c r="N200" s="1">
        <f t="shared" si="16"/>
        <v>92216119.035662472</v>
      </c>
      <c r="O200" s="1"/>
    </row>
    <row r="201" spans="1:15" x14ac:dyDescent="0.25">
      <c r="A201">
        <v>200</v>
      </c>
      <c r="B201">
        <v>629711.44350000005</v>
      </c>
      <c r="C201" s="1">
        <v>1.15E-6</v>
      </c>
      <c r="D201">
        <v>1023370.822</v>
      </c>
      <c r="E201">
        <v>8762.4137900000005</v>
      </c>
      <c r="F201">
        <v>1415433.0819999999</v>
      </c>
      <c r="G201">
        <v>4623.6458000000002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3.3911304020602128E-3</v>
      </c>
      <c r="M201" s="1">
        <f t="shared" si="15"/>
        <v>8665897.4449722301</v>
      </c>
      <c r="N201" s="1">
        <f t="shared" si="16"/>
        <v>2139528.2351241172</v>
      </c>
      <c r="O201" s="1"/>
    </row>
    <row r="202" spans="1:15" x14ac:dyDescent="0.25">
      <c r="A202">
        <v>201</v>
      </c>
      <c r="B202">
        <v>580883.29169999994</v>
      </c>
      <c r="C202">
        <v>15346.75669</v>
      </c>
      <c r="D202">
        <v>979167.30790000001</v>
      </c>
      <c r="E202">
        <v>47981.479590000003</v>
      </c>
      <c r="F202">
        <v>1382153.2590000001</v>
      </c>
      <c r="G202">
        <v>28723.818299999999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95091905.846310228</v>
      </c>
      <c r="M202" s="1">
        <f t="shared" si="15"/>
        <v>99711148.105831519</v>
      </c>
      <c r="N202" s="1">
        <f t="shared" si="16"/>
        <v>27929034.970748149</v>
      </c>
      <c r="O202" s="1"/>
    </row>
    <row r="203" spans="1:15" x14ac:dyDescent="0.25">
      <c r="A203">
        <v>202</v>
      </c>
      <c r="B203">
        <v>415699.413</v>
      </c>
      <c r="C203">
        <v>185198.7647</v>
      </c>
      <c r="D203">
        <v>860464.37179999996</v>
      </c>
      <c r="E203">
        <v>152572.52179999999</v>
      </c>
      <c r="F203">
        <v>1263096.2590000001</v>
      </c>
      <c r="G203">
        <v>121012.79090000001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930646803.8330152</v>
      </c>
      <c r="M203" s="1">
        <f t="shared" si="15"/>
        <v>257138002.63035852</v>
      </c>
      <c r="N203" s="1">
        <f t="shared" si="16"/>
        <v>95425599.46050635</v>
      </c>
      <c r="O203" s="1"/>
    </row>
    <row r="204" spans="1:15" x14ac:dyDescent="0.25">
      <c r="A204">
        <v>205</v>
      </c>
      <c r="B204">
        <v>563691.94189999998</v>
      </c>
      <c r="C204" s="1">
        <v>-1.42E-5</v>
      </c>
      <c r="D204">
        <v>944485.76100000006</v>
      </c>
      <c r="E204">
        <v>14842.03649</v>
      </c>
      <c r="F204">
        <v>1333460.08</v>
      </c>
      <c r="G204">
        <v>5918.7872770000004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-1.5147615892182798E-2</v>
      </c>
      <c r="M204" s="1">
        <f t="shared" si="15"/>
        <v>5309976.1627524663</v>
      </c>
      <c r="N204" s="1">
        <f t="shared" si="16"/>
        <v>990776.01889409812</v>
      </c>
      <c r="O204" s="1"/>
    </row>
    <row r="205" spans="1:15" x14ac:dyDescent="0.25">
      <c r="A205">
        <v>206</v>
      </c>
      <c r="B205">
        <v>470594.70309999998</v>
      </c>
      <c r="C205" s="1">
        <v>7.2799999999999998E-6</v>
      </c>
      <c r="D205">
        <v>867482.14370000002</v>
      </c>
      <c r="E205">
        <v>9986.3956529999996</v>
      </c>
      <c r="F205">
        <v>1279752.2649999999</v>
      </c>
      <c r="G205">
        <v>11128.88293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1.6038866637136981E-2</v>
      </c>
      <c r="M205" s="1">
        <f t="shared" si="15"/>
        <v>7378943.7950095134</v>
      </c>
      <c r="N205" s="1">
        <f t="shared" si="16"/>
        <v>3847518.2273303433</v>
      </c>
      <c r="O205" s="1"/>
    </row>
    <row r="206" spans="1:15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14239.361080000001</v>
      </c>
      <c r="F206">
        <v>1261879.8459999999</v>
      </c>
      <c r="G206">
        <v>10830.30602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9.549798740815775E-3</v>
      </c>
      <c r="M206" s="1">
        <f t="shared" si="15"/>
        <v>29048800.673761416</v>
      </c>
      <c r="N206" s="1">
        <f t="shared" si="16"/>
        <v>10337656.800420815</v>
      </c>
      <c r="O206" s="1"/>
    </row>
    <row r="207" spans="1:15" x14ac:dyDescent="0.25">
      <c r="A207">
        <v>208</v>
      </c>
      <c r="B207">
        <v>639296.00589999999</v>
      </c>
      <c r="C207" s="1">
        <v>-4.2799999999999997E-5</v>
      </c>
      <c r="D207">
        <v>1086530.5589999999</v>
      </c>
      <c r="E207">
        <v>15399.616389999999</v>
      </c>
      <c r="F207">
        <v>1474526.3870000001</v>
      </c>
      <c r="G207">
        <v>6216.9856840000002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-0.1375677565826447</v>
      </c>
      <c r="M207" s="1">
        <f t="shared" si="15"/>
        <v>16600681.812481178</v>
      </c>
      <c r="N207" s="1">
        <f t="shared" si="16"/>
        <v>3135736.5518310023</v>
      </c>
      <c r="O207" s="1"/>
    </row>
    <row r="208" spans="1:15" x14ac:dyDescent="0.25">
      <c r="A208">
        <v>209</v>
      </c>
      <c r="B208">
        <v>416643.86499999999</v>
      </c>
      <c r="C208">
        <v>11020.214180000001</v>
      </c>
      <c r="D208">
        <v>899219.82</v>
      </c>
      <c r="E208">
        <v>14504.487999999999</v>
      </c>
      <c r="F208">
        <v>1331963.4809999999</v>
      </c>
      <c r="G208">
        <v>9090.5017449999996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27361705.780717496</v>
      </c>
      <c r="M208" s="1">
        <f t="shared" si="15"/>
        <v>12078101.459017972</v>
      </c>
      <c r="N208" s="1">
        <f t="shared" si="16"/>
        <v>3541830.7412844012</v>
      </c>
      <c r="O208" s="1"/>
    </row>
    <row r="209" spans="1:15" x14ac:dyDescent="0.25">
      <c r="A209">
        <v>210</v>
      </c>
      <c r="B209">
        <v>590325.72459999996</v>
      </c>
      <c r="C209" s="1">
        <v>-5.2100000000000001E-6</v>
      </c>
      <c r="D209">
        <v>1058987.7250000001</v>
      </c>
      <c r="E209">
        <v>17993.909029999999</v>
      </c>
      <c r="F209">
        <v>1471351.31</v>
      </c>
      <c r="G209">
        <v>3820.524175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-1.3953679763404517E-2</v>
      </c>
      <c r="M209" s="1">
        <f t="shared" si="15"/>
        <v>16162914.884578977</v>
      </c>
      <c r="N209" s="1">
        <f t="shared" si="16"/>
        <v>1605686.646497007</v>
      </c>
      <c r="O209" s="1"/>
    </row>
    <row r="210" spans="1:15" x14ac:dyDescent="0.25">
      <c r="A210">
        <v>211</v>
      </c>
      <c r="B210">
        <v>573895.95030000003</v>
      </c>
      <c r="C210">
        <v>6983.3444239999999</v>
      </c>
      <c r="D210">
        <v>1053177.3770000001</v>
      </c>
      <c r="E210">
        <v>21251.421310000002</v>
      </c>
      <c r="F210">
        <v>1468726.554</v>
      </c>
      <c r="G210">
        <v>1460.659555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10991045.940844253</v>
      </c>
      <c r="M210" s="1">
        <f t="shared" si="15"/>
        <v>11217773.815997452</v>
      </c>
      <c r="N210" s="1">
        <f t="shared" si="16"/>
        <v>360754.18671271676</v>
      </c>
      <c r="O210" s="1"/>
    </row>
    <row r="211" spans="1:15" x14ac:dyDescent="0.25">
      <c r="A211">
        <v>212</v>
      </c>
      <c r="B211">
        <v>450404.78600000002</v>
      </c>
      <c r="C211" s="1">
        <v>2.2399999999999999E-5</v>
      </c>
      <c r="D211">
        <v>928431.35959999997</v>
      </c>
      <c r="E211">
        <v>15509.271839999999</v>
      </c>
      <c r="F211">
        <v>1362611.6769999999</v>
      </c>
      <c r="G211">
        <v>3630.4433909999998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0.133327141704848</v>
      </c>
      <c r="M211" s="1">
        <f t="shared" si="15"/>
        <v>30960295.383822121</v>
      </c>
      <c r="N211" s="1">
        <f t="shared" si="16"/>
        <v>3390916.025083459</v>
      </c>
      <c r="O211" s="1"/>
    </row>
    <row r="212" spans="1:15" x14ac:dyDescent="0.25">
      <c r="A212">
        <v>213</v>
      </c>
      <c r="B212">
        <v>421201.83020000003</v>
      </c>
      <c r="C212">
        <v>73269.331969999999</v>
      </c>
      <c r="D212">
        <v>866398.30330000003</v>
      </c>
      <c r="E212">
        <v>30984.96326</v>
      </c>
      <c r="F212">
        <v>1281586.537</v>
      </c>
      <c r="G212">
        <v>36124.722379999999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201404095.76534685</v>
      </c>
      <c r="M212" s="1">
        <f t="shared" si="15"/>
        <v>28565392.034297917</v>
      </c>
      <c r="N212" s="1">
        <f t="shared" si="16"/>
        <v>15582509.472713506</v>
      </c>
      <c r="O212" s="1"/>
    </row>
    <row r="213" spans="1:15" x14ac:dyDescent="0.25">
      <c r="A213">
        <v>214</v>
      </c>
      <c r="B213">
        <v>263222.04350000003</v>
      </c>
      <c r="C213">
        <v>204401.8714</v>
      </c>
      <c r="D213">
        <v>798583.83829999994</v>
      </c>
      <c r="E213">
        <v>90701.629010000004</v>
      </c>
      <c r="F213">
        <v>1180350.307</v>
      </c>
      <c r="G213">
        <v>79546.659029999995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1316937259.810406</v>
      </c>
      <c r="M213" s="1">
        <f t="shared" si="15"/>
        <v>195992043.75214359</v>
      </c>
      <c r="N213" s="1">
        <f t="shared" si="16"/>
        <v>80424612.419399187</v>
      </c>
      <c r="O213" s="1"/>
    </row>
    <row r="214" spans="1:15" x14ac:dyDescent="0.25">
      <c r="A214">
        <v>215</v>
      </c>
      <c r="B214">
        <v>685872.31259999995</v>
      </c>
      <c r="C214">
        <v>14388.63222</v>
      </c>
      <c r="D214">
        <v>1140160.429</v>
      </c>
      <c r="E214">
        <v>10507.37376</v>
      </c>
      <c r="F214">
        <v>1571641.0689999999</v>
      </c>
      <c r="G214">
        <v>1953.4445659999999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58921036.496368982</v>
      </c>
      <c r="M214" s="1">
        <f t="shared" si="15"/>
        <v>14430726.107568512</v>
      </c>
      <c r="N214" s="1">
        <f t="shared" si="16"/>
        <v>1255274.6912468041</v>
      </c>
      <c r="O214" s="1"/>
    </row>
    <row r="215" spans="1:15" x14ac:dyDescent="0.25">
      <c r="A215">
        <v>216</v>
      </c>
      <c r="B215">
        <v>395633.13380000001</v>
      </c>
      <c r="C215" s="1">
        <v>1.75E-6</v>
      </c>
      <c r="D215">
        <v>891529.75109999999</v>
      </c>
      <c r="E215">
        <v>15604.40309</v>
      </c>
      <c r="F215">
        <v>1345783.6669999999</v>
      </c>
      <c r="G215">
        <v>8692.0149600000004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8.1308786490181251E-3</v>
      </c>
      <c r="M215" s="1">
        <f t="shared" si="15"/>
        <v>24315865.253189847</v>
      </c>
      <c r="N215" s="1">
        <f t="shared" si="16"/>
        <v>6337335.6687748879</v>
      </c>
      <c r="O215" s="1"/>
    </row>
    <row r="216" spans="1:15" x14ac:dyDescent="0.25">
      <c r="A216">
        <v>217</v>
      </c>
      <c r="B216">
        <v>517120.9486</v>
      </c>
      <c r="C216">
        <v>12505.22171</v>
      </c>
      <c r="D216">
        <v>1016032.284</v>
      </c>
      <c r="E216">
        <v>23303.969420000001</v>
      </c>
      <c r="F216">
        <v>1427141.686</v>
      </c>
      <c r="G216">
        <v>2292.2963100000002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20965340.279853754</v>
      </c>
      <c r="M216" s="1">
        <f t="shared" si="15"/>
        <v>13103386.716859754</v>
      </c>
      <c r="N216" s="1">
        <f t="shared" si="16"/>
        <v>603070.50731310004</v>
      </c>
      <c r="O216" s="1"/>
    </row>
    <row r="217" spans="1:15" x14ac:dyDescent="0.25">
      <c r="A217">
        <v>218</v>
      </c>
      <c r="B217">
        <v>432414.26069999998</v>
      </c>
      <c r="C217">
        <v>3946.3275159999998</v>
      </c>
      <c r="D217">
        <v>912218.92359999998</v>
      </c>
      <c r="E217">
        <v>20131.182680000002</v>
      </c>
      <c r="F217">
        <v>1348244.6</v>
      </c>
      <c r="G217">
        <v>1557.7516049999999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12864108.034585264</v>
      </c>
      <c r="M217" s="1">
        <f t="shared" si="15"/>
        <v>22008932.570843026</v>
      </c>
      <c r="N217" s="1">
        <f t="shared" si="16"/>
        <v>796840.82337517082</v>
      </c>
      <c r="O217" s="1"/>
    </row>
    <row r="218" spans="1:15" x14ac:dyDescent="0.25">
      <c r="A218">
        <v>219</v>
      </c>
      <c r="B218">
        <v>433588.02720000001</v>
      </c>
      <c r="C218">
        <v>7844.250849</v>
      </c>
      <c r="D218">
        <v>887833.22770000005</v>
      </c>
      <c r="E218">
        <v>15005.64803</v>
      </c>
      <c r="F218">
        <v>1309968.9439999999</v>
      </c>
      <c r="G218">
        <v>6052.5908060000002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37009263.490798146</v>
      </c>
      <c r="M218" s="1">
        <f t="shared" si="15"/>
        <v>23744162.809610568</v>
      </c>
      <c r="N218" s="1">
        <f t="shared" si="16"/>
        <v>4481125.405840545</v>
      </c>
      <c r="O218" s="1"/>
    </row>
    <row r="219" spans="1:15" x14ac:dyDescent="0.25">
      <c r="A219">
        <v>220</v>
      </c>
      <c r="B219">
        <v>324633.54479999997</v>
      </c>
      <c r="C219">
        <v>185927.7733</v>
      </c>
      <c r="D219">
        <v>806126.68720000004</v>
      </c>
      <c r="E219">
        <v>95623.128989999997</v>
      </c>
      <c r="F219">
        <v>1198479.8529999999</v>
      </c>
      <c r="G219">
        <v>82761.736439999993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553741697.7707088</v>
      </c>
      <c r="M219" s="1">
        <f t="shared" si="15"/>
        <v>95514442.988849476</v>
      </c>
      <c r="N219" s="1">
        <f t="shared" si="16"/>
        <v>38679367.970111638</v>
      </c>
      <c r="O219" s="1"/>
    </row>
    <row r="220" spans="1:15" x14ac:dyDescent="0.25">
      <c r="A220">
        <v>221</v>
      </c>
      <c r="B220">
        <v>143340.44750000001</v>
      </c>
      <c r="C220">
        <v>177587.82920000001</v>
      </c>
      <c r="D220">
        <v>721273.96349999995</v>
      </c>
      <c r="E220">
        <v>66159.57978</v>
      </c>
      <c r="F220">
        <v>1045809.287</v>
      </c>
      <c r="G220">
        <v>103258.4176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335607466.81505138</v>
      </c>
      <c r="M220" s="1">
        <f t="shared" si="15"/>
        <v>41932841.373950437</v>
      </c>
      <c r="N220" s="1">
        <f t="shared" si="16"/>
        <v>30621798.660641424</v>
      </c>
      <c r="O220" s="1"/>
    </row>
    <row r="221" spans="1:15" x14ac:dyDescent="0.25">
      <c r="A221">
        <v>222</v>
      </c>
      <c r="B221">
        <v>433501.27429999999</v>
      </c>
      <c r="C221">
        <v>4608.8313479999997</v>
      </c>
      <c r="D221">
        <v>913641.94559999998</v>
      </c>
      <c r="E221">
        <v>21911.504059999999</v>
      </c>
      <c r="F221">
        <v>1351069.3970000001</v>
      </c>
      <c r="G221">
        <v>4321.0101599999998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14934707.000614913</v>
      </c>
      <c r="M221" s="1">
        <f t="shared" si="15"/>
        <v>23813389.590752058</v>
      </c>
      <c r="N221" s="1">
        <f t="shared" si="16"/>
        <v>2197242.5121665914</v>
      </c>
      <c r="O221" s="1"/>
    </row>
    <row r="222" spans="1:15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24454.205129999998</v>
      </c>
      <c r="F222">
        <v>1153734.2279999999</v>
      </c>
      <c r="G222">
        <v>13202.220600000001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8.4343989725134752E-4</v>
      </c>
      <c r="M222" s="1">
        <f t="shared" si="15"/>
        <v>11340207.296751337</v>
      </c>
      <c r="N222" s="1">
        <f t="shared" si="16"/>
        <v>2864561.2050644886</v>
      </c>
      <c r="O222" s="1"/>
    </row>
    <row r="223" spans="1:15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19043.390479999998</v>
      </c>
      <c r="F223">
        <v>1432453.6950000001</v>
      </c>
      <c r="G223">
        <v>3432.921558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-4.4851158253537998E-2</v>
      </c>
      <c r="M223" s="1">
        <f t="shared" si="15"/>
        <v>21538201.293501787</v>
      </c>
      <c r="N223" s="1">
        <f t="shared" si="16"/>
        <v>1816656.0813329907</v>
      </c>
      <c r="O223" s="1"/>
    </row>
    <row r="224" spans="1:15" x14ac:dyDescent="0.25">
      <c r="A224">
        <v>225</v>
      </c>
      <c r="B224">
        <v>78841.585590000002</v>
      </c>
      <c r="C224" s="1">
        <v>1.61E-6</v>
      </c>
      <c r="D224">
        <v>711902.12679999997</v>
      </c>
      <c r="E224">
        <v>18461.637419999999</v>
      </c>
      <c r="F224">
        <v>1146856.064</v>
      </c>
      <c r="G224">
        <v>19777.805130000001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7.1790081559377997E-3</v>
      </c>
      <c r="M224" s="1">
        <f t="shared" si="15"/>
        <v>27609079.353093106</v>
      </c>
      <c r="N224" s="1">
        <f t="shared" si="16"/>
        <v>13838960.804731473</v>
      </c>
      <c r="O224" s="1"/>
    </row>
    <row r="225" spans="1:15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>
        <v>17231.615829999999</v>
      </c>
      <c r="F225">
        <v>935771.42350000003</v>
      </c>
      <c r="G225">
        <v>25203.858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-1.0191356256236999E-2</v>
      </c>
      <c r="M225" s="1">
        <f t="shared" si="15"/>
        <v>30204142.64546207</v>
      </c>
      <c r="N225" s="1">
        <f t="shared" si="16"/>
        <v>20670510.913435988</v>
      </c>
      <c r="O225" s="1"/>
    </row>
    <row r="226" spans="1:15" x14ac:dyDescent="0.25">
      <c r="A226">
        <v>227</v>
      </c>
      <c r="B226">
        <v>208498.3518</v>
      </c>
      <c r="C226">
        <v>594.9463538</v>
      </c>
      <c r="D226">
        <v>642340.67420000001</v>
      </c>
      <c r="E226">
        <v>38888.621870000003</v>
      </c>
      <c r="F226">
        <v>1052352.6129999999</v>
      </c>
      <c r="G226">
        <v>61827.962979999997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7719621.6681848355</v>
      </c>
      <c r="M226" s="1">
        <f t="shared" si="15"/>
        <v>169232550.26608267</v>
      </c>
      <c r="N226" s="1">
        <f t="shared" si="16"/>
        <v>125889631.57772171</v>
      </c>
      <c r="O226" s="1"/>
    </row>
    <row r="227" spans="1:15" x14ac:dyDescent="0.25">
      <c r="A227">
        <v>228</v>
      </c>
      <c r="B227">
        <v>218467.32519999999</v>
      </c>
      <c r="C227">
        <v>38916.933689999998</v>
      </c>
      <c r="D227">
        <v>658704.73389999999</v>
      </c>
      <c r="E227">
        <v>46665.454339999997</v>
      </c>
      <c r="F227">
        <v>1069946.9339999999</v>
      </c>
      <c r="G227">
        <v>55874.516080000001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620025665.86171639</v>
      </c>
      <c r="M227" s="1">
        <f t="shared" si="15"/>
        <v>249350181.413486</v>
      </c>
      <c r="N227" s="1">
        <f t="shared" si="16"/>
        <v>139692034.63508949</v>
      </c>
      <c r="O227" s="1"/>
    </row>
    <row r="228" spans="1:15" x14ac:dyDescent="0.25">
      <c r="A228">
        <v>229</v>
      </c>
      <c r="B228">
        <v>164668.56630000001</v>
      </c>
      <c r="C228">
        <v>11226.1708</v>
      </c>
      <c r="D228">
        <v>611497.58909999998</v>
      </c>
      <c r="E228">
        <v>21311.09636</v>
      </c>
      <c r="F228">
        <v>1032709.1139999999</v>
      </c>
      <c r="G228">
        <v>27274.141370000001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114945332.14488916</v>
      </c>
      <c r="M228" s="1">
        <f t="shared" si="15"/>
        <v>73182732.946576059</v>
      </c>
      <c r="N228" s="1">
        <f t="shared" si="16"/>
        <v>43822545.077040859</v>
      </c>
      <c r="O228" s="1"/>
    </row>
    <row r="229" spans="1:15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>
        <v>1345.0133510000001</v>
      </c>
      <c r="F229">
        <v>915157.17830000003</v>
      </c>
      <c r="G229">
        <v>15088.900089999999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-2.1319540020131597E-3</v>
      </c>
      <c r="M229" s="1">
        <f t="shared" si="15"/>
        <v>3877893.5361090358</v>
      </c>
      <c r="N229" s="1">
        <f t="shared" si="16"/>
        <v>20354973.791258853</v>
      </c>
      <c r="O229" s="1"/>
    </row>
    <row r="230" spans="1:15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 s="1">
        <v>3.5999999999999998E-6</v>
      </c>
      <c r="F230">
        <v>1036218.785</v>
      </c>
      <c r="G230">
        <v>8744.8208869999999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0.25561417355407051</v>
      </c>
      <c r="M230" s="1">
        <f t="shared" si="15"/>
        <v>6.7978991326748395E-3</v>
      </c>
      <c r="N230" s="1">
        <f t="shared" si="16"/>
        <v>7726215.408970031</v>
      </c>
      <c r="O230" s="1"/>
    </row>
    <row r="231" spans="1:15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 s="1">
        <v>-3.6300000000000001E-5</v>
      </c>
      <c r="F231">
        <v>1051640.0249999999</v>
      </c>
      <c r="G231">
        <v>14545.8467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0.197601660782838</v>
      </c>
      <c r="M231" s="1">
        <f t="shared" si="15"/>
        <v>-9.2172176978420881E-2</v>
      </c>
      <c r="N231" s="1">
        <f t="shared" si="16"/>
        <v>17281279.898148037</v>
      </c>
      <c r="O231" s="1"/>
    </row>
    <row r="232" spans="1:15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 s="1">
        <v>-3.7100000000000001E-5</v>
      </c>
      <c r="F232">
        <v>1090560.193</v>
      </c>
      <c r="G232">
        <v>8859.3790059999992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0.27788802429854703</v>
      </c>
      <c r="M232" s="1">
        <f t="shared" si="15"/>
        <v>-0.10573995591257533</v>
      </c>
      <c r="N232" s="1">
        <f t="shared" si="16"/>
        <v>11814413.714698434</v>
      </c>
      <c r="O232" s="1"/>
    </row>
    <row r="233" spans="1:15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>
        <v>665.59331210000005</v>
      </c>
      <c r="F233">
        <v>1027487.201</v>
      </c>
      <c r="G233">
        <v>7273.7365669999999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0.96777391174034999</v>
      </c>
      <c r="M233" s="1">
        <f t="shared" si="15"/>
        <v>4909907.6166039417</v>
      </c>
      <c r="N233" s="1">
        <f t="shared" si="16"/>
        <v>25105311.679100361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-2.94E-5</v>
      </c>
      <c r="F234">
        <v>972521.37930000003</v>
      </c>
      <c r="G234">
        <v>10271.12119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-6.9898831420037749E-2</v>
      </c>
      <c r="N234" s="1">
        <f t="shared" si="16"/>
        <v>11425734.193435676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 s="1">
        <v>3.8099999999999998E-5</v>
      </c>
      <c r="F235">
        <v>990812.9277</v>
      </c>
      <c r="G235">
        <v>11532.131579999999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6.2979577098359997E-3</v>
      </c>
      <c r="M235" s="1">
        <f t="shared" si="15"/>
        <v>5.0297670333034471E-2</v>
      </c>
      <c r="N235" s="1">
        <f t="shared" si="16"/>
        <v>7123216.7822121447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13913.718489999999</v>
      </c>
      <c r="F236">
        <v>1282980.9709999999</v>
      </c>
      <c r="G236">
        <v>11367.26353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0.110993193734592</v>
      </c>
      <c r="M236" s="1">
        <f t="shared" si="15"/>
        <v>24901147.582881179</v>
      </c>
      <c r="N236" s="1">
        <f t="shared" si="16"/>
        <v>9518658.7343328483</v>
      </c>
      <c r="O236" s="1"/>
    </row>
    <row r="237" spans="1:15" x14ac:dyDescent="0.25">
      <c r="A237">
        <v>240</v>
      </c>
      <c r="B237">
        <v>549104.14610000001</v>
      </c>
      <c r="C237" s="1">
        <v>9.4700000000000008E-6</v>
      </c>
      <c r="D237">
        <v>1031867.723</v>
      </c>
      <c r="E237">
        <v>17366.091390000001</v>
      </c>
      <c r="F237">
        <v>1438010.067</v>
      </c>
      <c r="G237">
        <v>8224.4507830000002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3.1186891575655729E-2</v>
      </c>
      <c r="M237" s="1">
        <f t="shared" si="15"/>
        <v>19180827.101207562</v>
      </c>
      <c r="N237" s="1">
        <f t="shared" si="16"/>
        <v>4250263.2756967368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 s="1">
        <v>-3.5299999999999997E-5</v>
      </c>
      <c r="F238">
        <v>1112541.929</v>
      </c>
      <c r="G238">
        <v>16492.12934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-5.9300720565284508E-2</v>
      </c>
      <c r="N238" s="1">
        <f t="shared" si="16"/>
        <v>12963004.607794626</v>
      </c>
      <c r="O238" s="1"/>
    </row>
    <row r="239" spans="1:15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>
        <v>64.519512300000002</v>
      </c>
      <c r="F239">
        <v>1168448.0589999999</v>
      </c>
      <c r="G239">
        <v>6363.1271319999996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-0.19616904759627174</v>
      </c>
      <c r="M239" s="1">
        <f t="shared" si="15"/>
        <v>128243.89583454303</v>
      </c>
      <c r="N239" s="1">
        <f t="shared" si="16"/>
        <v>5917794.8454696955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8184.3013979999996</v>
      </c>
      <c r="F240">
        <v>1214351.2549999999</v>
      </c>
      <c r="G240">
        <v>10284.88177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-2.0968013135409601E-2</v>
      </c>
      <c r="M240" s="1">
        <f t="shared" si="15"/>
        <v>9497502.2973842341</v>
      </c>
      <c r="N240" s="1">
        <f t="shared" si="16"/>
        <v>5584326.1429419806</v>
      </c>
      <c r="O240" s="1"/>
    </row>
    <row r="241" spans="1:15" x14ac:dyDescent="0.25">
      <c r="A241">
        <v>244</v>
      </c>
      <c r="B241">
        <v>545795.65090000001</v>
      </c>
      <c r="C241" s="1">
        <v>1.84E-5</v>
      </c>
      <c r="D241">
        <v>1026367.024</v>
      </c>
      <c r="E241">
        <v>17366.091069999999</v>
      </c>
      <c r="F241">
        <v>1435883.8049999999</v>
      </c>
      <c r="G241">
        <v>8837.9853019999991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2.81399802460322E-2</v>
      </c>
      <c r="M241" s="1">
        <f t="shared" si="15"/>
        <v>8907404.5322750788</v>
      </c>
      <c r="N241" s="1">
        <f t="shared" si="16"/>
        <v>2121026.3081042054</v>
      </c>
      <c r="O241" s="1"/>
    </row>
    <row r="242" spans="1:15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>
        <v>6983.3444920000002</v>
      </c>
      <c r="F242">
        <v>1247363.5049999999</v>
      </c>
      <c r="G242">
        <v>9627.8448540000009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-0.27292301273115455</v>
      </c>
      <c r="M242" s="1">
        <f t="shared" si="15"/>
        <v>23076343.29673766</v>
      </c>
      <c r="N242" s="1">
        <f t="shared" si="16"/>
        <v>14885940.750541845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>
        <v>6983.344478</v>
      </c>
      <c r="F243">
        <v>1226550.5</v>
      </c>
      <c r="G243">
        <v>6804.0341539999999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0</v>
      </c>
      <c r="M243" s="1">
        <f t="shared" si="15"/>
        <v>11437157.251276353</v>
      </c>
      <c r="N243" s="1">
        <f t="shared" si="16"/>
        <v>5213925.1204928383</v>
      </c>
      <c r="O243" s="1"/>
    </row>
    <row r="244" spans="1:15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>
        <v>12437.871499999999</v>
      </c>
      <c r="F244">
        <v>1264659.6440000001</v>
      </c>
      <c r="G244">
        <v>10793.727989999999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6.9651113925594504E-2</v>
      </c>
      <c r="M244" s="1">
        <f t="shared" si="15"/>
        <v>17192164.756920554</v>
      </c>
      <c r="N244" s="1">
        <f t="shared" si="16"/>
        <v>6980710.8008341873</v>
      </c>
      <c r="O244" s="1"/>
    </row>
    <row r="245" spans="1:15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8422.4763089999997</v>
      </c>
      <c r="F245">
        <v>1289923.8529999999</v>
      </c>
      <c r="G245">
        <v>12191.28931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0.22035516084059403</v>
      </c>
      <c r="M245" s="1">
        <f t="shared" si="15"/>
        <v>15108068.504129265</v>
      </c>
      <c r="N245" s="1">
        <f t="shared" si="16"/>
        <v>10232045.508194361</v>
      </c>
      <c r="O245" s="1"/>
    </row>
    <row r="246" spans="1:15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8184.3014270000003</v>
      </c>
      <c r="F246">
        <v>1295520.952</v>
      </c>
      <c r="G246">
        <v>11550.54363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-7.3452182841488758E-2</v>
      </c>
      <c r="M246" s="1">
        <f t="shared" si="15"/>
        <v>17532006.348681975</v>
      </c>
      <c r="N246" s="1">
        <f t="shared" si="16"/>
        <v>11577001.946246693</v>
      </c>
      <c r="O246" s="1"/>
    </row>
    <row r="247" spans="1:15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>
        <v>1127.1620800000001</v>
      </c>
      <c r="F247">
        <v>1176518.0619999999</v>
      </c>
      <c r="G247">
        <v>7459.7538370000002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-7.7637171780031503E-2</v>
      </c>
      <c r="M247" s="1">
        <f t="shared" si="15"/>
        <v>1377906.0580931515</v>
      </c>
      <c r="N247" s="1">
        <f t="shared" si="16"/>
        <v>4266791.4328748034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 s="1">
        <v>-4.4299999999999999E-5</v>
      </c>
      <c r="F248">
        <v>1139335.8459999999</v>
      </c>
      <c r="G248">
        <v>6634.0248419999998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2.7280844030752E-2</v>
      </c>
      <c r="M248" s="1">
        <f t="shared" si="15"/>
        <v>-0.15833054275395697</v>
      </c>
      <c r="N248" s="1">
        <f t="shared" si="16"/>
        <v>11093836.114840802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 s="1">
        <v>2.51E-5</v>
      </c>
      <c r="F249">
        <v>976513.24979999999</v>
      </c>
      <c r="G249">
        <v>11192.367620000001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0</v>
      </c>
      <c r="M249" s="1">
        <f t="shared" si="15"/>
        <v>3.344529882299957E-2</v>
      </c>
      <c r="N249" s="1">
        <f t="shared" si="16"/>
        <v>6977936.3496385077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>
        <v>22936.77564</v>
      </c>
      <c r="F250">
        <v>1098176.0260000001</v>
      </c>
      <c r="G250">
        <v>13330.37513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20288663.750110202</v>
      </c>
      <c r="N250" s="1">
        <f t="shared" si="16"/>
        <v>5517052.6341165612</v>
      </c>
      <c r="O250" s="1"/>
    </row>
    <row r="251" spans="1:15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14915.09743</v>
      </c>
      <c r="F251">
        <v>1333610.226</v>
      </c>
      <c r="G251">
        <v>9156.9909989999996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-7.015021500535458E-2</v>
      </c>
      <c r="M251" s="1">
        <f t="shared" si="15"/>
        <v>13548726.436340237</v>
      </c>
      <c r="N251" s="1">
        <f t="shared" si="16"/>
        <v>3891964.2716340101</v>
      </c>
      <c r="O251" s="1"/>
    </row>
    <row r="252" spans="1:15" x14ac:dyDescent="0.25">
      <c r="A252">
        <v>255</v>
      </c>
      <c r="B252">
        <v>322396.67940000002</v>
      </c>
      <c r="C252" s="1">
        <v>3.8600000000000003E-5</v>
      </c>
      <c r="D252">
        <v>840665.87679999997</v>
      </c>
      <c r="E252">
        <v>13913.718440000001</v>
      </c>
      <c r="F252">
        <v>1283212.915</v>
      </c>
      <c r="G252">
        <v>11367.26353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0.12339630268059383</v>
      </c>
      <c r="M252" s="1">
        <f t="shared" si="15"/>
        <v>14917676.676906589</v>
      </c>
      <c r="N252" s="1">
        <f t="shared" si="16"/>
        <v>5702398.7924348917</v>
      </c>
      <c r="O252" s="1"/>
    </row>
    <row r="253" spans="1:15" x14ac:dyDescent="0.25">
      <c r="A253">
        <v>256</v>
      </c>
      <c r="B253">
        <v>191964.511</v>
      </c>
      <c r="C253" s="1">
        <v>-4.88E-5</v>
      </c>
      <c r="D253">
        <v>793542.77969999996</v>
      </c>
      <c r="E253">
        <v>16875.313910000001</v>
      </c>
      <c r="F253">
        <v>1223839.54</v>
      </c>
      <c r="G253">
        <v>13150.88833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-0.34028460967729801</v>
      </c>
      <c r="M253" s="1">
        <f t="shared" si="15"/>
        <v>39465488.472133599</v>
      </c>
      <c r="N253" s="1">
        <f t="shared" si="16"/>
        <v>14390119.168756178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18911.835999999999</v>
      </c>
      <c r="F254">
        <v>1161602.848</v>
      </c>
      <c r="G254">
        <v>8506.5189719999998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1.0054141449189825E-2</v>
      </c>
      <c r="M254" s="1">
        <f t="shared" si="15"/>
        <v>31726762.937097516</v>
      </c>
      <c r="N254" s="1">
        <f t="shared" si="16"/>
        <v>6677096.0493225353</v>
      </c>
      <c r="O254" s="1"/>
    </row>
    <row r="255" spans="1:15" x14ac:dyDescent="0.25">
      <c r="A255">
        <v>258</v>
      </c>
      <c r="B255">
        <v>204693.90100000001</v>
      </c>
      <c r="C255">
        <v>120431.19319999999</v>
      </c>
      <c r="D255">
        <v>806926.60959999997</v>
      </c>
      <c r="E255">
        <v>52099.049180000002</v>
      </c>
      <c r="F255">
        <v>1234967.7509999999</v>
      </c>
      <c r="G255">
        <v>11498.314469999999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1305407821.6987591</v>
      </c>
      <c r="M255" s="1">
        <f t="shared" si="15"/>
        <v>189400078.9358947</v>
      </c>
      <c r="N255" s="1">
        <f t="shared" si="16"/>
        <v>19558170.081751034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6983.3444440000003</v>
      </c>
      <c r="F256">
        <v>1171257.8030000001</v>
      </c>
      <c r="G256">
        <v>7929.2954570000002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10852035.53314238</v>
      </c>
      <c r="N256" s="1">
        <f t="shared" si="16"/>
        <v>5765354.5792129096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15980.40683</v>
      </c>
      <c r="F257">
        <v>1139219.7320000001</v>
      </c>
      <c r="G257">
        <v>11534.81696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33556999.082116947</v>
      </c>
      <c r="N257" s="1">
        <f t="shared" si="16"/>
        <v>11333124.770460246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>
        <v>14330.55637</v>
      </c>
      <c r="F258">
        <v>1058755.425</v>
      </c>
      <c r="G258">
        <v>18273.095949999999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2.5667784520228505E-2</v>
      </c>
      <c r="M258" s="1">
        <f t="shared" si="15"/>
        <v>36284041.622313231</v>
      </c>
      <c r="N258" s="1">
        <f t="shared" si="16"/>
        <v>21647533.355172008</v>
      </c>
      <c r="O258" s="1"/>
    </row>
    <row r="259" spans="1:15" x14ac:dyDescent="0.25">
      <c r="A259">
        <v>262</v>
      </c>
      <c r="B259">
        <v>94947.286030000003</v>
      </c>
      <c r="C259">
        <v>52302.600149999998</v>
      </c>
      <c r="D259">
        <v>720876.80610000005</v>
      </c>
      <c r="E259">
        <v>61483.76354</v>
      </c>
      <c r="F259">
        <v>1092001.7069999999</v>
      </c>
      <c r="G259">
        <v>50509.61982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520274002.19529492</v>
      </c>
      <c r="M259" s="1">
        <f t="shared" ref="M259:M322" si="19">$U$3*$K259*E259</f>
        <v>205122086.66441694</v>
      </c>
      <c r="N259" s="1">
        <f t="shared" ref="N259:N322" si="20">$U$4*$K259*G259</f>
        <v>78844201.648170397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>
        <v>55055.658340000002</v>
      </c>
      <c r="F260">
        <v>1005716.439</v>
      </c>
      <c r="G260">
        <v>43217.422310000002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2.3215832639116002E-2</v>
      </c>
      <c r="M260" s="1">
        <f t="shared" si="19"/>
        <v>164875457.4372772</v>
      </c>
      <c r="N260" s="1">
        <f t="shared" si="20"/>
        <v>60555917.888273209</v>
      </c>
      <c r="O260" s="1"/>
    </row>
    <row r="261" spans="1:15" x14ac:dyDescent="0.25">
      <c r="A261">
        <v>264</v>
      </c>
      <c r="B261">
        <v>337505.43310000002</v>
      </c>
      <c r="C261">
        <v>143339.77160000001</v>
      </c>
      <c r="D261">
        <v>825189.86199999996</v>
      </c>
      <c r="E261">
        <v>71305.221479999993</v>
      </c>
      <c r="F261">
        <v>1245265.625</v>
      </c>
      <c r="G261">
        <v>38272.128429999997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1042750417.209749</v>
      </c>
      <c r="M261" s="1">
        <f t="shared" si="19"/>
        <v>173971510.5275915</v>
      </c>
      <c r="N261" s="1">
        <f t="shared" si="20"/>
        <v>43690105.620822094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12437.87153</v>
      </c>
      <c r="F262">
        <v>1027556.211</v>
      </c>
      <c r="G262">
        <v>10930.9897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99007555.624677241</v>
      </c>
      <c r="N262" s="1">
        <f t="shared" si="20"/>
        <v>40712280.95903632</v>
      </c>
      <c r="O262" s="1"/>
    </row>
    <row r="263" spans="1:15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>
        <v>27182.05934</v>
      </c>
      <c r="F263">
        <v>982278.18259999994</v>
      </c>
      <c r="G263">
        <v>10228.76886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-0.10391633259631392</v>
      </c>
      <c r="M263" s="1">
        <f t="shared" si="19"/>
        <v>238626569.40443459</v>
      </c>
      <c r="N263" s="1">
        <f t="shared" si="20"/>
        <v>42014914.545425698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>
        <v>27143.41431</v>
      </c>
      <c r="F264">
        <v>921284.13379999995</v>
      </c>
      <c r="G264">
        <v>37104.055690000001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4.0591128978073703E-2</v>
      </c>
      <c r="M264" s="1">
        <f t="shared" si="19"/>
        <v>130112913.9726031</v>
      </c>
      <c r="N264" s="1">
        <f t="shared" si="20"/>
        <v>83218711.82691592</v>
      </c>
      <c r="O264" s="1"/>
    </row>
    <row r="265" spans="1:15" x14ac:dyDescent="0.25">
      <c r="A265">
        <v>268</v>
      </c>
      <c r="B265">
        <v>207485.71460000001</v>
      </c>
      <c r="C265">
        <v>112880.1587</v>
      </c>
      <c r="D265">
        <v>778677.28350000002</v>
      </c>
      <c r="E265">
        <v>71916.727310000002</v>
      </c>
      <c r="F265">
        <v>1186794.774</v>
      </c>
      <c r="G265">
        <v>29720.918119999998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393812582.58730376</v>
      </c>
      <c r="M265" s="1">
        <f t="shared" si="19"/>
        <v>84148238.570043728</v>
      </c>
      <c r="N265" s="1">
        <f t="shared" si="20"/>
        <v>16271253.567471832</v>
      </c>
      <c r="O265" s="1"/>
    </row>
    <row r="266" spans="1:15" x14ac:dyDescent="0.25">
      <c r="A266">
        <v>270</v>
      </c>
      <c r="B266">
        <v>371603.51650000003</v>
      </c>
      <c r="C266">
        <v>37125.099649999996</v>
      </c>
      <c r="D266">
        <v>892077.08120000002</v>
      </c>
      <c r="E266">
        <v>28882.97234</v>
      </c>
      <c r="F266">
        <v>1317647.2760000001</v>
      </c>
      <c r="G266">
        <v>5884.6444579999998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157223682.55799139</v>
      </c>
      <c r="M266" s="1">
        <f t="shared" si="19"/>
        <v>41023750.059922628</v>
      </c>
      <c r="N266" s="1">
        <f t="shared" si="20"/>
        <v>3910725.9201281061</v>
      </c>
      <c r="O266" s="1"/>
    </row>
    <row r="267" spans="1:15" x14ac:dyDescent="0.25">
      <c r="A267">
        <v>271</v>
      </c>
      <c r="B267">
        <v>386853.9118</v>
      </c>
      <c r="C267">
        <v>30663.651979999999</v>
      </c>
      <c r="D267">
        <v>846914.12479999999</v>
      </c>
      <c r="E267">
        <v>22357.077519999999</v>
      </c>
      <c r="F267">
        <v>1246408.3230000001</v>
      </c>
      <c r="G267">
        <v>3923.6076589999998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191154804.1294027</v>
      </c>
      <c r="M267" s="1">
        <f t="shared" si="19"/>
        <v>46743315.074061975</v>
      </c>
      <c r="N267" s="1">
        <f t="shared" si="20"/>
        <v>3838254.1553983483</v>
      </c>
      <c r="O267" s="1"/>
    </row>
    <row r="268" spans="1:15" x14ac:dyDescent="0.25">
      <c r="A268">
        <v>272</v>
      </c>
      <c r="B268">
        <v>146451.09229999999</v>
      </c>
      <c r="C268">
        <v>50614.258139999998</v>
      </c>
      <c r="D268">
        <v>717909.4253</v>
      </c>
      <c r="E268">
        <v>43647.090340000002</v>
      </c>
      <c r="F268">
        <v>1086133.56</v>
      </c>
      <c r="G268">
        <v>36834.234199999999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232620863.39299726</v>
      </c>
      <c r="M268" s="1">
        <f t="shared" si="19"/>
        <v>67278178.075828999</v>
      </c>
      <c r="N268" s="1">
        <f t="shared" si="20"/>
        <v>26565270.828474849</v>
      </c>
      <c r="O268" s="1"/>
    </row>
    <row r="269" spans="1:15" x14ac:dyDescent="0.25">
      <c r="A269">
        <v>273</v>
      </c>
      <c r="B269">
        <v>155405.3193</v>
      </c>
      <c r="C269">
        <v>160642.82199999999</v>
      </c>
      <c r="D269">
        <v>712261.5601</v>
      </c>
      <c r="E269">
        <v>68748.289149999997</v>
      </c>
      <c r="F269">
        <v>1046974.578</v>
      </c>
      <c r="G269">
        <v>89559.323539999998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669436465.00315046</v>
      </c>
      <c r="M269" s="1">
        <f t="shared" si="19"/>
        <v>96084441.99136886</v>
      </c>
      <c r="N269" s="1">
        <f t="shared" si="20"/>
        <v>58566013.083710223</v>
      </c>
      <c r="O269" s="1"/>
    </row>
    <row r="270" spans="1:15" x14ac:dyDescent="0.25">
      <c r="A270">
        <v>274</v>
      </c>
      <c r="B270">
        <v>327176.9363</v>
      </c>
      <c r="C270">
        <v>166077.8823</v>
      </c>
      <c r="D270">
        <v>836929.59219999996</v>
      </c>
      <c r="E270">
        <v>63848.639219999997</v>
      </c>
      <c r="F270">
        <v>1235154.6880000001</v>
      </c>
      <c r="G270">
        <v>49597.079740000001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817761271.22004366</v>
      </c>
      <c r="M270" s="1">
        <f t="shared" si="19"/>
        <v>105441001.6826493</v>
      </c>
      <c r="N270" s="1">
        <f t="shared" si="20"/>
        <v>38322837.846731015</v>
      </c>
      <c r="O270" s="1"/>
    </row>
    <row r="271" spans="1:15" x14ac:dyDescent="0.25">
      <c r="A271">
        <v>275</v>
      </c>
      <c r="B271">
        <v>241638.8063</v>
      </c>
      <c r="C271">
        <v>96483.409650000001</v>
      </c>
      <c r="D271">
        <v>790678.61860000005</v>
      </c>
      <c r="E271">
        <v>50414.2696</v>
      </c>
      <c r="F271">
        <v>1165050.361</v>
      </c>
      <c r="G271">
        <v>39335.40524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271552581.41955596</v>
      </c>
      <c r="M271" s="1">
        <f t="shared" si="19"/>
        <v>47588050.020257786</v>
      </c>
      <c r="N271" s="1">
        <f t="shared" si="20"/>
        <v>17372876.67511839</v>
      </c>
      <c r="O271" s="1"/>
    </row>
    <row r="272" spans="1:15" x14ac:dyDescent="0.25">
      <c r="A272">
        <v>276</v>
      </c>
      <c r="B272">
        <v>89936.182539999994</v>
      </c>
      <c r="C272">
        <v>12190.40201</v>
      </c>
      <c r="D272">
        <v>666701.72470000002</v>
      </c>
      <c r="E272">
        <v>55812.277540000003</v>
      </c>
      <c r="F272">
        <v>1019031.751</v>
      </c>
      <c r="G272">
        <v>64027.50045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77076382.053102106</v>
      </c>
      <c r="M272" s="1">
        <f t="shared" si="19"/>
        <v>118352156.35543635</v>
      </c>
      <c r="N272" s="1">
        <f t="shared" si="20"/>
        <v>63526752.682364568</v>
      </c>
      <c r="O272" s="1"/>
    </row>
    <row r="273" spans="1:15" x14ac:dyDescent="0.25">
      <c r="A273">
        <v>277</v>
      </c>
      <c r="B273">
        <v>264170.80579999997</v>
      </c>
      <c r="C273">
        <v>234695.0558</v>
      </c>
      <c r="D273">
        <v>801619.90240000002</v>
      </c>
      <c r="E273">
        <v>99695.222750000001</v>
      </c>
      <c r="F273">
        <v>1179817.0549999999</v>
      </c>
      <c r="G273">
        <v>89922.571020000003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735983775.73146439</v>
      </c>
      <c r="M273" s="1">
        <f t="shared" si="19"/>
        <v>104853223.15657008</v>
      </c>
      <c r="N273" s="1">
        <f t="shared" si="20"/>
        <v>44250667.960163482</v>
      </c>
      <c r="O273" s="1"/>
    </row>
    <row r="274" spans="1:15" x14ac:dyDescent="0.25">
      <c r="A274">
        <v>278</v>
      </c>
      <c r="B274">
        <v>77731.703399999999</v>
      </c>
      <c r="C274">
        <v>64717.776919999997</v>
      </c>
      <c r="D274">
        <v>658944.20909999998</v>
      </c>
      <c r="E274">
        <v>90390.556110000005</v>
      </c>
      <c r="F274">
        <v>1000907.385</v>
      </c>
      <c r="G274">
        <v>100794.58470000001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301364184.56145573</v>
      </c>
      <c r="M274" s="1">
        <f t="shared" si="19"/>
        <v>141167343.49476221</v>
      </c>
      <c r="N274" s="1">
        <f t="shared" si="20"/>
        <v>73653274.874364376</v>
      </c>
      <c r="O274" s="1"/>
    </row>
    <row r="275" spans="1:15" x14ac:dyDescent="0.25">
      <c r="A275">
        <v>279</v>
      </c>
      <c r="B275">
        <v>418131.7953</v>
      </c>
      <c r="C275">
        <v>222950.23050000001</v>
      </c>
      <c r="D275">
        <v>861999.4817</v>
      </c>
      <c r="E275">
        <v>166578.32500000001</v>
      </c>
      <c r="F275">
        <v>1285190.3370000001</v>
      </c>
      <c r="G275">
        <v>103231.8578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767194481.73749268</v>
      </c>
      <c r="M275" s="1">
        <f t="shared" si="19"/>
        <v>192246823.40602034</v>
      </c>
      <c r="N275" s="1">
        <f t="shared" si="20"/>
        <v>55743996.658857577</v>
      </c>
      <c r="O275" s="1"/>
    </row>
    <row r="276" spans="1:15" x14ac:dyDescent="0.25">
      <c r="A276">
        <v>280</v>
      </c>
      <c r="B276">
        <v>62849.982669999998</v>
      </c>
      <c r="C276">
        <v>63557.620060000001</v>
      </c>
      <c r="D276">
        <v>612531.91850000003</v>
      </c>
      <c r="E276">
        <v>124079.6703</v>
      </c>
      <c r="F276">
        <v>977324.74739999999</v>
      </c>
      <c r="G276">
        <v>113031.5551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210993303.70469809</v>
      </c>
      <c r="M276" s="1">
        <f t="shared" si="19"/>
        <v>138148067.32766333</v>
      </c>
      <c r="N276" s="1">
        <f t="shared" si="20"/>
        <v>58882679.358528882</v>
      </c>
      <c r="O276" s="1"/>
    </row>
    <row r="277" spans="1:15" x14ac:dyDescent="0.25">
      <c r="A277">
        <v>281</v>
      </c>
      <c r="B277">
        <v>140439.45259999999</v>
      </c>
      <c r="C277">
        <v>317087.29379999998</v>
      </c>
      <c r="D277">
        <v>732244.73439999996</v>
      </c>
      <c r="E277">
        <v>124056.4941</v>
      </c>
      <c r="F277">
        <v>1079465.4569999999</v>
      </c>
      <c r="G277">
        <v>149833.022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1102048028.8008447</v>
      </c>
      <c r="M277" s="1">
        <f t="shared" si="19"/>
        <v>144605337.42076471</v>
      </c>
      <c r="N277" s="1">
        <f t="shared" si="20"/>
        <v>81717681.567618594</v>
      </c>
      <c r="O277" s="1"/>
    </row>
    <row r="278" spans="1:15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>
        <v>74493.510720000006</v>
      </c>
      <c r="F278">
        <v>946735.58530000004</v>
      </c>
      <c r="G278">
        <v>63053.764179999998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-1.0609296376822001E-2</v>
      </c>
      <c r="M278" s="1">
        <f t="shared" si="19"/>
        <v>101947085.13402452</v>
      </c>
      <c r="N278" s="1">
        <f t="shared" si="20"/>
        <v>40374863.508701779</v>
      </c>
      <c r="O278" s="1"/>
    </row>
    <row r="279" spans="1:15" x14ac:dyDescent="0.25">
      <c r="A279">
        <v>283</v>
      </c>
      <c r="B279">
        <v>164759.89509999999</v>
      </c>
      <c r="C279">
        <v>86275.302620000002</v>
      </c>
      <c r="D279">
        <v>745106.84739999997</v>
      </c>
      <c r="E279">
        <v>53668.934600000001</v>
      </c>
      <c r="F279">
        <v>1106901.713</v>
      </c>
      <c r="G279">
        <v>68559.204199999993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492699378.17427176</v>
      </c>
      <c r="M279" s="1">
        <f t="shared" si="19"/>
        <v>102792548.58606814</v>
      </c>
      <c r="N279" s="1">
        <f t="shared" si="20"/>
        <v>61439561.276868612</v>
      </c>
      <c r="O279" s="1"/>
    </row>
    <row r="280" spans="1:15" x14ac:dyDescent="0.25">
      <c r="A280">
        <v>284</v>
      </c>
      <c r="B280">
        <v>170373.04019999999</v>
      </c>
      <c r="C280">
        <v>224735.26259999999</v>
      </c>
      <c r="D280">
        <v>736646.95220000006</v>
      </c>
      <c r="E280">
        <v>104435.38740000001</v>
      </c>
      <c r="F280">
        <v>1091090.8419999999</v>
      </c>
      <c r="G280">
        <v>120012.7806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1262243457.1218381</v>
      </c>
      <c r="M280" s="1">
        <f t="shared" si="19"/>
        <v>196726436.62822601</v>
      </c>
      <c r="N280" s="1">
        <f t="shared" si="20"/>
        <v>105775775.89765981</v>
      </c>
      <c r="O280" s="1"/>
    </row>
    <row r="281" spans="1:15" x14ac:dyDescent="0.25">
      <c r="A281">
        <v>285</v>
      </c>
      <c r="B281">
        <v>106466.5851</v>
      </c>
      <c r="C281">
        <v>51696.740890000001</v>
      </c>
      <c r="D281">
        <v>685853.3628</v>
      </c>
      <c r="E281">
        <v>69283.619179999994</v>
      </c>
      <c r="F281">
        <v>1056841.7309999999</v>
      </c>
      <c r="G281">
        <v>64975.423150000002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246005860.66016176</v>
      </c>
      <c r="M281" s="1">
        <f t="shared" si="19"/>
        <v>110574756.48669361</v>
      </c>
      <c r="N281" s="1">
        <f t="shared" si="20"/>
        <v>48519712.672740445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>
        <v>54979.302349999998</v>
      </c>
      <c r="F282">
        <v>913939.8112</v>
      </c>
      <c r="G282">
        <v>37214.440260000003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2.5827656697646702E-2</v>
      </c>
      <c r="M282" s="1">
        <f t="shared" si="19"/>
        <v>96994224.393757999</v>
      </c>
      <c r="N282" s="1">
        <f t="shared" si="20"/>
        <v>30718628.324454624</v>
      </c>
      <c r="O282" s="1"/>
    </row>
    <row r="283" spans="1:15" x14ac:dyDescent="0.25">
      <c r="A283">
        <v>287</v>
      </c>
      <c r="B283">
        <v>76483.923800000004</v>
      </c>
      <c r="C283">
        <v>1279.7027880000001</v>
      </c>
      <c r="D283">
        <v>641568.75320000004</v>
      </c>
      <c r="E283">
        <v>51464.934699999998</v>
      </c>
      <c r="F283">
        <v>1007924.905</v>
      </c>
      <c r="G283">
        <v>61811.340049999999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8716078.7729867417</v>
      </c>
      <c r="M283" s="1">
        <f t="shared" si="19"/>
        <v>117561899.22006086</v>
      </c>
      <c r="N283" s="1">
        <f t="shared" si="20"/>
        <v>66064325.400876261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>
        <v>48783.050430000003</v>
      </c>
      <c r="F284">
        <v>921142.37150000001</v>
      </c>
      <c r="G284">
        <v>38381.940340000001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2.3034073037559676E-2</v>
      </c>
      <c r="M284" s="1">
        <f t="shared" si="19"/>
        <v>138044841.67861807</v>
      </c>
      <c r="N284" s="1">
        <f t="shared" si="20"/>
        <v>50818499.039566897</v>
      </c>
      <c r="O284" s="1"/>
    </row>
    <row r="285" spans="1:15" x14ac:dyDescent="0.25">
      <c r="A285">
        <v>289</v>
      </c>
      <c r="B285">
        <v>53395.360630000003</v>
      </c>
      <c r="C285">
        <v>5856.1823979999999</v>
      </c>
      <c r="D285">
        <v>512250.7009</v>
      </c>
      <c r="E285">
        <v>75764.821450000003</v>
      </c>
      <c r="F285">
        <v>917126.4277</v>
      </c>
      <c r="G285">
        <v>43742.737000000001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38953389.578440815</v>
      </c>
      <c r="M285" s="1">
        <f t="shared" si="19"/>
        <v>169021285.52589825</v>
      </c>
      <c r="N285" s="1">
        <f t="shared" si="20"/>
        <v>45658688.018944167</v>
      </c>
      <c r="O285" s="1"/>
    </row>
    <row r="286" spans="1:15" x14ac:dyDescent="0.25">
      <c r="A286">
        <v>290</v>
      </c>
      <c r="B286">
        <v>44091.151619999997</v>
      </c>
      <c r="C286">
        <v>13862.107400000001</v>
      </c>
      <c r="D286">
        <v>417972.84759999998</v>
      </c>
      <c r="E286">
        <v>160948.84890000001</v>
      </c>
      <c r="F286">
        <v>873996.92460000003</v>
      </c>
      <c r="G286">
        <v>71836.415900000007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139159826.0713402</v>
      </c>
      <c r="M286" s="1">
        <f t="shared" si="19"/>
        <v>541895606.45888722</v>
      </c>
      <c r="N286" s="1">
        <f t="shared" si="20"/>
        <v>113166032.25053543</v>
      </c>
      <c r="O286" s="1"/>
    </row>
    <row r="287" spans="1:15" x14ac:dyDescent="0.25">
      <c r="A287">
        <v>291</v>
      </c>
      <c r="B287">
        <v>463595.05170000001</v>
      </c>
      <c r="C287">
        <v>132108.1808</v>
      </c>
      <c r="D287">
        <v>879699.49910000002</v>
      </c>
      <c r="E287">
        <v>131041.1312</v>
      </c>
      <c r="F287">
        <v>1297894.122</v>
      </c>
      <c r="G287">
        <v>70948.350609999994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254309983.62866354</v>
      </c>
      <c r="M287" s="1">
        <f t="shared" si="19"/>
        <v>84602747.708268568</v>
      </c>
      <c r="N287" s="1">
        <f t="shared" si="20"/>
        <v>21432005.716603499</v>
      </c>
      <c r="O287" s="1"/>
    </row>
    <row r="288" spans="1:15" x14ac:dyDescent="0.25">
      <c r="A288">
        <v>292</v>
      </c>
      <c r="B288">
        <v>281518.79869999998</v>
      </c>
      <c r="C288">
        <v>267727.47409999999</v>
      </c>
      <c r="D288">
        <v>812657.8774</v>
      </c>
      <c r="E288">
        <v>125304.9224</v>
      </c>
      <c r="F288">
        <v>1186722.081</v>
      </c>
      <c r="G288">
        <v>128465.0529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556462276.3952806</v>
      </c>
      <c r="M288" s="1">
        <f t="shared" si="19"/>
        <v>87348219.396301523</v>
      </c>
      <c r="N288" s="1">
        <f t="shared" si="20"/>
        <v>41900055.922721684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 s="1">
        <v>-2.09E-5</v>
      </c>
      <c r="F289">
        <v>916684.57299999997</v>
      </c>
      <c r="G289" s="1">
        <v>-1.5099999999999999E-5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-6.548338239725876E-2</v>
      </c>
      <c r="N289" s="1">
        <f t="shared" si="20"/>
        <v>-2.2136320962261959E-2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-1.06E-5</v>
      </c>
      <c r="F290">
        <v>848887.52229999995</v>
      </c>
      <c r="G290" s="1">
        <v>4.9499999999999997E-5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-4.4821296773948437E-2</v>
      </c>
      <c r="N290" s="1">
        <f t="shared" si="20"/>
        <v>9.7932632599820699E-2</v>
      </c>
      <c r="O290" s="1"/>
    </row>
    <row r="291" spans="1:15" x14ac:dyDescent="0.25">
      <c r="A291">
        <v>302</v>
      </c>
      <c r="B291">
        <v>14496.327079999999</v>
      </c>
      <c r="C291" s="1">
        <v>4.7E-7</v>
      </c>
      <c r="D291">
        <v>193203.07519999999</v>
      </c>
      <c r="E291" s="1">
        <v>-2.2099999999999998E-5</v>
      </c>
      <c r="F291">
        <v>853545.07949999999</v>
      </c>
      <c r="G291" s="1">
        <v>3.79E-5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5.5051284404840761E-3</v>
      </c>
      <c r="M291" s="1">
        <f t="shared" si="19"/>
        <v>-8.6817046810357373E-2</v>
      </c>
      <c r="N291" s="1">
        <f t="shared" si="20"/>
        <v>6.9661949346066579E-2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 s="1">
        <v>1.19E-5</v>
      </c>
      <c r="F292">
        <v>925275.95120000001</v>
      </c>
      <c r="G292">
        <v>8408.0887189999994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4.4024156404385499E-2</v>
      </c>
      <c r="N292" s="1">
        <f t="shared" si="20"/>
        <v>14554089.626233499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-4.6999999999999997E-5</v>
      </c>
      <c r="F293">
        <v>986264.56869999995</v>
      </c>
      <c r="G293">
        <v>13913.718500000001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-0.233426720413938</v>
      </c>
      <c r="N293" s="1">
        <f t="shared" si="20"/>
        <v>32332523.441168185</v>
      </c>
      <c r="O293" s="1"/>
    </row>
    <row r="294" spans="1:15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 s="1">
        <v>4.49E-5</v>
      </c>
      <c r="F294">
        <v>1117832.6510000001</v>
      </c>
      <c r="G294">
        <v>13328.0692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0.1166150620255452</v>
      </c>
      <c r="M294" s="1">
        <f t="shared" si="19"/>
        <v>0.39373975512881737</v>
      </c>
      <c r="N294" s="1">
        <f t="shared" si="20"/>
        <v>54685708.477665879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-3.8600000000000003E-5</v>
      </c>
      <c r="F295">
        <v>950534.92680000002</v>
      </c>
      <c r="G295">
        <v>6983.3444740000004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-0.11221967306610744</v>
      </c>
      <c r="N295" s="1">
        <f t="shared" si="20"/>
        <v>9499239.5120014008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 s="1">
        <v>1.27E-5</v>
      </c>
      <c r="F296">
        <v>1100476.436</v>
      </c>
      <c r="G296">
        <v>13565.449479999999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1.8927590228533353E-2</v>
      </c>
      <c r="M296" s="1">
        <f t="shared" si="19"/>
        <v>2.809055283126102E-2</v>
      </c>
      <c r="N296" s="1">
        <f t="shared" si="20"/>
        <v>14038943.682861274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>
        <v>594.94633710000005</v>
      </c>
      <c r="F297">
        <v>1033714.444</v>
      </c>
      <c r="G297">
        <v>14691.31012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2153289.4803728531</v>
      </c>
      <c r="N297" s="1">
        <f t="shared" si="20"/>
        <v>24878765.592787866</v>
      </c>
      <c r="O297" s="1"/>
    </row>
    <row r="298" spans="1:15" x14ac:dyDescent="0.25">
      <c r="A298">
        <v>309</v>
      </c>
      <c r="B298">
        <v>256002.701</v>
      </c>
      <c r="C298" s="1">
        <v>-2.1500000000000001E-5</v>
      </c>
      <c r="D298">
        <v>851979.99120000005</v>
      </c>
      <c r="E298">
        <v>6983.3444319999999</v>
      </c>
      <c r="F298">
        <v>1271252.4210000001</v>
      </c>
      <c r="G298">
        <v>7228.7470089999997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-0.31209984246246003</v>
      </c>
      <c r="M298" s="1">
        <f t="shared" si="19"/>
        <v>33998651.303416729</v>
      </c>
      <c r="N298" s="1">
        <f t="shared" si="20"/>
        <v>16466637.701352961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 s="1">
        <v>-1.5400000000000002E-5</v>
      </c>
      <c r="F299">
        <v>1113076.8759999999</v>
      </c>
      <c r="G299">
        <v>13811.438980000001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0</v>
      </c>
      <c r="M299" s="1">
        <f t="shared" si="19"/>
        <v>-5.4413514781478163E-2</v>
      </c>
      <c r="N299" s="1">
        <f t="shared" si="20"/>
        <v>22833299.114546288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3.4700000000000003E-5</v>
      </c>
      <c r="F300">
        <v>851640.45640000002</v>
      </c>
      <c r="G300" s="1">
        <v>3.5899999999999999E-6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0.23780013513862522</v>
      </c>
      <c r="N300" s="1">
        <f t="shared" si="20"/>
        <v>1.1511203961222244E-2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 s="1">
        <v>-2.3300000000000001E-5</v>
      </c>
      <c r="F301">
        <v>949336.66220000002</v>
      </c>
      <c r="G301">
        <v>8408.088694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0</v>
      </c>
      <c r="M301" s="1">
        <f t="shared" si="19"/>
        <v>-6.9311232149540256E-2</v>
      </c>
      <c r="N301" s="1">
        <f t="shared" si="20"/>
        <v>11702769.759259636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>
        <v>1882.2824149999999</v>
      </c>
      <c r="F302">
        <v>1058851.733</v>
      </c>
      <c r="G302">
        <v>15009.599410000001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7578999.0465047872</v>
      </c>
      <c r="N302" s="1">
        <f t="shared" si="20"/>
        <v>28277424.221071955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 s="1">
        <v>-3.01E-5</v>
      </c>
      <c r="F303">
        <v>1093958.3840000001</v>
      </c>
      <c r="G303">
        <v>14578.660400000001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-1.6023820442171752E-2</v>
      </c>
      <c r="M303" s="1">
        <f t="shared" si="19"/>
        <v>-5.7159611295157703E-2</v>
      </c>
      <c r="N303" s="1">
        <f t="shared" si="20"/>
        <v>12953408.712570798</v>
      </c>
      <c r="O303" s="1"/>
    </row>
    <row r="304" spans="1:15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 s="1">
        <v>3.6699999999999998E-5</v>
      </c>
      <c r="F304">
        <v>1098388.1240000001</v>
      </c>
      <c r="G304">
        <v>13565.449479999999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2.7634917602067754E-3</v>
      </c>
      <c r="M304" s="1">
        <f t="shared" si="19"/>
        <v>5.9675012622699933E-2</v>
      </c>
      <c r="N304" s="1">
        <f t="shared" si="20"/>
        <v>10320585.160245858</v>
      </c>
      <c r="O304" s="1"/>
    </row>
    <row r="305" spans="1:15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 s="1">
        <v>-2.5199999999999999E-5</v>
      </c>
      <c r="F305">
        <v>1055416.7919999999</v>
      </c>
      <c r="G305">
        <v>11592.667310000001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0.39362387550190248</v>
      </c>
      <c r="M305" s="1">
        <f t="shared" si="19"/>
        <v>-8.1940588194666611E-2</v>
      </c>
      <c r="N305" s="1">
        <f t="shared" si="20"/>
        <v>17637035.417376824</v>
      </c>
      <c r="O305" s="1"/>
    </row>
    <row r="306" spans="1:15" x14ac:dyDescent="0.25">
      <c r="A306">
        <v>317</v>
      </c>
      <c r="B306">
        <v>90548.718120000005</v>
      </c>
      <c r="C306" s="1">
        <v>1.46E-6</v>
      </c>
      <c r="D306">
        <v>700121.34270000004</v>
      </c>
      <c r="E306" s="1">
        <v>-2.4199999999999999E-5</v>
      </c>
      <c r="F306">
        <v>1137407.82</v>
      </c>
      <c r="G306">
        <v>21556.887419999999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2.3693183710506702E-2</v>
      </c>
      <c r="M306" s="1">
        <f t="shared" si="19"/>
        <v>-0.13171312959235948</v>
      </c>
      <c r="N306" s="1">
        <f t="shared" si="20"/>
        <v>54896345.600226156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4.9799999999999998E-5</v>
      </c>
      <c r="F307">
        <v>1101730.4939999999</v>
      </c>
      <c r="G307">
        <v>12428.81227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0.12741518688183628</v>
      </c>
      <c r="N307" s="1">
        <f t="shared" si="20"/>
        <v>14878705.895723594</v>
      </c>
      <c r="O307" s="1"/>
    </row>
    <row r="308" spans="1:15" x14ac:dyDescent="0.25">
      <c r="A308">
        <v>319</v>
      </c>
      <c r="B308">
        <v>218715.79070000001</v>
      </c>
      <c r="C308" s="1">
        <v>3.79E-5</v>
      </c>
      <c r="D308">
        <v>774388.07530000003</v>
      </c>
      <c r="E308">
        <v>6983.3444689999997</v>
      </c>
      <c r="F308">
        <v>1217356.3589999999</v>
      </c>
      <c r="G308">
        <v>11123.681049999999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0.4697063693124075</v>
      </c>
      <c r="M308" s="1">
        <f t="shared" si="19"/>
        <v>29026444.489946343</v>
      </c>
      <c r="N308" s="1">
        <f t="shared" si="20"/>
        <v>21633290.506078441</v>
      </c>
      <c r="O308" s="1"/>
    </row>
    <row r="309" spans="1:15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>
        <v>1127.1620250000001</v>
      </c>
      <c r="F309">
        <v>1199762.1680000001</v>
      </c>
      <c r="G309">
        <v>9476.9927310000003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-0.51213893744772199</v>
      </c>
      <c r="M309" s="1">
        <f t="shared" si="19"/>
        <v>4951542.6510192072</v>
      </c>
      <c r="N309" s="1">
        <f t="shared" si="20"/>
        <v>19479078.21051823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 s="1">
        <v>1.9400000000000001E-5</v>
      </c>
      <c r="F310">
        <v>1140666.629</v>
      </c>
      <c r="G310">
        <v>16940.518169999999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0.1146956662967567</v>
      </c>
      <c r="N310" s="1">
        <f t="shared" si="20"/>
        <v>46861441.863682792</v>
      </c>
      <c r="O310" s="1"/>
    </row>
    <row r="311" spans="1:15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 s="1">
        <v>-2.58E-5</v>
      </c>
      <c r="F311">
        <v>1114853.929</v>
      </c>
      <c r="G311">
        <v>13328.0692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1.6151835439556051E-2</v>
      </c>
      <c r="M311" s="1">
        <f t="shared" si="19"/>
        <v>-3.0784270839118624E-2</v>
      </c>
      <c r="N311" s="1">
        <f t="shared" si="20"/>
        <v>7440807.7280353708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3.2400000000000001E-5</v>
      </c>
      <c r="F312">
        <v>1051381.926</v>
      </c>
      <c r="G312">
        <v>2328.119001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6.6289505214630243E-2</v>
      </c>
      <c r="N312" s="1">
        <f t="shared" si="20"/>
        <v>2228684.6442152373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-1.9000000000000001E-5</v>
      </c>
      <c r="F313">
        <v>992170.57539999997</v>
      </c>
      <c r="G313">
        <v>10832.77534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-3.5581208559232004E-2</v>
      </c>
      <c r="N313" s="1">
        <f t="shared" si="20"/>
        <v>9491842.187851334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>
        <v>0</v>
      </c>
      <c r="F314">
        <v>1060292.919</v>
      </c>
      <c r="G314">
        <v>12439.059010000001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0</v>
      </c>
      <c r="N314" s="1">
        <f t="shared" si="20"/>
        <v>10739139.413176082</v>
      </c>
      <c r="O314" s="1"/>
    </row>
    <row r="315" spans="1:15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>
        <v>6983.3444280000003</v>
      </c>
      <c r="F315">
        <v>1195380.6580000001</v>
      </c>
      <c r="G315">
        <v>7902.0606699999998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0.33299621692346104</v>
      </c>
      <c r="M315" s="1">
        <f t="shared" si="19"/>
        <v>18613664.261702284</v>
      </c>
      <c r="N315" s="1">
        <f t="shared" si="20"/>
        <v>9854905.2145763282</v>
      </c>
      <c r="O315" s="1"/>
    </row>
    <row r="316" spans="1:15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 s="1">
        <v>6.8499999999999996E-6</v>
      </c>
      <c r="F316">
        <v>1095789.554</v>
      </c>
      <c r="G316">
        <v>4468.9980050000004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-1.1763889812047101E-2</v>
      </c>
      <c r="M316" s="1">
        <f t="shared" si="19"/>
        <v>3.4648948040098486E-2</v>
      </c>
      <c r="N316" s="1">
        <f t="shared" si="20"/>
        <v>10576776.35169623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>
        <v>5692.7019909999999</v>
      </c>
      <c r="F317">
        <v>899794.30390000006</v>
      </c>
      <c r="G317">
        <v>19062.242020000002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28855724.780859675</v>
      </c>
      <c r="N317" s="1">
        <f t="shared" si="20"/>
        <v>45209655.226956569</v>
      </c>
      <c r="O317" s="1"/>
    </row>
    <row r="318" spans="1:15" x14ac:dyDescent="0.25">
      <c r="A318">
        <v>331</v>
      </c>
      <c r="B318">
        <v>294206.04080000002</v>
      </c>
      <c r="C318" s="1">
        <v>-3.5099999999999999E-5</v>
      </c>
      <c r="D318">
        <v>865429.82649999997</v>
      </c>
      <c r="E318">
        <v>7682.0455140000004</v>
      </c>
      <c r="F318">
        <v>1287726.5160000001</v>
      </c>
      <c r="G318">
        <v>7247.9223179999999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-0.58104317018299501</v>
      </c>
      <c r="M318" s="1">
        <f t="shared" si="19"/>
        <v>42650222.099931017</v>
      </c>
      <c r="N318" s="1">
        <f t="shared" si="20"/>
        <v>18827889.003325082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>
        <v>5454.5270289999999</v>
      </c>
      <c r="F319">
        <v>874731.12159999995</v>
      </c>
      <c r="G319">
        <v>6399.0510850000001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0</v>
      </c>
      <c r="M319" s="1">
        <f t="shared" si="19"/>
        <v>32875959.059586674</v>
      </c>
      <c r="N319" s="1">
        <f t="shared" si="20"/>
        <v>18045984.839799989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>
        <v>6554.8834440000001</v>
      </c>
      <c r="F320">
        <v>1175916.6910000001</v>
      </c>
      <c r="G320">
        <v>9554.0741109999999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29651353.217133373</v>
      </c>
      <c r="N320" s="1">
        <f t="shared" si="20"/>
        <v>20221428.334367294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-1.1000000000000001E-7</v>
      </c>
      <c r="F321">
        <v>89766.008199999997</v>
      </c>
      <c r="G321">
        <v>2524.112932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-1.43424259904563E-3</v>
      </c>
      <c r="N321" s="1">
        <f t="shared" si="20"/>
        <v>15398640.941258935</v>
      </c>
      <c r="O321" s="1"/>
    </row>
    <row r="322" spans="1:15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 s="1">
        <v>4.8099999999999997E-5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1.802678870044E-2</v>
      </c>
      <c r="M322" s="1">
        <f t="shared" si="19"/>
        <v>1.6626245886021202E-2</v>
      </c>
      <c r="N322" s="1">
        <f t="shared" si="20"/>
        <v>0.34016550277730279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 s="1">
        <v>2.3E-6</v>
      </c>
      <c r="F323">
        <v>143050.13020000001</v>
      </c>
      <c r="G323">
        <v>6998.3984890000002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0</v>
      </c>
      <c r="M323" s="1">
        <f t="shared" ref="M323:M386" si="23">$U$3*$K323*E323</f>
        <v>2.9409676706962699E-2</v>
      </c>
      <c r="N323" s="1">
        <f t="shared" ref="N323:N386" si="24">$U$4*$K323*G323</f>
        <v>41870173.467998803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>
        <v>746.6878514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-4.1739087087776003E-2</v>
      </c>
      <c r="M324" s="1">
        <f t="shared" si="23"/>
        <v>-1.3998647669438721E-2</v>
      </c>
      <c r="N324" s="1">
        <f t="shared" si="24"/>
        <v>3056672.1771258009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 s="1">
        <v>3.9400000000000004E-6</v>
      </c>
      <c r="F325">
        <v>567499.1507</v>
      </c>
      <c r="G325">
        <v>14533.000959999999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7.2405277069658006E-2</v>
      </c>
      <c r="M325" s="1">
        <f t="shared" si="23"/>
        <v>2.8140425602113422E-2</v>
      </c>
      <c r="N325" s="1">
        <f t="shared" si="24"/>
        <v>48566121.284418724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-2.0700000000000001E-6</v>
      </c>
      <c r="F326">
        <v>383648.92290000001</v>
      </c>
      <c r="G326">
        <v>133141.1784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4.2639988153255995E-2</v>
      </c>
      <c r="M326" s="1">
        <f t="shared" si="23"/>
        <v>-9.2508274298261067E-3</v>
      </c>
      <c r="N326" s="1">
        <f t="shared" si="24"/>
        <v>278398126.68655169</v>
      </c>
      <c r="O326" s="1"/>
    </row>
    <row r="327" spans="1:15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2.5399999999999998E-6</v>
      </c>
      <c r="F327">
        <v>578806.35049999994</v>
      </c>
      <c r="G327">
        <v>6268.1297869999999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2.07204458364475E-3</v>
      </c>
      <c r="M327" s="1">
        <f t="shared" si="23"/>
        <v>1.7651269643934937E-2</v>
      </c>
      <c r="N327" s="1">
        <f t="shared" si="24"/>
        <v>20380925.018815976</v>
      </c>
      <c r="O327" s="1"/>
    </row>
    <row r="328" spans="1:15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>
        <v>97.092017530000007</v>
      </c>
      <c r="F328">
        <v>632384.22030000004</v>
      </c>
      <c r="G328">
        <v>32436.08987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1.119130128493E-2</v>
      </c>
      <c r="M328" s="1">
        <f t="shared" si="23"/>
        <v>1822121.1729054297</v>
      </c>
      <c r="N328" s="1">
        <f t="shared" si="24"/>
        <v>284816996.4038775</v>
      </c>
      <c r="O328" s="1"/>
    </row>
    <row r="329" spans="1:15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>
        <v>36160.765769999998</v>
      </c>
      <c r="F329">
        <v>1004835.983</v>
      </c>
      <c r="G329">
        <v>9048.5874089999998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-3.9748940700468353E-2</v>
      </c>
      <c r="M329" s="1">
        <f t="shared" si="23"/>
        <v>179206614.39634299</v>
      </c>
      <c r="N329" s="1">
        <f t="shared" si="24"/>
        <v>20981710.016025875</v>
      </c>
      <c r="O329" s="1"/>
    </row>
    <row r="330" spans="1:15" x14ac:dyDescent="0.25">
      <c r="A330">
        <v>410</v>
      </c>
      <c r="B330">
        <v>109104.80620000001</v>
      </c>
      <c r="C330">
        <v>5678.3143769999997</v>
      </c>
      <c r="D330">
        <v>742590.87150000001</v>
      </c>
      <c r="E330">
        <v>27804.040540000002</v>
      </c>
      <c r="F330">
        <v>1110394.05</v>
      </c>
      <c r="G330">
        <v>10882.81078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56423222.85136418</v>
      </c>
      <c r="M330" s="1">
        <f t="shared" si="23"/>
        <v>92659404.714739636</v>
      </c>
      <c r="N330" s="1">
        <f t="shared" si="24"/>
        <v>16969394.611565508</v>
      </c>
      <c r="O330" s="1"/>
    </row>
    <row r="331" spans="1:15" x14ac:dyDescent="0.25">
      <c r="A331">
        <v>411</v>
      </c>
      <c r="B331">
        <v>421255.3222</v>
      </c>
      <c r="C331">
        <v>34710.417170000001</v>
      </c>
      <c r="D331">
        <v>901882.04070000001</v>
      </c>
      <c r="E331">
        <v>28219.388920000001</v>
      </c>
      <c r="F331">
        <v>1332042.9509999999</v>
      </c>
      <c r="G331">
        <v>2547.4815680000002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336807136.93033189</v>
      </c>
      <c r="M331" s="1">
        <f t="shared" si="23"/>
        <v>91835838.21763508</v>
      </c>
      <c r="N331" s="1">
        <f t="shared" si="24"/>
        <v>3878995.8755502906</v>
      </c>
      <c r="O331" s="1"/>
    </row>
    <row r="332" spans="1:15" x14ac:dyDescent="0.25">
      <c r="A332">
        <v>412</v>
      </c>
      <c r="B332">
        <v>63091.424509999997</v>
      </c>
      <c r="C332">
        <v>5856.1824079999997</v>
      </c>
      <c r="D332">
        <v>445178.91830000002</v>
      </c>
      <c r="E332">
        <v>96006.510320000001</v>
      </c>
      <c r="F332">
        <v>903907.15209999995</v>
      </c>
      <c r="G332">
        <v>31366.427090000001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87733290.636585146</v>
      </c>
      <c r="M332" s="1">
        <f t="shared" si="23"/>
        <v>482384832.87094045</v>
      </c>
      <c r="N332" s="1">
        <f t="shared" si="24"/>
        <v>73739754.931501642</v>
      </c>
      <c r="O332" s="1"/>
    </row>
    <row r="333" spans="1:15" x14ac:dyDescent="0.25">
      <c r="A333">
        <v>413</v>
      </c>
      <c r="B333">
        <v>24383.035260000001</v>
      </c>
      <c r="C333">
        <v>262920.8272</v>
      </c>
      <c r="D333">
        <v>206215.35740000001</v>
      </c>
      <c r="E333">
        <v>594491.18059999996</v>
      </c>
      <c r="F333">
        <v>767494.17189999996</v>
      </c>
      <c r="G333">
        <v>400399.07329999999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3273966406.8134351</v>
      </c>
      <c r="M333" s="1">
        <f t="shared" si="23"/>
        <v>2482777391.9312472</v>
      </c>
      <c r="N333" s="1">
        <f t="shared" si="24"/>
        <v>782400479.11538041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>
        <v>24927.717690000001</v>
      </c>
      <c r="F334">
        <v>949689.50730000006</v>
      </c>
      <c r="G334">
        <v>21615.355439999999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4.1885587905033606E-2</v>
      </c>
      <c r="M334" s="1">
        <f t="shared" si="23"/>
        <v>158452098.92491865</v>
      </c>
      <c r="N334" s="1">
        <f t="shared" si="24"/>
        <v>64286760.027029559</v>
      </c>
      <c r="O334" s="1"/>
    </row>
    <row r="335" spans="1:15" x14ac:dyDescent="0.25">
      <c r="A335">
        <v>415</v>
      </c>
      <c r="B335">
        <v>18086.19138</v>
      </c>
      <c r="C335">
        <v>264175.57750000001</v>
      </c>
      <c r="D335">
        <v>154224.30239999999</v>
      </c>
      <c r="E335">
        <v>646482.23560000001</v>
      </c>
      <c r="F335">
        <v>714032.27049999998</v>
      </c>
      <c r="G335">
        <v>453596.44069999998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2811084026.7339563</v>
      </c>
      <c r="M335" s="1">
        <f t="shared" si="23"/>
        <v>2307176898.2104168</v>
      </c>
      <c r="N335" s="1">
        <f t="shared" si="24"/>
        <v>757421476.17472851</v>
      </c>
      <c r="O335" s="1"/>
    </row>
    <row r="336" spans="1:15" x14ac:dyDescent="0.25">
      <c r="A336">
        <v>416</v>
      </c>
      <c r="B336">
        <v>37056.131050000004</v>
      </c>
      <c r="C336">
        <v>598.54663989999995</v>
      </c>
      <c r="D336">
        <v>178038.61970000001</v>
      </c>
      <c r="E336">
        <v>160185.39790000001</v>
      </c>
      <c r="F336">
        <v>757062.46869999997</v>
      </c>
      <c r="G336">
        <v>101362.45110000001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9069082.4807776473</v>
      </c>
      <c r="M336" s="1">
        <f t="shared" si="23"/>
        <v>814013140.8744235</v>
      </c>
      <c r="N336" s="1">
        <f t="shared" si="24"/>
        <v>241006787.38083079</v>
      </c>
      <c r="O336" s="1"/>
    </row>
    <row r="337" spans="1:15" x14ac:dyDescent="0.25">
      <c r="A337">
        <v>417</v>
      </c>
      <c r="B337">
        <v>10342.41337</v>
      </c>
      <c r="C337">
        <v>19092.62183</v>
      </c>
      <c r="D337">
        <v>131403.2599</v>
      </c>
      <c r="E337">
        <v>422186.34740000003</v>
      </c>
      <c r="F337">
        <v>662995.1605</v>
      </c>
      <c r="G337">
        <v>264235.55359999998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1660146120.9449782</v>
      </c>
      <c r="M337" s="1">
        <f t="shared" si="23"/>
        <v>12311984681.510748</v>
      </c>
      <c r="N337" s="1">
        <f t="shared" si="24"/>
        <v>3605444480.03407</v>
      </c>
      <c r="O337" s="1"/>
    </row>
    <row r="338" spans="1:15" x14ac:dyDescent="0.25">
      <c r="A338">
        <v>418</v>
      </c>
      <c r="B338">
        <v>89858.504159999997</v>
      </c>
      <c r="C338" s="1">
        <v>-4.0600000000000001E-6</v>
      </c>
      <c r="D338">
        <v>666642.77650000004</v>
      </c>
      <c r="E338">
        <v>27785.507440000001</v>
      </c>
      <c r="F338">
        <v>1058916.5</v>
      </c>
      <c r="G338">
        <v>12097.494430000001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-2.6340435790659904E-2</v>
      </c>
      <c r="M338" s="1">
        <f t="shared" si="23"/>
        <v>60458642.542728543</v>
      </c>
      <c r="N338" s="1">
        <f t="shared" si="24"/>
        <v>12316269.070348861</v>
      </c>
      <c r="O338" s="1"/>
    </row>
    <row r="339" spans="1:15" x14ac:dyDescent="0.25">
      <c r="A339">
        <v>420</v>
      </c>
      <c r="B339">
        <v>44315.055289999997</v>
      </c>
      <c r="C339" s="1">
        <v>-4.6500000000000004E-6</v>
      </c>
      <c r="D339">
        <v>474478.38459999999</v>
      </c>
      <c r="E339">
        <v>22017.367340000001</v>
      </c>
      <c r="F339">
        <v>844819.72320000001</v>
      </c>
      <c r="G339">
        <v>46692.150829999999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-7.3609717628021251E-2</v>
      </c>
      <c r="M339" s="1">
        <f t="shared" si="23"/>
        <v>116893597.36395045</v>
      </c>
      <c r="N339" s="1">
        <f t="shared" si="24"/>
        <v>115987955.6262069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>
        <v>22888.566009999999</v>
      </c>
      <c r="F340">
        <v>585551.13190000004</v>
      </c>
      <c r="G340">
        <v>61348.278810000003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234514186.89417896</v>
      </c>
      <c r="N340" s="1">
        <f t="shared" si="24"/>
        <v>294101064.63988161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>
        <v>7736.3922030000003</v>
      </c>
      <c r="F341">
        <v>549963.11750000005</v>
      </c>
      <c r="G341">
        <v>40565.846550000002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50993011.996525444</v>
      </c>
      <c r="N341" s="1">
        <f t="shared" si="24"/>
        <v>125105501.51841393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>
        <v>10163.59878</v>
      </c>
      <c r="F342">
        <v>563220.57660000003</v>
      </c>
      <c r="G342">
        <v>76486.027499999997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12424422.190041207</v>
      </c>
      <c r="N342" s="1">
        <f t="shared" si="24"/>
        <v>43747624.080874734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>
        <v>10218.388300000001</v>
      </c>
      <c r="F343">
        <v>522965.44500000001</v>
      </c>
      <c r="G343">
        <v>48816.767690000001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57027383.691384219</v>
      </c>
      <c r="N343" s="1">
        <f t="shared" si="24"/>
        <v>127471690.02186465</v>
      </c>
      <c r="O343" s="1"/>
    </row>
    <row r="344" spans="1:15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>
        <v>8605.9305910000003</v>
      </c>
      <c r="F344">
        <v>432077.54300000001</v>
      </c>
      <c r="G344">
        <v>48851.230230000001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3.0665167035116247E-2</v>
      </c>
      <c r="M344" s="1">
        <f t="shared" si="23"/>
        <v>25288220.306069326</v>
      </c>
      <c r="N344" s="1">
        <f t="shared" si="24"/>
        <v>67164472.860279024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>
        <v>58949.719100000002</v>
      </c>
      <c r="F345">
        <v>626506.73400000005</v>
      </c>
      <c r="G345">
        <v>63728.04161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-6.7219461340102503E-3</v>
      </c>
      <c r="M345" s="1">
        <f t="shared" si="23"/>
        <v>120816769.70117661</v>
      </c>
      <c r="N345" s="1">
        <f t="shared" si="24"/>
        <v>61111047.858314902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>
        <v>397.73210419999998</v>
      </c>
      <c r="F346">
        <v>118137.9721</v>
      </c>
      <c r="G346">
        <v>1885.2379490000001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-3.3867643232864996E-3</v>
      </c>
      <c r="M346" s="1">
        <f t="shared" si="23"/>
        <v>1505904.7608163583</v>
      </c>
      <c r="N346" s="1">
        <f t="shared" si="24"/>
        <v>3339771.1585182538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 s="1">
        <v>1.4699999999999999E-6</v>
      </c>
      <c r="F347">
        <v>108000.21799999999</v>
      </c>
      <c r="G347">
        <v>14925.181560000001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0</v>
      </c>
      <c r="M347" s="1">
        <f t="shared" si="23"/>
        <v>2.0398423611657418E-2</v>
      </c>
      <c r="N347" s="1">
        <f t="shared" si="24"/>
        <v>96904193.802850127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1.8457977715094522E-2</v>
      </c>
      <c r="O348" s="1"/>
    </row>
    <row r="349" spans="1:15" x14ac:dyDescent="0.25">
      <c r="A349">
        <v>433</v>
      </c>
      <c r="B349">
        <v>109995.30220000001</v>
      </c>
      <c r="C349">
        <v>51654.603510000001</v>
      </c>
      <c r="D349">
        <v>742311.3885</v>
      </c>
      <c r="E349">
        <v>76998.991680000006</v>
      </c>
      <c r="F349">
        <v>1153027.202</v>
      </c>
      <c r="G349">
        <v>54160.00776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5541841488.1399117</v>
      </c>
      <c r="M349" s="1">
        <f t="shared" si="23"/>
        <v>2770596251.1875892</v>
      </c>
      <c r="N349" s="1">
        <f t="shared" si="24"/>
        <v>911823120.85140085</v>
      </c>
      <c r="O349" s="1"/>
    </row>
    <row r="350" spans="1:15" x14ac:dyDescent="0.25">
      <c r="A350">
        <v>434</v>
      </c>
      <c r="B350">
        <v>22853.95664</v>
      </c>
      <c r="C350">
        <v>8915.5159500000009</v>
      </c>
      <c r="D350">
        <v>484806.43640000001</v>
      </c>
      <c r="E350">
        <v>67324.861420000001</v>
      </c>
      <c r="F350">
        <v>959593.20319999999</v>
      </c>
      <c r="G350">
        <v>29488.09937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642656759.47420597</v>
      </c>
      <c r="M350" s="1">
        <f t="shared" si="23"/>
        <v>1627613201.0484183</v>
      </c>
      <c r="N350" s="1">
        <f t="shared" si="24"/>
        <v>333554032.18503356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1.1039200041945E-2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 s="1">
        <v>-2.4200000000000001E-6</v>
      </c>
      <c r="D352">
        <v>542329.84180000005</v>
      </c>
      <c r="E352">
        <v>2571.3916749999999</v>
      </c>
      <c r="F352">
        <v>889524.22100000002</v>
      </c>
      <c r="G352">
        <v>11116.33497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-1.0879418143615451E-2</v>
      </c>
      <c r="M352" s="1">
        <f t="shared" si="23"/>
        <v>3877052.4240606516</v>
      </c>
      <c r="N352" s="1">
        <f t="shared" si="24"/>
        <v>7842214.9707811456</v>
      </c>
      <c r="O352" s="1"/>
    </row>
    <row r="353" spans="1:15" x14ac:dyDescent="0.25">
      <c r="A353">
        <v>501</v>
      </c>
      <c r="B353">
        <v>30413.220290000001</v>
      </c>
      <c r="C353" s="1">
        <v>2.9999999999999999E-7</v>
      </c>
      <c r="D353">
        <v>443977.61609999998</v>
      </c>
      <c r="E353">
        <v>501.49405960000001</v>
      </c>
      <c r="F353">
        <v>802580.66070000001</v>
      </c>
      <c r="G353">
        <v>4679.8727079999999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2.8025965832279998E-3</v>
      </c>
      <c r="M353" s="1">
        <f t="shared" si="23"/>
        <v>1571260.7552400695</v>
      </c>
      <c r="N353" s="1">
        <f t="shared" si="24"/>
        <v>6860569.8290309859</v>
      </c>
      <c r="O353" s="1"/>
    </row>
    <row r="354" spans="1:15" x14ac:dyDescent="0.25">
      <c r="A354">
        <v>502</v>
      </c>
      <c r="B354">
        <v>36334.551469999999</v>
      </c>
      <c r="C354" s="1">
        <v>3.1E-6</v>
      </c>
      <c r="D354">
        <v>503379.44270000001</v>
      </c>
      <c r="E354">
        <v>598.54668560000005</v>
      </c>
      <c r="F354">
        <v>824355.30610000005</v>
      </c>
      <c r="G354">
        <v>14426.077730000001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2.9117836948931251E-2</v>
      </c>
      <c r="M354" s="1">
        <f t="shared" si="23"/>
        <v>1885552.300685874</v>
      </c>
      <c r="N354" s="1">
        <f t="shared" si="24"/>
        <v>21263389.714036889</v>
      </c>
      <c r="O354" s="1"/>
    </row>
    <row r="355" spans="1:15" x14ac:dyDescent="0.25">
      <c r="A355">
        <v>503</v>
      </c>
      <c r="B355">
        <v>26050.398499999999</v>
      </c>
      <c r="C355" s="1">
        <v>3.1E-6</v>
      </c>
      <c r="D355">
        <v>309658.23700000002</v>
      </c>
      <c r="E355" s="1">
        <v>-3.9400000000000002E-5</v>
      </c>
      <c r="F355">
        <v>691648.99060000002</v>
      </c>
      <c r="G355">
        <v>8504.6354179999998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4.1343492940220251E-2</v>
      </c>
      <c r="M355" s="1">
        <f t="shared" si="23"/>
        <v>-0.1762320245965954</v>
      </c>
      <c r="N355" s="1">
        <f t="shared" si="24"/>
        <v>17798687.8933248</v>
      </c>
      <c r="O355" s="1"/>
    </row>
    <row r="356" spans="1:15" x14ac:dyDescent="0.25">
      <c r="A356">
        <v>504</v>
      </c>
      <c r="B356">
        <v>25701.549470000002</v>
      </c>
      <c r="C356" s="1">
        <v>3.0000000000000001E-6</v>
      </c>
      <c r="D356">
        <v>300424.92950000003</v>
      </c>
      <c r="E356">
        <v>3555.1115749999999</v>
      </c>
      <c r="F356">
        <v>704952.58929999999</v>
      </c>
      <c r="G356">
        <v>9405.8618630000001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6.1496454234345001E-2</v>
      </c>
      <c r="M356" s="1">
        <f t="shared" si="23"/>
        <v>24441350.188130833</v>
      </c>
      <c r="N356" s="1">
        <f t="shared" si="24"/>
        <v>30256189.57253341</v>
      </c>
      <c r="O356" s="1"/>
    </row>
    <row r="357" spans="1:15" x14ac:dyDescent="0.25">
      <c r="A357">
        <v>505</v>
      </c>
      <c r="B357">
        <v>31763.556059999999</v>
      </c>
      <c r="C357">
        <v>0</v>
      </c>
      <c r="D357">
        <v>331986.72769999999</v>
      </c>
      <c r="E357">
        <v>4166.1355510000003</v>
      </c>
      <c r="F357">
        <v>723507.41489999997</v>
      </c>
      <c r="G357">
        <v>31996.061809999999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0</v>
      </c>
      <c r="M357" s="1">
        <f t="shared" si="23"/>
        <v>33430742.21833843</v>
      </c>
      <c r="N357" s="1">
        <f t="shared" si="24"/>
        <v>120130373.62224741</v>
      </c>
      <c r="O357" s="1"/>
    </row>
    <row r="358" spans="1:15" x14ac:dyDescent="0.25">
      <c r="A358">
        <v>508</v>
      </c>
      <c r="B358">
        <v>18431.461050000002</v>
      </c>
      <c r="C358" s="1">
        <v>-3.7000000000000002E-6</v>
      </c>
      <c r="D358">
        <v>176196.9308</v>
      </c>
      <c r="E358" s="1">
        <v>-9.6199999999999994E-6</v>
      </c>
      <c r="F358">
        <v>631804.61739999999</v>
      </c>
      <c r="G358">
        <v>5180.4724770000003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-5.7077721520946756E-2</v>
      </c>
      <c r="M358" s="1">
        <f t="shared" si="23"/>
        <v>-4.9771773166265562E-2</v>
      </c>
      <c r="N358" s="1">
        <f t="shared" si="24"/>
        <v>12540680.11213796</v>
      </c>
      <c r="O358" s="1"/>
    </row>
    <row r="359" spans="1:15" x14ac:dyDescent="0.25">
      <c r="A359">
        <v>509</v>
      </c>
      <c r="B359">
        <v>18845.249370000001</v>
      </c>
      <c r="C359" s="1">
        <v>-4.1999999999999996E-6</v>
      </c>
      <c r="D359">
        <v>93961.703670000003</v>
      </c>
      <c r="E359" s="1">
        <v>4.2799999999999997E-6</v>
      </c>
      <c r="F359">
        <v>586817.66379999998</v>
      </c>
      <c r="G359">
        <v>2137.6086770000002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-6.1014724871919002E-2</v>
      </c>
      <c r="M359" s="1">
        <f t="shared" si="23"/>
        <v>2.085317908223271E-2</v>
      </c>
      <c r="N359" s="1">
        <f t="shared" si="24"/>
        <v>4873044.5940366825</v>
      </c>
      <c r="O359" s="1"/>
    </row>
    <row r="360" spans="1:15" x14ac:dyDescent="0.25">
      <c r="A360">
        <v>510</v>
      </c>
      <c r="B360">
        <v>18570.2611</v>
      </c>
      <c r="C360" s="1">
        <v>6.9999999999999997E-7</v>
      </c>
      <c r="D360">
        <v>92394.706980000003</v>
      </c>
      <c r="E360" s="1">
        <v>-1.72E-6</v>
      </c>
      <c r="F360">
        <v>588645.64549999998</v>
      </c>
      <c r="G360">
        <v>2234.6612049999999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1.02341166728255E-2</v>
      </c>
      <c r="M360" s="1">
        <f t="shared" si="23"/>
        <v>-8.4338118409728567E-3</v>
      </c>
      <c r="N360" s="1">
        <f t="shared" si="24"/>
        <v>5126852.5639848271</v>
      </c>
      <c r="O360" s="1"/>
    </row>
    <row r="361" spans="1:15" x14ac:dyDescent="0.25">
      <c r="A361">
        <v>511</v>
      </c>
      <c r="B361">
        <v>27598.16689</v>
      </c>
      <c r="C361" s="1">
        <v>4.8999999999999997E-6</v>
      </c>
      <c r="D361">
        <v>431173.48460000003</v>
      </c>
      <c r="E361" s="1">
        <v>3.9799999999999998E-5</v>
      </c>
      <c r="F361">
        <v>788134.65850000002</v>
      </c>
      <c r="G361">
        <v>1945.518057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5.8787824895458751E-2</v>
      </c>
      <c r="M361" s="1">
        <f t="shared" si="23"/>
        <v>0.16014652556450812</v>
      </c>
      <c r="N361" s="1">
        <f t="shared" si="24"/>
        <v>3662801.5812617438</v>
      </c>
      <c r="O361" s="1"/>
    </row>
    <row r="362" spans="1:15" x14ac:dyDescent="0.25">
      <c r="A362">
        <v>512</v>
      </c>
      <c r="B362">
        <v>24975.755130000001</v>
      </c>
      <c r="C362" s="1">
        <v>4.7999999999999998E-6</v>
      </c>
      <c r="D362">
        <v>316544.6471</v>
      </c>
      <c r="E362" s="1">
        <v>-4.35E-5</v>
      </c>
      <c r="F362">
        <v>706326.17009999999</v>
      </c>
      <c r="G362">
        <v>15450.992329999999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2.4780421011060001E-2</v>
      </c>
      <c r="M362" s="1">
        <f t="shared" si="23"/>
        <v>-7.531818347688525E-2</v>
      </c>
      <c r="N362" s="1">
        <f t="shared" si="24"/>
        <v>12517299.258832695</v>
      </c>
      <c r="O362" s="1"/>
    </row>
    <row r="363" spans="1:15" x14ac:dyDescent="0.25">
      <c r="A363">
        <v>513</v>
      </c>
      <c r="B363">
        <v>22105.32417</v>
      </c>
      <c r="C363" s="1">
        <v>5.9999999999999997E-7</v>
      </c>
      <c r="D363">
        <v>172899.4762</v>
      </c>
      <c r="E363">
        <v>0</v>
      </c>
      <c r="F363">
        <v>629597.8885</v>
      </c>
      <c r="G363">
        <v>5530.8413170000003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7.4455389898499995E-3</v>
      </c>
      <c r="M363" s="1">
        <f t="shared" si="23"/>
        <v>0</v>
      </c>
      <c r="N363" s="1">
        <f t="shared" si="24"/>
        <v>10770178.606626863</v>
      </c>
      <c r="O363" s="1"/>
    </row>
    <row r="364" spans="1:15" x14ac:dyDescent="0.25">
      <c r="A364">
        <v>514</v>
      </c>
      <c r="B364">
        <v>23988.756819999999</v>
      </c>
      <c r="C364" s="1">
        <v>3.8999999999999999E-6</v>
      </c>
      <c r="D364">
        <v>281840.24690000003</v>
      </c>
      <c r="E364" s="1">
        <v>3.8699999999999999E-5</v>
      </c>
      <c r="F364">
        <v>673586.57330000005</v>
      </c>
      <c r="G364">
        <v>5123.206655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2.2152613182121503E-2</v>
      </c>
      <c r="M364" s="1">
        <f t="shared" si="23"/>
        <v>7.3724945314511348E-2</v>
      </c>
      <c r="N364" s="1">
        <f t="shared" si="24"/>
        <v>4566558.7213369356</v>
      </c>
      <c r="O364" s="1"/>
    </row>
    <row r="365" spans="1:15" x14ac:dyDescent="0.25">
      <c r="A365">
        <v>517</v>
      </c>
      <c r="B365">
        <v>505109.76089999999</v>
      </c>
      <c r="C365">
        <v>1471.2379060000001</v>
      </c>
      <c r="D365">
        <v>844767.02650000004</v>
      </c>
      <c r="E365">
        <v>11954.784299999999</v>
      </c>
      <c r="F365">
        <v>1242305.476</v>
      </c>
      <c r="G365">
        <v>7019.0046400000001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3391578.5521728047</v>
      </c>
      <c r="M365" s="1">
        <f t="shared" si="23"/>
        <v>9242806.3887807764</v>
      </c>
      <c r="N365" s="1">
        <f t="shared" si="24"/>
        <v>2539108.8486664779</v>
      </c>
      <c r="O365" s="1"/>
    </row>
    <row r="366" spans="1:15" x14ac:dyDescent="0.25">
      <c r="A366">
        <v>518</v>
      </c>
      <c r="B366">
        <v>305243.80800000002</v>
      </c>
      <c r="C366" s="1">
        <v>4.8399999999999997E-5</v>
      </c>
      <c r="D366">
        <v>713471.58929999999</v>
      </c>
      <c r="E366">
        <v>25400.686819999999</v>
      </c>
      <c r="F366">
        <v>1087121.534</v>
      </c>
      <c r="G366">
        <v>24645.924640000001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0.20711262349477702</v>
      </c>
      <c r="M366" s="1">
        <f t="shared" si="23"/>
        <v>36454387.448103949</v>
      </c>
      <c r="N366" s="1">
        <f t="shared" si="24"/>
        <v>16549814.853330795</v>
      </c>
      <c r="O366" s="1"/>
    </row>
    <row r="367" spans="1:15" x14ac:dyDescent="0.25">
      <c r="A367">
        <v>519</v>
      </c>
      <c r="B367">
        <v>168017.5343</v>
      </c>
      <c r="C367" s="1">
        <v>4.7700000000000001E-5</v>
      </c>
      <c r="D367">
        <v>633013.34120000002</v>
      </c>
      <c r="E367">
        <v>10705.12651</v>
      </c>
      <c r="F367">
        <v>984017.64969999995</v>
      </c>
      <c r="G367">
        <v>8756.9544810000007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0.27622057382960624</v>
      </c>
      <c r="M367" s="1">
        <f t="shared" si="23"/>
        <v>20790866.275676154</v>
      </c>
      <c r="N367" s="1">
        <f t="shared" si="24"/>
        <v>7957516.566929183</v>
      </c>
      <c r="O367" s="1"/>
    </row>
    <row r="368" spans="1:15" x14ac:dyDescent="0.25">
      <c r="A368">
        <v>520</v>
      </c>
      <c r="B368">
        <v>215741.15539999999</v>
      </c>
      <c r="C368">
        <v>4625.4966160000004</v>
      </c>
      <c r="D368">
        <v>667620.09450000001</v>
      </c>
      <c r="E368">
        <v>11715.996510000001</v>
      </c>
      <c r="F368">
        <v>1033573.341</v>
      </c>
      <c r="G368">
        <v>20118.007860000002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40609739.27045273</v>
      </c>
      <c r="M368" s="1">
        <f t="shared" si="23"/>
        <v>34498022.746461034</v>
      </c>
      <c r="N368" s="1">
        <f t="shared" si="24"/>
        <v>27716834.091007605</v>
      </c>
      <c r="O368" s="1"/>
    </row>
    <row r="369" spans="1:15" x14ac:dyDescent="0.25">
      <c r="A369">
        <v>521</v>
      </c>
      <c r="B369">
        <v>110364.02650000001</v>
      </c>
      <c r="C369" s="1">
        <v>-3.57E-5</v>
      </c>
      <c r="D369">
        <v>603252.91819999996</v>
      </c>
      <c r="E369">
        <v>10167.243640000001</v>
      </c>
      <c r="F369">
        <v>958816.42550000001</v>
      </c>
      <c r="G369">
        <v>3011.1821070000001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-0.36174780316324651</v>
      </c>
      <c r="M369" s="1">
        <f t="shared" si="23"/>
        <v>34552864.258436412</v>
      </c>
      <c r="N369" s="1">
        <f t="shared" si="24"/>
        <v>4788081.372007587</v>
      </c>
      <c r="O369" s="1"/>
    </row>
    <row r="370" spans="1:15" x14ac:dyDescent="0.25">
      <c r="A370">
        <v>522</v>
      </c>
      <c r="B370">
        <v>47779.049429999999</v>
      </c>
      <c r="C370" s="1">
        <v>9.9999999999999995E-7</v>
      </c>
      <c r="D370">
        <v>529601.34730000002</v>
      </c>
      <c r="E370">
        <v>6899.649907</v>
      </c>
      <c r="F370">
        <v>844952.8101</v>
      </c>
      <c r="G370">
        <v>41572.749739999999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9.0705188439449986E-3</v>
      </c>
      <c r="M370" s="1">
        <f t="shared" si="23"/>
        <v>20989511.047043964</v>
      </c>
      <c r="N370" s="1">
        <f t="shared" si="24"/>
        <v>59173559.709154643</v>
      </c>
      <c r="O370" s="1"/>
    </row>
    <row r="371" spans="1:15" x14ac:dyDescent="0.25">
      <c r="A371">
        <v>523</v>
      </c>
      <c r="B371">
        <v>56643.795940000004</v>
      </c>
      <c r="C371" s="1">
        <v>-3.9999999999999998E-6</v>
      </c>
      <c r="D371">
        <v>552725.96959999995</v>
      </c>
      <c r="E371">
        <v>3488.124812</v>
      </c>
      <c r="F371">
        <v>906475.28469999996</v>
      </c>
      <c r="G371">
        <v>20668.623640000002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-0.11084978732892999</v>
      </c>
      <c r="M371" s="1">
        <f t="shared" si="23"/>
        <v>32419777.231522355</v>
      </c>
      <c r="N371" s="1">
        <f t="shared" si="24"/>
        <v>89882107.137431115</v>
      </c>
      <c r="O371" s="1"/>
    </row>
    <row r="372" spans="1:15" x14ac:dyDescent="0.25">
      <c r="A372">
        <v>524</v>
      </c>
      <c r="B372">
        <v>34616.190430000002</v>
      </c>
      <c r="C372" s="1">
        <v>2.7E-6</v>
      </c>
      <c r="D372">
        <v>361121.76559999998</v>
      </c>
      <c r="E372">
        <v>23929.34503</v>
      </c>
      <c r="F372">
        <v>739122.36349999998</v>
      </c>
      <c r="G372">
        <v>59503.711000000003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2.7212079061322999E-2</v>
      </c>
      <c r="M372" s="1">
        <f t="shared" si="23"/>
        <v>80885729.850463808</v>
      </c>
      <c r="N372" s="1">
        <f t="shared" si="24"/>
        <v>94108494.697299004</v>
      </c>
      <c r="O372" s="1"/>
    </row>
    <row r="373" spans="1:15" x14ac:dyDescent="0.25">
      <c r="A373">
        <v>525</v>
      </c>
      <c r="B373">
        <v>396580.56969999999</v>
      </c>
      <c r="C373">
        <v>16638.220140000001</v>
      </c>
      <c r="D373">
        <v>766297.9094</v>
      </c>
      <c r="E373">
        <v>12714.17902</v>
      </c>
      <c r="F373">
        <v>1160834.8370000001</v>
      </c>
      <c r="G373">
        <v>37936.108480000003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61872679.802468218</v>
      </c>
      <c r="M373" s="1">
        <f t="shared" si="23"/>
        <v>15857091.031497311</v>
      </c>
      <c r="N373" s="1">
        <f t="shared" si="24"/>
        <v>22137656.983537961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>
        <v>16195.74698</v>
      </c>
      <c r="F374">
        <v>755623.93110000005</v>
      </c>
      <c r="G374">
        <v>15139.25287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0.26959678750641003</v>
      </c>
      <c r="M374" s="1">
        <f t="shared" si="23"/>
        <v>348665954.52097869</v>
      </c>
      <c r="N374" s="1">
        <f t="shared" si="24"/>
        <v>152495377.94062939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3151.4163579999999</v>
      </c>
      <c r="F375">
        <v>832003.87340000004</v>
      </c>
      <c r="G375">
        <v>13597.84801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2.8980817849841002E-2</v>
      </c>
      <c r="M375" s="1">
        <f t="shared" si="23"/>
        <v>8278617.84198137</v>
      </c>
      <c r="N375" s="1">
        <f t="shared" si="24"/>
        <v>16713442.472107511</v>
      </c>
      <c r="O375" s="1"/>
    </row>
    <row r="376" spans="1:15" x14ac:dyDescent="0.25">
      <c r="A376">
        <v>531</v>
      </c>
      <c r="B376">
        <v>120796.7447</v>
      </c>
      <c r="C376">
        <v>0</v>
      </c>
      <c r="D376">
        <v>600001.22199999995</v>
      </c>
      <c r="E376">
        <v>9386.0432990000008</v>
      </c>
      <c r="F376">
        <v>966621.36049999995</v>
      </c>
      <c r="G376">
        <v>13511.94112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0</v>
      </c>
      <c r="M376" s="1">
        <f t="shared" si="23"/>
        <v>25653844.082630817</v>
      </c>
      <c r="N376" s="1">
        <f t="shared" si="24"/>
        <v>17279505.896791484</v>
      </c>
      <c r="O376" s="1"/>
    </row>
    <row r="377" spans="1:15" x14ac:dyDescent="0.25">
      <c r="A377">
        <v>532</v>
      </c>
      <c r="B377">
        <v>33297.340640000002</v>
      </c>
      <c r="C377" s="1">
        <v>-5.0000000000000004E-6</v>
      </c>
      <c r="D377">
        <v>505881.69329999998</v>
      </c>
      <c r="E377">
        <v>598.54668609999999</v>
      </c>
      <c r="F377">
        <v>855764.68830000004</v>
      </c>
      <c r="G377">
        <v>16440.136549999999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-9.9185337194775014E-2</v>
      </c>
      <c r="M377" s="1">
        <f t="shared" si="23"/>
        <v>3982159.3740019426</v>
      </c>
      <c r="N377" s="1">
        <f t="shared" si="24"/>
        <v>51176396.830298238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 s="1">
        <v>-2.4700000000000001E-5</v>
      </c>
      <c r="F378">
        <v>767721.87670000002</v>
      </c>
      <c r="G378">
        <v>11351.28837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5.7683141690772002E-2</v>
      </c>
      <c r="M378" s="1">
        <f t="shared" si="23"/>
        <v>-9.9551488701324006E-2</v>
      </c>
      <c r="N378" s="1">
        <f t="shared" si="24"/>
        <v>21406203.042561311</v>
      </c>
      <c r="O378" s="1"/>
    </row>
    <row r="379" spans="1:15" x14ac:dyDescent="0.25">
      <c r="A379">
        <v>534</v>
      </c>
      <c r="B379">
        <v>343835.80829999998</v>
      </c>
      <c r="C379" s="1">
        <v>-4.35E-5</v>
      </c>
      <c r="D379">
        <v>731962.8689</v>
      </c>
      <c r="E379">
        <v>20570.148570000001</v>
      </c>
      <c r="F379">
        <v>1141921.3770000001</v>
      </c>
      <c r="G379">
        <v>34737.116320000001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-0.34653048763144501</v>
      </c>
      <c r="M379" s="1">
        <f t="shared" si="23"/>
        <v>54958232.643172942</v>
      </c>
      <c r="N379" s="1">
        <f t="shared" si="24"/>
        <v>43424294.445359588</v>
      </c>
      <c r="O379" s="1"/>
    </row>
    <row r="380" spans="1:15" x14ac:dyDescent="0.25">
      <c r="A380">
        <v>535</v>
      </c>
      <c r="B380">
        <v>94243.148839999994</v>
      </c>
      <c r="C380" s="1">
        <v>1.08E-6</v>
      </c>
      <c r="D380">
        <v>590101.62470000004</v>
      </c>
      <c r="E380">
        <v>6327.8712240000004</v>
      </c>
      <c r="F380">
        <v>950995.43259999994</v>
      </c>
      <c r="G380">
        <v>12341.51989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5.1361023450789004E-3</v>
      </c>
      <c r="M380" s="1">
        <f t="shared" si="23"/>
        <v>10092777.126469694</v>
      </c>
      <c r="N380" s="1">
        <f t="shared" si="24"/>
        <v>9210121.8566729669</v>
      </c>
      <c r="O380" s="1"/>
    </row>
    <row r="381" spans="1:15" x14ac:dyDescent="0.25">
      <c r="A381">
        <v>536</v>
      </c>
      <c r="B381">
        <v>200645.52729999999</v>
      </c>
      <c r="C381">
        <v>0</v>
      </c>
      <c r="D381">
        <v>639738.95779999997</v>
      </c>
      <c r="E381">
        <v>16692.401679999999</v>
      </c>
      <c r="F381">
        <v>1024634.566</v>
      </c>
      <c r="G381">
        <v>24381.401549999999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0</v>
      </c>
      <c r="M381" s="1">
        <f t="shared" si="23"/>
        <v>18539326.300741758</v>
      </c>
      <c r="N381" s="1">
        <f t="shared" si="24"/>
        <v>12670024.851782767</v>
      </c>
      <c r="O381" s="1"/>
    </row>
    <row r="382" spans="1:15" x14ac:dyDescent="0.25">
      <c r="A382">
        <v>537</v>
      </c>
      <c r="B382">
        <v>444844.63760000002</v>
      </c>
      <c r="C382">
        <v>1327.1896509999999</v>
      </c>
      <c r="D382">
        <v>802409.20279999997</v>
      </c>
      <c r="E382">
        <v>23193.484550000001</v>
      </c>
      <c r="F382">
        <v>1219656.855</v>
      </c>
      <c r="G382">
        <v>12409.11709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4602522.794221242</v>
      </c>
      <c r="M382" s="1">
        <f t="shared" si="23"/>
        <v>26975661.275008079</v>
      </c>
      <c r="N382" s="1">
        <f t="shared" si="24"/>
        <v>6752905.2958168695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 s="1">
        <v>-2.4199999999999999E-5</v>
      </c>
      <c r="F383">
        <v>771253.88320000004</v>
      </c>
      <c r="G383">
        <v>14984.332189999999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1.8183173882327999E-2</v>
      </c>
      <c r="M383" s="1">
        <f t="shared" si="23"/>
        <v>-0.12298352837642255</v>
      </c>
      <c r="N383" s="1">
        <f t="shared" si="24"/>
        <v>35629740.009713002</v>
      </c>
      <c r="O383" s="1"/>
    </row>
    <row r="384" spans="1:15" x14ac:dyDescent="0.25">
      <c r="A384">
        <v>539</v>
      </c>
      <c r="B384">
        <v>503027.81449999998</v>
      </c>
      <c r="C384">
        <v>10922.80935</v>
      </c>
      <c r="D384">
        <v>884773.91429999995</v>
      </c>
      <c r="E384">
        <v>21917.458050000001</v>
      </c>
      <c r="F384">
        <v>1272131.2849999999</v>
      </c>
      <c r="G384">
        <v>18065.214639999998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56283975.488907233</v>
      </c>
      <c r="M384" s="1">
        <f t="shared" si="23"/>
        <v>37877711.57878013</v>
      </c>
      <c r="N384" s="1">
        <f t="shared" si="24"/>
        <v>14607649.942951724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 s="1">
        <v>2.1799999999999999E-6</v>
      </c>
      <c r="F385">
        <v>653720.53989999997</v>
      </c>
      <c r="G385">
        <v>9507.8155459999998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1.7867822696223501E-2</v>
      </c>
      <c r="M385" s="1">
        <f t="shared" si="23"/>
        <v>1.1876229451962596E-2</v>
      </c>
      <c r="N385" s="1">
        <f t="shared" si="24"/>
        <v>24235194.636700969</v>
      </c>
      <c r="O385" s="1"/>
    </row>
    <row r="386" spans="1:15" x14ac:dyDescent="0.25">
      <c r="A386">
        <v>541</v>
      </c>
      <c r="B386">
        <v>288456.43430000002</v>
      </c>
      <c r="C386" s="1">
        <v>-1.6500000000000001E-5</v>
      </c>
      <c r="D386">
        <v>694681.9719</v>
      </c>
      <c r="E386">
        <v>20751.341499999999</v>
      </c>
      <c r="F386">
        <v>1100117.1980000001</v>
      </c>
      <c r="G386">
        <v>29333.64302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-9.854304548356127E-2</v>
      </c>
      <c r="M386" s="1">
        <f t="shared" si="23"/>
        <v>41565341.245959148</v>
      </c>
      <c r="N386" s="1">
        <f t="shared" si="24"/>
        <v>27491273.181210045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501.49411350000003</v>
      </c>
      <c r="F387">
        <v>806393.81310000003</v>
      </c>
      <c r="G387">
        <v>12487.67627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3.0542828132748751E-2</v>
      </c>
      <c r="M387" s="1">
        <f t="shared" ref="M387:M450" si="27">$U$3*$K387*E387</f>
        <v>1657129.8148739559</v>
      </c>
      <c r="N387" s="1">
        <f t="shared" ref="N387:N450" si="28">$U$4*$K387*G387</f>
        <v>19307053.553044926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 s="1">
        <v>-2.1500000000000001E-5</v>
      </c>
      <c r="F388">
        <v>711747.63520000002</v>
      </c>
      <c r="G388">
        <v>11781.13932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-3.4732928203759499E-2</v>
      </c>
      <c r="M388" s="1">
        <f t="shared" si="27"/>
        <v>-5.8244448833996702E-2</v>
      </c>
      <c r="N388" s="1">
        <f t="shared" si="28"/>
        <v>14932999.480617138</v>
      </c>
      <c r="O388" s="1"/>
    </row>
    <row r="389" spans="1:15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 s="1">
        <v>-2.9600000000000001E-5</v>
      </c>
      <c r="F389">
        <v>701348.4105</v>
      </c>
      <c r="G389">
        <v>18295.268810000001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-4.5739538749060005E-2</v>
      </c>
      <c r="M389" s="1">
        <f t="shared" si="27"/>
        <v>-0.11351849832305169</v>
      </c>
      <c r="N389" s="1">
        <f t="shared" si="28"/>
        <v>32828980.761255898</v>
      </c>
      <c r="O389" s="1"/>
    </row>
    <row r="390" spans="1:15" x14ac:dyDescent="0.25">
      <c r="A390">
        <v>545</v>
      </c>
      <c r="B390">
        <v>36291.227480000001</v>
      </c>
      <c r="C390" s="1">
        <v>1.9999999999999999E-7</v>
      </c>
      <c r="D390">
        <v>504315.61359999998</v>
      </c>
      <c r="E390">
        <v>598.54659549999997</v>
      </c>
      <c r="F390">
        <v>826451.88659999997</v>
      </c>
      <c r="G390">
        <v>13846.025509999999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2.7359460694280002E-3</v>
      </c>
      <c r="M390" s="1">
        <f t="shared" si="27"/>
        <v>2746114.4827803574</v>
      </c>
      <c r="N390" s="1">
        <f t="shared" si="28"/>
        <v>29722783.579007696</v>
      </c>
      <c r="O390" s="1"/>
    </row>
    <row r="391" spans="1:15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 s="1">
        <v>-3.0000000000000001E-6</v>
      </c>
      <c r="F391">
        <v>240745.09789999999</v>
      </c>
      <c r="G391" s="1">
        <v>2.6100000000000001E-5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-3.9593518191435003E-3</v>
      </c>
      <c r="M391" s="1">
        <f t="shared" si="27"/>
        <v>-1.3279056870358201E-2</v>
      </c>
      <c r="N391" s="1">
        <f t="shared" si="28"/>
        <v>5.4054289297045269E-2</v>
      </c>
      <c r="O391" s="1"/>
    </row>
    <row r="392" spans="1:15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 s="1">
        <v>-2.9000000000000002E-6</v>
      </c>
      <c r="F392">
        <v>330597.53779999999</v>
      </c>
      <c r="G392" s="1">
        <v>4.2700000000000001E-5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-7.4358469012100002E-3</v>
      </c>
      <c r="M392" s="1">
        <f t="shared" si="27"/>
        <v>-1.8080547734403703E-2</v>
      </c>
      <c r="N392" s="1">
        <f t="shared" si="28"/>
        <v>0.12456187535973091</v>
      </c>
      <c r="O392" s="1"/>
    </row>
    <row r="393" spans="1:15" x14ac:dyDescent="0.25">
      <c r="A393">
        <v>550</v>
      </c>
      <c r="B393">
        <v>19062.927169999999</v>
      </c>
      <c r="C393" s="1">
        <v>4.9999999999999998E-7</v>
      </c>
      <c r="D393">
        <v>96180.548880000002</v>
      </c>
      <c r="E393" s="1">
        <v>1.8E-7</v>
      </c>
      <c r="F393">
        <v>585143.9817</v>
      </c>
      <c r="G393">
        <v>1064.6131379999999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5.8812649220649996E-3</v>
      </c>
      <c r="M393" s="1">
        <f t="shared" si="27"/>
        <v>7.1009487859024795E-4</v>
      </c>
      <c r="N393" s="1">
        <f t="shared" si="28"/>
        <v>1965076.1052832997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 s="1">
        <v>2.5000000000000002E-6</v>
      </c>
      <c r="F394">
        <v>327992.00209999998</v>
      </c>
      <c r="G394" s="1">
        <v>4.5600000000000004E-6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-8.5616324611999996E-3</v>
      </c>
      <c r="M394" s="1">
        <f t="shared" si="27"/>
        <v>1.4357199050320001E-2</v>
      </c>
      <c r="N394" s="1">
        <f t="shared" si="28"/>
        <v>1.2252881508779524E-2</v>
      </c>
      <c r="O394" s="1"/>
    </row>
    <row r="395" spans="1:15" x14ac:dyDescent="0.25">
      <c r="A395">
        <v>554</v>
      </c>
      <c r="B395">
        <v>178435.11730000001</v>
      </c>
      <c r="C395" s="1">
        <v>-2.83E-5</v>
      </c>
      <c r="D395">
        <v>611141.28489999997</v>
      </c>
      <c r="E395">
        <v>17508.75172</v>
      </c>
      <c r="F395">
        <v>978622.99529999995</v>
      </c>
      <c r="G395">
        <v>16236.05824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-0.10207218206580525</v>
      </c>
      <c r="M395" s="1">
        <f t="shared" si="27"/>
        <v>21179674.669275504</v>
      </c>
      <c r="N395" s="1">
        <f t="shared" si="28"/>
        <v>9189425.879632419</v>
      </c>
      <c r="O395" s="1"/>
    </row>
    <row r="396" spans="1:15" x14ac:dyDescent="0.25">
      <c r="A396">
        <v>555</v>
      </c>
      <c r="B396">
        <v>297712.71620000002</v>
      </c>
      <c r="C396">
        <v>82625.173299999995</v>
      </c>
      <c r="D396">
        <v>687591.76800000004</v>
      </c>
      <c r="E396">
        <v>63185.082190000001</v>
      </c>
      <c r="F396">
        <v>1064275.1880000001</v>
      </c>
      <c r="G396">
        <v>86209.889139999999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457195803.68235308</v>
      </c>
      <c r="M396" s="1">
        <f t="shared" si="27"/>
        <v>117259366.60302725</v>
      </c>
      <c r="N396" s="1">
        <f t="shared" si="28"/>
        <v>74857230.245672405</v>
      </c>
      <c r="O396" s="1"/>
    </row>
    <row r="397" spans="1:15" x14ac:dyDescent="0.25">
      <c r="A397">
        <v>556</v>
      </c>
      <c r="B397">
        <v>402571.59789999999</v>
      </c>
      <c r="C397">
        <v>67529.701239999995</v>
      </c>
      <c r="D397">
        <v>779965.09959999996</v>
      </c>
      <c r="E397">
        <v>97534.078049999996</v>
      </c>
      <c r="F397">
        <v>1167884.6040000001</v>
      </c>
      <c r="G397">
        <v>89703.676990000007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325457146.52117515</v>
      </c>
      <c r="M397" s="1">
        <f t="shared" si="27"/>
        <v>157651644.06250811</v>
      </c>
      <c r="N397" s="1">
        <f t="shared" si="28"/>
        <v>67841594.151523322</v>
      </c>
      <c r="O397" s="1"/>
    </row>
    <row r="398" spans="1:15" x14ac:dyDescent="0.25">
      <c r="A398">
        <v>557</v>
      </c>
      <c r="B398">
        <v>227066.4277</v>
      </c>
      <c r="C398">
        <v>85478.17267</v>
      </c>
      <c r="D398">
        <v>660022.7182</v>
      </c>
      <c r="E398">
        <v>71157.696200000006</v>
      </c>
      <c r="F398">
        <v>1002102.949</v>
      </c>
      <c r="G398">
        <v>106328.24619999999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700430609.944139</v>
      </c>
      <c r="M398" s="1">
        <f t="shared" si="27"/>
        <v>195557692.32083675</v>
      </c>
      <c r="N398" s="1">
        <f t="shared" si="28"/>
        <v>136724188.23715937</v>
      </c>
      <c r="O398" s="1"/>
    </row>
    <row r="399" spans="1:15" x14ac:dyDescent="0.25">
      <c r="A399">
        <v>558</v>
      </c>
      <c r="B399">
        <v>303165.2181</v>
      </c>
      <c r="C399">
        <v>3540.269769</v>
      </c>
      <c r="D399">
        <v>699025.64450000005</v>
      </c>
      <c r="E399">
        <v>23641.365570000002</v>
      </c>
      <c r="F399">
        <v>1078378.4380000001</v>
      </c>
      <c r="G399">
        <v>54136.71284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36266246.025831148</v>
      </c>
      <c r="M399" s="1">
        <f t="shared" si="27"/>
        <v>81223545.387142494</v>
      </c>
      <c r="N399" s="1">
        <f t="shared" si="28"/>
        <v>87025182.759473518</v>
      </c>
      <c r="O399" s="1"/>
    </row>
    <row r="400" spans="1:15" x14ac:dyDescent="0.25">
      <c r="A400">
        <v>559</v>
      </c>
      <c r="B400">
        <v>394301.38130000001</v>
      </c>
      <c r="C400">
        <v>81625.670499999993</v>
      </c>
      <c r="D400">
        <v>779948.71719999996</v>
      </c>
      <c r="E400">
        <v>85455.698279999997</v>
      </c>
      <c r="F400">
        <v>1175393.912</v>
      </c>
      <c r="G400">
        <v>80083.991120000006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261311574.65495297</v>
      </c>
      <c r="M400" s="1">
        <f t="shared" si="27"/>
        <v>91752107.692286447</v>
      </c>
      <c r="N400" s="1">
        <f t="shared" si="28"/>
        <v>40231331.770532586</v>
      </c>
      <c r="O400" s="1"/>
    </row>
    <row r="401" spans="1:15" x14ac:dyDescent="0.25">
      <c r="A401">
        <v>560</v>
      </c>
      <c r="B401">
        <v>206737.09779999999</v>
      </c>
      <c r="C401">
        <v>104886.51639999999</v>
      </c>
      <c r="D401">
        <v>634570.81019999995</v>
      </c>
      <c r="E401">
        <v>87134.664529999995</v>
      </c>
      <c r="F401">
        <v>968361.94510000001</v>
      </c>
      <c r="G401">
        <v>132980.28829999999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540101104.33598781</v>
      </c>
      <c r="M401" s="1">
        <f t="shared" si="27"/>
        <v>150483715.06721207</v>
      </c>
      <c r="N401" s="1">
        <f t="shared" si="28"/>
        <v>107455707.79591353</v>
      </c>
      <c r="O401" s="1"/>
    </row>
    <row r="402" spans="1:15" x14ac:dyDescent="0.25">
      <c r="A402">
        <v>561</v>
      </c>
      <c r="B402">
        <v>242560.97409999999</v>
      </c>
      <c r="C402">
        <v>102704.18550000001</v>
      </c>
      <c r="D402">
        <v>659407.01540000003</v>
      </c>
      <c r="E402">
        <v>91542.366110000003</v>
      </c>
      <c r="F402">
        <v>1000601.844</v>
      </c>
      <c r="G402">
        <v>138425.68900000001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492288970.97291201</v>
      </c>
      <c r="M402" s="1">
        <f t="shared" si="27"/>
        <v>147162526.0382463</v>
      </c>
      <c r="N402" s="1">
        <f t="shared" si="28"/>
        <v>104120314.76691394</v>
      </c>
      <c r="O402" s="1"/>
    </row>
    <row r="403" spans="1:15" x14ac:dyDescent="0.25">
      <c r="A403">
        <v>562</v>
      </c>
      <c r="B403">
        <v>283675.45159999997</v>
      </c>
      <c r="C403">
        <v>110715.545</v>
      </c>
      <c r="D403">
        <v>697337.67090000003</v>
      </c>
      <c r="E403">
        <v>66606.239490000007</v>
      </c>
      <c r="F403">
        <v>1030261.588</v>
      </c>
      <c r="G403">
        <v>134297.2426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459098454.59064353</v>
      </c>
      <c r="M403" s="1">
        <f t="shared" si="27"/>
        <v>92630771.284928933</v>
      </c>
      <c r="N403" s="1">
        <f t="shared" si="28"/>
        <v>87387867.105206937</v>
      </c>
      <c r="O403" s="1"/>
    </row>
    <row r="404" spans="1:15" x14ac:dyDescent="0.25">
      <c r="A404">
        <v>563</v>
      </c>
      <c r="B404">
        <v>340554.25020000001</v>
      </c>
      <c r="C404">
        <v>86965.188389999996</v>
      </c>
      <c r="D404">
        <v>748919.65910000005</v>
      </c>
      <c r="E404">
        <v>61338.834000000003</v>
      </c>
      <c r="F404">
        <v>1090556.433</v>
      </c>
      <c r="G404">
        <v>120093.25780000001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207245434.70169109</v>
      </c>
      <c r="M404" s="1">
        <f t="shared" si="27"/>
        <v>49025065.604460694</v>
      </c>
      <c r="N404" s="1">
        <f t="shared" si="28"/>
        <v>44910198.199529916</v>
      </c>
      <c r="O404" s="1"/>
    </row>
    <row r="405" spans="1:15" x14ac:dyDescent="0.25">
      <c r="A405">
        <v>564</v>
      </c>
      <c r="B405">
        <v>84255.662590000007</v>
      </c>
      <c r="C405" s="1">
        <v>2.8000000000000002E-7</v>
      </c>
      <c r="D405">
        <v>603815.84680000006</v>
      </c>
      <c r="E405">
        <v>16583.636190000001</v>
      </c>
      <c r="F405">
        <v>981813.47979999997</v>
      </c>
      <c r="G405">
        <v>14020.851189999999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2.2791212068079001E-3</v>
      </c>
      <c r="M405" s="1">
        <f t="shared" si="27"/>
        <v>45272271.923089452</v>
      </c>
      <c r="N405" s="1">
        <f t="shared" si="28"/>
        <v>17908969.049625997</v>
      </c>
      <c r="O405" s="1"/>
    </row>
    <row r="406" spans="1:15" x14ac:dyDescent="0.25">
      <c r="A406">
        <v>565</v>
      </c>
      <c r="B406">
        <v>142798.01029999999</v>
      </c>
      <c r="C406">
        <v>5354.4096630000004</v>
      </c>
      <c r="D406">
        <v>680613.81810000003</v>
      </c>
      <c r="E406">
        <v>22482.573339999999</v>
      </c>
      <c r="F406">
        <v>1034483.255</v>
      </c>
      <c r="G406">
        <v>60033.374839999997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148899502.35125989</v>
      </c>
      <c r="M406" s="1">
        <f t="shared" si="27"/>
        <v>209686662.01862204</v>
      </c>
      <c r="N406" s="1">
        <f t="shared" si="28"/>
        <v>261975829.4065741</v>
      </c>
      <c r="O406" s="1"/>
    </row>
    <row r="407" spans="1:15" x14ac:dyDescent="0.25">
      <c r="A407">
        <v>566</v>
      </c>
      <c r="B407">
        <v>168280.97080000001</v>
      </c>
      <c r="C407">
        <v>28291.496169999999</v>
      </c>
      <c r="D407">
        <v>707490.83629999997</v>
      </c>
      <c r="E407">
        <v>23374.94411</v>
      </c>
      <c r="F407">
        <v>1077620.0260000001</v>
      </c>
      <c r="G407">
        <v>39897.064709999999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671411580.41168082</v>
      </c>
      <c r="M407" s="1">
        <f t="shared" si="27"/>
        <v>186048695.98283407</v>
      </c>
      <c r="N407" s="1">
        <f t="shared" si="28"/>
        <v>148580108.97562099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>
        <v>46834.441630000001</v>
      </c>
      <c r="F408">
        <v>954962.74289999995</v>
      </c>
      <c r="G408">
        <v>44300.578450000001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-2.7602720056610401E-2</v>
      </c>
      <c r="M408" s="1">
        <f t="shared" si="27"/>
        <v>142622084.98374489</v>
      </c>
      <c r="N408" s="1">
        <f t="shared" si="28"/>
        <v>63121092.844498113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 s="1">
        <v>-3.4199999999999999E-6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-7.8836733655160002E-3</v>
      </c>
      <c r="M409" s="1">
        <f t="shared" si="27"/>
        <v>3.1728753114138239E-2</v>
      </c>
      <c r="N409" s="1">
        <f t="shared" si="28"/>
        <v>-1.0577463910871544E-2</v>
      </c>
      <c r="O409" s="1"/>
    </row>
    <row r="410" spans="1:15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 s="1">
        <v>-4.5000000000000001E-6</v>
      </c>
      <c r="F410">
        <v>298894.8357</v>
      </c>
      <c r="G410" s="1">
        <v>3.0300000000000001E-5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6.0608963268164997E-3</v>
      </c>
      <c r="M410" s="1">
        <f t="shared" si="27"/>
        <v>-3.0490970751830701E-2</v>
      </c>
      <c r="N410" s="1">
        <f t="shared" si="28"/>
        <v>9.6060544552097837E-2</v>
      </c>
      <c r="O410" s="1"/>
    </row>
    <row r="411" spans="1:15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0</v>
      </c>
      <c r="F411">
        <v>367027.41840000002</v>
      </c>
      <c r="G411" s="1">
        <v>-1.5999999999999999E-5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7.1767362018950003E-3</v>
      </c>
      <c r="M411" s="1">
        <f t="shared" si="27"/>
        <v>0</v>
      </c>
      <c r="N411" s="1">
        <f t="shared" si="28"/>
        <v>-9.0095642165327991E-2</v>
      </c>
      <c r="O411" s="1"/>
    </row>
    <row r="412" spans="1:15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>
        <v>0</v>
      </c>
      <c r="F412">
        <v>509767.67469999997</v>
      </c>
      <c r="G412" s="1">
        <v>3.6699999999999998E-5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3.3748105737580001E-3</v>
      </c>
      <c r="M412" s="1">
        <f t="shared" si="27"/>
        <v>0</v>
      </c>
      <c r="N412" s="1">
        <f t="shared" si="28"/>
        <v>9.7178968475428437E-2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 s="1">
        <v>3.6799999999999999E-6</v>
      </c>
      <c r="F413">
        <v>588063.48190000001</v>
      </c>
      <c r="G413">
        <v>1332.2351940000001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-0.20444653606377</v>
      </c>
      <c r="M413" s="1">
        <f t="shared" si="27"/>
        <v>6.0078823843149762E-2</v>
      </c>
      <c r="N413" s="1">
        <f t="shared" si="28"/>
        <v>10176494.067701669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 s="1">
        <v>-1.7999999999999999E-6</v>
      </c>
      <c r="F414">
        <v>127784.98540000001</v>
      </c>
      <c r="G414" s="1">
        <v>4.85E-5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-1.5251570343188817E-2</v>
      </c>
      <c r="N414" s="1">
        <f t="shared" si="28"/>
        <v>0.19227706036634837</v>
      </c>
      <c r="O414" s="1"/>
    </row>
    <row r="415" spans="1:15" x14ac:dyDescent="0.25">
      <c r="A415">
        <v>577</v>
      </c>
      <c r="B415">
        <v>100875.2743</v>
      </c>
      <c r="C415" s="1">
        <v>4.0899999999999998E-5</v>
      </c>
      <c r="D415">
        <v>583245.87049999996</v>
      </c>
      <c r="E415">
        <v>12303.22178</v>
      </c>
      <c r="F415">
        <v>945346.68830000004</v>
      </c>
      <c r="G415">
        <v>9656.4394420000008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0.53455972420182152</v>
      </c>
      <c r="M415" s="1">
        <f t="shared" si="27"/>
        <v>53930558.264033109</v>
      </c>
      <c r="N415" s="1">
        <f t="shared" si="28"/>
        <v>19805087.368760031</v>
      </c>
      <c r="O415" s="1"/>
    </row>
    <row r="416" spans="1:15" x14ac:dyDescent="0.25">
      <c r="A416">
        <v>578</v>
      </c>
      <c r="B416">
        <v>180165.15100000001</v>
      </c>
      <c r="C416">
        <v>512.02502949999996</v>
      </c>
      <c r="D416">
        <v>633523.53249999997</v>
      </c>
      <c r="E416">
        <v>28957.057710000001</v>
      </c>
      <c r="F416">
        <v>979334.48360000004</v>
      </c>
      <c r="G416">
        <v>48982.867579999998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7432287.7675689775</v>
      </c>
      <c r="M416" s="1">
        <f t="shared" si="27"/>
        <v>140970712.22304136</v>
      </c>
      <c r="N416" s="1">
        <f t="shared" si="28"/>
        <v>111573831.35339954</v>
      </c>
      <c r="O416" s="1"/>
    </row>
    <row r="417" spans="1:15" x14ac:dyDescent="0.25">
      <c r="A417">
        <v>579</v>
      </c>
      <c r="B417">
        <v>340741.16680000001</v>
      </c>
      <c r="C417" s="1">
        <v>-2.2900000000000001E-5</v>
      </c>
      <c r="D417">
        <v>725873.68980000005</v>
      </c>
      <c r="E417">
        <v>10491.77543</v>
      </c>
      <c r="F417">
        <v>1137053.7250000001</v>
      </c>
      <c r="G417">
        <v>24208.868579999998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-0.19225038743937001</v>
      </c>
      <c r="M417" s="1">
        <f t="shared" si="27"/>
        <v>29540909.661610421</v>
      </c>
      <c r="N417" s="1">
        <f t="shared" si="28"/>
        <v>31892829.366834175</v>
      </c>
      <c r="O417" s="1"/>
    </row>
    <row r="418" spans="1:15" x14ac:dyDescent="0.25">
      <c r="A418">
        <v>580</v>
      </c>
      <c r="B418">
        <v>103161.03350000001</v>
      </c>
      <c r="C418" s="1">
        <v>-4.0800000000000002E-5</v>
      </c>
      <c r="D418">
        <v>608110.09420000005</v>
      </c>
      <c r="E418">
        <v>14955.83949</v>
      </c>
      <c r="F418">
        <v>957039.66390000004</v>
      </c>
      <c r="G418">
        <v>5448.1591349999999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-0.22682453696315402</v>
      </c>
      <c r="M418" s="1">
        <f t="shared" si="27"/>
        <v>27885844.572125256</v>
      </c>
      <c r="N418" s="1">
        <f t="shared" si="28"/>
        <v>4752985.2811459722</v>
      </c>
      <c r="O418" s="1"/>
    </row>
    <row r="419" spans="1:15" x14ac:dyDescent="0.25">
      <c r="A419">
        <v>600</v>
      </c>
      <c r="B419">
        <v>36623.220020000001</v>
      </c>
      <c r="C419">
        <v>0</v>
      </c>
      <c r="D419">
        <v>358476.56189999997</v>
      </c>
      <c r="E419">
        <v>15431.131380000001</v>
      </c>
      <c r="F419">
        <v>744860.34979999997</v>
      </c>
      <c r="G419">
        <v>27069.599399999999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0</v>
      </c>
      <c r="M419" s="1">
        <f t="shared" si="27"/>
        <v>35528099.197564915</v>
      </c>
      <c r="N419" s="1">
        <f t="shared" si="28"/>
        <v>29160818.567668982</v>
      </c>
      <c r="O419" s="1"/>
    </row>
    <row r="420" spans="1:15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>
        <v>5650.2666989999998</v>
      </c>
      <c r="F420">
        <v>644632.75529999996</v>
      </c>
      <c r="G420">
        <v>38632.06134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1.0534378858984499E-2</v>
      </c>
      <c r="M420" s="1">
        <f t="shared" si="27"/>
        <v>33271299.778005645</v>
      </c>
      <c r="N420" s="1">
        <f t="shared" si="28"/>
        <v>106436939.91391543</v>
      </c>
      <c r="O420" s="1"/>
    </row>
    <row r="421" spans="1:15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>
        <v>13801.13701</v>
      </c>
      <c r="F421">
        <v>746517.67989999999</v>
      </c>
      <c r="G421">
        <v>48258.228020000002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-3.1583917995493496E-2</v>
      </c>
      <c r="M421" s="1">
        <f t="shared" si="27"/>
        <v>69615302.231438428</v>
      </c>
      <c r="N421" s="1">
        <f t="shared" si="28"/>
        <v>113895061.88420051</v>
      </c>
      <c r="O421" s="1"/>
    </row>
    <row r="422" spans="1:15" x14ac:dyDescent="0.25">
      <c r="A422">
        <v>603</v>
      </c>
      <c r="B422">
        <v>17824.366429999998</v>
      </c>
      <c r="C422" s="1">
        <v>5.9999999999999997E-7</v>
      </c>
      <c r="D422">
        <v>149384.2029</v>
      </c>
      <c r="E422">
        <v>9613.7340370000002</v>
      </c>
      <c r="F422">
        <v>647929.93649999995</v>
      </c>
      <c r="G422">
        <v>28734.581709999999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8.372986919602499E-3</v>
      </c>
      <c r="M422" s="1">
        <f t="shared" si="27"/>
        <v>44995015.169727586</v>
      </c>
      <c r="N422" s="1">
        <f t="shared" si="28"/>
        <v>62924657.008728422</v>
      </c>
      <c r="O422" s="1"/>
    </row>
    <row r="423" spans="1:15" x14ac:dyDescent="0.25">
      <c r="A423">
        <v>604</v>
      </c>
      <c r="B423">
        <v>31793.696479999999</v>
      </c>
      <c r="C423" s="1">
        <v>-3.9999999999999998E-7</v>
      </c>
      <c r="D423">
        <v>184477.13579999999</v>
      </c>
      <c r="E423">
        <v>99075.137119999999</v>
      </c>
      <c r="F423">
        <v>707446.59510000004</v>
      </c>
      <c r="G423">
        <v>72852.273809999999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-5.4438702169799999E-3</v>
      </c>
      <c r="M423" s="1">
        <f t="shared" si="27"/>
        <v>452226065.49980581</v>
      </c>
      <c r="N423" s="1">
        <f t="shared" si="28"/>
        <v>155588573.1177699</v>
      </c>
      <c r="O423" s="1"/>
    </row>
    <row r="424" spans="1:15" x14ac:dyDescent="0.25">
      <c r="A424">
        <v>605</v>
      </c>
      <c r="B424">
        <v>33606.65756</v>
      </c>
      <c r="C424" s="1">
        <v>-3.7000000000000002E-6</v>
      </c>
      <c r="D424">
        <v>192936.33300000001</v>
      </c>
      <c r="E424">
        <v>184605.92670000001</v>
      </c>
      <c r="F424">
        <v>715113.90009999997</v>
      </c>
      <c r="G424">
        <v>87125.225680000003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-3.6970897075121752E-2</v>
      </c>
      <c r="M424" s="1">
        <f t="shared" si="27"/>
        <v>618652883.14982593</v>
      </c>
      <c r="N424" s="1">
        <f t="shared" si="28"/>
        <v>136612045.99947092</v>
      </c>
      <c r="O424" s="1"/>
    </row>
    <row r="425" spans="1:15" x14ac:dyDescent="0.25">
      <c r="A425">
        <v>606</v>
      </c>
      <c r="B425">
        <v>29044.149099999999</v>
      </c>
      <c r="C425" s="1">
        <v>-4.5000000000000001E-6</v>
      </c>
      <c r="D425">
        <v>153207.4037</v>
      </c>
      <c r="E425">
        <v>69578.875740000003</v>
      </c>
      <c r="F425">
        <v>695182.20799999998</v>
      </c>
      <c r="G425">
        <v>64178.695209999998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-4.8240683898322506E-2</v>
      </c>
      <c r="M425" s="1">
        <f t="shared" si="27"/>
        <v>250162084.11115626</v>
      </c>
      <c r="N425" s="1">
        <f t="shared" si="28"/>
        <v>107963919.02923222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>
        <v>12009.687529999999</v>
      </c>
      <c r="F426">
        <v>535576.12309999997</v>
      </c>
      <c r="G426">
        <v>122902.538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4.60097496716E-2</v>
      </c>
      <c r="M426" s="1">
        <f t="shared" si="27"/>
        <v>42118416.881782189</v>
      </c>
      <c r="N426" s="1">
        <f t="shared" si="28"/>
        <v>201671654.10951024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5763.9417199999998</v>
      </c>
      <c r="F427">
        <v>587367.99840000004</v>
      </c>
      <c r="G427">
        <v>58134.757799999999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50791312.350165576</v>
      </c>
      <c r="N427" s="1">
        <f t="shared" si="28"/>
        <v>239689714.97650781</v>
      </c>
      <c r="O427" s="1"/>
    </row>
    <row r="428" spans="1:15" x14ac:dyDescent="0.25">
      <c r="A428">
        <v>609</v>
      </c>
      <c r="B428">
        <v>75617.0236</v>
      </c>
      <c r="C428">
        <v>1096.440443</v>
      </c>
      <c r="D428">
        <v>625790.52910000004</v>
      </c>
      <c r="E428">
        <v>23665.60196</v>
      </c>
      <c r="F428">
        <v>952798.62450000003</v>
      </c>
      <c r="G428">
        <v>25069.418969999999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7041430.7166785756</v>
      </c>
      <c r="M428" s="1">
        <f t="shared" si="27"/>
        <v>50972573.019073091</v>
      </c>
      <c r="N428" s="1">
        <f t="shared" si="28"/>
        <v>25264281.264376953</v>
      </c>
      <c r="O428" s="1"/>
    </row>
    <row r="429" spans="1:15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>
        <v>74416.488540000006</v>
      </c>
      <c r="F429">
        <v>762655.40150000004</v>
      </c>
      <c r="G429">
        <v>69387.153390000007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-1.9163311535405375E-2</v>
      </c>
      <c r="M429" s="1">
        <f t="shared" si="27"/>
        <v>222456146.69862023</v>
      </c>
      <c r="N429" s="1">
        <f t="shared" si="28"/>
        <v>97050546.669544175</v>
      </c>
      <c r="O429" s="1"/>
    </row>
    <row r="430" spans="1:15" x14ac:dyDescent="0.25">
      <c r="A430">
        <v>611</v>
      </c>
      <c r="B430">
        <v>207488.09450000001</v>
      </c>
      <c r="C430">
        <v>84989.657579999999</v>
      </c>
      <c r="D430">
        <v>773021.14029999997</v>
      </c>
      <c r="E430">
        <v>16040.390230000001</v>
      </c>
      <c r="F430">
        <v>1134748.328</v>
      </c>
      <c r="G430">
        <v>35076.550929999998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814081194.5038892</v>
      </c>
      <c r="M430" s="1">
        <f t="shared" si="27"/>
        <v>51529948.638701133</v>
      </c>
      <c r="N430" s="1">
        <f t="shared" si="28"/>
        <v>52723634.524151064</v>
      </c>
      <c r="O430" s="1"/>
    </row>
    <row r="431" spans="1:15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>
        <v>19163.638719999999</v>
      </c>
      <c r="F431">
        <v>911262.47840000002</v>
      </c>
      <c r="G431">
        <v>24281.703740000001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5.3774940987351999E-2</v>
      </c>
      <c r="M431" s="1">
        <f t="shared" si="27"/>
        <v>108006794.2293575</v>
      </c>
      <c r="N431" s="1">
        <f t="shared" si="28"/>
        <v>64031833.144455858</v>
      </c>
      <c r="O431" s="1"/>
    </row>
    <row r="432" spans="1:15" x14ac:dyDescent="0.25">
      <c r="A432">
        <v>613</v>
      </c>
      <c r="B432">
        <v>223122.3921</v>
      </c>
      <c r="C432">
        <v>66572.332240000003</v>
      </c>
      <c r="D432">
        <v>794252.72120000003</v>
      </c>
      <c r="E432">
        <v>28807.441879999998</v>
      </c>
      <c r="F432">
        <v>1140106.689</v>
      </c>
      <c r="G432">
        <v>31198.820100000001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488374157.44412124</v>
      </c>
      <c r="M432" s="1">
        <f t="shared" si="27"/>
        <v>70877229.690072104</v>
      </c>
      <c r="N432" s="1">
        <f t="shared" si="28"/>
        <v>35915663.011824712</v>
      </c>
      <c r="O432" s="1"/>
    </row>
    <row r="433" spans="1:15" x14ac:dyDescent="0.25">
      <c r="A433">
        <v>614</v>
      </c>
      <c r="B433">
        <v>36675.468849999997</v>
      </c>
      <c r="C433">
        <v>0</v>
      </c>
      <c r="D433">
        <v>504259.97240000003</v>
      </c>
      <c r="E433">
        <v>12346.887699999999</v>
      </c>
      <c r="F433">
        <v>894085.15540000005</v>
      </c>
      <c r="G433">
        <v>13085.780849999999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0</v>
      </c>
      <c r="M433" s="1">
        <f t="shared" si="27"/>
        <v>52756002.661093108</v>
      </c>
      <c r="N433" s="1">
        <f t="shared" si="28"/>
        <v>26161202.615820955</v>
      </c>
      <c r="O433" s="1"/>
    </row>
    <row r="434" spans="1:15" x14ac:dyDescent="0.25">
      <c r="A434">
        <v>615</v>
      </c>
      <c r="B434">
        <v>60481.518580000004</v>
      </c>
      <c r="C434">
        <v>11879.456749999999</v>
      </c>
      <c r="D434">
        <v>567068.78209999995</v>
      </c>
      <c r="E434">
        <v>108927.01549999999</v>
      </c>
      <c r="F434">
        <v>942035.95830000006</v>
      </c>
      <c r="G434">
        <v>112073.5577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162379525.19315252</v>
      </c>
      <c r="M434" s="1">
        <f t="shared" si="27"/>
        <v>499359628.16406143</v>
      </c>
      <c r="N434" s="1">
        <f t="shared" si="28"/>
        <v>240394573.56957585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>
        <v>45460.085440000003</v>
      </c>
      <c r="F435">
        <v>780993.34169999999</v>
      </c>
      <c r="G435">
        <v>32763.952389999999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4.661293967672063E-2</v>
      </c>
      <c r="M435" s="1">
        <f t="shared" si="27"/>
        <v>315861984.29285216</v>
      </c>
      <c r="N435" s="1">
        <f t="shared" si="28"/>
        <v>106514093.61042988</v>
      </c>
      <c r="O435" s="1"/>
    </row>
    <row r="436" spans="1:15" x14ac:dyDescent="0.25">
      <c r="A436">
        <v>617</v>
      </c>
      <c r="B436">
        <v>36317.416360000003</v>
      </c>
      <c r="C436" s="1">
        <v>-2.65E-6</v>
      </c>
      <c r="D436">
        <v>538125.93550000002</v>
      </c>
      <c r="E436">
        <v>28657.991569999998</v>
      </c>
      <c r="F436">
        <v>904031.57519999996</v>
      </c>
      <c r="G436">
        <v>24928.251110000001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-1.2927840618286749E-2</v>
      </c>
      <c r="M436" s="1">
        <f t="shared" si="27"/>
        <v>46888787.544651397</v>
      </c>
      <c r="N436" s="1">
        <f t="shared" si="28"/>
        <v>19083531.285199653</v>
      </c>
      <c r="O436" s="1"/>
    </row>
    <row r="437" spans="1:15" x14ac:dyDescent="0.25">
      <c r="A437">
        <v>618</v>
      </c>
      <c r="B437">
        <v>70816.307310000004</v>
      </c>
      <c r="C437">
        <v>594.9463452</v>
      </c>
      <c r="D437">
        <v>606883.22389999998</v>
      </c>
      <c r="E437">
        <v>39528.288529999998</v>
      </c>
      <c r="F437">
        <v>956780.28119999997</v>
      </c>
      <c r="G437">
        <v>23596.35095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3158176.6736405892</v>
      </c>
      <c r="M437" s="1">
        <f t="shared" si="27"/>
        <v>70373600.046356231</v>
      </c>
      <c r="N437" s="1">
        <f t="shared" si="28"/>
        <v>19655779.995224994</v>
      </c>
      <c r="O437" s="1"/>
    </row>
    <row r="438" spans="1:15" x14ac:dyDescent="0.25">
      <c r="A438">
        <v>619</v>
      </c>
      <c r="B438">
        <v>32321.082170000001</v>
      </c>
      <c r="C438">
        <v>11206.82935</v>
      </c>
      <c r="D438">
        <v>469484.61550000001</v>
      </c>
      <c r="E438">
        <v>179707.32019999999</v>
      </c>
      <c r="F438">
        <v>872674.35860000004</v>
      </c>
      <c r="G438">
        <v>148361.5865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97023724.324100703</v>
      </c>
      <c r="M438" s="1">
        <f t="shared" si="27"/>
        <v>521800015.24839121</v>
      </c>
      <c r="N438" s="1">
        <f t="shared" si="28"/>
        <v>201559590.05258721</v>
      </c>
      <c r="O438" s="1"/>
    </row>
    <row r="439" spans="1:15" x14ac:dyDescent="0.25">
      <c r="A439">
        <v>620</v>
      </c>
      <c r="B439">
        <v>38628.572840000001</v>
      </c>
      <c r="C439">
        <v>300.64005700000001</v>
      </c>
      <c r="D439">
        <v>512226.68040000001</v>
      </c>
      <c r="E439">
        <v>77507.156900000002</v>
      </c>
      <c r="F439">
        <v>877329.43859999999</v>
      </c>
      <c r="G439">
        <v>73719.926869999996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3460551.0274608652</v>
      </c>
      <c r="M439" s="1">
        <f t="shared" si="27"/>
        <v>299214996.15836507</v>
      </c>
      <c r="N439" s="1">
        <f t="shared" si="28"/>
        <v>133158876.81276909</v>
      </c>
      <c r="O439" s="1"/>
    </row>
    <row r="440" spans="1:15" x14ac:dyDescent="0.25">
      <c r="A440">
        <v>621</v>
      </c>
      <c r="B440">
        <v>39478.271959999998</v>
      </c>
      <c r="C440">
        <v>397.73210840000002</v>
      </c>
      <c r="D440">
        <v>536789.08400000003</v>
      </c>
      <c r="E440">
        <v>47067.387040000001</v>
      </c>
      <c r="F440">
        <v>888171.93460000004</v>
      </c>
      <c r="G440">
        <v>39264.967270000001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6823336.2597691044</v>
      </c>
      <c r="M440" s="1">
        <f t="shared" si="27"/>
        <v>270812899.92184103</v>
      </c>
      <c r="N440" s="1">
        <f t="shared" si="28"/>
        <v>105705644.05180532</v>
      </c>
      <c r="O440" s="1"/>
    </row>
    <row r="441" spans="1:15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>
        <v>33970.231390000001</v>
      </c>
      <c r="F441">
        <v>859972.71499999997</v>
      </c>
      <c r="G441">
        <v>39959.791969999998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-2.3946744533123752E-2</v>
      </c>
      <c r="M441" s="1">
        <f t="shared" si="27"/>
        <v>83946919.155682862</v>
      </c>
      <c r="N441" s="1">
        <f t="shared" si="28"/>
        <v>46203316.852090284</v>
      </c>
      <c r="O441" s="1"/>
    </row>
    <row r="442" spans="1:15" x14ac:dyDescent="0.25">
      <c r="A442">
        <v>624</v>
      </c>
      <c r="B442">
        <v>19080.807830000002</v>
      </c>
      <c r="C442">
        <v>37765.737869999997</v>
      </c>
      <c r="D442">
        <v>67832.263229999997</v>
      </c>
      <c r="E442">
        <v>583270.85640000005</v>
      </c>
      <c r="F442">
        <v>503871.57610000001</v>
      </c>
      <c r="G442">
        <v>500002.96629999997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644701383.92860043</v>
      </c>
      <c r="M442" s="1">
        <f t="shared" si="27"/>
        <v>3339443054.7814097</v>
      </c>
      <c r="N442" s="1">
        <f t="shared" si="28"/>
        <v>1339430006.6807158</v>
      </c>
      <c r="O442" s="1"/>
    </row>
    <row r="443" spans="1:15" x14ac:dyDescent="0.25">
      <c r="A443">
        <v>625</v>
      </c>
      <c r="B443">
        <v>17223.300879999999</v>
      </c>
      <c r="C443" s="1">
        <v>2.7E-6</v>
      </c>
      <c r="D443">
        <v>61604.892339999999</v>
      </c>
      <c r="E443">
        <v>5433.6449730000004</v>
      </c>
      <c r="F443">
        <v>454646.54100000003</v>
      </c>
      <c r="G443">
        <v>62323.929530000001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3.5545250646711005E-2</v>
      </c>
      <c r="M443" s="1">
        <f t="shared" si="27"/>
        <v>23991213.33500554</v>
      </c>
      <c r="N443" s="1">
        <f t="shared" si="28"/>
        <v>128753623.38236123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>
        <v>155.91295969999999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1928421.9772627554</v>
      </c>
      <c r="O444" s="1"/>
    </row>
    <row r="445" spans="1:15" x14ac:dyDescent="0.25">
      <c r="A445">
        <v>627</v>
      </c>
      <c r="B445">
        <v>14787.806500000001</v>
      </c>
      <c r="C445" s="1">
        <v>-3.0299999999999998E-6</v>
      </c>
      <c r="D445">
        <v>50891.689230000004</v>
      </c>
      <c r="E445">
        <v>5567.6490999999996</v>
      </c>
      <c r="F445">
        <v>431776.10930000001</v>
      </c>
      <c r="G445">
        <v>129641.6161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-6.766577403946912E-2</v>
      </c>
      <c r="M445" s="1">
        <f t="shared" si="27"/>
        <v>41700515.020614609</v>
      </c>
      <c r="N445" s="1">
        <f t="shared" si="28"/>
        <v>454315628.69544995</v>
      </c>
      <c r="O445" s="1"/>
    </row>
    <row r="446" spans="1:15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>
        <v>194.20662400000001</v>
      </c>
      <c r="F446">
        <v>260402.1256</v>
      </c>
      <c r="G446">
        <v>133134.13949999999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4.7210699276103996E-2</v>
      </c>
      <c r="M446" s="1">
        <f t="shared" si="27"/>
        <v>960943.00674707966</v>
      </c>
      <c r="N446" s="1">
        <f t="shared" si="28"/>
        <v>308224179.79729456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>
        <v>2239.9401389999998</v>
      </c>
      <c r="F447">
        <v>404636.86690000002</v>
      </c>
      <c r="G447">
        <v>72867.477369999993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0.18553448675536771</v>
      </c>
      <c r="M447" s="1">
        <f t="shared" si="27"/>
        <v>32641966.998148233</v>
      </c>
      <c r="N447" s="1">
        <f t="shared" si="28"/>
        <v>496840879.67217976</v>
      </c>
      <c r="O447" s="1"/>
    </row>
    <row r="448" spans="1:15" x14ac:dyDescent="0.25">
      <c r="A448">
        <v>630</v>
      </c>
      <c r="B448">
        <v>14860.122069999999</v>
      </c>
      <c r="C448" s="1">
        <v>-1.0300000000000001E-6</v>
      </c>
      <c r="D448">
        <v>47515.13594</v>
      </c>
      <c r="E448">
        <v>20869.70822</v>
      </c>
      <c r="F448">
        <v>450944.23149999999</v>
      </c>
      <c r="G448">
        <v>147422.97959999999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-1.4120645403198752E-2</v>
      </c>
      <c r="M448" s="1">
        <f t="shared" si="27"/>
        <v>95957038.653531894</v>
      </c>
      <c r="N448" s="1">
        <f t="shared" si="28"/>
        <v>317153363.94307619</v>
      </c>
      <c r="O448" s="1"/>
    </row>
    <row r="449" spans="1:15" x14ac:dyDescent="0.25">
      <c r="A449">
        <v>631</v>
      </c>
      <c r="B449">
        <v>8389.6977330000009</v>
      </c>
      <c r="C449">
        <v>188369.60339999999</v>
      </c>
      <c r="D449">
        <v>42536.300219999997</v>
      </c>
      <c r="E449">
        <v>702666.32640000002</v>
      </c>
      <c r="F449">
        <v>458714.64299999998</v>
      </c>
      <c r="G449">
        <v>648349.44129999995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4408555618.1848354</v>
      </c>
      <c r="M449" s="1">
        <f t="shared" si="27"/>
        <v>5515409708.9341602</v>
      </c>
      <c r="N449" s="1">
        <f t="shared" si="28"/>
        <v>2381120954.0320592</v>
      </c>
      <c r="O449" s="1"/>
    </row>
    <row r="450" spans="1:15" x14ac:dyDescent="0.25">
      <c r="A450">
        <v>632</v>
      </c>
      <c r="B450">
        <v>4017.5058859999999</v>
      </c>
      <c r="C450">
        <v>134012.45310000001</v>
      </c>
      <c r="D450">
        <v>31227.07346</v>
      </c>
      <c r="E450">
        <v>686138.17240000004</v>
      </c>
      <c r="F450">
        <v>182262.26329999999</v>
      </c>
      <c r="G450">
        <v>889884.51269999996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5911108267.1764555</v>
      </c>
      <c r="M450" s="1">
        <f t="shared" si="27"/>
        <v>10150290578.643345</v>
      </c>
      <c r="N450" s="1">
        <f t="shared" si="28"/>
        <v>6159482426.6605949</v>
      </c>
      <c r="O450" s="1"/>
    </row>
    <row r="451" spans="1:15" x14ac:dyDescent="0.25">
      <c r="A451">
        <v>633</v>
      </c>
      <c r="B451">
        <v>5557.3761029999996</v>
      </c>
      <c r="C451">
        <v>1127.162071</v>
      </c>
      <c r="D451">
        <v>33280.225680000003</v>
      </c>
      <c r="E451">
        <v>7708.4787759999999</v>
      </c>
      <c r="F451">
        <v>188164.80910000001</v>
      </c>
      <c r="G451">
        <v>186691.53049999999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37191169.152368434</v>
      </c>
      <c r="M451" s="1">
        <f t="shared" ref="M451:M514" si="31">$U$3*$K451*E451</f>
        <v>85303192.048936412</v>
      </c>
      <c r="N451" s="1">
        <f t="shared" ref="N451:N514" si="32">$U$4*$K451*G451</f>
        <v>966640297.26371372</v>
      </c>
      <c r="O451" s="1"/>
    </row>
    <row r="452" spans="1:15" x14ac:dyDescent="0.25">
      <c r="A452">
        <v>634</v>
      </c>
      <c r="B452">
        <v>3296.027619</v>
      </c>
      <c r="C452">
        <v>11952.184740000001</v>
      </c>
      <c r="D452">
        <v>20582.933079999999</v>
      </c>
      <c r="E452">
        <v>530727.62080000003</v>
      </c>
      <c r="F452">
        <v>84572.685469999997</v>
      </c>
      <c r="G452">
        <v>837962.1263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264744219.1520406</v>
      </c>
      <c r="M452" s="1">
        <f t="shared" si="31"/>
        <v>3942702569.0552154</v>
      </c>
      <c r="N452" s="1">
        <f t="shared" si="32"/>
        <v>2912664038.542613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 s="1">
        <v>1.9000000000000001E-7</v>
      </c>
      <c r="F453">
        <v>16009.738950000001</v>
      </c>
      <c r="G453">
        <v>1181.5082520000001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0</v>
      </c>
      <c r="M453" s="1">
        <f t="shared" si="31"/>
        <v>3.6772870771751205E-3</v>
      </c>
      <c r="N453" s="1">
        <f t="shared" si="32"/>
        <v>10699275.536427988</v>
      </c>
      <c r="O453" s="1"/>
    </row>
    <row r="454" spans="1:15" x14ac:dyDescent="0.25">
      <c r="A454">
        <v>636</v>
      </c>
      <c r="B454">
        <v>33288.516130000004</v>
      </c>
      <c r="C454">
        <v>173621.21369999999</v>
      </c>
      <c r="D454">
        <v>407756.9253</v>
      </c>
      <c r="E454">
        <v>341666.40370000002</v>
      </c>
      <c r="F454">
        <v>813690.16090000002</v>
      </c>
      <c r="G454">
        <v>295101.39899999998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1903065442.415164</v>
      </c>
      <c r="M454" s="1">
        <f t="shared" si="31"/>
        <v>1256019403.3481042</v>
      </c>
      <c r="N454" s="1">
        <f t="shared" si="32"/>
        <v>507585279.58363914</v>
      </c>
      <c r="O454" s="1"/>
    </row>
    <row r="455" spans="1:15" x14ac:dyDescent="0.25">
      <c r="A455">
        <v>637</v>
      </c>
      <c r="B455">
        <v>34250.602720000003</v>
      </c>
      <c r="C455">
        <v>378634.68310000002</v>
      </c>
      <c r="D455">
        <v>431063.75219999999</v>
      </c>
      <c r="E455">
        <v>392019.14059999998</v>
      </c>
      <c r="F455">
        <v>848985.83860000002</v>
      </c>
      <c r="G455">
        <v>342591.94510000001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2841430473.4921608</v>
      </c>
      <c r="M455" s="1">
        <f t="shared" si="31"/>
        <v>986658927.97843134</v>
      </c>
      <c r="N455" s="1">
        <f t="shared" si="32"/>
        <v>403441531.43822646</v>
      </c>
      <c r="O455" s="1"/>
    </row>
    <row r="456" spans="1:15" x14ac:dyDescent="0.25">
      <c r="A456">
        <v>638</v>
      </c>
      <c r="B456">
        <v>11018.893609999999</v>
      </c>
      <c r="C456">
        <v>37389.098489999997</v>
      </c>
      <c r="D456">
        <v>91931.688380000007</v>
      </c>
      <c r="E456">
        <v>545232.80009999999</v>
      </c>
      <c r="F456">
        <v>640522.61990000005</v>
      </c>
      <c r="G456">
        <v>360048.42119999998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588166720.17457366</v>
      </c>
      <c r="M456" s="1">
        <f t="shared" si="31"/>
        <v>2876607211.7879138</v>
      </c>
      <c r="N456" s="1">
        <f t="shared" si="32"/>
        <v>888798227.31066132</v>
      </c>
      <c r="O456" s="1"/>
    </row>
    <row r="457" spans="1:15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>
        <v>36122.60097</v>
      </c>
      <c r="F457">
        <v>536722.9264</v>
      </c>
      <c r="G457">
        <v>106183.716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-2.5290170072244998E-3</v>
      </c>
      <c r="M457" s="1">
        <f t="shared" si="31"/>
        <v>153194757.99409613</v>
      </c>
      <c r="N457" s="1">
        <f t="shared" si="32"/>
        <v>210700947.79029399</v>
      </c>
      <c r="O457" s="1"/>
    </row>
    <row r="458" spans="1:15" x14ac:dyDescent="0.25">
      <c r="A458">
        <v>640</v>
      </c>
      <c r="B458">
        <v>27721.051100000001</v>
      </c>
      <c r="C458">
        <v>17587.032449999999</v>
      </c>
      <c r="D458">
        <v>191680.34760000001</v>
      </c>
      <c r="E458">
        <v>464432.57709999999</v>
      </c>
      <c r="F458">
        <v>706479.13619999995</v>
      </c>
      <c r="G458">
        <v>310766.15120000002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486263595.13737357</v>
      </c>
      <c r="M458" s="1">
        <f t="shared" si="31"/>
        <v>4306703804.1450558</v>
      </c>
      <c r="N458" s="1">
        <f t="shared" si="32"/>
        <v>1348340923.5781472</v>
      </c>
      <c r="O458" s="1"/>
    </row>
    <row r="459" spans="1:15" x14ac:dyDescent="0.25">
      <c r="A459">
        <v>641</v>
      </c>
      <c r="B459">
        <v>18885.373950000001</v>
      </c>
      <c r="C459">
        <v>97.092049770000003</v>
      </c>
      <c r="D459">
        <v>75046.139169999995</v>
      </c>
      <c r="E459">
        <v>72822.148459999997</v>
      </c>
      <c r="F459">
        <v>548632.82539999997</v>
      </c>
      <c r="G459">
        <v>144151.3259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1886756.3256406686</v>
      </c>
      <c r="M459" s="1">
        <f t="shared" si="31"/>
        <v>474612059.98684841</v>
      </c>
      <c r="N459" s="1">
        <f t="shared" si="32"/>
        <v>439579672.73691064</v>
      </c>
      <c r="O459" s="1"/>
    </row>
    <row r="460" spans="1:15" x14ac:dyDescent="0.25">
      <c r="A460">
        <v>642</v>
      </c>
      <c r="B460">
        <v>16338.67324</v>
      </c>
      <c r="C460">
        <v>37776.31553</v>
      </c>
      <c r="D460">
        <v>139304.74479999999</v>
      </c>
      <c r="E460">
        <v>505751.43160000001</v>
      </c>
      <c r="F460">
        <v>671484.39020000002</v>
      </c>
      <c r="G460">
        <v>333639.0074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386880163.82903564</v>
      </c>
      <c r="M460" s="1">
        <f t="shared" si="31"/>
        <v>1737149211.7071342</v>
      </c>
      <c r="N460" s="1">
        <f t="shared" si="32"/>
        <v>536192211.65569794</v>
      </c>
      <c r="O460" s="1"/>
    </row>
    <row r="461" spans="1:15" x14ac:dyDescent="0.25">
      <c r="A461">
        <v>643</v>
      </c>
      <c r="B461">
        <v>12034.13349</v>
      </c>
      <c r="C461">
        <v>300.6400615</v>
      </c>
      <c r="D461">
        <v>73876.642080000005</v>
      </c>
      <c r="E461">
        <v>182809.0472</v>
      </c>
      <c r="F461">
        <v>639023.99419999996</v>
      </c>
      <c r="G461">
        <v>116408.1064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4955020.7513626954</v>
      </c>
      <c r="M461" s="1">
        <f t="shared" si="31"/>
        <v>1010507283.3901575</v>
      </c>
      <c r="N461" s="1">
        <f t="shared" si="32"/>
        <v>301070820.27190864</v>
      </c>
      <c r="O461" s="1"/>
    </row>
    <row r="462" spans="1:15" x14ac:dyDescent="0.25">
      <c r="A462">
        <v>644</v>
      </c>
      <c r="B462">
        <v>27329.85053</v>
      </c>
      <c r="C462">
        <v>2178.8894909999999</v>
      </c>
      <c r="D462">
        <v>97428.536080000005</v>
      </c>
      <c r="E462">
        <v>485269.6937</v>
      </c>
      <c r="F462">
        <v>623786.56149999995</v>
      </c>
      <c r="G462">
        <v>324510.12640000001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44064524.14542681</v>
      </c>
      <c r="M462" s="1">
        <f t="shared" si="31"/>
        <v>3291396376.0712113</v>
      </c>
      <c r="N462" s="1">
        <f t="shared" si="32"/>
        <v>1029838085.7586542</v>
      </c>
      <c r="O462" s="1"/>
    </row>
    <row r="463" spans="1:15" x14ac:dyDescent="0.25">
      <c r="A463">
        <v>645</v>
      </c>
      <c r="B463">
        <v>14236.28282</v>
      </c>
      <c r="C463">
        <v>300.64006289999998</v>
      </c>
      <c r="D463">
        <v>70807.954800000007</v>
      </c>
      <c r="E463">
        <v>120674.4905</v>
      </c>
      <c r="F463">
        <v>598318.3382</v>
      </c>
      <c r="G463">
        <v>123218.04519999999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6316362.6890182272</v>
      </c>
      <c r="M463" s="1">
        <f t="shared" si="31"/>
        <v>850312995.78662336</v>
      </c>
      <c r="N463" s="1">
        <f t="shared" si="32"/>
        <v>406238739.1465559</v>
      </c>
      <c r="O463" s="1"/>
    </row>
    <row r="464" spans="1:15" x14ac:dyDescent="0.25">
      <c r="A464">
        <v>646</v>
      </c>
      <c r="B464">
        <v>12968.25432</v>
      </c>
      <c r="C464">
        <v>6050.3890309999997</v>
      </c>
      <c r="D464">
        <v>54273.331489999997</v>
      </c>
      <c r="E464">
        <v>126395.2571</v>
      </c>
      <c r="F464">
        <v>564316.99639999995</v>
      </c>
      <c r="G464">
        <v>165209.4374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108157600.73510598</v>
      </c>
      <c r="M464" s="1">
        <f t="shared" si="31"/>
        <v>757787887.61600912</v>
      </c>
      <c r="N464" s="1">
        <f t="shared" si="32"/>
        <v>463442023.87283844</v>
      </c>
      <c r="O464" s="1"/>
    </row>
    <row r="465" spans="1:15" x14ac:dyDescent="0.25">
      <c r="A465">
        <v>647</v>
      </c>
      <c r="B465">
        <v>12496.165069999999</v>
      </c>
      <c r="C465">
        <v>129808.1851</v>
      </c>
      <c r="D465">
        <v>55474.78196</v>
      </c>
      <c r="E465">
        <v>661079.43130000005</v>
      </c>
      <c r="F465">
        <v>519095.32740000001</v>
      </c>
      <c r="G465">
        <v>553051.4486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1612413245.6517198</v>
      </c>
      <c r="M465" s="1">
        <f t="shared" si="31"/>
        <v>2754045182.760664</v>
      </c>
      <c r="N465" s="1">
        <f t="shared" si="32"/>
        <v>1078019529.2636995</v>
      </c>
      <c r="O465" s="1"/>
    </row>
    <row r="466" spans="1:15" x14ac:dyDescent="0.25">
      <c r="A466">
        <v>650</v>
      </c>
      <c r="B466">
        <v>30705.845700000002</v>
      </c>
      <c r="C466" s="1">
        <v>9.9999999999999995E-8</v>
      </c>
      <c r="D466">
        <v>472798.94280000002</v>
      </c>
      <c r="E466">
        <v>33810.286180000003</v>
      </c>
      <c r="F466">
        <v>861827.21</v>
      </c>
      <c r="G466">
        <v>39101.454259999999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1.08329745108E-3</v>
      </c>
      <c r="M466" s="1">
        <f t="shared" si="31"/>
        <v>122839970.93721999</v>
      </c>
      <c r="N466" s="1">
        <f t="shared" si="32"/>
        <v>66470270.535456605</v>
      </c>
      <c r="O466" s="1"/>
    </row>
    <row r="467" spans="1:15" x14ac:dyDescent="0.25">
      <c r="A467">
        <v>651</v>
      </c>
      <c r="B467">
        <v>45071.268219999998</v>
      </c>
      <c r="C467" s="1">
        <v>-3.8999999999999999E-6</v>
      </c>
      <c r="D467">
        <v>480779.71500000003</v>
      </c>
      <c r="E467">
        <v>35482.58036</v>
      </c>
      <c r="F467">
        <v>867778.02339999995</v>
      </c>
      <c r="G467">
        <v>41077.065790000001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-5.0810157925478251E-2</v>
      </c>
      <c r="M467" s="1">
        <f t="shared" si="31"/>
        <v>155040182.07081887</v>
      </c>
      <c r="N467" s="1">
        <f t="shared" si="32"/>
        <v>83979283.783166215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41722.242209999997</v>
      </c>
      <c r="F468">
        <v>885015.75560000003</v>
      </c>
      <c r="G468">
        <v>26132.579000000002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-3.3626421249885755E-2</v>
      </c>
      <c r="M468" s="1">
        <f t="shared" si="31"/>
        <v>142586197.14005727</v>
      </c>
      <c r="N468" s="1">
        <f t="shared" si="32"/>
        <v>41786480.745730378</v>
      </c>
      <c r="O468" s="1"/>
    </row>
    <row r="469" spans="1:15" x14ac:dyDescent="0.25">
      <c r="A469">
        <v>653</v>
      </c>
      <c r="B469">
        <v>45654.624470000002</v>
      </c>
      <c r="C469" s="1">
        <v>5.9999999999999997E-7</v>
      </c>
      <c r="D469">
        <v>437161.72690000001</v>
      </c>
      <c r="E469">
        <v>44745.056960000002</v>
      </c>
      <c r="F469">
        <v>836965.28639999998</v>
      </c>
      <c r="G469">
        <v>50555.988640000003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3.2693433833190003E-3</v>
      </c>
      <c r="M469" s="1">
        <f t="shared" si="31"/>
        <v>81770657.405212551</v>
      </c>
      <c r="N469" s="1">
        <f t="shared" si="32"/>
        <v>43228355.047764428</v>
      </c>
      <c r="O469" s="1"/>
    </row>
    <row r="470" spans="1:15" x14ac:dyDescent="0.25">
      <c r="A470">
        <v>654</v>
      </c>
      <c r="B470">
        <v>162619.7028</v>
      </c>
      <c r="C470">
        <v>82124.146170000007</v>
      </c>
      <c r="D470">
        <v>639860.3358</v>
      </c>
      <c r="E470">
        <v>122556.6593</v>
      </c>
      <c r="F470">
        <v>992389.61679999996</v>
      </c>
      <c r="G470">
        <v>127066.8835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762478019.96671963</v>
      </c>
      <c r="M470" s="1">
        <f t="shared" si="31"/>
        <v>381624732.30922347</v>
      </c>
      <c r="N470" s="1">
        <f t="shared" si="32"/>
        <v>185129511.38922349</v>
      </c>
      <c r="O470" s="1"/>
    </row>
    <row r="471" spans="1:15" x14ac:dyDescent="0.25">
      <c r="A471">
        <v>655</v>
      </c>
      <c r="B471">
        <v>31310.227640000001</v>
      </c>
      <c r="C471" s="1">
        <v>4.4000000000000002E-6</v>
      </c>
      <c r="D471">
        <v>422992.3873</v>
      </c>
      <c r="E471">
        <v>59878.769789999998</v>
      </c>
      <c r="F471">
        <v>836755.81310000003</v>
      </c>
      <c r="G471">
        <v>54004.535320000003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6.1762390204658013E-2</v>
      </c>
      <c r="M471" s="1">
        <f t="shared" si="31"/>
        <v>281895033.55048293</v>
      </c>
      <c r="N471" s="1">
        <f t="shared" si="32"/>
        <v>118956579.26294325</v>
      </c>
      <c r="O471" s="1"/>
    </row>
    <row r="472" spans="1:15" x14ac:dyDescent="0.25">
      <c r="A472">
        <v>656</v>
      </c>
      <c r="B472">
        <v>220385.34830000001</v>
      </c>
      <c r="C472">
        <v>74426.18273</v>
      </c>
      <c r="D472">
        <v>744627.52049999998</v>
      </c>
      <c r="E472">
        <v>63090.139490000001</v>
      </c>
      <c r="F472">
        <v>1104564.1640000001</v>
      </c>
      <c r="G472">
        <v>60009.251179999999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2107528020.5468795</v>
      </c>
      <c r="M472" s="1">
        <f t="shared" si="31"/>
        <v>599173003.12587893</v>
      </c>
      <c r="N472" s="1">
        <f t="shared" si="32"/>
        <v>266656782.88750005</v>
      </c>
      <c r="O472" s="1"/>
    </row>
    <row r="473" spans="1:15" x14ac:dyDescent="0.25">
      <c r="A473">
        <v>657</v>
      </c>
      <c r="B473">
        <v>50289.980539999997</v>
      </c>
      <c r="C473">
        <v>316283.39740000002</v>
      </c>
      <c r="D473">
        <v>549606.08510000003</v>
      </c>
      <c r="E473">
        <v>276558.99359999999</v>
      </c>
      <c r="F473">
        <v>922206.03929999995</v>
      </c>
      <c r="G473">
        <v>265338.61170000001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4381608773.6196346</v>
      </c>
      <c r="M473" s="1">
        <f t="shared" si="31"/>
        <v>1284955611.9016697</v>
      </c>
      <c r="N473" s="1">
        <f t="shared" si="32"/>
        <v>576825524.94338953</v>
      </c>
      <c r="O473" s="1"/>
    </row>
    <row r="474" spans="1:15" x14ac:dyDescent="0.25">
      <c r="A474">
        <v>658</v>
      </c>
      <c r="B474">
        <v>31434.613359999999</v>
      </c>
      <c r="C474">
        <v>1127.162067</v>
      </c>
      <c r="D474">
        <v>347926.40710000001</v>
      </c>
      <c r="E474">
        <v>147165.37239999999</v>
      </c>
      <c r="F474">
        <v>790822.29509999999</v>
      </c>
      <c r="G474">
        <v>105504.651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8917526.4009121805</v>
      </c>
      <c r="M474" s="1">
        <f t="shared" si="31"/>
        <v>390487206.48835003</v>
      </c>
      <c r="N474" s="1">
        <f t="shared" si="32"/>
        <v>130983460.2824083</v>
      </c>
      <c r="O474" s="1"/>
    </row>
    <row r="475" spans="1:15" x14ac:dyDescent="0.25">
      <c r="A475">
        <v>659</v>
      </c>
      <c r="B475">
        <v>29674.379949999999</v>
      </c>
      <c r="C475">
        <v>133202.49650000001</v>
      </c>
      <c r="D475">
        <v>291904.86139999999</v>
      </c>
      <c r="E475">
        <v>441625.13380000001</v>
      </c>
      <c r="F475">
        <v>797337.68480000005</v>
      </c>
      <c r="G475">
        <v>296491.43800000002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892956122.00842226</v>
      </c>
      <c r="M475" s="1">
        <f t="shared" si="31"/>
        <v>992920948.6916635</v>
      </c>
      <c r="N475" s="1">
        <f t="shared" si="32"/>
        <v>311900970.52882904</v>
      </c>
      <c r="O475" s="1"/>
    </row>
    <row r="476" spans="1:15" x14ac:dyDescent="0.25">
      <c r="A476">
        <v>660</v>
      </c>
      <c r="B476">
        <v>34998.118540000003</v>
      </c>
      <c r="C476">
        <v>5573.5386040000003</v>
      </c>
      <c r="D476">
        <v>441757.5454</v>
      </c>
      <c r="E476">
        <v>180770.4345</v>
      </c>
      <c r="F476">
        <v>853986.71660000004</v>
      </c>
      <c r="G476">
        <v>130997.0154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69117342.024757072</v>
      </c>
      <c r="M476" s="1">
        <f t="shared" si="31"/>
        <v>751841949.68723977</v>
      </c>
      <c r="N476" s="1">
        <f t="shared" si="32"/>
        <v>254920188.58122331</v>
      </c>
      <c r="O476" s="1"/>
    </row>
    <row r="477" spans="1:15" x14ac:dyDescent="0.25">
      <c r="A477">
        <v>661</v>
      </c>
      <c r="B477">
        <v>35998.752699999997</v>
      </c>
      <c r="C477">
        <v>474.91369939999998</v>
      </c>
      <c r="D477">
        <v>298925.78000000003</v>
      </c>
      <c r="E477">
        <v>150401.54459999999</v>
      </c>
      <c r="F477">
        <v>773754.88329999999</v>
      </c>
      <c r="G477">
        <v>52710.35626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5034226.3051549373</v>
      </c>
      <c r="M477" s="1">
        <f t="shared" si="31"/>
        <v>534704046.26125634</v>
      </c>
      <c r="N477" s="1">
        <f t="shared" si="32"/>
        <v>87680053.035351008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1193.5477129999999</v>
      </c>
      <c r="F478">
        <v>509482.50900000002</v>
      </c>
      <c r="G478">
        <v>64876.797500000001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8996453.8978855088</v>
      </c>
      <c r="N478" s="1">
        <f t="shared" si="32"/>
        <v>228804549.54859376</v>
      </c>
      <c r="O478" s="1"/>
    </row>
    <row r="479" spans="1:15" x14ac:dyDescent="0.25">
      <c r="A479">
        <v>663</v>
      </c>
      <c r="B479">
        <v>31694.657729999999</v>
      </c>
      <c r="C479">
        <v>91606.120869999999</v>
      </c>
      <c r="D479">
        <v>263689.72610000003</v>
      </c>
      <c r="E479">
        <v>454107.50760000001</v>
      </c>
      <c r="F479">
        <v>761800.27359999996</v>
      </c>
      <c r="G479">
        <v>305842.90159999998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655676847.04756856</v>
      </c>
      <c r="M479" s="1">
        <f t="shared" si="31"/>
        <v>1090102095.0057313</v>
      </c>
      <c r="N479" s="1">
        <f t="shared" si="32"/>
        <v>343518851.99646556</v>
      </c>
      <c r="O479" s="1"/>
    </row>
    <row r="480" spans="1:15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>
        <v>16430.199120000001</v>
      </c>
      <c r="F480">
        <v>671864.20689999999</v>
      </c>
      <c r="G480">
        <v>52524.655059999997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2.6427720569542497E-3</v>
      </c>
      <c r="M480" s="1">
        <f t="shared" si="31"/>
        <v>48542754.385372348</v>
      </c>
      <c r="N480" s="1">
        <f t="shared" si="32"/>
        <v>72608668.978258058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>
        <v>61545.259050000001</v>
      </c>
      <c r="F481">
        <v>1054766.544</v>
      </c>
      <c r="G481">
        <v>103002.7867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230186047.7194255</v>
      </c>
      <c r="N481" s="1">
        <f t="shared" si="32"/>
        <v>180250735.22867024</v>
      </c>
      <c r="O481" s="1"/>
    </row>
    <row r="482" spans="1:15" x14ac:dyDescent="0.25">
      <c r="A482">
        <v>666</v>
      </c>
      <c r="B482">
        <v>292110.3162</v>
      </c>
      <c r="C482">
        <v>43696.488969999999</v>
      </c>
      <c r="D482">
        <v>837432.28890000004</v>
      </c>
      <c r="E482">
        <v>91985.536649999995</v>
      </c>
      <c r="F482">
        <v>1425845.378</v>
      </c>
      <c r="G482">
        <v>65148.9208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241320716.58096358</v>
      </c>
      <c r="M482" s="1">
        <f t="shared" si="31"/>
        <v>170376913.71374071</v>
      </c>
      <c r="N482" s="1">
        <f t="shared" si="32"/>
        <v>56460160.019442737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-4.7899999999999999E-5</v>
      </c>
      <c r="F483">
        <v>1105269.828</v>
      </c>
      <c r="G483">
        <v>4844.4277050000001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-0.16610418371328584</v>
      </c>
      <c r="N483" s="1">
        <f t="shared" si="32"/>
        <v>7860156.898804781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>
        <v>28914.33611</v>
      </c>
      <c r="F484">
        <v>1396795.28</v>
      </c>
      <c r="G484">
        <v>19173.929499999998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35685025.374777399</v>
      </c>
      <c r="N484" s="1">
        <f t="shared" si="32"/>
        <v>11072038.548588187</v>
      </c>
      <c r="O484" s="1"/>
    </row>
    <row r="485" spans="1:15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>
        <v>16430.199120000001</v>
      </c>
      <c r="F485">
        <v>656567.8371</v>
      </c>
      <c r="G485">
        <v>54458.111239999998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2.6980258630065002E-3</v>
      </c>
      <c r="M485" s="1">
        <f t="shared" si="31"/>
        <v>49557662.927708961</v>
      </c>
      <c r="N485" s="1">
        <f t="shared" si="32"/>
        <v>76855374.578217983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6.9999999999999997E-7</v>
      </c>
      <c r="F486">
        <v>467385.46779999998</v>
      </c>
      <c r="G486">
        <v>50514.259749999997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5.4326152402157301E-3</v>
      </c>
      <c r="N486" s="1">
        <f t="shared" si="32"/>
        <v>183429245.15949368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>
        <v>35622.923410000003</v>
      </c>
      <c r="F487">
        <v>799764.56469999999</v>
      </c>
      <c r="G487">
        <v>78048.98676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332910344.59930748</v>
      </c>
      <c r="N487" s="1">
        <f t="shared" si="32"/>
        <v>341278304.6490429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>
        <v>11226.170770000001</v>
      </c>
      <c r="F488">
        <v>733438.21030000004</v>
      </c>
      <c r="G488">
        <v>60480.466269999997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144918346.1814748</v>
      </c>
      <c r="N488" s="1">
        <f t="shared" si="32"/>
        <v>365300724.62244374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>
        <v>11226.170770000001</v>
      </c>
      <c r="F489">
        <v>718207.58649999998</v>
      </c>
      <c r="G489">
        <v>64048.450640000003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98999116.367133036</v>
      </c>
      <c r="N489" s="1">
        <f t="shared" si="32"/>
        <v>264272504.49917305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>
        <v>65723.050789999994</v>
      </c>
      <c r="F490">
        <v>1182686.344</v>
      </c>
      <c r="G490">
        <v>93292.492459999994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0</v>
      </c>
      <c r="M490" s="1">
        <f t="shared" si="31"/>
        <v>415815817.73619026</v>
      </c>
      <c r="N490" s="1">
        <f t="shared" si="32"/>
        <v>276168197.60617435</v>
      </c>
      <c r="O490" s="1"/>
    </row>
    <row r="491" spans="1:15" x14ac:dyDescent="0.25">
      <c r="A491">
        <v>706</v>
      </c>
      <c r="B491">
        <v>54658.289069999999</v>
      </c>
      <c r="C491">
        <v>16430.199110000001</v>
      </c>
      <c r="D491">
        <v>618718.5416</v>
      </c>
      <c r="E491">
        <v>87330.598419999995</v>
      </c>
      <c r="F491">
        <v>1125994.219</v>
      </c>
      <c r="G491">
        <v>92995.755040000004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344859790.86455488</v>
      </c>
      <c r="M491" s="1">
        <f t="shared" si="31"/>
        <v>614765244.80817938</v>
      </c>
      <c r="N491" s="1">
        <f t="shared" si="32"/>
        <v>306301888.16494501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>
        <v>73462.564979999996</v>
      </c>
      <c r="F492">
        <v>1133504.2379999999</v>
      </c>
      <c r="G492">
        <v>60817.924570000003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502987746.18742561</v>
      </c>
      <c r="N492" s="1">
        <f t="shared" si="32"/>
        <v>194834827.25416082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-3.4799999999999999E-5</v>
      </c>
      <c r="F493">
        <v>1155837.2819999999</v>
      </c>
      <c r="G493">
        <v>973.36638049999999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-6.2040199506571074E-2</v>
      </c>
      <c r="N493" s="1">
        <f t="shared" si="32"/>
        <v>811921.35041644471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>
        <v>16455.191360000001</v>
      </c>
      <c r="F494">
        <v>1414763.8640000001</v>
      </c>
      <c r="G494">
        <v>18411.470369999999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39761957.476838171</v>
      </c>
      <c r="N494" s="1">
        <f t="shared" si="32"/>
        <v>20815985.221871555</v>
      </c>
      <c r="O494" s="1"/>
    </row>
    <row r="495" spans="1:15" x14ac:dyDescent="0.25">
      <c r="A495">
        <v>712</v>
      </c>
      <c r="B495">
        <v>44955.68677</v>
      </c>
      <c r="C495" s="1">
        <v>-5.9999999999999997E-7</v>
      </c>
      <c r="D495">
        <v>303729.89</v>
      </c>
      <c r="E495">
        <v>7917.8646980000003</v>
      </c>
      <c r="F495">
        <v>1220735.7209999999</v>
      </c>
      <c r="G495">
        <v>475.2820767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-3.6626424250845E-3</v>
      </c>
      <c r="M495" s="1">
        <f t="shared" si="31"/>
        <v>16210428.104246823</v>
      </c>
      <c r="N495" s="1">
        <f t="shared" si="32"/>
        <v>455283.09332404082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>
        <v>34520.936820000003</v>
      </c>
      <c r="F496">
        <v>986783.28559999994</v>
      </c>
      <c r="G496">
        <v>38026.226620000001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182417575.56034088</v>
      </c>
      <c r="N496" s="1">
        <f t="shared" si="32"/>
        <v>94018001.785485402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>
        <v>23119.892309999999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26850893.098650578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2.9999999999999999E-7</v>
      </c>
      <c r="F498">
        <v>511907.77140000003</v>
      </c>
      <c r="G498">
        <v>35066.785080000001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2.5995718184659796E-3</v>
      </c>
      <c r="N498" s="1">
        <f t="shared" si="32"/>
        <v>142174004.25586352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>
        <v>2665.0947620000002</v>
      </c>
      <c r="F499">
        <v>914289.54390000005</v>
      </c>
      <c r="G499">
        <v>41200.041429999997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14569565.188647253</v>
      </c>
      <c r="N499" s="1">
        <f t="shared" si="32"/>
        <v>105384142.52004962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>
        <v>13249.85547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43350928.238248974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>
        <v>36007.414729999997</v>
      </c>
      <c r="F501">
        <v>1156202.5179999999</v>
      </c>
      <c r="G501">
        <v>37440.351589999998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233724055.92074117</v>
      </c>
      <c r="N501" s="1">
        <f t="shared" si="32"/>
        <v>113709060.13471499</v>
      </c>
      <c r="O501" s="1"/>
    </row>
    <row r="502" spans="1:15" x14ac:dyDescent="0.25">
      <c r="A502">
        <v>719</v>
      </c>
      <c r="B502">
        <v>233001.28570000001</v>
      </c>
      <c r="C502">
        <v>45032.828600000001</v>
      </c>
      <c r="D502">
        <v>843943.79909999995</v>
      </c>
      <c r="E502">
        <v>74522.250279999993</v>
      </c>
      <c r="F502">
        <v>1478434.932</v>
      </c>
      <c r="G502">
        <v>53146.406840000003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241944880.58995789</v>
      </c>
      <c r="M502" s="1">
        <f t="shared" si="31"/>
        <v>134281538.30368173</v>
      </c>
      <c r="N502" s="1">
        <f t="shared" si="32"/>
        <v>44807213.163471878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>
        <v>50232.801740000003</v>
      </c>
      <c r="F503">
        <v>1190381.48</v>
      </c>
      <c r="G503">
        <v>43169.255490000003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86794620.937824309</v>
      </c>
      <c r="N503" s="1">
        <f t="shared" si="32"/>
        <v>34899856.884410009</v>
      </c>
      <c r="O503" s="1"/>
    </row>
    <row r="504" spans="1:15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>
        <v>19552.332149999998</v>
      </c>
      <c r="F504">
        <v>1094792.3230000001</v>
      </c>
      <c r="G504">
        <v>44448.791649999999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-3.0039086602954006E-2</v>
      </c>
      <c r="M504" s="1">
        <f t="shared" si="31"/>
        <v>89537661.067201838</v>
      </c>
      <c r="N504" s="1">
        <f t="shared" si="32"/>
        <v>95238120.545904115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>
        <v>45166.053229999998</v>
      </c>
      <c r="F505">
        <v>919138.26280000003</v>
      </c>
      <c r="G505">
        <v>86175.411290000004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142157599.56025192</v>
      </c>
      <c r="N505" s="1">
        <f t="shared" si="32"/>
        <v>126906826.03115186</v>
      </c>
      <c r="O505" s="1"/>
    </row>
    <row r="506" spans="1:15" x14ac:dyDescent="0.25">
      <c r="A506">
        <v>725</v>
      </c>
      <c r="B506">
        <v>123856.0983</v>
      </c>
      <c r="C506">
        <v>11226.17078</v>
      </c>
      <c r="D506">
        <v>629308.99159999995</v>
      </c>
      <c r="E506">
        <v>34801.061710000002</v>
      </c>
      <c r="F506">
        <v>1113954.3810000001</v>
      </c>
      <c r="G506">
        <v>53296.018190000003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264866156.86313489</v>
      </c>
      <c r="M506" s="1">
        <f t="shared" si="31"/>
        <v>275378770.08917332</v>
      </c>
      <c r="N506" s="1">
        <f t="shared" si="32"/>
        <v>197322406.8123554</v>
      </c>
      <c r="O506" s="1"/>
    </row>
    <row r="507" spans="1:15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>
        <v>52243.659220000001</v>
      </c>
      <c r="F507">
        <v>819309.12410000002</v>
      </c>
      <c r="G507">
        <v>78300.148390000002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-1.051004678728875E-2</v>
      </c>
      <c r="M507" s="1">
        <f t="shared" si="31"/>
        <v>368308184.60805696</v>
      </c>
      <c r="N507" s="1">
        <f t="shared" si="32"/>
        <v>258275996.15112707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>
        <v>38383.611279999997</v>
      </c>
      <c r="F508">
        <v>880030.08790000004</v>
      </c>
      <c r="G508">
        <v>93058.733099999998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220639047.2053546</v>
      </c>
      <c r="N508" s="1">
        <f t="shared" si="32"/>
        <v>250286459.48350447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90546.111810000002</v>
      </c>
      <c r="F509">
        <v>870999.06740000006</v>
      </c>
      <c r="G509">
        <v>132472.61610000001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735489874.9688015</v>
      </c>
      <c r="N509" s="1">
        <f t="shared" si="32"/>
        <v>503473577.77522093</v>
      </c>
      <c r="O509" s="1"/>
    </row>
    <row r="510" spans="1:15" x14ac:dyDescent="0.25">
      <c r="A510">
        <v>731</v>
      </c>
      <c r="B510">
        <v>7708.3923649999997</v>
      </c>
      <c r="C510">
        <v>4713.6068219999997</v>
      </c>
      <c r="D510">
        <v>497472.8089</v>
      </c>
      <c r="E510">
        <v>92428.000679999997</v>
      </c>
      <c r="F510">
        <v>941581.09640000004</v>
      </c>
      <c r="G510">
        <v>104566.04059999999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66568312.311357662</v>
      </c>
      <c r="M510" s="1">
        <f t="shared" si="31"/>
        <v>437785011.66069305</v>
      </c>
      <c r="N510" s="1">
        <f t="shared" si="32"/>
        <v>231735021.05048975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>
        <v>45829.373449999999</v>
      </c>
      <c r="F511">
        <v>806528.34299999999</v>
      </c>
      <c r="G511">
        <v>93191.794179999997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239025762.81173632</v>
      </c>
      <c r="N511" s="1">
        <f t="shared" si="32"/>
        <v>227416590.52148697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>
        <v>77301.943830000004</v>
      </c>
      <c r="F512">
        <v>1059884.294</v>
      </c>
      <c r="G512">
        <v>93862.496700000003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448078863.08251435</v>
      </c>
      <c r="N512" s="1">
        <f t="shared" si="32"/>
        <v>254565662.72831541</v>
      </c>
      <c r="O512" s="1"/>
    </row>
    <row r="513" spans="1:15" x14ac:dyDescent="0.25">
      <c r="A513">
        <v>734</v>
      </c>
      <c r="B513">
        <v>96731.795029999994</v>
      </c>
      <c r="C513">
        <v>35622.923439999999</v>
      </c>
      <c r="D513">
        <v>642789.57620000001</v>
      </c>
      <c r="E513">
        <v>77895.938529999999</v>
      </c>
      <c r="F513">
        <v>1100479.395</v>
      </c>
      <c r="G513">
        <v>113415.1458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769544146.20661509</v>
      </c>
      <c r="M513" s="1">
        <f t="shared" si="31"/>
        <v>564367417.34052956</v>
      </c>
      <c r="N513" s="1">
        <f t="shared" si="32"/>
        <v>384469463.76379532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>
        <v>60525.736640000003</v>
      </c>
      <c r="F514">
        <v>888504.04229999997</v>
      </c>
      <c r="G514">
        <v>84450.403550000003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536522787.28948474</v>
      </c>
      <c r="N514" s="1">
        <f t="shared" si="32"/>
        <v>350262381.08222687</v>
      </c>
      <c r="O514" s="1"/>
    </row>
    <row r="515" spans="1:15" x14ac:dyDescent="0.25">
      <c r="A515">
        <v>736</v>
      </c>
      <c r="B515">
        <v>527613.74470000004</v>
      </c>
      <c r="C515">
        <v>90676.195829999997</v>
      </c>
      <c r="D515">
        <v>973510.88419999997</v>
      </c>
      <c r="E515">
        <v>125650.548</v>
      </c>
      <c r="F515">
        <v>1494061.423</v>
      </c>
      <c r="G515">
        <v>68108.964819999994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111663372.28988773</v>
      </c>
      <c r="M515" s="1">
        <f t="shared" ref="M515:M578" si="35">$U$3*$K515*E515</f>
        <v>51894934.947177999</v>
      </c>
      <c r="N515" s="1">
        <f t="shared" ref="N515:N578" si="36">$U$4*$K515*G515</f>
        <v>13161595.597418346</v>
      </c>
      <c r="O515" s="1"/>
    </row>
    <row r="516" spans="1:15" x14ac:dyDescent="0.25">
      <c r="A516">
        <v>737</v>
      </c>
      <c r="B516">
        <v>164880.4981</v>
      </c>
      <c r="C516">
        <v>45032.828580000001</v>
      </c>
      <c r="D516">
        <v>706906.34169999999</v>
      </c>
      <c r="E516">
        <v>89953.57</v>
      </c>
      <c r="F516">
        <v>1161913.196</v>
      </c>
      <c r="G516">
        <v>118109.07090000001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1270781891.3527968</v>
      </c>
      <c r="M516" s="1">
        <f t="shared" si="35"/>
        <v>851340573.95044196</v>
      </c>
      <c r="N516" s="1">
        <f t="shared" si="36"/>
        <v>523012247.87376434</v>
      </c>
      <c r="O516" s="1"/>
    </row>
    <row r="517" spans="1:15" x14ac:dyDescent="0.25">
      <c r="A517">
        <v>738</v>
      </c>
      <c r="B517">
        <v>327384.52409999998</v>
      </c>
      <c r="C517">
        <v>59781.118119999999</v>
      </c>
      <c r="D517">
        <v>766954.16480000003</v>
      </c>
      <c r="E517">
        <v>119455.3597</v>
      </c>
      <c r="F517">
        <v>1296339.426</v>
      </c>
      <c r="G517">
        <v>91534.962669999994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647148879.11417758</v>
      </c>
      <c r="M517" s="1">
        <f t="shared" si="35"/>
        <v>433699525.48951519</v>
      </c>
      <c r="N517" s="1">
        <f t="shared" si="36"/>
        <v>155494128.12200397</v>
      </c>
      <c r="O517" s="1"/>
    </row>
    <row r="518" spans="1:15" x14ac:dyDescent="0.25">
      <c r="A518">
        <v>739</v>
      </c>
      <c r="B518">
        <v>104718.4164</v>
      </c>
      <c r="C518">
        <v>11226.1708</v>
      </c>
      <c r="D518">
        <v>688364.78870000003</v>
      </c>
      <c r="E518">
        <v>73659.279380000007</v>
      </c>
      <c r="F518">
        <v>1285517.7239999999</v>
      </c>
      <c r="G518">
        <v>100417.4425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52431520.823291853</v>
      </c>
      <c r="M518" s="1">
        <f t="shared" si="35"/>
        <v>115380233.16014795</v>
      </c>
      <c r="N518" s="1">
        <f t="shared" si="36"/>
        <v>73596435.544504255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>
        <v>37422.729520000001</v>
      </c>
      <c r="F519">
        <v>1314005.852</v>
      </c>
      <c r="G519">
        <v>52124.076260000002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43164824.587455072</v>
      </c>
      <c r="N519" s="1">
        <f t="shared" si="36"/>
        <v>28130442.860794228</v>
      </c>
      <c r="O519" s="1"/>
    </row>
    <row r="520" spans="1:15" x14ac:dyDescent="0.25">
      <c r="A520">
        <v>741</v>
      </c>
      <c r="B520">
        <v>137649.59950000001</v>
      </c>
      <c r="C520">
        <v>34520.936750000001</v>
      </c>
      <c r="D520">
        <v>758052.65540000005</v>
      </c>
      <c r="E520">
        <v>67428.849919999993</v>
      </c>
      <c r="F520">
        <v>1369110.0449999999</v>
      </c>
      <c r="G520">
        <v>90287.019350000002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151035569.42528298</v>
      </c>
      <c r="M520" s="1">
        <f t="shared" si="35"/>
        <v>98943109.40501675</v>
      </c>
      <c r="N520" s="1">
        <f t="shared" si="36"/>
        <v>61988167.254753873</v>
      </c>
      <c r="O520" s="1"/>
    </row>
    <row r="521" spans="1:15" x14ac:dyDescent="0.25">
      <c r="A521">
        <v>742</v>
      </c>
      <c r="B521">
        <v>136749.69459999999</v>
      </c>
      <c r="C521">
        <v>34520.936759999997</v>
      </c>
      <c r="D521">
        <v>760184.36360000004</v>
      </c>
      <c r="E521">
        <v>65747.385110000003</v>
      </c>
      <c r="F521">
        <v>1372938.9569999999</v>
      </c>
      <c r="G521">
        <v>89959.311740000005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151591559.79823676</v>
      </c>
      <c r="M521" s="1">
        <f t="shared" si="35"/>
        <v>96830922.918028295</v>
      </c>
      <c r="N521" s="1">
        <f t="shared" si="36"/>
        <v>61990535.591815211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32469.655910000001</v>
      </c>
      <c r="F522">
        <v>1017598.987</v>
      </c>
      <c r="G522">
        <v>41078.875160000003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121740198.63018872</v>
      </c>
      <c r="N522" s="1">
        <f t="shared" si="36"/>
        <v>72064029.270612285</v>
      </c>
      <c r="O522" s="1"/>
    </row>
    <row r="523" spans="1:15" x14ac:dyDescent="0.25">
      <c r="A523">
        <v>744</v>
      </c>
      <c r="B523">
        <v>202444.2567</v>
      </c>
      <c r="C523">
        <v>59579.283360000001</v>
      </c>
      <c r="D523">
        <v>742707.62789999996</v>
      </c>
      <c r="E523">
        <v>91610.709600000002</v>
      </c>
      <c r="F523">
        <v>1203552.3219999999</v>
      </c>
      <c r="G523">
        <v>112040.3909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869105387.74582875</v>
      </c>
      <c r="M523" s="1">
        <f t="shared" si="35"/>
        <v>448194529.32303011</v>
      </c>
      <c r="N523" s="1">
        <f t="shared" si="36"/>
        <v>256471196.34294796</v>
      </c>
      <c r="O523" s="1"/>
    </row>
    <row r="524" spans="1:15" x14ac:dyDescent="0.25">
      <c r="A524">
        <v>745</v>
      </c>
      <c r="B524">
        <v>49689.949919999999</v>
      </c>
      <c r="C524">
        <v>2665.094775</v>
      </c>
      <c r="D524">
        <v>529637.23959999997</v>
      </c>
      <c r="E524">
        <v>74459.293109999999</v>
      </c>
      <c r="F524">
        <v>959678.84439999994</v>
      </c>
      <c r="G524">
        <v>112120.45510000001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14195370.166447908</v>
      </c>
      <c r="M524" s="1">
        <f t="shared" si="35"/>
        <v>133013619.03448011</v>
      </c>
      <c r="N524" s="1">
        <f t="shared" si="36"/>
        <v>93714270.984984428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-1.6999999999999999E-7</v>
      </c>
      <c r="F525">
        <v>428586.30359999998</v>
      </c>
      <c r="G525">
        <v>1882.2824459999999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-3.3137594802467701E-4</v>
      </c>
      <c r="N525" s="1">
        <f t="shared" si="36"/>
        <v>1716724.2109911686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>
        <v>37660.310590000001</v>
      </c>
      <c r="F526">
        <v>890066.26139999996</v>
      </c>
      <c r="G526">
        <v>102210.7066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235901409.33760387</v>
      </c>
      <c r="N526" s="1">
        <f t="shared" si="36"/>
        <v>299561989.96537745</v>
      </c>
      <c r="O526" s="1"/>
    </row>
    <row r="527" spans="1:15" x14ac:dyDescent="0.25">
      <c r="A527">
        <v>802</v>
      </c>
      <c r="B527">
        <v>44413.053189999999</v>
      </c>
      <c r="C527">
        <v>16430.199110000001</v>
      </c>
      <c r="D527">
        <v>557138.28810000001</v>
      </c>
      <c r="E527">
        <v>51178.147530000002</v>
      </c>
      <c r="F527">
        <v>992475.56449999998</v>
      </c>
      <c r="G527">
        <v>70017.702050000007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130662471.06123671</v>
      </c>
      <c r="M527" s="1">
        <f t="shared" si="35"/>
        <v>136500970.63830775</v>
      </c>
      <c r="N527" s="1">
        <f t="shared" si="36"/>
        <v>87378122.582172856</v>
      </c>
      <c r="O527" s="1"/>
    </row>
    <row r="528" spans="1:15" x14ac:dyDescent="0.25">
      <c r="A528">
        <v>803</v>
      </c>
      <c r="B528">
        <v>11687.333350000001</v>
      </c>
      <c r="C528">
        <v>4713.6068210000003</v>
      </c>
      <c r="D528">
        <v>548387.43570000003</v>
      </c>
      <c r="E528">
        <v>39667.756329999997</v>
      </c>
      <c r="F528">
        <v>946680.06319999998</v>
      </c>
      <c r="G528">
        <v>70870.998040000006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34914038.467739969</v>
      </c>
      <c r="M528" s="1">
        <f t="shared" si="35"/>
        <v>98543391.772358924</v>
      </c>
      <c r="N528" s="1">
        <f t="shared" si="36"/>
        <v>82376264.902107462</v>
      </c>
      <c r="O528" s="1"/>
    </row>
    <row r="529" spans="1:15" x14ac:dyDescent="0.25">
      <c r="A529">
        <v>804</v>
      </c>
      <c r="B529">
        <v>206007.8714</v>
      </c>
      <c r="C529">
        <v>28083.430509999998</v>
      </c>
      <c r="D529">
        <v>663782.93119999999</v>
      </c>
      <c r="E529">
        <v>61247.838129999996</v>
      </c>
      <c r="F529">
        <v>1101459.385</v>
      </c>
      <c r="G529">
        <v>83563.171249999999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312103390.1073761</v>
      </c>
      <c r="M529" s="1">
        <f t="shared" si="35"/>
        <v>228287551.12643972</v>
      </c>
      <c r="N529" s="1">
        <f t="shared" si="36"/>
        <v>145730366.39457735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>
        <v>25705.904030000002</v>
      </c>
      <c r="F530">
        <v>850004.07279999997</v>
      </c>
      <c r="G530">
        <v>60443.043409999998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82267888.786961764</v>
      </c>
      <c r="N530" s="1">
        <f t="shared" si="36"/>
        <v>90508105.063116089</v>
      </c>
      <c r="O530" s="1"/>
    </row>
    <row r="531" spans="1:15" x14ac:dyDescent="0.25">
      <c r="A531">
        <v>806</v>
      </c>
      <c r="B531">
        <v>24284.550329999998</v>
      </c>
      <c r="C531">
        <v>16430.199110000001</v>
      </c>
      <c r="D531">
        <v>564537.66709999996</v>
      </c>
      <c r="E531">
        <v>40177.977579999999</v>
      </c>
      <c r="F531">
        <v>974089.47149999999</v>
      </c>
      <c r="G531">
        <v>79573.967550000001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131519352.82646583</v>
      </c>
      <c r="M531" s="1">
        <f t="shared" si="35"/>
        <v>107864378.56036912</v>
      </c>
      <c r="N531" s="1">
        <f t="shared" si="36"/>
        <v>99955032.398409486</v>
      </c>
      <c r="O531" s="1"/>
    </row>
    <row r="532" spans="1:15" x14ac:dyDescent="0.25">
      <c r="A532">
        <v>807</v>
      </c>
      <c r="B532">
        <v>387054.18469999998</v>
      </c>
      <c r="C532">
        <v>43930.567410000003</v>
      </c>
      <c r="D532">
        <v>762026.59909999999</v>
      </c>
      <c r="E532">
        <v>117298.2193</v>
      </c>
      <c r="F532">
        <v>1270614.585</v>
      </c>
      <c r="G532">
        <v>70429.858779999995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308445736.74015146</v>
      </c>
      <c r="M532" s="1">
        <f t="shared" si="35"/>
        <v>276214526.73482656</v>
      </c>
      <c r="N532" s="1">
        <f t="shared" si="36"/>
        <v>77598904.816877127</v>
      </c>
      <c r="O532" s="1"/>
    </row>
    <row r="533" spans="1:15" x14ac:dyDescent="0.25">
      <c r="A533">
        <v>808</v>
      </c>
      <c r="B533">
        <v>270232.13260000001</v>
      </c>
      <c r="C533">
        <v>55785.49035</v>
      </c>
      <c r="D533">
        <v>696350.03390000004</v>
      </c>
      <c r="E533">
        <v>89022.033169999995</v>
      </c>
      <c r="F533">
        <v>1193933.8729999999</v>
      </c>
      <c r="G533">
        <v>86891.875440000003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160409662.63653263</v>
      </c>
      <c r="M533" s="1">
        <f t="shared" si="35"/>
        <v>85851901.070348576</v>
      </c>
      <c r="N533" s="1">
        <f t="shared" si="36"/>
        <v>39208051.204413466</v>
      </c>
      <c r="O533" s="1"/>
    </row>
    <row r="534" spans="1:15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>
        <v>19811.43406</v>
      </c>
      <c r="F534">
        <v>947210.98380000005</v>
      </c>
      <c r="G534">
        <v>40823.566899999998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-5.2370337275699626E-2</v>
      </c>
      <c r="M534" s="1">
        <f t="shared" si="35"/>
        <v>110467332.56799576</v>
      </c>
      <c r="N534" s="1">
        <f t="shared" si="36"/>
        <v>106505633.53831938</v>
      </c>
      <c r="O534" s="1"/>
    </row>
    <row r="535" spans="1:15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>
        <v>27203.88838</v>
      </c>
      <c r="F535">
        <v>890907.67879999999</v>
      </c>
      <c r="G535">
        <v>64915.636059999997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1.0969315936820734E-2</v>
      </c>
      <c r="M535" s="1">
        <f t="shared" si="35"/>
        <v>178080903.65274942</v>
      </c>
      <c r="N535" s="1">
        <f t="shared" si="36"/>
        <v>198828832.08471096</v>
      </c>
      <c r="O535" s="1"/>
    </row>
    <row r="536" spans="1:15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>
        <v>37963.782650000001</v>
      </c>
      <c r="F536">
        <v>824462.60309999995</v>
      </c>
      <c r="G536">
        <v>57692.134080000003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-7.7226494218314984E-2</v>
      </c>
      <c r="M536" s="1">
        <f t="shared" si="35"/>
        <v>216582360.35546562</v>
      </c>
      <c r="N536" s="1">
        <f t="shared" si="36"/>
        <v>153997576.55543211</v>
      </c>
      <c r="O536" s="1"/>
    </row>
    <row r="537" spans="1:15" x14ac:dyDescent="0.25">
      <c r="A537">
        <v>815</v>
      </c>
      <c r="B537">
        <v>28302.54594</v>
      </c>
      <c r="C537" s="1">
        <v>1.15E-6</v>
      </c>
      <c r="D537">
        <v>464595.00089999998</v>
      </c>
      <c r="E537">
        <v>7776.8450059999996</v>
      </c>
      <c r="F537">
        <v>765344.65289999999</v>
      </c>
      <c r="G537">
        <v>23214.280480000001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1.0623375711807626E-2</v>
      </c>
      <c r="M537" s="1">
        <f t="shared" si="35"/>
        <v>24094131.778687298</v>
      </c>
      <c r="N537" s="1">
        <f t="shared" si="36"/>
        <v>33651679.449724197</v>
      </c>
      <c r="O537" s="1"/>
    </row>
    <row r="538" spans="1:15" x14ac:dyDescent="0.25">
      <c r="A538">
        <v>816</v>
      </c>
      <c r="B538">
        <v>55523.49267</v>
      </c>
      <c r="C538" s="1">
        <v>-2.28E-7</v>
      </c>
      <c r="D538">
        <v>542196.21959999995</v>
      </c>
      <c r="E538">
        <v>25557.90912</v>
      </c>
      <c r="F538">
        <v>934704.92079999996</v>
      </c>
      <c r="G538">
        <v>31139.0834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-2.6324673626791795E-3</v>
      </c>
      <c r="M538" s="1">
        <f t="shared" si="35"/>
        <v>98968413.174393266</v>
      </c>
      <c r="N538" s="1">
        <f t="shared" si="36"/>
        <v>56418402.948265813</v>
      </c>
      <c r="O538" s="1"/>
    </row>
    <row r="539" spans="1:15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>
        <v>4800.0701280000003</v>
      </c>
      <c r="F539">
        <v>968497.2635</v>
      </c>
      <c r="G539">
        <v>18010.825690000001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1.5578834555729249E-2</v>
      </c>
      <c r="M539" s="1">
        <f t="shared" si="35"/>
        <v>11048411.14662298</v>
      </c>
      <c r="N539" s="1">
        <f t="shared" si="36"/>
        <v>19396775.812220935</v>
      </c>
      <c r="O539" s="1"/>
    </row>
    <row r="540" spans="1:15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>
        <v>9839.7237210000003</v>
      </c>
      <c r="F540">
        <v>865398.9693</v>
      </c>
      <c r="G540">
        <v>8184.3014480000002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-5.8986477488029009E-2</v>
      </c>
      <c r="M540" s="1">
        <f t="shared" si="35"/>
        <v>46906216.831535771</v>
      </c>
      <c r="N540" s="1">
        <f t="shared" si="36"/>
        <v>18254620.032624617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>
        <v>4361.1478950000001</v>
      </c>
      <c r="F541">
        <v>950898.42379999999</v>
      </c>
      <c r="G541">
        <v>7833.7487899999996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0</v>
      </c>
      <c r="M541" s="1">
        <f t="shared" si="35"/>
        <v>17391684.499521472</v>
      </c>
      <c r="N541" s="1">
        <f t="shared" si="36"/>
        <v>14616862.191111611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 s="1">
        <v>3.2899999999999998E-6</v>
      </c>
      <c r="F542">
        <v>939738.55390000006</v>
      </c>
      <c r="G542">
        <v>9073.3026680000003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0</v>
      </c>
      <c r="M542" s="1">
        <f t="shared" si="35"/>
        <v>1.9260368158123025E-2</v>
      </c>
      <c r="N542" s="1">
        <f t="shared" si="36"/>
        <v>24852939.515305642</v>
      </c>
      <c r="O542" s="1"/>
    </row>
    <row r="543" spans="1:15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>
        <v>12974.05651</v>
      </c>
      <c r="F543">
        <v>992707.06449999998</v>
      </c>
      <c r="G543">
        <v>22228.36723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-8.9776618175842648E-2</v>
      </c>
      <c r="M543" s="1">
        <f t="shared" si="35"/>
        <v>90218222.779476464</v>
      </c>
      <c r="N543" s="1">
        <f t="shared" si="36"/>
        <v>72321882.758206636</v>
      </c>
      <c r="O543" s="1"/>
    </row>
    <row r="544" spans="1:15" x14ac:dyDescent="0.25">
      <c r="A544">
        <v>824</v>
      </c>
      <c r="B544">
        <v>275614.56390000001</v>
      </c>
      <c r="C544">
        <v>30173.345079999999</v>
      </c>
      <c r="D544">
        <v>711584.32310000004</v>
      </c>
      <c r="E544">
        <v>40758.530100000004</v>
      </c>
      <c r="F544">
        <v>1172868.523</v>
      </c>
      <c r="G544">
        <v>41645.427860000003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249847185.46116665</v>
      </c>
      <c r="M544" s="1">
        <f t="shared" si="35"/>
        <v>113191196.88332422</v>
      </c>
      <c r="N544" s="1">
        <f t="shared" si="36"/>
        <v>54113440.286048755</v>
      </c>
      <c r="O544" s="1"/>
    </row>
    <row r="545" spans="1:15" x14ac:dyDescent="0.25">
      <c r="A545">
        <v>825</v>
      </c>
      <c r="B545">
        <v>282809.29830000002</v>
      </c>
      <c r="C545">
        <v>30173.345099999999</v>
      </c>
      <c r="D545">
        <v>726990.39569999999</v>
      </c>
      <c r="E545">
        <v>40758.530180000002</v>
      </c>
      <c r="F545">
        <v>1189934.2879999999</v>
      </c>
      <c r="G545">
        <v>53114.847119999999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221709404.10001877</v>
      </c>
      <c r="M545" s="1">
        <f t="shared" si="35"/>
        <v>100443608.34672301</v>
      </c>
      <c r="N545" s="1">
        <f t="shared" si="36"/>
        <v>61243979.953967713</v>
      </c>
      <c r="O545" s="1"/>
    </row>
    <row r="546" spans="1:15" x14ac:dyDescent="0.25">
      <c r="A546">
        <v>826</v>
      </c>
      <c r="B546">
        <v>439768.94699999999</v>
      </c>
      <c r="C546">
        <v>35368.421730000002</v>
      </c>
      <c r="D546">
        <v>839954.20750000002</v>
      </c>
      <c r="E546">
        <v>86874.495989999996</v>
      </c>
      <c r="F546">
        <v>1302781.389</v>
      </c>
      <c r="G546">
        <v>61566.576910000003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364595273.82285672</v>
      </c>
      <c r="M546" s="1">
        <f t="shared" si="35"/>
        <v>300352180.52888197</v>
      </c>
      <c r="N546" s="1">
        <f t="shared" si="36"/>
        <v>99592624.442739978</v>
      </c>
      <c r="O546" s="1"/>
    </row>
    <row r="547" spans="1:15" x14ac:dyDescent="0.25">
      <c r="A547">
        <v>827</v>
      </c>
      <c r="B547">
        <v>384295.02720000001</v>
      </c>
      <c r="C547">
        <v>70371.002470000007</v>
      </c>
      <c r="D547">
        <v>771764.36120000004</v>
      </c>
      <c r="E547">
        <v>140078.17310000001</v>
      </c>
      <c r="F547">
        <v>1281372.4620000001</v>
      </c>
      <c r="G547">
        <v>81307.328269999998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117925742.21117221</v>
      </c>
      <c r="M547" s="1">
        <f t="shared" si="35"/>
        <v>78727867.253669113</v>
      </c>
      <c r="N547" s="1">
        <f t="shared" si="36"/>
        <v>21381166.041609135</v>
      </c>
      <c r="O547" s="1"/>
    </row>
    <row r="548" spans="1:15" x14ac:dyDescent="0.25">
      <c r="A548">
        <v>828</v>
      </c>
      <c r="B548">
        <v>509968.62050000002</v>
      </c>
      <c r="C548">
        <v>80705.711760000006</v>
      </c>
      <c r="D548">
        <v>946018.53989999997</v>
      </c>
      <c r="E548">
        <v>114511.87760000001</v>
      </c>
      <c r="F548">
        <v>1408322.97</v>
      </c>
      <c r="G548">
        <v>66471.373089999994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213317678.57241508</v>
      </c>
      <c r="M548" s="1">
        <f t="shared" si="35"/>
        <v>101511734.72427918</v>
      </c>
      <c r="N548" s="1">
        <f t="shared" si="36"/>
        <v>27570461.892978847</v>
      </c>
      <c r="O548" s="1"/>
    </row>
    <row r="549" spans="1:15" x14ac:dyDescent="0.25">
      <c r="A549">
        <v>829</v>
      </c>
      <c r="B549">
        <v>10935.07163</v>
      </c>
      <c r="C549" s="1">
        <v>2.5199999999999998E-7</v>
      </c>
      <c r="D549">
        <v>395610.9608</v>
      </c>
      <c r="E549">
        <v>6449.0436799999998</v>
      </c>
      <c r="F549">
        <v>774910.73129999998</v>
      </c>
      <c r="G549">
        <v>26179.874159999999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5.3134042506035395E-3</v>
      </c>
      <c r="M549" s="1">
        <f t="shared" si="35"/>
        <v>45604822.89473442</v>
      </c>
      <c r="N549" s="1">
        <f t="shared" si="36"/>
        <v>86621697.029822946</v>
      </c>
      <c r="O549" s="1"/>
    </row>
    <row r="550" spans="1:15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>
        <v>23491.02534</v>
      </c>
      <c r="F550">
        <v>886091.98490000004</v>
      </c>
      <c r="G550">
        <v>31899.68376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7.8089389315762489E-3</v>
      </c>
      <c r="M550" s="1">
        <f t="shared" si="35"/>
        <v>68358831.018456593</v>
      </c>
      <c r="N550" s="1">
        <f t="shared" si="36"/>
        <v>43433288.216547579</v>
      </c>
      <c r="O550" s="1"/>
    </row>
    <row r="551" spans="1:15" x14ac:dyDescent="0.25">
      <c r="A551">
        <v>831</v>
      </c>
      <c r="B551">
        <v>357179.94919999997</v>
      </c>
      <c r="C551">
        <v>37151.775430000002</v>
      </c>
      <c r="D551">
        <v>781191.27930000005</v>
      </c>
      <c r="E551">
        <v>64659.57791</v>
      </c>
      <c r="F551">
        <v>1227997.4469999999</v>
      </c>
      <c r="G551">
        <v>65231.795680000003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440731620.51246339</v>
      </c>
      <c r="M551" s="1">
        <f t="shared" si="35"/>
        <v>257259037.01161835</v>
      </c>
      <c r="N551" s="1">
        <f t="shared" si="36"/>
        <v>121434135.76400957</v>
      </c>
      <c r="O551" s="1"/>
    </row>
    <row r="552" spans="1:15" x14ac:dyDescent="0.25">
      <c r="A552">
        <v>832</v>
      </c>
      <c r="B552">
        <v>199618.22039999999</v>
      </c>
      <c r="C552">
        <v>2665.094803</v>
      </c>
      <c r="D552">
        <v>645232.32550000004</v>
      </c>
      <c r="E552">
        <v>30147.33671</v>
      </c>
      <c r="F552">
        <v>1077406.531</v>
      </c>
      <c r="G552">
        <v>41216.230869999999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8399890.1943778079</v>
      </c>
      <c r="M552" s="1">
        <f t="shared" si="35"/>
        <v>31867869.861399129</v>
      </c>
      <c r="N552" s="1">
        <f t="shared" si="36"/>
        <v>20385249.705090299</v>
      </c>
      <c r="O552" s="1"/>
    </row>
    <row r="553" spans="1:15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>
        <v>20927.579710000002</v>
      </c>
      <c r="F553">
        <v>977630.06909999996</v>
      </c>
      <c r="G553">
        <v>34986.023520000002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-9.4509392850342613E-2</v>
      </c>
      <c r="M553" s="1">
        <f t="shared" si="35"/>
        <v>91621742.835485816</v>
      </c>
      <c r="N553" s="1">
        <f t="shared" si="36"/>
        <v>71666765.787196487</v>
      </c>
      <c r="O553" s="1"/>
    </row>
    <row r="554" spans="1:15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>
        <v>14408.570239999999</v>
      </c>
      <c r="F554">
        <v>971616.03079999995</v>
      </c>
      <c r="G554">
        <v>42051.427210000002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1.7365715780495811E-2</v>
      </c>
      <c r="M554" s="1">
        <f t="shared" si="35"/>
        <v>87233167.373853758</v>
      </c>
      <c r="N554" s="1">
        <f t="shared" si="36"/>
        <v>119120133.65663351</v>
      </c>
      <c r="O554" s="1"/>
    </row>
    <row r="555" spans="1:15" x14ac:dyDescent="0.25">
      <c r="A555">
        <v>835</v>
      </c>
      <c r="B555">
        <v>89477.869160000002</v>
      </c>
      <c r="C555" s="1">
        <v>1.06E-6</v>
      </c>
      <c r="D555">
        <v>552964.49809999997</v>
      </c>
      <c r="E555">
        <v>12826.08862</v>
      </c>
      <c r="F555">
        <v>921653.97140000004</v>
      </c>
      <c r="G555">
        <v>43494.567589999999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5.5515718877521504E-3</v>
      </c>
      <c r="M555" s="1">
        <f t="shared" si="35"/>
        <v>22529288.471333716</v>
      </c>
      <c r="N555" s="1">
        <f t="shared" si="36"/>
        <v>35746369.096753463</v>
      </c>
      <c r="O555" s="1"/>
    </row>
    <row r="556" spans="1:15" x14ac:dyDescent="0.25">
      <c r="A556">
        <v>836</v>
      </c>
      <c r="B556">
        <v>518818.85230000003</v>
      </c>
      <c r="C556">
        <v>53059.816019999998</v>
      </c>
      <c r="D556">
        <v>979112.55900000001</v>
      </c>
      <c r="E556">
        <v>80042.249290000007</v>
      </c>
      <c r="F556">
        <v>1414478.6910000001</v>
      </c>
      <c r="G556">
        <v>39068.636270000003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65270511.12193644</v>
      </c>
      <c r="M556" s="1">
        <f t="shared" si="35"/>
        <v>33022784.859011963</v>
      </c>
      <c r="N556" s="1">
        <f t="shared" si="36"/>
        <v>7541649.4365619039</v>
      </c>
      <c r="O556" s="1"/>
    </row>
    <row r="557" spans="1:15" x14ac:dyDescent="0.25">
      <c r="A557">
        <v>837</v>
      </c>
      <c r="B557">
        <v>321856.37209999998</v>
      </c>
      <c r="C557">
        <v>19204.060939999999</v>
      </c>
      <c r="D557">
        <v>748248.54429999995</v>
      </c>
      <c r="E557">
        <v>29454.584220000001</v>
      </c>
      <c r="F557">
        <v>1178496.3529999999</v>
      </c>
      <c r="G557">
        <v>34796.171289999998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82933944.001645833</v>
      </c>
      <c r="M557" s="1">
        <f t="shared" si="35"/>
        <v>42661417.083502993</v>
      </c>
      <c r="N557" s="1">
        <f t="shared" si="36"/>
        <v>23580744.837553315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>
        <v>15941.018309999999</v>
      </c>
      <c r="F558">
        <v>1377564.1869999999</v>
      </c>
      <c r="G558">
        <v>19583.296729999998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12678047.50187744</v>
      </c>
      <c r="N558" s="1">
        <f t="shared" si="36"/>
        <v>7287285.7029616814</v>
      </c>
      <c r="O558" s="1"/>
    </row>
    <row r="559" spans="1:15" x14ac:dyDescent="0.25">
      <c r="A559">
        <v>895</v>
      </c>
      <c r="B559">
        <v>145127.78599999999</v>
      </c>
      <c r="C559">
        <v>34520.936750000001</v>
      </c>
      <c r="D559">
        <v>857636.65709999995</v>
      </c>
      <c r="E559">
        <v>36440.553460000003</v>
      </c>
      <c r="F559">
        <v>1467284.923</v>
      </c>
      <c r="G559">
        <v>29863.061949999999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118254914.93848321</v>
      </c>
      <c r="M559" s="1">
        <f t="shared" si="35"/>
        <v>41866314.286669649</v>
      </c>
      <c r="N559" s="1">
        <f t="shared" si="36"/>
        <v>16053058.127505109</v>
      </c>
      <c r="O559" s="1"/>
    </row>
    <row r="560" spans="1:15" x14ac:dyDescent="0.25">
      <c r="A560">
        <v>896</v>
      </c>
      <c r="B560">
        <v>176718.43460000001</v>
      </c>
      <c r="C560">
        <v>2665.0947249999999</v>
      </c>
      <c r="D560">
        <v>952114.31940000004</v>
      </c>
      <c r="E560">
        <v>9956.7256649999999</v>
      </c>
      <c r="F560">
        <v>1531125.3060000001</v>
      </c>
      <c r="G560">
        <v>33118.134330000001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6049020.7015876062</v>
      </c>
      <c r="M560" s="1">
        <f t="shared" si="35"/>
        <v>7579352.3898622794</v>
      </c>
      <c r="N560" s="1">
        <f t="shared" si="36"/>
        <v>11795737.507882895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-2.1100000000000001E-5</v>
      </c>
      <c r="F561">
        <v>982613.30339999998</v>
      </c>
      <c r="G561">
        <v>2999.0265829999998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-8.0878630375103483E-2</v>
      </c>
      <c r="N561" s="1">
        <f t="shared" si="36"/>
        <v>5378675.2846079813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>
        <v>594.94634550000001</v>
      </c>
      <c r="F562">
        <v>1170011.639</v>
      </c>
      <c r="G562">
        <v>9058.9150489999993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1542987.2948092921</v>
      </c>
      <c r="N562" s="1">
        <f t="shared" si="36"/>
        <v>10992700.966029027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3.1600000000000002E-5</v>
      </c>
      <c r="F563">
        <v>910148.93819999998</v>
      </c>
      <c r="G563" s="1">
        <v>-4.3900000000000003E-5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0.13599419730192147</v>
      </c>
      <c r="N563" s="1">
        <f t="shared" si="36"/>
        <v>-8.8397807554079652E-2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>
        <v>65426.729919999998</v>
      </c>
      <c r="F564">
        <v>921892.33779999998</v>
      </c>
      <c r="G564">
        <v>71253.111420000001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348513796.68207359</v>
      </c>
      <c r="N564" s="1">
        <f t="shared" si="36"/>
        <v>177587450.52134964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>
        <v>15743.154979999999</v>
      </c>
      <c r="F565">
        <v>1013672.794</v>
      </c>
      <c r="G565">
        <v>16657.044419999998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0</v>
      </c>
      <c r="M565" s="1">
        <f t="shared" si="35"/>
        <v>51430287.801098257</v>
      </c>
      <c r="N565" s="1">
        <f t="shared" si="36"/>
        <v>25460610.07964921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-1.56E-5</v>
      </c>
      <c r="F566">
        <v>1030705.001</v>
      </c>
      <c r="G566">
        <v>12437.87153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-8.1721303157700959E-2</v>
      </c>
      <c r="N566" s="1">
        <f t="shared" si="36"/>
        <v>30485998.921973106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>
        <v>12908.47309</v>
      </c>
      <c r="F567">
        <v>1031875.76</v>
      </c>
      <c r="G567">
        <v>33132.192219999997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0</v>
      </c>
      <c r="M567" s="1">
        <f t="shared" si="35"/>
        <v>42253972.936487295</v>
      </c>
      <c r="N567" s="1">
        <f t="shared" si="36"/>
        <v>50744213.606018819</v>
      </c>
      <c r="O567" s="1"/>
    </row>
    <row r="568" spans="1:15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 s="1">
        <v>-3.4400000000000003E-5</v>
      </c>
      <c r="F568">
        <v>1337769.4569999999</v>
      </c>
      <c r="G568">
        <v>17371.568019999999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2.3443736121008776E-2</v>
      </c>
      <c r="M568" s="1">
        <f t="shared" si="35"/>
        <v>-7.7058630689751925E-2</v>
      </c>
      <c r="N568" s="1">
        <f t="shared" si="36"/>
        <v>18207299.837931868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-2.4300000000000001E-5</v>
      </c>
      <c r="F569">
        <v>938368.72149999999</v>
      </c>
      <c r="G569" s="1">
        <v>1.33E-5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-0.13467627535612015</v>
      </c>
      <c r="N569" s="1">
        <f t="shared" si="36"/>
        <v>3.4488963481729265E-2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2.9899999999999998E-5</v>
      </c>
      <c r="F570">
        <v>948332.64099999995</v>
      </c>
      <c r="G570" s="1">
        <v>-2.44E-5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0.17315144103480704</v>
      </c>
      <c r="N570" s="1">
        <f t="shared" si="36"/>
        <v>-6.6113237772303365E-2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 s="1">
        <v>-4.8199999999999999E-5</v>
      </c>
      <c r="F571">
        <v>847171.78570000001</v>
      </c>
      <c r="G571" s="1">
        <v>-2.87E-5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0</v>
      </c>
      <c r="M571" s="1">
        <f t="shared" si="35"/>
        <v>-0.32063363703079906</v>
      </c>
      <c r="N571" s="1">
        <f t="shared" si="36"/>
        <v>-8.9328001545924962E-2</v>
      </c>
      <c r="O571" s="1"/>
    </row>
    <row r="572" spans="1:15" x14ac:dyDescent="0.25">
      <c r="A572">
        <v>910</v>
      </c>
      <c r="B572">
        <v>114709.05379999999</v>
      </c>
      <c r="C572">
        <v>34520.936800000003</v>
      </c>
      <c r="D572">
        <v>781465.2439</v>
      </c>
      <c r="E572">
        <v>51322.487580000001</v>
      </c>
      <c r="F572">
        <v>1404221.4480000001</v>
      </c>
      <c r="G572">
        <v>51958.826200000003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397153797.70870239</v>
      </c>
      <c r="M572" s="1">
        <f t="shared" si="35"/>
        <v>198028173.72493011</v>
      </c>
      <c r="N572" s="1">
        <f t="shared" si="36"/>
        <v>93804202.069103807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>
        <v>63539.842629999999</v>
      </c>
      <c r="F573">
        <v>1085209.325</v>
      </c>
      <c r="G573">
        <v>91591.753230000002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0</v>
      </c>
      <c r="M573" s="1">
        <f t="shared" si="35"/>
        <v>393146602.11643994</v>
      </c>
      <c r="N573" s="1">
        <f t="shared" si="36"/>
        <v>265160263.58587444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>
        <v>53685.32387</v>
      </c>
      <c r="F574">
        <v>951361.49140000006</v>
      </c>
      <c r="G574">
        <v>105696.5491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240077975.18742257</v>
      </c>
      <c r="N574" s="1">
        <f t="shared" si="36"/>
        <v>221157274.18555731</v>
      </c>
      <c r="O574" s="1"/>
    </row>
    <row r="575" spans="1:15" x14ac:dyDescent="0.25">
      <c r="A575">
        <v>913</v>
      </c>
      <c r="B575">
        <v>196519.514</v>
      </c>
      <c r="C575">
        <v>38916.933649999999</v>
      </c>
      <c r="D575">
        <v>907269.33</v>
      </c>
      <c r="E575">
        <v>39006.715640000002</v>
      </c>
      <c r="F575">
        <v>1503592.9110000001</v>
      </c>
      <c r="G575">
        <v>44367.40251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108845830.14891224</v>
      </c>
      <c r="M575" s="1">
        <f t="shared" si="35"/>
        <v>36589435.001451224</v>
      </c>
      <c r="N575" s="1">
        <f t="shared" si="36"/>
        <v>19472602.603780463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>
        <v>58952.138460000002</v>
      </c>
      <c r="F576">
        <v>1078164.527</v>
      </c>
      <c r="G576">
        <v>51034.112999999998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208843474.093198</v>
      </c>
      <c r="N576" s="1">
        <f t="shared" si="36"/>
        <v>84591279.610778362</v>
      </c>
      <c r="O576" s="1"/>
    </row>
    <row r="577" spans="1:15" x14ac:dyDescent="0.25">
      <c r="A577">
        <v>915</v>
      </c>
      <c r="B577">
        <v>99848.960269999996</v>
      </c>
      <c r="C577">
        <v>16430.199120000001</v>
      </c>
      <c r="D577">
        <v>808533.88439999998</v>
      </c>
      <c r="E577">
        <v>28093.400559999998</v>
      </c>
      <c r="F577">
        <v>1437621.0390000001</v>
      </c>
      <c r="G577">
        <v>24211.736570000001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66715704.330552571</v>
      </c>
      <c r="M577" s="1">
        <f t="shared" si="35"/>
        <v>38258919.18179404</v>
      </c>
      <c r="N577" s="1">
        <f t="shared" si="36"/>
        <v>15427586.983311329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>
        <v>10524.48019</v>
      </c>
      <c r="F578">
        <v>1086950.43</v>
      </c>
      <c r="G578">
        <v>22871.048579999999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38130629.664596923</v>
      </c>
      <c r="N578" s="1">
        <f t="shared" si="36"/>
        <v>38770649.500462234</v>
      </c>
      <c r="O578" s="1"/>
    </row>
    <row r="579" spans="1:15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>
        <v>21573.545340000001</v>
      </c>
      <c r="F579">
        <v>1381109.7949999999</v>
      </c>
      <c r="G579">
        <v>28559.511910000001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-2.9288464374897002E-2</v>
      </c>
      <c r="M579" s="1">
        <f t="shared" ref="M579:M642" si="39">$U$3*$K579*E579</f>
        <v>58865218.410477661</v>
      </c>
      <c r="N579" s="1">
        <f t="shared" ref="N579:N642" si="40">$U$4*$K579*G579</f>
        <v>36461262.054841511</v>
      </c>
      <c r="O579" s="1"/>
    </row>
    <row r="580" spans="1:15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>
        <v>28621.105739999999</v>
      </c>
      <c r="F580">
        <v>1238590.6000000001</v>
      </c>
      <c r="G580">
        <v>21852.774010000001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-1.3193149366994999E-3</v>
      </c>
      <c r="M580" s="1">
        <f t="shared" si="39"/>
        <v>42214025.656743787</v>
      </c>
      <c r="N580" s="1">
        <f t="shared" si="40"/>
        <v>15080669.222003005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>
        <v>16118.208860000001</v>
      </c>
      <c r="F581">
        <v>1064059.0930000001</v>
      </c>
      <c r="G581">
        <v>9588.3174629999994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38340900.806572437</v>
      </c>
      <c r="N581" s="1">
        <f t="shared" si="40"/>
        <v>10671651.056405084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>
        <v>51588.36305</v>
      </c>
      <c r="F582">
        <v>1131263.098</v>
      </c>
      <c r="G582">
        <v>42689.592349999999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236645896.19849193</v>
      </c>
      <c r="N582" s="1">
        <f t="shared" si="40"/>
        <v>91624773.883111387</v>
      </c>
      <c r="O582" s="1"/>
    </row>
    <row r="583" spans="1:15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>
        <v>704.83459400000004</v>
      </c>
      <c r="F583">
        <v>1302510.075</v>
      </c>
      <c r="G583">
        <v>9984.6235639999995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-4.1157987418057249E-3</v>
      </c>
      <c r="M583" s="1">
        <f t="shared" si="39"/>
        <v>3354953.3106963611</v>
      </c>
      <c r="N583" s="1">
        <f t="shared" si="40"/>
        <v>22236920.490269117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>
        <v>74100.220119999998</v>
      </c>
      <c r="F584">
        <v>1125036.0109999999</v>
      </c>
      <c r="G584">
        <v>43448.119449999998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0</v>
      </c>
      <c r="M584" s="1">
        <f t="shared" si="39"/>
        <v>327003076.63149679</v>
      </c>
      <c r="N584" s="1">
        <f t="shared" si="40"/>
        <v>89711269.544562221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-3.7100000000000001E-5</v>
      </c>
      <c r="F585">
        <v>1053112.8759999999</v>
      </c>
      <c r="G585">
        <v>6983.3444740000004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-5.7174325220132112E-2</v>
      </c>
      <c r="N585" s="1">
        <f t="shared" si="40"/>
        <v>5035403.5490776505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2.1800000000000001E-5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0.10762040404174454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7.0000000000000005E-8</v>
      </c>
      <c r="F587">
        <v>856359.63780000003</v>
      </c>
      <c r="G587">
        <v>0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3.6243636999328503E-4</v>
      </c>
      <c r="N587" s="1">
        <f t="shared" si="40"/>
        <v>0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1.49E-5</v>
      </c>
      <c r="F588">
        <v>988816.93350000004</v>
      </c>
      <c r="G588">
        <v>5856.182374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4.1830447846406854E-2</v>
      </c>
      <c r="N588" s="1">
        <f t="shared" si="40"/>
        <v>7692447.0784479771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-2.0299999999999999E-5</v>
      </c>
      <c r="F589">
        <v>955232.77919999999</v>
      </c>
      <c r="G589" s="1">
        <v>-3.15E-5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-9.5939603455520009E-2</v>
      </c>
      <c r="N589" s="1">
        <f t="shared" si="40"/>
        <v>-6.9655612126041905E-2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>
        <v>11226.17073</v>
      </c>
      <c r="F590">
        <v>953439.78480000002</v>
      </c>
      <c r="G590">
        <v>5155.1757340000004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63748643.822536342</v>
      </c>
      <c r="N590" s="1">
        <f t="shared" si="40"/>
        <v>13697031.670668764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>
        <v>4713.6067739999999</v>
      </c>
      <c r="F591">
        <v>909519.73369999998</v>
      </c>
      <c r="G591">
        <v>28003.998500000002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37257268.852506898</v>
      </c>
      <c r="N591" s="1">
        <f t="shared" si="40"/>
        <v>103566998.56533474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>
        <v>3555.1115799999998</v>
      </c>
      <c r="F592">
        <v>968801.72580000001</v>
      </c>
      <c r="G592">
        <v>6276.7164149999999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13503413.958722139</v>
      </c>
      <c r="N592" s="1">
        <f t="shared" si="40"/>
        <v>11154921.828933159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>
        <v>16461.724279999999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46528898.228840373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>
        <v>14033.47841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62363329.655462101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-4.95E-6</v>
      </c>
      <c r="F595">
        <v>881063.02419999999</v>
      </c>
      <c r="G595">
        <v>6618.6885540000003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-5.0926375697698707E-2</v>
      </c>
      <c r="N595" s="1">
        <f t="shared" si="40"/>
        <v>31860544.558020901</v>
      </c>
      <c r="O595" s="1"/>
    </row>
    <row r="596" spans="1:15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>
        <v>1127.1621029999999</v>
      </c>
      <c r="F596">
        <v>1311662.7080000001</v>
      </c>
      <c r="G596">
        <v>9476.9927310000003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0.6799745156643725</v>
      </c>
      <c r="M596" s="1">
        <f t="shared" si="39"/>
        <v>6284906.8310573623</v>
      </c>
      <c r="N596" s="1">
        <f t="shared" si="40"/>
        <v>24724452.936094921</v>
      </c>
      <c r="O596" s="1"/>
    </row>
    <row r="597" spans="1:15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>
        <v>15323.505740000001</v>
      </c>
      <c r="F597">
        <v>981646.17209999997</v>
      </c>
      <c r="G597">
        <v>7308.9870700000001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-4.7632121673341403E-2</v>
      </c>
      <c r="M597" s="1">
        <f t="shared" si="39"/>
        <v>54763812.628333136</v>
      </c>
      <c r="N597" s="1">
        <f t="shared" si="40"/>
        <v>12221834.887477592</v>
      </c>
      <c r="O597" s="1"/>
    </row>
    <row r="598" spans="1:15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>
        <v>14483.022080000001</v>
      </c>
      <c r="F598">
        <v>988115.28220000002</v>
      </c>
      <c r="G598">
        <v>7308.9870069999997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-1.23505237463049E-2</v>
      </c>
      <c r="M598" s="1">
        <f t="shared" si="39"/>
        <v>55547427.307081208</v>
      </c>
      <c r="N598" s="1">
        <f t="shared" si="40"/>
        <v>13116127.342338352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3.2199999999999997E-5</v>
      </c>
      <c r="F599">
        <v>883248.21869999997</v>
      </c>
      <c r="G599" s="1">
        <v>2.5999999999999998E-5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0.13175328586132298</v>
      </c>
      <c r="N599" s="1">
        <f t="shared" si="40"/>
        <v>4.9776299804009994E-2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 s="1">
        <v>-3.29E-5</v>
      </c>
      <c r="F600">
        <v>860307.59069999994</v>
      </c>
      <c r="G600" s="1">
        <v>3.04E-5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0</v>
      </c>
      <c r="M600" s="1">
        <f t="shared" si="39"/>
        <v>-0.12602515521758065</v>
      </c>
      <c r="N600" s="1">
        <f t="shared" si="40"/>
        <v>5.4485206951656963E-2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1.8899999999999999E-5</v>
      </c>
      <c r="F601">
        <v>997943.18559999997</v>
      </c>
      <c r="G601">
        <v>13689.93118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7.2273800052933573E-2</v>
      </c>
      <c r="N601" s="1">
        <f t="shared" si="40"/>
        <v>24494243.381840102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 s="1">
        <v>-1.8300000000000001E-5</v>
      </c>
      <c r="F602">
        <v>994329.02309999999</v>
      </c>
      <c r="G602">
        <v>8659.2150579999998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-4.5607353113022393E-2</v>
      </c>
      <c r="N602" s="1">
        <f t="shared" si="40"/>
        <v>10097316.799730355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5.0000000000000002E-5</v>
      </c>
      <c r="F603">
        <v>1008806.426</v>
      </c>
      <c r="G603">
        <v>13913.718489999999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0.10861434150612</v>
      </c>
      <c r="N603" s="1">
        <f t="shared" si="40"/>
        <v>14141779.441529669</v>
      </c>
      <c r="O603" s="1"/>
    </row>
    <row r="604" spans="1:15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>
        <v>47788.23936</v>
      </c>
      <c r="F604">
        <v>827276.49080000003</v>
      </c>
      <c r="G604">
        <v>92457.941630000001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-8.5664047445731306E-2</v>
      </c>
      <c r="M604" s="1">
        <f t="shared" si="39"/>
        <v>339845397.12357002</v>
      </c>
      <c r="N604" s="1">
        <f t="shared" si="40"/>
        <v>307643866.27941799</v>
      </c>
      <c r="O604" s="1"/>
    </row>
    <row r="605" spans="1:15" x14ac:dyDescent="0.25">
      <c r="A605">
        <v>950</v>
      </c>
      <c r="B605">
        <v>86729.290500000003</v>
      </c>
      <c r="C605">
        <v>34520.936800000003</v>
      </c>
      <c r="D605">
        <v>670059.97569999995</v>
      </c>
      <c r="E605">
        <v>73839.530710000006</v>
      </c>
      <c r="F605">
        <v>1096811.7849999999</v>
      </c>
      <c r="G605">
        <v>103346.50260000001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1043100670.8247097</v>
      </c>
      <c r="M605" s="1">
        <f t="shared" si="39"/>
        <v>748299951.01595795</v>
      </c>
      <c r="N605" s="1">
        <f t="shared" si="40"/>
        <v>490034042.24060315</v>
      </c>
      <c r="O605" s="1"/>
    </row>
    <row r="606" spans="1:15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>
        <v>46508.370470000002</v>
      </c>
      <c r="F606">
        <v>978930.29150000005</v>
      </c>
      <c r="G606">
        <v>79945.039619999996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-8.7703944827611138E-2</v>
      </c>
      <c r="M606" s="1">
        <f t="shared" si="39"/>
        <v>403546597.4965325</v>
      </c>
      <c r="N606" s="1">
        <f t="shared" si="40"/>
        <v>324562071.74745351</v>
      </c>
      <c r="O606" s="1"/>
    </row>
    <row r="607" spans="1:15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 s="1">
        <v>4.6799999999999999E-5</v>
      </c>
      <c r="F607">
        <v>1295351.902</v>
      </c>
      <c r="G607">
        <v>12612.940989999999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-0.54990959517651306</v>
      </c>
      <c r="M607" s="1">
        <f t="shared" si="39"/>
        <v>0.1783343183035237</v>
      </c>
      <c r="N607" s="1">
        <f t="shared" si="40"/>
        <v>22487911.05935178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0</v>
      </c>
      <c r="F608">
        <v>1327212.416</v>
      </c>
      <c r="G608">
        <v>10331.601269999999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0</v>
      </c>
      <c r="N608" s="1">
        <f t="shared" si="40"/>
        <v>5782751.3847692655</v>
      </c>
      <c r="O608" s="1"/>
    </row>
    <row r="609" spans="1:15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 s="1">
        <v>-2.9799999999999999E-5</v>
      </c>
      <c r="F609">
        <v>1127839.7009999999</v>
      </c>
      <c r="G609">
        <v>9634.1878089999991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-3.062502557367143E-2</v>
      </c>
      <c r="M609" s="1">
        <f t="shared" si="39"/>
        <v>-8.0760063380068622E-2</v>
      </c>
      <c r="N609" s="1">
        <f t="shared" si="40"/>
        <v>12216285.487835277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-4.8300000000000002E-5</v>
      </c>
      <c r="F610">
        <v>973206.3689</v>
      </c>
      <c r="G610" s="1">
        <v>2.5700000000000001E-5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-0.20117064327429215</v>
      </c>
      <c r="N610" s="1">
        <f t="shared" si="40"/>
        <v>5.0083454354400959E-2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>
        <v>24839.16099</v>
      </c>
      <c r="F611">
        <v>1059638.862</v>
      </c>
      <c r="G611">
        <v>29647.904460000002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255687674.98659956</v>
      </c>
      <c r="N611" s="1">
        <f t="shared" si="40"/>
        <v>142794194.98267263</v>
      </c>
      <c r="O611" s="1"/>
    </row>
    <row r="612" spans="1:15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>
        <v>2665.0947900000001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-9.5735328976300003E-4</v>
      </c>
      <c r="M612" s="1">
        <f t="shared" si="39"/>
        <v>1.2843262594974399E-2</v>
      </c>
      <c r="N612" s="1">
        <f t="shared" si="40"/>
        <v>4003793.8615868716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2.6299999999999999E-5</v>
      </c>
      <c r="F613">
        <v>732007.78</v>
      </c>
      <c r="G613" s="1">
        <v>2.3300000000000001E-5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5.3064087504438688E-2</v>
      </c>
      <c r="N613" s="1">
        <f t="shared" si="40"/>
        <v>2.1996042551199812E-2</v>
      </c>
      <c r="O613" s="1"/>
    </row>
    <row r="614" spans="1:15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5.9999999999999997E-7</v>
      </c>
      <c r="F614">
        <v>1035014.44</v>
      </c>
      <c r="G614">
        <v>872.74298669999996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1.6168880983982999E-2</v>
      </c>
      <c r="M614" s="1">
        <f t="shared" si="39"/>
        <v>4.6481090828680797E-3</v>
      </c>
      <c r="N614" s="1">
        <f t="shared" si="40"/>
        <v>3163407.2596020489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-2.6800000000000001E-5</v>
      </c>
      <c r="F615">
        <v>875961.70940000005</v>
      </c>
      <c r="G615">
        <v>843.51927980000005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-6.4484889577136245E-2</v>
      </c>
      <c r="N615" s="1">
        <f t="shared" si="40"/>
        <v>949646.25096484774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>
        <v>13015.296560000001</v>
      </c>
      <c r="F616">
        <v>1339829.706</v>
      </c>
      <c r="G616">
        <v>9658.1560069999996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17371607.647269916</v>
      </c>
      <c r="N616" s="1">
        <f t="shared" si="40"/>
        <v>6031479.2504259739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>
        <v>8249.5908419999996</v>
      </c>
      <c r="F617">
        <v>1229459.7050000001</v>
      </c>
      <c r="G617">
        <v>850.9174064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0</v>
      </c>
      <c r="M617" s="1">
        <f t="shared" si="39"/>
        <v>22339908.066645619</v>
      </c>
      <c r="N617" s="1">
        <f t="shared" si="40"/>
        <v>1078152.1622073848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1.3900000000000001E-5</v>
      </c>
      <c r="F618">
        <v>924957.81240000005</v>
      </c>
      <c r="G618">
        <v>312.7400872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5.7998515919016252E-2</v>
      </c>
      <c r="N618" s="1">
        <f t="shared" si="40"/>
        <v>610561.35385464341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4.1600000000000002E-5</v>
      </c>
      <c r="F619">
        <v>1056219.1440000001</v>
      </c>
      <c r="G619">
        <v>0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0.20250197542548481</v>
      </c>
      <c r="N619" s="1">
        <f t="shared" si="40"/>
        <v>0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 s="1">
        <v>3.7200000000000003E-5</v>
      </c>
      <c r="F620">
        <v>1113002.7579999999</v>
      </c>
      <c r="G620">
        <v>7458.6265510000003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0</v>
      </c>
      <c r="M620" s="1">
        <f t="shared" si="39"/>
        <v>5.6452523378126278E-2</v>
      </c>
      <c r="N620" s="1">
        <f t="shared" si="40"/>
        <v>5295938.8321720148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>
        <v>19005.42483</v>
      </c>
      <c r="F621">
        <v>1193329.1510000001</v>
      </c>
      <c r="G621">
        <v>17109.94945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29293678.202338375</v>
      </c>
      <c r="N621" s="1">
        <f t="shared" si="40"/>
        <v>12339249.028387241</v>
      </c>
      <c r="O621" s="1"/>
    </row>
    <row r="622" spans="1:15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 s="1">
        <v>2.1399999999999998E-5</v>
      </c>
      <c r="F622">
        <v>1504763.4509999999</v>
      </c>
      <c r="G622">
        <v>16731.62082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-1.8428157266882999E-2</v>
      </c>
      <c r="M622" s="1">
        <f t="shared" si="39"/>
        <v>3.8226340276328395E-2</v>
      </c>
      <c r="N622" s="1">
        <f t="shared" si="40"/>
        <v>13983975.037653632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9723.4983350000002</v>
      </c>
      <c r="F623">
        <v>1582930.62</v>
      </c>
      <c r="G623">
        <v>19541.281510000001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0</v>
      </c>
      <c r="M623" s="1">
        <f t="shared" si="39"/>
        <v>24953978.874129713</v>
      </c>
      <c r="N623" s="1">
        <f t="shared" si="40"/>
        <v>23464644.46831312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>
        <v>872.74297799999999</v>
      </c>
      <c r="F624">
        <v>1558722.6540000001</v>
      </c>
      <c r="G624">
        <v>19031.44153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672616.19316172984</v>
      </c>
      <c r="N624" s="1">
        <f t="shared" si="40"/>
        <v>6862720.611368699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>
        <v>8304.3531629999998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38185093.090633176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 s="1">
        <v>-2.1699999999999999E-5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0</v>
      </c>
      <c r="M626" s="1">
        <f t="shared" si="39"/>
        <v>-0.13565985360121025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 s="1">
        <v>-1.0699999999999999E-5</v>
      </c>
      <c r="F627">
        <v>1431634.64</v>
      </c>
      <c r="G627">
        <v>10887.22435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0</v>
      </c>
      <c r="M627" s="1">
        <f t="shared" si="39"/>
        <v>-6.7792509395616471E-2</v>
      </c>
      <c r="N627" s="1">
        <f t="shared" si="40"/>
        <v>32274445.006445631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>
        <v>19822.165379999999</v>
      </c>
      <c r="F628">
        <v>1214880.43</v>
      </c>
      <c r="G628">
        <v>31940.396079999999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56716730.542194866</v>
      </c>
      <c r="N628" s="1">
        <f t="shared" si="40"/>
        <v>42760627.340610936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8.9999999999999996E-7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4.3838260109890191E-3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 s="1">
        <v>1.9599999999999999E-5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5.185095242625732E-2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>
        <v>0</v>
      </c>
      <c r="F631">
        <v>441928.91629999998</v>
      </c>
      <c r="G631">
        <v>12680.990760000001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0</v>
      </c>
      <c r="N631" s="1">
        <f t="shared" si="40"/>
        <v>59265179.025907815</v>
      </c>
      <c r="O631" s="1"/>
    </row>
    <row r="632" spans="1:15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-1.75E-6</v>
      </c>
      <c r="F632">
        <v>1114099.9990000001</v>
      </c>
      <c r="G632">
        <v>1127.162071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6.4126422684349996E-3</v>
      </c>
      <c r="M632" s="1">
        <f t="shared" si="39"/>
        <v>-9.4093193284921252E-3</v>
      </c>
      <c r="N632" s="1">
        <f t="shared" si="40"/>
        <v>2835634.1856418303</v>
      </c>
      <c r="O632" s="1"/>
    </row>
    <row r="633" spans="1:15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>
        <v>14332.91078</v>
      </c>
      <c r="F633">
        <v>1137815.531</v>
      </c>
      <c r="G633">
        <v>9707.0294909999993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-5.6742967536937495E-3</v>
      </c>
      <c r="M633" s="1">
        <f t="shared" si="39"/>
        <v>38966512.584540844</v>
      </c>
      <c r="N633" s="1">
        <f t="shared" si="40"/>
        <v>12347731.263157496</v>
      </c>
      <c r="O633" s="1"/>
    </row>
    <row r="634" spans="1:15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>
        <v>4278.7368429999997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1.8063060254004998E-3</v>
      </c>
      <c r="M634" s="1">
        <f t="shared" si="39"/>
        <v>2.6716099795377424E-2</v>
      </c>
      <c r="N634" s="1">
        <f t="shared" si="40"/>
        <v>12128126.620655835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-3.5099999999999999E-5</v>
      </c>
      <c r="F635">
        <v>1008634.853</v>
      </c>
      <c r="G635">
        <v>2240.832731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-0.18025423577550323</v>
      </c>
      <c r="N635" s="1">
        <f t="shared" si="40"/>
        <v>5384327.6517379126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>
        <v>0</v>
      </c>
      <c r="F636">
        <v>972884.66619999998</v>
      </c>
      <c r="G636">
        <v>2247.9905950000002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</v>
      </c>
      <c r="N636" s="1">
        <f t="shared" si="40"/>
        <v>10194736.194201067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0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2.6100000000000001E-5</v>
      </c>
      <c r="F638">
        <v>729847.50410000002</v>
      </c>
      <c r="G638">
        <v>70782.823420000001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6.8261011600045052E-2</v>
      </c>
      <c r="N638" s="1">
        <f t="shared" si="40"/>
        <v>86617126.668207869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 s="1">
        <v>2.8999999999999998E-7</v>
      </c>
      <c r="F639">
        <v>200462.03820000001</v>
      </c>
      <c r="G639" s="1">
        <v>1.36E-5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0</v>
      </c>
      <c r="M639" s="1">
        <f t="shared" si="39"/>
        <v>2.7920548299899166E-3</v>
      </c>
      <c r="N639" s="1">
        <f t="shared" si="40"/>
        <v>6.126444891113593E-2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>
        <v>0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0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 s="1">
        <v>3.9199999999999997E-6</v>
      </c>
      <c r="F641">
        <v>198836.57949999999</v>
      </c>
      <c r="G641">
        <v>0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0</v>
      </c>
      <c r="M641" s="1">
        <f t="shared" si="39"/>
        <v>3.217360162291464E-2</v>
      </c>
      <c r="N641" s="1">
        <f t="shared" si="40"/>
        <v>0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-1.8E-5</v>
      </c>
      <c r="F642">
        <v>414755.84029999998</v>
      </c>
      <c r="G642">
        <v>8249.5908770000005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-6.9956527826547002E-2</v>
      </c>
      <c r="N642" s="1">
        <f t="shared" si="40"/>
        <v>15001401.335865658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>
        <v>0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0</v>
      </c>
      <c r="O643" s="1"/>
    </row>
    <row r="644" spans="1:15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>
        <v>0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-7.5704570979040244E-3</v>
      </c>
      <c r="M644" s="1">
        <f t="shared" si="43"/>
        <v>-3.3744326288106599E-2</v>
      </c>
      <c r="N644" s="1">
        <f t="shared" si="44"/>
        <v>0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-4.2299999999999998E-5</v>
      </c>
      <c r="F645">
        <v>860006.26930000004</v>
      </c>
      <c r="G645">
        <v>24519.666389999999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-0.11506532703267247</v>
      </c>
      <c r="N645" s="1">
        <f t="shared" si="44"/>
        <v>31207741.780373104</v>
      </c>
      <c r="O645" s="1"/>
    </row>
    <row r="646" spans="1:15" x14ac:dyDescent="0.25">
      <c r="A646">
        <v>1007</v>
      </c>
      <c r="B646">
        <v>103879.3089</v>
      </c>
      <c r="C646" s="1">
        <v>3.15E-5</v>
      </c>
      <c r="D646">
        <v>637266.78570000001</v>
      </c>
      <c r="E646">
        <v>86059.342340000003</v>
      </c>
      <c r="F646">
        <v>1303767.1680000001</v>
      </c>
      <c r="G646">
        <v>106050.523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0.33058962317028379</v>
      </c>
      <c r="M646" s="1">
        <f t="shared" si="43"/>
        <v>302914333.13176775</v>
      </c>
      <c r="N646" s="1">
        <f t="shared" si="44"/>
        <v>174653902.24318996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>
        <v>0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</v>
      </c>
      <c r="O647" s="1"/>
    </row>
    <row r="648" spans="1:15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>
        <v>57104.008119999999</v>
      </c>
      <c r="F648">
        <v>1135935.004</v>
      </c>
      <c r="G648">
        <v>68063.732969999997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1.16998069023966E-2</v>
      </c>
      <c r="M648" s="1">
        <f t="shared" si="43"/>
        <v>287272345.76292205</v>
      </c>
      <c r="N648" s="1">
        <f t="shared" si="44"/>
        <v>160208911.92532364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>
        <v>0</v>
      </c>
      <c r="F649">
        <v>347676.27510000003</v>
      </c>
      <c r="G649">
        <v>8180.608236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0</v>
      </c>
      <c r="N649" s="1">
        <f t="shared" si="44"/>
        <v>23410002.047873124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>
        <v>0</v>
      </c>
      <c r="F650">
        <v>844267.11399999994</v>
      </c>
      <c r="G650">
        <v>48076.681380000002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</v>
      </c>
      <c r="N650" s="1">
        <f t="shared" si="44"/>
        <v>148376630.71916655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0</v>
      </c>
      <c r="N651" s="1">
        <f t="shared" si="44"/>
        <v>0</v>
      </c>
      <c r="O651" s="1"/>
    </row>
    <row r="652" spans="1:15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>
        <v>0</v>
      </c>
      <c r="F652">
        <v>821857.69739999995</v>
      </c>
      <c r="G652">
        <v>29753.510389999999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3.8183842604943758E-3</v>
      </c>
      <c r="M652" s="1">
        <f t="shared" si="43"/>
        <v>0</v>
      </c>
      <c r="N652" s="1">
        <f t="shared" si="44"/>
        <v>54024495.33006271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0.15917795931407369</v>
      </c>
      <c r="O653" s="1"/>
    </row>
    <row r="654" spans="1:15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>
        <v>19436.402880000001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3.3934243058819998E-3</v>
      </c>
      <c r="M654" s="1">
        <f t="shared" si="43"/>
        <v>2.0428936386687468E-2</v>
      </c>
      <c r="N654" s="1">
        <f t="shared" si="44"/>
        <v>25875031.227286559</v>
      </c>
      <c r="O654" s="1"/>
    </row>
    <row r="655" spans="1:15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7.8934848719674988E-2</v>
      </c>
      <c r="M655" s="1">
        <f t="shared" si="43"/>
        <v>3.9516592032961199E-2</v>
      </c>
      <c r="N655" s="1">
        <f t="shared" si="44"/>
        <v>-6.3444069777690001E-2</v>
      </c>
      <c r="O655" s="1"/>
    </row>
    <row r="656" spans="1:15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>
        <v>0</v>
      </c>
      <c r="F656">
        <v>322515.88890000002</v>
      </c>
      <c r="G656">
        <v>4113.6239999999998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2.6511956422964997E-3</v>
      </c>
      <c r="M656" s="1">
        <f t="shared" si="43"/>
        <v>0</v>
      </c>
      <c r="N656" s="1">
        <f t="shared" si="44"/>
        <v>5704688.442719602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 s="1">
        <v>-1.63E-5</v>
      </c>
      <c r="F657">
        <v>366546.26990000001</v>
      </c>
      <c r="G657">
        <v>2665.0947379999998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0</v>
      </c>
      <c r="M657" s="1">
        <f t="shared" si="43"/>
        <v>-8.4690897669903273E-2</v>
      </c>
      <c r="N657" s="1">
        <f t="shared" si="44"/>
        <v>6478962.4317917153</v>
      </c>
      <c r="O657" s="1"/>
    </row>
    <row r="658" spans="1:15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>
        <v>4713.606812</v>
      </c>
      <c r="F658">
        <v>951475.64480000001</v>
      </c>
      <c r="G658">
        <v>42542.72971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-1.0335042958558499E-2</v>
      </c>
      <c r="M658" s="1">
        <f t="shared" si="43"/>
        <v>11670265.602644756</v>
      </c>
      <c r="N658" s="1">
        <f t="shared" si="44"/>
        <v>49282918.451619446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-4.9799999999999998E-5</v>
      </c>
      <c r="F659">
        <v>364288.27269999997</v>
      </c>
      <c r="G659">
        <v>2665.0947409999999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-0.2103211836018109</v>
      </c>
      <c r="N659" s="1">
        <f t="shared" si="44"/>
        <v>5266353.468413501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2.94E-5</v>
      </c>
      <c r="F660">
        <v>697128.55929999996</v>
      </c>
      <c r="G660">
        <v>37318.609239999998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4.6268159786358717E-2</v>
      </c>
      <c r="N660" s="1">
        <f t="shared" si="44"/>
        <v>27479196.199641496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0.11226812688598177</v>
      </c>
      <c r="O661" s="1"/>
    </row>
    <row r="662" spans="1:15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>
        <v>16430.199059999999</v>
      </c>
      <c r="F662">
        <v>935330.77879999997</v>
      </c>
      <c r="G662">
        <v>68416.475890000002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6.0285813485963001E-3</v>
      </c>
      <c r="M662" s="1">
        <f t="shared" si="43"/>
        <v>21159306.781275082</v>
      </c>
      <c r="N662" s="1">
        <f t="shared" si="44"/>
        <v>41225220.607240118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-4.57E-5</v>
      </c>
      <c r="F663">
        <v>768423.6764</v>
      </c>
      <c r="G663">
        <v>41932.837930000002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-6.4046827429909137E-2</v>
      </c>
      <c r="N663" s="1">
        <f t="shared" si="44"/>
        <v>27496622.761528511</v>
      </c>
      <c r="O663" s="1"/>
    </row>
    <row r="664" spans="1:15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-8.4500000000000004E-6</v>
      </c>
      <c r="F664">
        <v>1017261.339</v>
      </c>
      <c r="G664">
        <v>62379.525800000003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5.5716505324837507E-3</v>
      </c>
      <c r="M664" s="1">
        <f t="shared" si="43"/>
        <v>-3.1580115218117898E-2</v>
      </c>
      <c r="N664" s="1">
        <f t="shared" si="44"/>
        <v>109079402.00075291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>
        <v>33650.830929999996</v>
      </c>
      <c r="F665">
        <v>1029765.633</v>
      </c>
      <c r="G665">
        <v>61486.324869999997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45658506.806761689</v>
      </c>
      <c r="N665" s="1">
        <f t="shared" si="44"/>
        <v>39034455.473498918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>
        <v>4713.6067780000003</v>
      </c>
      <c r="F666">
        <v>929514.86029999994</v>
      </c>
      <c r="G666">
        <v>49145.037300000004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19546290.165564746</v>
      </c>
      <c r="N666" s="1">
        <f t="shared" si="44"/>
        <v>95352995.111247391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 s="1">
        <v>-1.5400000000000002E-5</v>
      </c>
      <c r="F667">
        <v>480998.68369999999</v>
      </c>
      <c r="G667">
        <v>48893.303370000001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0</v>
      </c>
      <c r="M667" s="1">
        <f t="shared" si="43"/>
        <v>-4.9784060327801805E-2</v>
      </c>
      <c r="N667" s="1">
        <f t="shared" si="44"/>
        <v>73954167.398115903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 s="1">
        <v>3.2299999999999999E-5</v>
      </c>
      <c r="F668">
        <v>523666.60639999999</v>
      </c>
      <c r="G668">
        <v>20806.145649999999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0</v>
      </c>
      <c r="M668" s="1">
        <f t="shared" si="43"/>
        <v>0.12271949535693961</v>
      </c>
      <c r="N668" s="1">
        <f t="shared" si="44"/>
        <v>36986765.250955835</v>
      </c>
      <c r="O668" s="1"/>
    </row>
    <row r="669" spans="1:15" x14ac:dyDescent="0.25">
      <c r="A669">
        <v>1030</v>
      </c>
      <c r="B669">
        <v>222862.4044</v>
      </c>
      <c r="C669">
        <v>48169.584580000002</v>
      </c>
      <c r="D669">
        <v>871196.48979999998</v>
      </c>
      <c r="E669">
        <v>81568.359179999999</v>
      </c>
      <c r="F669">
        <v>1527692.63</v>
      </c>
      <c r="G669">
        <v>102832.8857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74997921.717909098</v>
      </c>
      <c r="M669" s="1">
        <f t="shared" si="43"/>
        <v>42593290.36431706</v>
      </c>
      <c r="N669" s="1">
        <f t="shared" si="44"/>
        <v>25124369.165505987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 s="1">
        <v>1.6500000000000001E-5</v>
      </c>
      <c r="F670">
        <v>914630.17799999996</v>
      </c>
      <c r="G670">
        <v>13572.38819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0</v>
      </c>
      <c r="M670" s="1">
        <f t="shared" si="43"/>
        <v>0.29856521072365355</v>
      </c>
      <c r="N670" s="1">
        <f t="shared" si="44"/>
        <v>114909307.72226822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-2.4700000000000001E-6</v>
      </c>
      <c r="F671">
        <v>239977.7665</v>
      </c>
      <c r="G671" s="1">
        <v>-1.8099999999999999E-5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-3.2257150457603495E-2</v>
      </c>
      <c r="N671" s="1">
        <f t="shared" si="44"/>
        <v>-0.110599025321895</v>
      </c>
      <c r="O671" s="1"/>
    </row>
    <row r="672" spans="1:15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>
        <v>0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-3.0464654998244999E-3</v>
      </c>
      <c r="M672" s="1">
        <f t="shared" si="43"/>
        <v>3.4739080437998761E-2</v>
      </c>
      <c r="N672" s="1">
        <f t="shared" si="44"/>
        <v>0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0</v>
      </c>
      <c r="M673" s="1">
        <f t="shared" si="43"/>
        <v>4.4521581905486649E-2</v>
      </c>
      <c r="N673" s="1">
        <f t="shared" si="44"/>
        <v>-2.8275034481641498E-3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4.9999999999999998E-7</v>
      </c>
      <c r="F674">
        <v>178840.24960000001</v>
      </c>
      <c r="G674" s="1">
        <v>-2.2200000000000001E-5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2.3967716547911E-3</v>
      </c>
      <c r="N674" s="1">
        <f t="shared" si="44"/>
        <v>-4.9791281973476757E-2</v>
      </c>
      <c r="O674" s="1"/>
    </row>
    <row r="675" spans="1:15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4.3000000000000002E-5</v>
      </c>
      <c r="F675">
        <v>1016788.807</v>
      </c>
      <c r="G675">
        <v>59329.76973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-1.6782029601392249E-2</v>
      </c>
      <c r="M675" s="1">
        <f t="shared" si="43"/>
        <v>8.4920240476896613E-2</v>
      </c>
      <c r="N675" s="1">
        <f t="shared" si="44"/>
        <v>54822533.38136027</v>
      </c>
      <c r="O675" s="1"/>
    </row>
    <row r="676" spans="1:15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-2.7800000000000001E-5</v>
      </c>
      <c r="F676">
        <v>729601.71440000006</v>
      </c>
      <c r="G676">
        <v>74786.693310000002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-1.7497313254979999E-3</v>
      </c>
      <c r="M676" s="1">
        <f t="shared" si="43"/>
        <v>-3.6253236666831043E-2</v>
      </c>
      <c r="N676" s="1">
        <f t="shared" si="44"/>
        <v>45632052.107766524</v>
      </c>
      <c r="O676" s="1"/>
    </row>
    <row r="677" spans="1:15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3.7100000000000001E-5</v>
      </c>
      <c r="F677">
        <v>708374.67130000005</v>
      </c>
      <c r="G677" s="1">
        <v>-8.1599999999999998E-6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1.7492005574777504E-3</v>
      </c>
      <c r="M677" s="1">
        <f t="shared" si="43"/>
        <v>0.21764898875028535</v>
      </c>
      <c r="N677" s="1">
        <f t="shared" si="44"/>
        <v>-2.2398378584613556E-2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3.8800000000000001E-5</v>
      </c>
      <c r="F678">
        <v>578421.05779999995</v>
      </c>
      <c r="G678" s="1">
        <v>1.8700000000000001E-5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0.22367275418098151</v>
      </c>
      <c r="N678" s="1">
        <f t="shared" si="44"/>
        <v>5.043902053873122E-2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1.6700000000000001E-6</v>
      </c>
      <c r="F679">
        <v>237299.10930000001</v>
      </c>
      <c r="G679" s="1">
        <v>-1.24E-5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2.2841314892938759E-2</v>
      </c>
      <c r="N679" s="1">
        <f t="shared" si="44"/>
        <v>-7.9354213801540799E-2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3.8000000000000002E-5</v>
      </c>
      <c r="F680">
        <v>375155.75199999998</v>
      </c>
      <c r="G680" s="1">
        <v>4.71E-5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0.26559091794699285</v>
      </c>
      <c r="N680" s="1">
        <f t="shared" si="44"/>
        <v>0.15402606084028767</v>
      </c>
      <c r="O680" s="1"/>
    </row>
    <row r="681" spans="1:15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1.6900000000000001E-5</v>
      </c>
      <c r="F681">
        <v>262767.86349999998</v>
      </c>
      <c r="G681" s="1">
        <v>-1.49E-5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4.6551546372434992E-3</v>
      </c>
      <c r="M681" s="1">
        <f t="shared" si="43"/>
        <v>0.1014823710919083</v>
      </c>
      <c r="N681" s="1">
        <f t="shared" si="44"/>
        <v>-4.1863337382737703E-2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3.04E-5</v>
      </c>
      <c r="F682">
        <v>308374.9534</v>
      </c>
      <c r="G682">
        <v>5533.2205249999997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6.1646394639958399E-2</v>
      </c>
      <c r="N682" s="1">
        <f t="shared" si="44"/>
        <v>5249957.116675959</v>
      </c>
      <c r="O682" s="1"/>
    </row>
    <row r="683" spans="1:15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-2.0800000000000001E-5</v>
      </c>
      <c r="F683">
        <v>588826.24589999998</v>
      </c>
      <c r="G683">
        <v>30383.268909999999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7.8008921007155119E-2</v>
      </c>
      <c r="M683" s="1">
        <f t="shared" si="43"/>
        <v>-0.15329302336504624</v>
      </c>
      <c r="N683" s="1">
        <f t="shared" si="44"/>
        <v>104770069.11489183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4.2500000000000003E-5</v>
      </c>
      <c r="F684">
        <v>855890.08550000004</v>
      </c>
      <c r="G684">
        <v>44261.240469999997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0.30108730158064179</v>
      </c>
      <c r="N684" s="1">
        <f t="shared" si="44"/>
        <v>146713733.47953242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 s="1">
        <v>-7.4800000000000004E-6</v>
      </c>
      <c r="F685">
        <v>769574.49470000004</v>
      </c>
      <c r="G685">
        <v>67984.146789999999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0</v>
      </c>
      <c r="M685" s="1">
        <f t="shared" si="43"/>
        <v>-1.208199428616466E-2</v>
      </c>
      <c r="N685" s="1">
        <f t="shared" si="44"/>
        <v>51379320.667215981</v>
      </c>
      <c r="O685" s="1"/>
    </row>
    <row r="686" spans="1:15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1.8700000000000001E-5</v>
      </c>
      <c r="F686">
        <v>720714.72600000002</v>
      </c>
      <c r="G686">
        <v>58308.806449999996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3.8281438825288755E-3</v>
      </c>
      <c r="M686" s="1">
        <f t="shared" si="43"/>
        <v>3.6936831601224171E-2</v>
      </c>
      <c r="N686" s="1">
        <f t="shared" si="44"/>
        <v>53888471.177114859</v>
      </c>
      <c r="O686" s="1"/>
    </row>
    <row r="687" spans="1:15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>
        <v>28133.17123</v>
      </c>
      <c r="F687">
        <v>1084773.4720000001</v>
      </c>
      <c r="G687">
        <v>71185.349159999998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4.7559435585805008E-3</v>
      </c>
      <c r="M687" s="1">
        <f t="shared" si="43"/>
        <v>81589792.55843313</v>
      </c>
      <c r="N687" s="1">
        <f t="shared" si="44"/>
        <v>96594286.114366978</v>
      </c>
      <c r="O687" s="1"/>
    </row>
    <row r="688" spans="1:15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>
        <v>86500.657460000002</v>
      </c>
      <c r="F688">
        <v>1252087.183</v>
      </c>
      <c r="G688">
        <v>108228.08809999999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-6.8024422570983128E-3</v>
      </c>
      <c r="M688" s="1">
        <f t="shared" si="43"/>
        <v>74470031.123858646</v>
      </c>
      <c r="N688" s="1">
        <f t="shared" si="44"/>
        <v>43595914.443792567</v>
      </c>
      <c r="O688" s="1"/>
    </row>
    <row r="689" spans="1:15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>
        <v>65992.564169999998</v>
      </c>
      <c r="F689">
        <v>1359188.3929999999</v>
      </c>
      <c r="G689">
        <v>87814.871679999997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3.6060926198271975E-2</v>
      </c>
      <c r="M689" s="1">
        <f t="shared" si="43"/>
        <v>36780301.38141533</v>
      </c>
      <c r="N689" s="1">
        <f t="shared" si="44"/>
        <v>22899817.929092295</v>
      </c>
      <c r="O689" s="1"/>
    </row>
    <row r="690" spans="1:15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>
        <v>4713.6068429999996</v>
      </c>
      <c r="F690">
        <v>823976.64720000001</v>
      </c>
      <c r="G690">
        <v>64474.296119999999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8.7142468473856247E-2</v>
      </c>
      <c r="M690" s="1">
        <f t="shared" si="43"/>
        <v>28114493.935859706</v>
      </c>
      <c r="N690" s="1">
        <f t="shared" si="44"/>
        <v>179931500.89015374</v>
      </c>
      <c r="O690" s="1"/>
    </row>
    <row r="691" spans="1:15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>
        <v>87477.010729999995</v>
      </c>
      <c r="F691">
        <v>1286554.51</v>
      </c>
      <c r="G691">
        <v>101946.98850000001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-1.310763428884114E-2</v>
      </c>
      <c r="M691" s="1">
        <f t="shared" si="43"/>
        <v>82700556.837688044</v>
      </c>
      <c r="N691" s="1">
        <f t="shared" si="44"/>
        <v>45095434.87010181</v>
      </c>
      <c r="O691" s="1"/>
    </row>
    <row r="692" spans="1:15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50892.688800000004</v>
      </c>
      <c r="F692">
        <v>1287319.922</v>
      </c>
      <c r="G692">
        <v>72454.515939999997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8.1907110006723627E-2</v>
      </c>
      <c r="M692" s="1">
        <f t="shared" si="43"/>
        <v>47391245.220200382</v>
      </c>
      <c r="N692" s="1">
        <f t="shared" si="44"/>
        <v>31568348.410602976</v>
      </c>
      <c r="O692" s="1"/>
    </row>
    <row r="693" spans="1:15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>
        <v>51035.472670000003</v>
      </c>
      <c r="F693">
        <v>1275241.5759999999</v>
      </c>
      <c r="G693">
        <v>86609.430210000006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1.0230773008726239E-2</v>
      </c>
      <c r="M693" s="1">
        <f t="shared" si="43"/>
        <v>37659172.641522288</v>
      </c>
      <c r="N693" s="1">
        <f t="shared" si="44"/>
        <v>29902499.563655894</v>
      </c>
      <c r="O693" s="1"/>
    </row>
    <row r="694" spans="1:15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19761.537339999999</v>
      </c>
      <c r="F694">
        <v>1544090.405</v>
      </c>
      <c r="G694">
        <v>22637.669559999998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-1.3242539951623711E-2</v>
      </c>
      <c r="M694" s="1">
        <f t="shared" si="43"/>
        <v>11609495.849661969</v>
      </c>
      <c r="N694" s="1">
        <f t="shared" si="44"/>
        <v>6222544.7381187445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>
        <v>57104.008119999999</v>
      </c>
      <c r="F695">
        <v>1177859.8829999999</v>
      </c>
      <c r="G695">
        <v>63254.33844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214539450.89788976</v>
      </c>
      <c r="N695" s="1">
        <f t="shared" si="44"/>
        <v>111192262.82339562</v>
      </c>
      <c r="O695" s="1"/>
    </row>
    <row r="696" spans="1:15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>
        <v>21137.095099999999</v>
      </c>
      <c r="F696">
        <v>1377311.9450000001</v>
      </c>
      <c r="G696">
        <v>15004.091920000001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3.090695376064043E-2</v>
      </c>
      <c r="M696" s="1">
        <f t="shared" si="43"/>
        <v>17813100.957349733</v>
      </c>
      <c r="N696" s="1">
        <f t="shared" si="44"/>
        <v>5916265.0493517881</v>
      </c>
      <c r="O696" s="1"/>
    </row>
    <row r="697" spans="1:15" x14ac:dyDescent="0.25">
      <c r="A697">
        <v>1058</v>
      </c>
      <c r="B697">
        <v>110225.30070000001</v>
      </c>
      <c r="C697" s="1">
        <v>3.5099999999999999E-5</v>
      </c>
      <c r="D697">
        <v>563009.9301</v>
      </c>
      <c r="E697">
        <v>27963.123200000002</v>
      </c>
      <c r="F697">
        <v>1313881.5789999999</v>
      </c>
      <c r="G697">
        <v>42914.591789999999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0.12524231360338425</v>
      </c>
      <c r="M697" s="1">
        <f t="shared" si="43"/>
        <v>33463609.092329364</v>
      </c>
      <c r="N697" s="1">
        <f t="shared" si="44"/>
        <v>24029003.806210335</v>
      </c>
      <c r="O697" s="1"/>
    </row>
    <row r="698" spans="1:15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32498.538</v>
      </c>
      <c r="F698">
        <v>1457460.057</v>
      </c>
      <c r="G698">
        <v>33129.80517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0.11786714975115339</v>
      </c>
      <c r="M698" s="1">
        <f t="shared" si="43"/>
        <v>26876446.406193163</v>
      </c>
      <c r="N698" s="1">
        <f t="shared" si="44"/>
        <v>12819485.102487622</v>
      </c>
      <c r="O698" s="1"/>
    </row>
    <row r="699" spans="1:15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-4.1699999999999997E-5</v>
      </c>
      <c r="F699">
        <v>1006900.492</v>
      </c>
      <c r="G699">
        <v>15650.69161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-1.2354891628142701E-2</v>
      </c>
      <c r="M699" s="1">
        <f t="shared" si="43"/>
        <v>-0.13713477147105496</v>
      </c>
      <c r="N699" s="1">
        <f t="shared" si="44"/>
        <v>24081788.854941741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-4.8500000000000002E-6</v>
      </c>
      <c r="F700">
        <v>968265.29799999995</v>
      </c>
      <c r="G700">
        <v>26244.048859999999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-2.0264676850920343E-2</v>
      </c>
      <c r="N700" s="1">
        <f t="shared" si="44"/>
        <v>51306508.351065718</v>
      </c>
      <c r="O700" s="1"/>
    </row>
    <row r="701" spans="1:15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>
        <v>16430.199100000002</v>
      </c>
      <c r="F701">
        <v>1189617.3060000001</v>
      </c>
      <c r="G701">
        <v>10484.95191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2.1070699230262501E-3</v>
      </c>
      <c r="M701" s="1">
        <f t="shared" si="43"/>
        <v>21501618.464220989</v>
      </c>
      <c r="N701" s="1">
        <f t="shared" si="44"/>
        <v>6420050.5271271756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>
        <v>0</v>
      </c>
      <c r="F702">
        <v>947457.81460000004</v>
      </c>
      <c r="G702">
        <v>23432.271580000001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0</v>
      </c>
      <c r="N702" s="1">
        <f t="shared" si="44"/>
        <v>39375111.032066904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3.2799999999999999E-6</v>
      </c>
      <c r="F703">
        <v>913588.90700000001</v>
      </c>
      <c r="G703">
        <v>19595.606670000001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5.2820234036461194E-3</v>
      </c>
      <c r="N703" s="1">
        <f t="shared" si="44"/>
        <v>14764844.218557799</v>
      </c>
      <c r="O703" s="1"/>
    </row>
    <row r="704" spans="1:15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2.16E-5</v>
      </c>
      <c r="F704">
        <v>1015040.48</v>
      </c>
      <c r="G704">
        <v>10262.24165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-2.8251653039743255E-3</v>
      </c>
      <c r="M704" s="1">
        <f t="shared" si="43"/>
        <v>3.0546816035256722E-2</v>
      </c>
      <c r="N704" s="1">
        <f t="shared" si="44"/>
        <v>6790443.0841772305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>
        <v>0</v>
      </c>
      <c r="F705">
        <v>774322.48609999998</v>
      </c>
      <c r="G705">
        <v>43661.800329999998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</v>
      </c>
      <c r="N705" s="1">
        <f t="shared" si="44"/>
        <v>69554252.645357326</v>
      </c>
      <c r="O705" s="1"/>
    </row>
    <row r="706" spans="1:15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-2.0700000000000001E-6</v>
      </c>
      <c r="F706">
        <v>514139.63010000001</v>
      </c>
      <c r="G706">
        <v>0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-5.5280870190136493E-2</v>
      </c>
      <c r="M706" s="1">
        <f t="shared" si="43"/>
        <v>-7.8323533695450545E-3</v>
      </c>
      <c r="N706" s="1">
        <f t="shared" si="44"/>
        <v>0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1.9300000000000002E-6</v>
      </c>
      <c r="F707">
        <v>234143.57740000001</v>
      </c>
      <c r="G707" s="1">
        <v>3.2799999999999998E-5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2.0679989571358966E-2</v>
      </c>
      <c r="N707" s="1">
        <f t="shared" ref="N707:N770" si="48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-3.0300000000000001E-5</v>
      </c>
      <c r="F708">
        <v>938367.59849999996</v>
      </c>
      <c r="G708">
        <v>18370.946469999999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-4.5819634459848213E-2</v>
      </c>
      <c r="N708" s="1">
        <f t="shared" si="48"/>
        <v>12998229.523958817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-3.2299999999999999E-5</v>
      </c>
      <c r="F709">
        <v>335645.84409999999</v>
      </c>
      <c r="G709" s="1">
        <v>-1.01E-5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-9.5692738311034128E-2</v>
      </c>
      <c r="N709" s="1">
        <f t="shared" si="48"/>
        <v>-1.4000434431793021E-2</v>
      </c>
      <c r="O709" s="1"/>
    </row>
    <row r="710" spans="1:15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>
        <v>0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-5.87095263547E-3</v>
      </c>
      <c r="M710" s="1">
        <f t="shared" si="47"/>
        <v>2.3628326299060795E-2</v>
      </c>
      <c r="N710" s="1">
        <f t="shared" si="48"/>
        <v>0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2.0599999999999999E-5</v>
      </c>
      <c r="F711">
        <v>522728.07040000003</v>
      </c>
      <c r="G711">
        <v>18657.002789999999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6.15590574477188E-2</v>
      </c>
      <c r="N711" s="1">
        <f t="shared" si="48"/>
        <v>26086168.537518863</v>
      </c>
      <c r="O711" s="1"/>
    </row>
    <row r="712" spans="1:15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>
        <v>34520.936750000001</v>
      </c>
      <c r="F712">
        <v>1007351.741</v>
      </c>
      <c r="G712">
        <v>59999.009619999997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4.2895044266099023E-3</v>
      </c>
      <c r="M712" s="1">
        <f t="shared" si="47"/>
        <v>13911200.602441849</v>
      </c>
      <c r="N712" s="1">
        <f t="shared" si="48"/>
        <v>11312791.971745061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>
        <v>49199.958839999999</v>
      </c>
      <c r="F713">
        <v>1253946.916</v>
      </c>
      <c r="G713">
        <v>87263.232550000001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25376091.599646732</v>
      </c>
      <c r="N713" s="1">
        <f t="shared" si="48"/>
        <v>21058865.403391864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2.7699999999999999E-5</v>
      </c>
      <c r="F714">
        <v>279683.3273</v>
      </c>
      <c r="G714" s="1">
        <v>-3.3000000000000003E-5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0.21083322955935208</v>
      </c>
      <c r="N714" s="1">
        <f t="shared" si="48"/>
        <v>-0.11752138752306482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-2.5599999999999999E-5</v>
      </c>
      <c r="F715">
        <v>562664.36800000002</v>
      </c>
      <c r="G715">
        <v>14438.427809999999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-0.31296532388019199</v>
      </c>
      <c r="N715" s="1">
        <f t="shared" si="48"/>
        <v>82588549.68095918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 s="1">
        <v>-5.9800000000000003E-6</v>
      </c>
      <c r="F716">
        <v>264526.60330000002</v>
      </c>
      <c r="G716" s="1">
        <v>-2.6199999999999999E-6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</v>
      </c>
      <c r="M716" s="1">
        <f t="shared" si="47"/>
        <v>-7.6233353896066391E-2</v>
      </c>
      <c r="N716" s="1">
        <f t="shared" si="48"/>
        <v>-1.562747498940258E-2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 s="1">
        <v>2.6299999999999998E-6</v>
      </c>
      <c r="F717">
        <v>208715.1299</v>
      </c>
      <c r="G717" s="1">
        <v>3.2799999999999998E-5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0</v>
      </c>
      <c r="M717" s="1">
        <f t="shared" si="47"/>
        <v>1.895696761591889E-2</v>
      </c>
      <c r="N717" s="1">
        <f t="shared" si="48"/>
        <v>0.11061923266441945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4.7299999999999996E-6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2.7836442815632349E-2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7.4163843347836336E-2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-1.73E-5</v>
      </c>
      <c r="F720">
        <v>301886.30540000001</v>
      </c>
      <c r="G720" s="1">
        <v>-4.3800000000000001E-5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-0.1182016841268264</v>
      </c>
      <c r="N720" s="1">
        <f t="shared" si="48"/>
        <v>-0.14002170122633761</v>
      </c>
      <c r="O720" s="1"/>
    </row>
    <row r="721" spans="1:15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-3.43E-5</v>
      </c>
      <c r="F721">
        <v>439069.88179999997</v>
      </c>
      <c r="G721">
        <v>13002.26915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-7.372786760209E-3</v>
      </c>
      <c r="M721" s="1">
        <f t="shared" si="47"/>
        <v>-0.2120356758491799</v>
      </c>
      <c r="N721" s="1">
        <f t="shared" si="48"/>
        <v>37607775.768703774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0.20091771652471049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-3.2799999999999998E-5</v>
      </c>
      <c r="F723">
        <v>671734.77619999996</v>
      </c>
      <c r="G723">
        <v>49081.647559999998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-0.19884712670598129</v>
      </c>
      <c r="N723" s="1">
        <f t="shared" si="48"/>
        <v>139222134.19008267</v>
      </c>
      <c r="O723" s="1"/>
    </row>
    <row r="724" spans="1:15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>
        <v>59710.792200000004</v>
      </c>
      <c r="F724">
        <v>1149879.649</v>
      </c>
      <c r="G724">
        <v>54519.739569999998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-2.6277276659379852E-3</v>
      </c>
      <c r="M724" s="1">
        <f t="shared" si="47"/>
        <v>27125302.723984983</v>
      </c>
      <c r="N724" s="1">
        <f t="shared" si="48"/>
        <v>11588286.167167278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-5.1699999999999996E-6</v>
      </c>
      <c r="F725">
        <v>302046.60139999999</v>
      </c>
      <c r="G725" s="1">
        <v>-1.08E-5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-3.7581768615772379E-2</v>
      </c>
      <c r="N725" s="1">
        <f t="shared" si="48"/>
        <v>-3.6732805979393164E-2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 s="1">
        <v>4.0500000000000002E-5</v>
      </c>
      <c r="F726">
        <v>516162.69079999998</v>
      </c>
      <c r="G726" s="1">
        <v>3.7299999999999999E-5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</v>
      </c>
      <c r="M726" s="1">
        <f t="shared" si="47"/>
        <v>0.70905804137497808</v>
      </c>
      <c r="N726" s="1">
        <f t="shared" si="48"/>
        <v>0.30554787905937719</v>
      </c>
      <c r="O726" s="1"/>
    </row>
    <row r="727" spans="1:15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-2.7500000000000001E-5</v>
      </c>
      <c r="F727">
        <v>395033.10350000003</v>
      </c>
      <c r="G727" s="1">
        <v>3.4700000000000003E-5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-1.33123993652E-2</v>
      </c>
      <c r="M727" s="1">
        <f t="shared" si="47"/>
        <v>-0.30695320843990004</v>
      </c>
      <c r="N727" s="1">
        <f t="shared" si="48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0.19263647400868622</v>
      </c>
      <c r="O728" s="1"/>
    </row>
    <row r="729" spans="1:15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1.77E-6</v>
      </c>
      <c r="F729">
        <v>173450.60380000001</v>
      </c>
      <c r="G729" s="1">
        <v>-5.3000000000000001E-6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-1.4588610951719999E-3</v>
      </c>
      <c r="M729" s="1">
        <f t="shared" si="47"/>
        <v>8.6602483412779683E-3</v>
      </c>
      <c r="N729" s="1">
        <f t="shared" si="48"/>
        <v>-1.2133235508461281E-2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>
        <v>11226.170819999999</v>
      </c>
      <c r="F731">
        <v>1227401.588</v>
      </c>
      <c r="G731">
        <v>3278.7384029999998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-8.824985290402711E-3</v>
      </c>
      <c r="M731" s="1">
        <f t="shared" si="47"/>
        <v>7483517.9255656591</v>
      </c>
      <c r="N731" s="1">
        <f t="shared" si="48"/>
        <v>1022644.3014935741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>
        <v>33925.990420000002</v>
      </c>
      <c r="F732">
        <v>1160440.7379999999</v>
      </c>
      <c r="G732">
        <v>25536.46789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23926170.438261531</v>
      </c>
      <c r="N732" s="1">
        <f t="shared" si="48"/>
        <v>8426459.9742915947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-5.5424440384761542E-3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-1.4600000000000001E-5</v>
      </c>
      <c r="F734">
        <v>1023423.477</v>
      </c>
      <c r="G734">
        <v>13338.47099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-1.5492583939898533E-2</v>
      </c>
      <c r="N734" s="1">
        <f t="shared" si="48"/>
        <v>6622481.11949623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>
        <v>2665.0947409999999</v>
      </c>
      <c r="F735">
        <v>1208211.254</v>
      </c>
      <c r="G735">
        <v>16414.515469999998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2773993.8156804862</v>
      </c>
      <c r="N735" s="1">
        <f t="shared" si="48"/>
        <v>7994008.0630156603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0</v>
      </c>
      <c r="M736" s="1">
        <f t="shared" si="47"/>
        <v>4.5361178184558017E-2</v>
      </c>
      <c r="N736" s="1">
        <f t="shared" si="48"/>
        <v>-0.16214637344106925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-0.29866382262360669</v>
      </c>
      <c r="O737" s="1"/>
    </row>
    <row r="738" spans="1:15" x14ac:dyDescent="0.25">
      <c r="A738">
        <v>1102</v>
      </c>
      <c r="B738">
        <v>8166.4601810000004</v>
      </c>
      <c r="C738" s="1">
        <v>4.2E-7</v>
      </c>
      <c r="D738">
        <v>42206.313540000003</v>
      </c>
      <c r="E738">
        <v>0</v>
      </c>
      <c r="F738">
        <v>387467.82439999998</v>
      </c>
      <c r="G738" s="1">
        <v>-4.6900000000000002E-5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1.6621213655865E-2</v>
      </c>
      <c r="M738" s="1">
        <f t="shared" si="47"/>
        <v>0</v>
      </c>
      <c r="N738" s="1">
        <f t="shared" si="48"/>
        <v>-0.29125480544661903</v>
      </c>
      <c r="O738" s="1"/>
    </row>
    <row r="739" spans="1:15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1.7824167644702252E-2</v>
      </c>
      <c r="M739" s="1">
        <f t="shared" si="47"/>
        <v>3.9804409501193613E-2</v>
      </c>
      <c r="N739" s="1">
        <f t="shared" si="48"/>
        <v>-6.0374769729353558E-2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-0.10405899933539108</v>
      </c>
      <c r="O740" s="1"/>
    </row>
    <row r="741" spans="1:15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-2.4999999999999999E-7</v>
      </c>
      <c r="F741">
        <v>538656.53570000001</v>
      </c>
      <c r="G741" s="1">
        <v>-9.7899999999999994E-6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2.8832055675962506E-4</v>
      </c>
      <c r="M741" s="1">
        <f t="shared" si="47"/>
        <v>-2.4174569759076248E-3</v>
      </c>
      <c r="N741" s="1">
        <f t="shared" si="48"/>
        <v>-4.4294021779850208E-2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6.1999999999999999E-7</v>
      </c>
      <c r="F743">
        <v>200528.53030000001</v>
      </c>
      <c r="G743" s="1">
        <v>4.4700000000000002E-5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8.4299485348407407E-3</v>
      </c>
      <c r="N743" s="1">
        <f t="shared" si="48"/>
        <v>0.28437043022900915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-1.0699999999999999E-5</v>
      </c>
      <c r="F744">
        <v>341611.02059999999</v>
      </c>
      <c r="G744" s="1">
        <v>-1.59E-5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-6.796995452248196E-2</v>
      </c>
      <c r="N744" s="1">
        <f t="shared" si="48"/>
        <v>-4.7257854859196292E-2</v>
      </c>
      <c r="O744" s="1"/>
    </row>
    <row r="745" spans="1:15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-2.0225900382480001E-3</v>
      </c>
      <c r="M745" s="1">
        <f t="shared" si="47"/>
        <v>-3.8411318584065962E-2</v>
      </c>
      <c r="N745" s="1">
        <f t="shared" si="48"/>
        <v>1.7813572802246522E-2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-1.9653352264018084E-2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2.94E-5</v>
      </c>
      <c r="F747">
        <v>278349.62050000002</v>
      </c>
      <c r="G747" s="1">
        <v>3.5800000000000003E-5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8.1618485026494367E-2</v>
      </c>
      <c r="N747" s="1">
        <f t="shared" si="48"/>
        <v>4.6501600811762293E-2</v>
      </c>
      <c r="O747" s="1"/>
    </row>
    <row r="748" spans="1:15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-1.15E-6</v>
      </c>
      <c r="F748">
        <v>280567.94069999998</v>
      </c>
      <c r="G748" s="1">
        <v>3.5200000000000002E-5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5.1564594687771755E-3</v>
      </c>
      <c r="M748" s="1">
        <f t="shared" si="47"/>
        <v>-2.0503162392108451E-3</v>
      </c>
      <c r="N748" s="1">
        <f t="shared" si="48"/>
        <v>2.9363603610939846E-2</v>
      </c>
      <c r="O748" s="1"/>
    </row>
    <row r="749" spans="1:15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-1.6099052012420002E-4</v>
      </c>
      <c r="M749" s="1">
        <f t="shared" si="47"/>
        <v>1.0042836323070863E-2</v>
      </c>
      <c r="N749" s="1">
        <f t="shared" si="48"/>
        <v>9.5747254260943437E-2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2.4833665114386001E-4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0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1.3137857467234498E-3</v>
      </c>
      <c r="M752" s="1">
        <f t="shared" si="47"/>
        <v>1.3585892093681214E-2</v>
      </c>
      <c r="N752" s="1">
        <f t="shared" si="48"/>
        <v>0.13503696267475951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-1.46E-6</v>
      </c>
      <c r="F753">
        <v>251622.32810000001</v>
      </c>
      <c r="G753" s="1">
        <v>4.9100000000000001E-5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-3.513449887716472E-3</v>
      </c>
      <c r="N753" s="1">
        <f t="shared" si="48"/>
        <v>5.5284842678338691E-2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-4.8500000000000002E-6</v>
      </c>
      <c r="F754">
        <v>305816.83419999998</v>
      </c>
      <c r="G754" s="1">
        <v>-3.2199999999999997E-5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-4.4832721049126618E-2</v>
      </c>
      <c r="N754" s="1">
        <f t="shared" si="48"/>
        <v>-0.13926850374893737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-3.0700000000000001E-5</v>
      </c>
      <c r="F755">
        <v>271951.80339999998</v>
      </c>
      <c r="G755" s="1">
        <v>3.8600000000000003E-5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-8.6527081695592159E-2</v>
      </c>
      <c r="N755" s="1">
        <f t="shared" si="48"/>
        <v>5.0903150651747532E-2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>
        <v>0</v>
      </c>
      <c r="F756">
        <v>242043.36840000001</v>
      </c>
      <c r="G756" s="1">
        <v>2.2200000000000001E-5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0</v>
      </c>
      <c r="N756" s="1">
        <f t="shared" si="48"/>
        <v>6.9622197201469435E-2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 s="1">
        <v>3.7400000000000002E-6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0</v>
      </c>
      <c r="M757" s="1">
        <f t="shared" si="47"/>
        <v>3.3736928398085529E-2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-4.88E-5</v>
      </c>
      <c r="F758">
        <v>293318.91970000003</v>
      </c>
      <c r="G758" s="1">
        <v>4.57E-5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-0.67269231172036803</v>
      </c>
      <c r="N758" s="1">
        <f t="shared" si="48"/>
        <v>0.29475183691657802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3.26E-5</v>
      </c>
      <c r="F759">
        <v>287088.64299999998</v>
      </c>
      <c r="G759" s="1">
        <v>-4.7500000000000003E-5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0.38144049415531456</v>
      </c>
      <c r="N759" s="1">
        <f t="shared" si="48"/>
        <v>-0.26004378822852753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 s="1">
        <v>-3.1000000000000001E-5</v>
      </c>
      <c r="F760">
        <v>225589.7727</v>
      </c>
      <c r="G760" s="1">
        <v>3.0300000000000001E-5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0</v>
      </c>
      <c r="M760" s="1">
        <f t="shared" si="47"/>
        <v>-0.2176946730127437</v>
      </c>
      <c r="N760" s="1">
        <f t="shared" si="48"/>
        <v>9.9557140635274599E-2</v>
      </c>
      <c r="O760" s="1"/>
    </row>
    <row r="761" spans="1:15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1.22E-5</v>
      </c>
      <c r="F761">
        <v>376716.48300000001</v>
      </c>
      <c r="G761">
        <v>16430.199069999999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-8.3538218253632994E-3</v>
      </c>
      <c r="M761" s="1">
        <f t="shared" si="47"/>
        <v>7.7684701142434379E-2</v>
      </c>
      <c r="N761" s="1">
        <f t="shared" si="48"/>
        <v>48951068.0761365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3.8600000000000003E-5</v>
      </c>
      <c r="F762">
        <v>355246.44189999998</v>
      </c>
      <c r="G762">
        <v>15098.71269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9.9621016953676117E-2</v>
      </c>
      <c r="N762" s="1">
        <f t="shared" si="48"/>
        <v>18232543.793394476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-4.1674067040540372E-2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0.15577495020590204</v>
      </c>
      <c r="O764" s="1"/>
    </row>
    <row r="765" spans="1:15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1.3201573511828003E-3</v>
      </c>
      <c r="M765" s="1">
        <f t="shared" si="47"/>
        <v>-1.7378348269839427E-2</v>
      </c>
      <c r="N765" s="1">
        <f t="shared" si="48"/>
        <v>9.0115971803047451E-2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>
        <v>0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0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4.5600000000000004E-6</v>
      </c>
      <c r="F767">
        <v>259031.54689999999</v>
      </c>
      <c r="G767">
        <v>0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2.5164801255922176E-2</v>
      </c>
      <c r="N767" s="1">
        <f t="shared" si="48"/>
        <v>0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0.18414229167745111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2.887800931476918E-3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0</v>
      </c>
      <c r="M770" s="1">
        <f t="shared" si="47"/>
        <v>4.5379036841762248E-2</v>
      </c>
      <c r="N770" s="1">
        <f t="shared" si="48"/>
        <v>-7.8775256615615991E-2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-3.72E-6</v>
      </c>
      <c r="F772">
        <v>244201.37849999999</v>
      </c>
      <c r="G772" s="1">
        <v>-1.7499999999999998E-5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-1.2322798315495874E-2</v>
      </c>
      <c r="N772" s="1">
        <f t="shared" si="52"/>
        <v>-2.7123649740011999E-2</v>
      </c>
      <c r="O772" s="1"/>
    </row>
    <row r="773" spans="1:15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8.5226997542700005E-3</v>
      </c>
      <c r="M773" s="1">
        <f t="shared" si="51"/>
        <v>-2.0008676653870804E-3</v>
      </c>
      <c r="N773" s="1">
        <f t="shared" si="52"/>
        <v>0.13975916412425221</v>
      </c>
      <c r="O773" s="1"/>
    </row>
    <row r="774" spans="1:15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-2.8899999999999999E-6</v>
      </c>
      <c r="F774">
        <v>202901.5183</v>
      </c>
      <c r="G774">
        <v>0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5.8603986023212503E-3</v>
      </c>
      <c r="M774" s="1">
        <f t="shared" si="51"/>
        <v>-1.8934196550945814E-2</v>
      </c>
      <c r="N774" s="1">
        <f t="shared" si="52"/>
        <v>0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-2.9500000000000001E-6</v>
      </c>
      <c r="F775">
        <v>177797.47409999999</v>
      </c>
      <c r="G775" s="1">
        <v>-4.1E-5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-2.5504488871786146E-2</v>
      </c>
      <c r="N775" s="1">
        <f t="shared" si="52"/>
        <v>-0.16585254620091691</v>
      </c>
      <c r="O775" s="1"/>
    </row>
    <row r="776" spans="1:15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1.22E-6</v>
      </c>
      <c r="F776">
        <v>238309.9797</v>
      </c>
      <c r="G776" s="1">
        <v>-2.87E-5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2.3099033676874997E-3</v>
      </c>
      <c r="M776" s="1">
        <f t="shared" si="51"/>
        <v>9.4514138410795E-3</v>
      </c>
      <c r="N776" s="1">
        <f t="shared" si="52"/>
        <v>-0.10403094028566751</v>
      </c>
      <c r="O776" s="1"/>
    </row>
    <row r="777" spans="1:15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2.8700000000000001E-6</v>
      </c>
      <c r="F777">
        <v>219133.5765</v>
      </c>
      <c r="G777" s="1">
        <v>-2.8200000000000001E-5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-2.14790789485675E-3</v>
      </c>
      <c r="M777" s="1">
        <f t="shared" si="51"/>
        <v>2.0674770053785756E-2</v>
      </c>
      <c r="N777" s="1">
        <f t="shared" si="52"/>
        <v>-9.5049881057937782E-2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-3.7500000000000001E-6</v>
      </c>
      <c r="F778">
        <v>142472.96960000001</v>
      </c>
      <c r="G778" s="1">
        <v>-3.8500000000000001E-5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-4.5449748892425E-2</v>
      </c>
      <c r="N778" s="1">
        <f t="shared" si="52"/>
        <v>-0.21832558275297001</v>
      </c>
      <c r="O778" s="1"/>
    </row>
    <row r="779" spans="1:15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-8.85E-7</v>
      </c>
      <c r="F779">
        <v>198553.22940000001</v>
      </c>
      <c r="G779" s="1">
        <v>-2.0299999999999999E-5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-1.1623642065451001E-2</v>
      </c>
      <c r="M779" s="1">
        <f t="shared" si="51"/>
        <v>-8.6251894757210044E-3</v>
      </c>
      <c r="N779" s="1">
        <f t="shared" si="52"/>
        <v>-9.2568897156626306E-2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-0.20361616576082764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1.8700000000000001E-6</v>
      </c>
      <c r="F781">
        <v>369100.51130000001</v>
      </c>
      <c r="G781" s="1">
        <v>-2.12E-5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4.9300495628625341E-3</v>
      </c>
      <c r="N781" s="1">
        <f t="shared" si="52"/>
        <v>-2.6151055229195763E-2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1.9700000000000002E-6</v>
      </c>
      <c r="F782">
        <v>206194.0336</v>
      </c>
      <c r="G782" s="1">
        <v>3.0199999999999999E-5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3.2074900354977155E-2</v>
      </c>
      <c r="N782" s="1">
        <f t="shared" si="52"/>
        <v>0.23006455328429101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-4.8799999999999999E-6</v>
      </c>
      <c r="F783">
        <v>165776.20970000001</v>
      </c>
      <c r="G783" s="1">
        <v>2.0000000000000002E-5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-5.2362681780536414E-2</v>
      </c>
      <c r="N783" s="1">
        <f t="shared" si="52"/>
        <v>0.10040971464909601</v>
      </c>
      <c r="O783" s="1"/>
    </row>
    <row r="784" spans="1:15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5.2499999999999995E-7</v>
      </c>
      <c r="F784">
        <v>166904.55290000001</v>
      </c>
      <c r="G784" s="1">
        <v>-4.2400000000000001E-5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-9.7456799140090006E-3</v>
      </c>
      <c r="M784" s="1">
        <f t="shared" si="51"/>
        <v>4.2899733313781921E-3</v>
      </c>
      <c r="N784" s="1">
        <f t="shared" si="52"/>
        <v>-0.16210814035425433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-1.59E-6</v>
      </c>
      <c r="F785">
        <v>192940.5975</v>
      </c>
      <c r="G785" s="1">
        <v>-1.7499999999999998E-5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-6.0114343108964678E-3</v>
      </c>
      <c r="N785" s="1">
        <f t="shared" si="52"/>
        <v>-3.0957273801137251E-2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 s="1">
        <v>-2.7499999999999999E-6</v>
      </c>
      <c r="F786">
        <v>189498.0791</v>
      </c>
      <c r="G786" s="1">
        <v>-1.1600000000000001E-5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0</v>
      </c>
      <c r="M786" s="1">
        <f t="shared" si="51"/>
        <v>-1.4461219828906399E-2</v>
      </c>
      <c r="N786" s="1">
        <f t="shared" si="52"/>
        <v>-2.8541309927543043E-2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-1.5200000000000001E-6</v>
      </c>
      <c r="F787">
        <v>203135.5147</v>
      </c>
      <c r="G787" s="1">
        <v>3.8300000000000003E-5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-2.3669217937422483E-3</v>
      </c>
      <c r="N787" s="1">
        <f t="shared" si="52"/>
        <v>2.7905047921998632E-2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 s="1">
        <v>-7.7499999999999999E-7</v>
      </c>
      <c r="F788">
        <v>212063.16579999999</v>
      </c>
      <c r="G788" s="1">
        <v>-2.12E-5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0</v>
      </c>
      <c r="M788" s="1">
        <f t="shared" si="51"/>
        <v>-8.5786248605425504E-3</v>
      </c>
      <c r="N788" s="1">
        <f t="shared" si="52"/>
        <v>-0.10979827403632561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 s="1">
        <v>4.8500000000000002E-7</v>
      </c>
      <c r="F789">
        <v>126087.8688</v>
      </c>
      <c r="G789" s="1">
        <v>1.98E-5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0</v>
      </c>
      <c r="M789" s="1">
        <f t="shared" si="51"/>
        <v>2.5683814974364907E-3</v>
      </c>
      <c r="N789" s="1">
        <f t="shared" si="52"/>
        <v>4.9059900427719072E-2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-1.9700000000000001E-5</v>
      </c>
      <c r="F790">
        <v>481627.06839999999</v>
      </c>
      <c r="G790">
        <v>0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-8.0713532241716762E-2</v>
      </c>
      <c r="N790" s="1">
        <f t="shared" si="52"/>
        <v>0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-1.0499999999999999E-5</v>
      </c>
      <c r="F791">
        <v>516858.76</v>
      </c>
      <c r="G791">
        <v>9005.0644499999999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-2.3955711218216401E-2</v>
      </c>
      <c r="N791" s="1">
        <f t="shared" si="52"/>
        <v>9612808.1229768116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 s="1">
        <v>-1.98E-5</v>
      </c>
      <c r="F792">
        <v>1076215.3189999999</v>
      </c>
      <c r="G792">
        <v>1668.2844009999999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0</v>
      </c>
      <c r="M792" s="1">
        <f t="shared" si="51"/>
        <v>-3.1176282508339318E-2</v>
      </c>
      <c r="N792" s="1">
        <f t="shared" si="52"/>
        <v>1229059.491836444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-3.4700000000000003E-5</v>
      </c>
      <c r="F793">
        <v>411558.51909999998</v>
      </c>
      <c r="G793">
        <v>2786.394174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-8.8465320807537134E-2</v>
      </c>
      <c r="N793" s="1">
        <f t="shared" si="52"/>
        <v>3323761.19806924</v>
      </c>
      <c r="O793" s="1"/>
    </row>
    <row r="794" spans="1:15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-3.04E-5</v>
      </c>
      <c r="F794">
        <v>831388.85600000003</v>
      </c>
      <c r="G794">
        <v>9839.723747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-3.0643796957559501E-3</v>
      </c>
      <c r="M794" s="1">
        <f t="shared" si="51"/>
        <v>-0.14201578405394286</v>
      </c>
      <c r="N794" s="1">
        <f t="shared" si="52"/>
        <v>21507484.374403875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3.68E-5</v>
      </c>
      <c r="F795">
        <v>330086.8615</v>
      </c>
      <c r="G795">
        <v>0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0.17311289174698369</v>
      </c>
      <c r="N795" s="1">
        <f t="shared" si="52"/>
        <v>0</v>
      </c>
      <c r="O795" s="1"/>
    </row>
    <row r="796" spans="1:15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-4.6E-5</v>
      </c>
      <c r="F796">
        <v>1054049.699</v>
      </c>
      <c r="G796">
        <v>1882.282424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4.1112293151758406E-2</v>
      </c>
      <c r="M796" s="1">
        <f t="shared" si="51"/>
        <v>-0.1495914643417392</v>
      </c>
      <c r="N796" s="1">
        <f t="shared" si="52"/>
        <v>2864029.2360699642</v>
      </c>
      <c r="O796" s="1"/>
    </row>
    <row r="797" spans="1:15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4.2699999999999998E-6</v>
      </c>
      <c r="F797">
        <v>301592.23499999999</v>
      </c>
      <c r="G797" s="1">
        <v>-8.1000000000000004E-6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5.8944009196409985E-4</v>
      </c>
      <c r="M797" s="1">
        <f t="shared" si="51"/>
        <v>1.4068877025787232E-2</v>
      </c>
      <c r="N797" s="1">
        <f t="shared" si="52"/>
        <v>-1.2487061640531781E-2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1.0200000000000001E-5</v>
      </c>
      <c r="F798">
        <v>593971.34080000001</v>
      </c>
      <c r="G798">
        <v>0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5.536533747843228E-2</v>
      </c>
      <c r="N798" s="1">
        <f t="shared" si="52"/>
        <v>0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-4.0500000000000002E-5</v>
      </c>
      <c r="F799">
        <v>863222.88199999998</v>
      </c>
      <c r="G799">
        <v>1212.8368829999999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-7.0485494558643447E-2</v>
      </c>
      <c r="N799" s="1">
        <f t="shared" si="52"/>
        <v>987622.1051938266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1.9599999999999999E-5</v>
      </c>
      <c r="F800">
        <v>509231.19380000001</v>
      </c>
      <c r="G800">
        <v>0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9.0334105432427633E-2</v>
      </c>
      <c r="N800" s="1">
        <f t="shared" si="52"/>
        <v>0</v>
      </c>
      <c r="O800" s="1"/>
    </row>
    <row r="801" spans="1:15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6.5E-8</v>
      </c>
      <c r="F801">
        <v>248645.3731</v>
      </c>
      <c r="G801">
        <v>0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-3.1050160376826503E-3</v>
      </c>
      <c r="M801" s="1">
        <f t="shared" si="51"/>
        <v>2.9430152009339897E-4</v>
      </c>
      <c r="N801" s="1">
        <f t="shared" si="52"/>
        <v>0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4.1699999999999997E-5</v>
      </c>
      <c r="F802">
        <v>346418.43859999999</v>
      </c>
      <c r="G802" s="1">
        <v>-3.4100000000000002E-5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0.22774848463096359</v>
      </c>
      <c r="N802" s="1">
        <f t="shared" si="52"/>
        <v>-8.7139988476384156E-2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-0.20128415171744615</v>
      </c>
      <c r="O803" s="1"/>
    </row>
    <row r="804" spans="1:15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4.0500000000000002E-6</v>
      </c>
      <c r="F804">
        <v>169442.6195</v>
      </c>
      <c r="G804">
        <v>0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2.1110666023442775E-4</v>
      </c>
      <c r="M804" s="1">
        <f t="shared" si="51"/>
        <v>2.6798859859234546E-2</v>
      </c>
      <c r="N804" s="1">
        <f t="shared" si="52"/>
        <v>0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-3.4599999999999999E-6</v>
      </c>
      <c r="F805">
        <v>168622.40979999999</v>
      </c>
      <c r="G805">
        <v>0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-2.3018690525736338E-2</v>
      </c>
      <c r="N805" s="1">
        <f t="shared" si="52"/>
        <v>0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-4.16E-6</v>
      </c>
      <c r="F806">
        <v>156636.46309999999</v>
      </c>
      <c r="G806">
        <v>0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-3.0878229032903617E-2</v>
      </c>
      <c r="N806" s="1">
        <f t="shared" si="52"/>
        <v>0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1.6300000000000001E-6</v>
      </c>
      <c r="F807">
        <v>215540.4762</v>
      </c>
      <c r="G807">
        <v>0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6.0126788572301146E-3</v>
      </c>
      <c r="N807" s="1">
        <f t="shared" si="52"/>
        <v>0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5.1099999999999996E-7</v>
      </c>
      <c r="F808">
        <v>41897.065580000002</v>
      </c>
      <c r="G808" s="1">
        <v>-4.2899999999999996E-6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1.2668466457675592E-2</v>
      </c>
      <c r="N808" s="1">
        <f t="shared" si="52"/>
        <v>-4.9762720628284948E-2</v>
      </c>
      <c r="O808" s="1"/>
    </row>
    <row r="809" spans="1:15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4.9400000000000001E-6</v>
      </c>
      <c r="F809">
        <v>157281.76620000001</v>
      </c>
      <c r="G809">
        <v>0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-5.4130132718421186E-3</v>
      </c>
      <c r="M809" s="1">
        <f t="shared" si="51"/>
        <v>3.1032112071930872E-2</v>
      </c>
      <c r="N809" s="1">
        <f t="shared" si="52"/>
        <v>0</v>
      </c>
      <c r="O809" s="1"/>
    </row>
    <row r="810" spans="1:15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-3.8700000000000002E-6</v>
      </c>
      <c r="F810">
        <v>162611.1483</v>
      </c>
      <c r="G810">
        <v>0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-1.4413190033131498E-3</v>
      </c>
      <c r="M810" s="1">
        <f t="shared" si="51"/>
        <v>-3.1179056162440311E-2</v>
      </c>
      <c r="N810" s="1">
        <f t="shared" si="52"/>
        <v>0</v>
      </c>
      <c r="O810" s="1"/>
    </row>
    <row r="811" spans="1:15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-3.6600000000000001E-6</v>
      </c>
      <c r="F811">
        <v>148869.27499999999</v>
      </c>
      <c r="G811">
        <v>0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-8.1178613791031261E-3</v>
      </c>
      <c r="M811" s="1">
        <f t="shared" si="51"/>
        <v>-4.0019025252757502E-2</v>
      </c>
      <c r="N811" s="1">
        <f t="shared" si="52"/>
        <v>0</v>
      </c>
      <c r="O811" s="1"/>
    </row>
    <row r="812" spans="1:15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1.64E-6</v>
      </c>
      <c r="F812">
        <v>152359.09450000001</v>
      </c>
      <c r="G812">
        <v>0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-1.6567053742823998E-3</v>
      </c>
      <c r="M812" s="1">
        <f t="shared" si="51"/>
        <v>1.5187315523421631E-2</v>
      </c>
      <c r="N812" s="1">
        <f t="shared" si="52"/>
        <v>0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1.55E-6</v>
      </c>
      <c r="F813">
        <v>135273.6452</v>
      </c>
      <c r="G813">
        <v>0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2.1410204740610651E-2</v>
      </c>
      <c r="N813" s="1">
        <f t="shared" si="52"/>
        <v>0</v>
      </c>
      <c r="O813" s="1"/>
    </row>
    <row r="814" spans="1:15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4.5499999999999996E-6</v>
      </c>
      <c r="F814">
        <v>140260.74359999999</v>
      </c>
      <c r="G814">
        <v>0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-6.0720939574024279E-3</v>
      </c>
      <c r="M814" s="1">
        <f t="shared" si="51"/>
        <v>4.9026536396804779E-2</v>
      </c>
      <c r="N814" s="1">
        <f t="shared" si="52"/>
        <v>0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 s="1">
        <v>8.5099999999999998E-7</v>
      </c>
      <c r="F815">
        <v>109643.4547</v>
      </c>
      <c r="G815">
        <v>0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0</v>
      </c>
      <c r="M815" s="1">
        <f t="shared" si="51"/>
        <v>7.3540026939296942E-3</v>
      </c>
      <c r="N815" s="1">
        <f t="shared" si="52"/>
        <v>0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 s="1">
        <v>-4.1899999999999998E-7</v>
      </c>
      <c r="F816">
        <v>181921.86249999999</v>
      </c>
      <c r="G816">
        <v>0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0</v>
      </c>
      <c r="M816" s="1">
        <f t="shared" si="51"/>
        <v>-5.0219924290664623E-3</v>
      </c>
      <c r="N816" s="1">
        <f t="shared" si="52"/>
        <v>0</v>
      </c>
      <c r="O816" s="1"/>
    </row>
    <row r="817" spans="1:15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-3.5957240204495997E-3</v>
      </c>
      <c r="M817" s="1">
        <f t="shared" si="51"/>
        <v>-9.3461165116147677E-3</v>
      </c>
      <c r="N817" s="1">
        <f t="shared" si="52"/>
        <v>-6.2067728476068486E-2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3.1E-6</v>
      </c>
      <c r="F818">
        <v>206772.1232</v>
      </c>
      <c r="G818">
        <v>0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1.2969797233091889E-2</v>
      </c>
      <c r="N818" s="1">
        <f t="shared" si="52"/>
        <v>0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 s="1">
        <v>1.1000000000000001E-7</v>
      </c>
      <c r="F819">
        <v>253618.68429999999</v>
      </c>
      <c r="G819" s="1">
        <v>-4.21E-5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0</v>
      </c>
      <c r="M819" s="1">
        <f t="shared" si="51"/>
        <v>6.6842448119299597E-4</v>
      </c>
      <c r="N819" s="1">
        <f t="shared" si="52"/>
        <v>-0.11969759829603685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-0.17886393794339836</v>
      </c>
      <c r="O820" s="1"/>
    </row>
    <row r="821" spans="1:15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-2.4600000000000002E-5</v>
      </c>
      <c r="F821">
        <v>447965.1323</v>
      </c>
      <c r="G821">
        <v>4625.4966270000004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2.2110337412254003E-2</v>
      </c>
      <c r="M821" s="1">
        <f t="shared" si="51"/>
        <v>-9.6010783380109932E-2</v>
      </c>
      <c r="N821" s="1">
        <f t="shared" si="52"/>
        <v>8446697.7283123136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 s="1">
        <v>-1.6500000000000001E-6</v>
      </c>
      <c r="F822">
        <v>271252.99129999999</v>
      </c>
      <c r="G822">
        <v>0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0</v>
      </c>
      <c r="M822" s="1">
        <f t="shared" si="51"/>
        <v>-1.4030731722246691E-2</v>
      </c>
      <c r="N822" s="1">
        <f t="shared" si="52"/>
        <v>0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-4.4700000000000004E-6</v>
      </c>
      <c r="F823">
        <v>274581.69160000002</v>
      </c>
      <c r="G823" s="1">
        <v>-2.0299999999999999E-5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-3.3436618102891939E-2</v>
      </c>
      <c r="N823" s="1">
        <f t="shared" si="52"/>
        <v>-7.1048438564792857E-2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-1.68E-6</v>
      </c>
      <c r="F824">
        <v>247080.8873</v>
      </c>
      <c r="G824" s="1">
        <v>-3.6199999999999999E-5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-2.9124235001255518E-2</v>
      </c>
      <c r="N824" s="1">
        <f t="shared" si="52"/>
        <v>-0.2936280180172452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>
        <v>0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0</v>
      </c>
      <c r="O825" s="1"/>
    </row>
    <row r="826" spans="1:15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-3.01E-6</v>
      </c>
      <c r="F826">
        <v>210922.65359999999</v>
      </c>
      <c r="G826">
        <v>0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2.5974060483149996E-3</v>
      </c>
      <c r="M826" s="1">
        <f t="shared" si="51"/>
        <v>-2.6221013858205178E-2</v>
      </c>
      <c r="N826" s="1">
        <f t="shared" si="52"/>
        <v>0</v>
      </c>
      <c r="O826" s="1"/>
    </row>
    <row r="827" spans="1:15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-5.5760261133859755E-3</v>
      </c>
      <c r="M827" s="1">
        <f t="shared" si="51"/>
        <v>0</v>
      </c>
      <c r="N827" s="1">
        <f t="shared" si="52"/>
        <v>0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-2.1100000000000001E-6</v>
      </c>
      <c r="F828">
        <v>203471.42939999999</v>
      </c>
      <c r="G828">
        <v>0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-1.3743663724919676E-2</v>
      </c>
      <c r="N828" s="1">
        <f t="shared" si="52"/>
        <v>0</v>
      </c>
      <c r="O828" s="1"/>
    </row>
    <row r="829" spans="1:15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0.13379819650608127</v>
      </c>
      <c r="M829" s="1">
        <f t="shared" si="51"/>
        <v>0</v>
      </c>
      <c r="N829" s="1">
        <f t="shared" si="52"/>
        <v>0</v>
      </c>
      <c r="O829" s="1"/>
    </row>
    <row r="830" spans="1:15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8.4999999999999994E-8</v>
      </c>
      <c r="F830">
        <v>217454.56450000001</v>
      </c>
      <c r="G830">
        <v>0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4.0517153507626255E-3</v>
      </c>
      <c r="M830" s="1">
        <f t="shared" si="51"/>
        <v>3.3001444153684149E-4</v>
      </c>
      <c r="N830" s="1">
        <f t="shared" si="52"/>
        <v>0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-4.16E-6</v>
      </c>
      <c r="F831">
        <v>304312.31270000001</v>
      </c>
      <c r="G831">
        <v>0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-1.8270069446434625E-2</v>
      </c>
      <c r="N831" s="1">
        <f t="shared" si="52"/>
        <v>0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2.8700000000000001E-6</v>
      </c>
      <c r="F832">
        <v>253573.34830000001</v>
      </c>
      <c r="G832">
        <v>0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2.749995006965732E-2</v>
      </c>
      <c r="N832" s="1">
        <f t="shared" si="52"/>
        <v>0</v>
      </c>
      <c r="O832" s="1"/>
    </row>
    <row r="833" spans="1:15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3.5396476702204797E-2</v>
      </c>
      <c r="M833" s="1">
        <f t="shared" si="51"/>
        <v>0</v>
      </c>
      <c r="N833" s="1">
        <f t="shared" si="52"/>
        <v>0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0</v>
      </c>
      <c r="M834" s="1">
        <f t="shared" si="51"/>
        <v>0</v>
      </c>
      <c r="N834" s="1">
        <f t="shared" si="52"/>
        <v>0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0</v>
      </c>
      <c r="M835" s="1">
        <f t="shared" ref="M835:M898" si="55">$U$3*$K835*E835</f>
        <v>0</v>
      </c>
      <c r="N835" s="1">
        <f t="shared" ref="N835:N898" si="56">$U$4*$K835*G835</f>
        <v>0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</v>
      </c>
      <c r="N836" s="1">
        <f t="shared" si="56"/>
        <v>0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9.95E-7</v>
      </c>
      <c r="F837">
        <v>341936.05979999999</v>
      </c>
      <c r="G837">
        <v>0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3.973144645799483E-3</v>
      </c>
      <c r="N837" s="1">
        <f t="shared" si="56"/>
        <v>0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2.0599999999999999E-5</v>
      </c>
      <c r="F838">
        <v>322560.92070000002</v>
      </c>
      <c r="G838">
        <v>0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9.8241685004621493E-2</v>
      </c>
      <c r="N838" s="1">
        <f t="shared" si="56"/>
        <v>0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-3.8099999999999999E-6</v>
      </c>
      <c r="F839">
        <v>236422.44010000001</v>
      </c>
      <c r="G839">
        <v>0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-4.0854882337018568E-2</v>
      </c>
      <c r="N839" s="1">
        <f t="shared" si="56"/>
        <v>0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0</v>
      </c>
      <c r="N840" s="1">
        <f t="shared" si="56"/>
        <v>0</v>
      </c>
      <c r="O840" s="1"/>
    </row>
    <row r="841" spans="1:15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>
        <v>0</v>
      </c>
      <c r="F841">
        <v>818773.65289999999</v>
      </c>
      <c r="G841">
        <v>13998.898230000001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1.206789738268335E-2</v>
      </c>
      <c r="M841" s="1">
        <f t="shared" si="55"/>
        <v>0</v>
      </c>
      <c r="N841" s="1">
        <f t="shared" si="56"/>
        <v>11678482.728327546</v>
      </c>
      <c r="O841" s="1"/>
    </row>
    <row r="842" spans="1:15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2.0999999999999998E-6</v>
      </c>
      <c r="F842">
        <v>273381.53379999998</v>
      </c>
      <c r="G842">
        <v>0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7.2157716016863762E-3</v>
      </c>
      <c r="M842" s="1">
        <f t="shared" si="55"/>
        <v>1.4520352700008891E-2</v>
      </c>
      <c r="N842" s="1">
        <f t="shared" si="56"/>
        <v>0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3.5899999999999999E-6</v>
      </c>
      <c r="F843">
        <v>271961.32750000001</v>
      </c>
      <c r="G843">
        <v>0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1.8787052563026006E-2</v>
      </c>
      <c r="N843" s="1">
        <f t="shared" si="56"/>
        <v>0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-2.4700000000000001E-6</v>
      </c>
      <c r="F844">
        <v>313284.36739999999</v>
      </c>
      <c r="G844">
        <v>0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-1.3906894248722138E-2</v>
      </c>
      <c r="N844" s="1">
        <f t="shared" si="56"/>
        <v>0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>
        <v>0</v>
      </c>
      <c r="F845">
        <v>518717.25660000002</v>
      </c>
      <c r="G845">
        <v>8249.5908770000005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0</v>
      </c>
      <c r="N845" s="1">
        <f t="shared" si="56"/>
        <v>12348905.730705505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-1.86E-6</v>
      </c>
      <c r="F846">
        <v>139042.4051</v>
      </c>
      <c r="G846">
        <v>0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-1.9987061991551664E-2</v>
      </c>
      <c r="N846" s="1">
        <f t="shared" si="56"/>
        <v>0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-1.8500000000000001E-6</v>
      </c>
      <c r="F847">
        <v>159787.5</v>
      </c>
      <c r="G847">
        <v>0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-2.10614288907978E-2</v>
      </c>
      <c r="N847" s="1">
        <f t="shared" si="56"/>
        <v>0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-3.5999999999999998E-6</v>
      </c>
      <c r="F848">
        <v>123670.7518</v>
      </c>
      <c r="G848">
        <v>0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-4.8684590650893603E-2</v>
      </c>
      <c r="N848" s="1">
        <f t="shared" si="56"/>
        <v>0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-3.3500000000000001E-6</v>
      </c>
      <c r="F849">
        <v>172844.63440000001</v>
      </c>
      <c r="G849">
        <v>0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-3.7354586152467999E-2</v>
      </c>
      <c r="N849" s="1">
        <f t="shared" si="56"/>
        <v>0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3.89E-6</v>
      </c>
      <c r="F850">
        <v>249720.9382</v>
      </c>
      <c r="G850">
        <v>0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8.7988577866677881E-2</v>
      </c>
      <c r="N850" s="1">
        <f t="shared" si="56"/>
        <v>0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5.6999999999999996E-6</v>
      </c>
      <c r="F851">
        <v>410275.17570000002</v>
      </c>
      <c r="G851">
        <v>819.61370269999998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4.4584014283788394E-2</v>
      </c>
      <c r="N851" s="1">
        <f t="shared" si="56"/>
        <v>2999557.5735500408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 s="1">
        <v>4.3300000000000002E-5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0</v>
      </c>
      <c r="M852" s="1">
        <f t="shared" si="55"/>
        <v>0</v>
      </c>
      <c r="N852" s="1">
        <f t="shared" si="56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4.6900000000000002E-5</v>
      </c>
      <c r="F854">
        <v>637112.21860000002</v>
      </c>
      <c r="G854" s="1">
        <v>-4.1499999999999999E-5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0.20215718636747418</v>
      </c>
      <c r="N854" s="1">
        <f t="shared" si="56"/>
        <v>-8.3696657918812048E-2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2.3799999999999999E-5</v>
      </c>
      <c r="F855">
        <v>709471.74410000001</v>
      </c>
      <c r="G855" s="1">
        <v>1.36E-5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4.3305225304919343E-2</v>
      </c>
      <c r="N855" s="1">
        <f t="shared" si="56"/>
        <v>1.1578330225692723E-2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-3.2700000000000002E-5</v>
      </c>
      <c r="F856">
        <v>903616.62840000005</v>
      </c>
      <c r="G856">
        <v>6623.2254540000004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-5.829345552302001E-2</v>
      </c>
      <c r="N856" s="1">
        <f t="shared" si="56"/>
        <v>5524401.8796133418</v>
      </c>
      <c r="O856" s="1"/>
    </row>
    <row r="857" spans="1:15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-1.7099999999999999E-5</v>
      </c>
      <c r="F857">
        <v>1044577.502</v>
      </c>
      <c r="G857">
        <v>312.74007970000002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2.4147855525339006E-3</v>
      </c>
      <c r="M857" s="1">
        <f t="shared" si="55"/>
        <v>-4.9460646058988311E-2</v>
      </c>
      <c r="N857" s="1">
        <f t="shared" si="56"/>
        <v>423244.08279176807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 s="1">
        <v>6.4000000000000001E-7</v>
      </c>
      <c r="F858">
        <v>225138.75229999999</v>
      </c>
      <c r="G858" s="1">
        <v>-2.2099999999999998E-5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0</v>
      </c>
      <c r="M858" s="1">
        <f t="shared" si="55"/>
        <v>5.5615053763220486E-3</v>
      </c>
      <c r="N858" s="1">
        <f t="shared" si="56"/>
        <v>-8.9856260172772082E-2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-1.13E-5</v>
      </c>
      <c r="F859">
        <v>692039.90529999998</v>
      </c>
      <c r="G859" s="1">
        <v>3.0800000000000003E-5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-5.0371047013301661E-2</v>
      </c>
      <c r="N859" s="1">
        <f t="shared" si="56"/>
        <v>6.423872748923784E-2</v>
      </c>
      <c r="O859" s="1"/>
    </row>
    <row r="860" spans="1:15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-2.7100000000000001E-5</v>
      </c>
      <c r="F860">
        <v>1264088.392</v>
      </c>
      <c r="G860">
        <v>0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-9.7609320393467983E-3</v>
      </c>
      <c r="M860" s="1">
        <f t="shared" si="55"/>
        <v>-3.996232453364728E-2</v>
      </c>
      <c r="N860" s="1">
        <f t="shared" si="56"/>
        <v>0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-4.5226622797052404E-2</v>
      </c>
      <c r="O861" s="1"/>
    </row>
    <row r="862" spans="1:15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3.1654349463018749E-3</v>
      </c>
      <c r="M862" s="1">
        <f t="shared" si="55"/>
        <v>4.8693804613963117E-2</v>
      </c>
      <c r="N862" s="1">
        <f t="shared" si="56"/>
        <v>3.2486128368908532E-2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3.2408629970883424E-2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-2.52E-6</v>
      </c>
      <c r="F864">
        <v>269704.25670000003</v>
      </c>
      <c r="G864" s="1">
        <v>2.05E-5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-1.587418869728412E-2</v>
      </c>
      <c r="N864" s="1">
        <f t="shared" si="56"/>
        <v>6.0421087385359507E-2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-2E-8</v>
      </c>
      <c r="F865">
        <v>173671.0888</v>
      </c>
      <c r="G865" s="1">
        <v>4.6199999999999998E-5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-1.251757855398E-4</v>
      </c>
      <c r="N865" s="1">
        <f t="shared" si="56"/>
        <v>0.13529320453618199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-7.6137317185039674E-2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-1.46E-6</v>
      </c>
      <c r="F867">
        <v>794602.90020000003</v>
      </c>
      <c r="G867">
        <v>9839.7236990000001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-2.1972466783063203E-3</v>
      </c>
      <c r="N867" s="1">
        <f t="shared" si="56"/>
        <v>6928712.5227288315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-5.6000000000000004E-7</v>
      </c>
      <c r="F868">
        <v>243252.5338</v>
      </c>
      <c r="G868" s="1">
        <v>-4.7800000000000003E-5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-2.2242860353554961E-3</v>
      </c>
      <c r="N868" s="1">
        <f t="shared" si="56"/>
        <v>-8.8832970134168229E-2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 s="1">
        <v>-1.04E-5</v>
      </c>
      <c r="F869">
        <v>940817.32429999998</v>
      </c>
      <c r="G869">
        <v>3824.101874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0</v>
      </c>
      <c r="M869" s="1">
        <f t="shared" si="55"/>
        <v>-2.610020196255056E-2</v>
      </c>
      <c r="N869" s="1">
        <f t="shared" si="56"/>
        <v>4490385.8442794392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-3.9999999999999998E-7</v>
      </c>
      <c r="F870">
        <v>184593.8198</v>
      </c>
      <c r="G870">
        <v>0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-2.0335452074325597E-3</v>
      </c>
      <c r="N870" s="1">
        <f t="shared" si="56"/>
        <v>0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 s="1">
        <v>-1.3999999999999999E-6</v>
      </c>
      <c r="F871">
        <v>353771.58590000001</v>
      </c>
      <c r="G871">
        <v>25994.208640000001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0</v>
      </c>
      <c r="M871" s="1">
        <f t="shared" si="55"/>
        <v>-2.2349145479934E-2</v>
      </c>
      <c r="N871" s="1">
        <f t="shared" si="56"/>
        <v>194157050.30856478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7.1400000000000002E-6</v>
      </c>
      <c r="F872">
        <v>348762.78220000002</v>
      </c>
      <c r="G872">
        <v>37814.94702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4.1531432894136869E-2</v>
      </c>
      <c r="N872" s="1">
        <f t="shared" si="56"/>
        <v>102916706.06529953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-1.2500000000000001E-6</v>
      </c>
      <c r="F873">
        <v>198837.5399</v>
      </c>
      <c r="G873" s="1">
        <v>-2.8900000000000001E-5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-9.9876995683482513E-3</v>
      </c>
      <c r="N873" s="1">
        <f t="shared" si="56"/>
        <v>-0.10804308545899807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1.1600000000000001E-5</v>
      </c>
      <c r="F874">
        <v>331484.37459999998</v>
      </c>
      <c r="G874" s="1">
        <v>-2.12E-5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0.10518704061792425</v>
      </c>
      <c r="N874" s="1">
        <f t="shared" si="56"/>
        <v>-8.9946400123457532E-2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 s="1">
        <v>-2.7499999999999999E-6</v>
      </c>
      <c r="F875">
        <v>225661.8867</v>
      </c>
      <c r="G875" s="1">
        <v>-4.9100000000000001E-5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0</v>
      </c>
      <c r="M875" s="1">
        <f t="shared" si="55"/>
        <v>-1.1656749952259775E-2</v>
      </c>
      <c r="N875" s="1">
        <f t="shared" si="56"/>
        <v>-9.7380041886417704E-2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-1.84E-5</v>
      </c>
      <c r="F876">
        <v>770798.18680000002</v>
      </c>
      <c r="G876">
        <v>86452.741259999995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-9.2641294739302646E-2</v>
      </c>
      <c r="N876" s="1">
        <f t="shared" si="56"/>
        <v>203661641.44819748</v>
      </c>
      <c r="O876" s="1"/>
    </row>
    <row r="877" spans="1:15" x14ac:dyDescent="0.25">
      <c r="A877">
        <v>1326</v>
      </c>
      <c r="B877">
        <v>151690.84839999999</v>
      </c>
      <c r="C877">
        <v>2665.0947980000001</v>
      </c>
      <c r="D877">
        <v>755692.94830000005</v>
      </c>
      <c r="E877">
        <v>77517.751640000002</v>
      </c>
      <c r="F877">
        <v>1322404.5660000001</v>
      </c>
      <c r="G877">
        <v>99960.862810000006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158641127.15876576</v>
      </c>
      <c r="M877" s="1">
        <f t="shared" si="55"/>
        <v>1547559765.2101946</v>
      </c>
      <c r="N877" s="1">
        <f t="shared" si="56"/>
        <v>933727041.50298452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7.5000000000000002E-7</v>
      </c>
      <c r="F878">
        <v>643592.33259999997</v>
      </c>
      <c r="G878">
        <v>105944.4008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4.0443944011209002E-3</v>
      </c>
      <c r="N878" s="1">
        <f t="shared" si="56"/>
        <v>267309211.16461238</v>
      </c>
      <c r="O878" s="1"/>
    </row>
    <row r="879" spans="1:15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-7.52E-6</v>
      </c>
      <c r="F879">
        <v>727364.96860000002</v>
      </c>
      <c r="G879">
        <v>81142.666459999993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-2.0990724517194248E-2</v>
      </c>
      <c r="M879" s="1">
        <f t="shared" si="55"/>
        <v>-7.5629349768148502E-2</v>
      </c>
      <c r="N879" s="1">
        <f t="shared" si="56"/>
        <v>381825983.60823876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3.0000000000000001E-6</v>
      </c>
      <c r="F880">
        <v>780567.22019999998</v>
      </c>
      <c r="G880">
        <v>19000.043570000002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4.1944019560209008E-3</v>
      </c>
      <c r="N880" s="1">
        <f t="shared" si="56"/>
        <v>12429311.36281042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>
        <v>24743.244650000001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29434347.032608621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 s="1">
        <v>4.7999999999999998E-6</v>
      </c>
      <c r="F882">
        <v>539267.82490000001</v>
      </c>
      <c r="G882">
        <v>47413.637739999998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0</v>
      </c>
      <c r="M882" s="1">
        <f t="shared" si="55"/>
        <v>0.12055628661909119</v>
      </c>
      <c r="N882" s="1">
        <f t="shared" si="56"/>
        <v>557180078.65614903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>
        <v>34520.936780000004</v>
      </c>
      <c r="F883">
        <v>843882.82189999998</v>
      </c>
      <c r="G883">
        <v>66033.922099999996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81387596.246393785</v>
      </c>
      <c r="N883" s="1">
        <f t="shared" si="56"/>
        <v>72842764.6808009</v>
      </c>
      <c r="O883" s="1"/>
    </row>
    <row r="884" spans="1:15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>
        <v>0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-3.6688749800820003E-3</v>
      </c>
      <c r="M884" s="1">
        <f t="shared" si="55"/>
        <v>-2.8424185576456824E-2</v>
      </c>
      <c r="N884" s="1">
        <f t="shared" si="56"/>
        <v>0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3.57E-5</v>
      </c>
      <c r="F885">
        <v>748540.201</v>
      </c>
      <c r="G885" s="1">
        <v>-4.1499999999999999E-5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0.23935188773137006</v>
      </c>
      <c r="N885" s="1">
        <f t="shared" si="56"/>
        <v>-0.13018484064026026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1.2500000000000001E-5</v>
      </c>
      <c r="F886">
        <v>531481.11010000005</v>
      </c>
      <c r="G886">
        <v>55246.281920000001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5.2166611620576252E-2</v>
      </c>
      <c r="N886" s="1">
        <f t="shared" si="56"/>
        <v>107877121.43301043</v>
      </c>
      <c r="O886" s="1"/>
    </row>
    <row r="887" spans="1:15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3.0000000000000001E-5</v>
      </c>
      <c r="F887">
        <v>918453.9791</v>
      </c>
      <c r="G887" s="1">
        <v>1.91E-5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1.1855499828509999E-2</v>
      </c>
      <c r="M887" s="1">
        <f t="shared" si="55"/>
        <v>0.24850951563607501</v>
      </c>
      <c r="N887" s="1">
        <f t="shared" si="56"/>
        <v>7.4028476813792252E-2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>
        <v>32323.46341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97316575.664103821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 s="1">
        <v>-1.98E-5</v>
      </c>
      <c r="F889">
        <v>737018.46030000004</v>
      </c>
      <c r="G889">
        <v>1395.13796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0</v>
      </c>
      <c r="M889" s="1">
        <f t="shared" si="55"/>
        <v>-9.4626850613514113E-2</v>
      </c>
      <c r="N889" s="1">
        <f t="shared" si="56"/>
        <v>3119679.8617525278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 s="1">
        <v>-3.0899999999999999E-5</v>
      </c>
      <c r="F890">
        <v>709404.103</v>
      </c>
      <c r="G890" s="1">
        <v>3.4600000000000001E-5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0</v>
      </c>
      <c r="M890" s="1">
        <f t="shared" si="55"/>
        <v>-0.14749035005548425</v>
      </c>
      <c r="N890" s="1">
        <f t="shared" si="56"/>
        <v>7.7272489447435505E-2</v>
      </c>
      <c r="O890" s="1"/>
    </row>
    <row r="891" spans="1:15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-3.2356592756149997E-3</v>
      </c>
      <c r="M891" s="1">
        <f t="shared" si="55"/>
        <v>3.20131150792001E-3</v>
      </c>
      <c r="N891" s="1">
        <f t="shared" si="56"/>
        <v>2.5133605665507902E-2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-2.52E-6</v>
      </c>
      <c r="F892">
        <v>1185046.892</v>
      </c>
      <c r="G892">
        <v>0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-9.4774512204111594E-3</v>
      </c>
      <c r="N892" s="1">
        <f t="shared" si="56"/>
        <v>0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4.2500000000000003E-5</v>
      </c>
      <c r="F893">
        <v>677456.32700000005</v>
      </c>
      <c r="G893" s="1">
        <v>-2.8799999999999999E-5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0.30448703284779527</v>
      </c>
      <c r="N893" s="1">
        <f t="shared" si="56"/>
        <v>-9.6541943625869764E-2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 s="1">
        <v>1.5800000000000001E-5</v>
      </c>
      <c r="F894">
        <v>644389.95880000002</v>
      </c>
      <c r="G894" s="1">
        <v>-4.7899999999999999E-5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0</v>
      </c>
      <c r="M894" s="1">
        <f t="shared" si="55"/>
        <v>8.1717949672898388E-2</v>
      </c>
      <c r="N894" s="1">
        <f t="shared" si="56"/>
        <v>-0.11591498040641243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-0.16361172685974121</v>
      </c>
      <c r="O895" s="1"/>
    </row>
    <row r="896" spans="1:15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4.2263772134122499E-4</v>
      </c>
      <c r="M896" s="1">
        <f t="shared" si="55"/>
        <v>2.5514314131430261E-3</v>
      </c>
      <c r="N896" s="1">
        <f t="shared" si="56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-7.3057354674760502E-2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8.0088896098051518E-2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2.2200000000000001E-5</v>
      </c>
      <c r="F899">
        <v>614294.72369999997</v>
      </c>
      <c r="G899" s="1">
        <v>1.7600000000000001E-5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0.14088493547541428</v>
      </c>
      <c r="N899" s="1">
        <f t="shared" ref="N899:N962" si="60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 s="1">
        <v>7.0899999999999999E-6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0</v>
      </c>
      <c r="M900" s="1">
        <f t="shared" si="59"/>
        <v>0</v>
      </c>
      <c r="N900" s="1">
        <f t="shared" si="60"/>
        <v>1.2058742005616354E-2</v>
      </c>
      <c r="O900" s="1"/>
    </row>
    <row r="901" spans="1:15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-3.9125857250869998E-2</v>
      </c>
      <c r="M901" s="1">
        <f t="shared" si="59"/>
        <v>0.15746652702811678</v>
      </c>
      <c r="N901" s="1">
        <f t="shared" si="60"/>
        <v>-0.30238268292268533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0.14899384620726841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-0.21055852248535503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 s="1">
        <v>6.9399999999999996E-6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0</v>
      </c>
      <c r="M904" s="1">
        <f t="shared" si="59"/>
        <v>0</v>
      </c>
      <c r="N904" s="1">
        <f t="shared" si="60"/>
        <v>9.2188124604960769E-3</v>
      </c>
      <c r="O904" s="1"/>
    </row>
    <row r="905" spans="1:15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-9.2699999999999993E-6</v>
      </c>
      <c r="F905">
        <v>567581.43359999999</v>
      </c>
      <c r="G905" s="1">
        <v>-4.1600000000000002E-5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-2.6875547331879999E-3</v>
      </c>
      <c r="M905" s="1">
        <f t="shared" si="59"/>
        <v>-0.10444561265596733</v>
      </c>
      <c r="N905" s="1">
        <f t="shared" si="60"/>
        <v>-0.21930446622814082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4.9599999999999999E-6</v>
      </c>
      <c r="F906">
        <v>694246.91689999995</v>
      </c>
      <c r="G906" s="1">
        <v>-1.04E-6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4.7252524527025809E-2</v>
      </c>
      <c r="N906" s="1">
        <f t="shared" si="60"/>
        <v>-4.6357537380020885E-3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 s="1">
        <v>-4.7E-7</v>
      </c>
      <c r="F907">
        <v>315113.25229999999</v>
      </c>
      <c r="G907" s="1">
        <v>-4.1699999999999997E-5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0</v>
      </c>
      <c r="M907" s="1">
        <f t="shared" si="59"/>
        <v>-5.1691149744618001E-3</v>
      </c>
      <c r="N907" s="1">
        <f t="shared" si="60"/>
        <v>-0.214584361042122</v>
      </c>
      <c r="O907" s="1"/>
    </row>
    <row r="908" spans="1:15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5.2800000000000003E-6</v>
      </c>
      <c r="F908">
        <v>1328372.199</v>
      </c>
      <c r="G908">
        <v>2.8421000000000002E-4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-0.27960828228543605</v>
      </c>
      <c r="M908" s="1">
        <f t="shared" si="59"/>
        <v>1.3715760376809218E-2</v>
      </c>
      <c r="N908" s="1">
        <f t="shared" si="60"/>
        <v>0.34543711615815326</v>
      </c>
      <c r="O908" s="1"/>
    </row>
    <row r="909" spans="1:15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1.88E-5</v>
      </c>
      <c r="F909">
        <v>1370158.5220000001</v>
      </c>
      <c r="G909">
        <v>2.3750999999999999E-4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-0.10051732671468086</v>
      </c>
      <c r="M909" s="1">
        <f t="shared" si="59"/>
        <v>1.8317483850931435E-2</v>
      </c>
      <c r="N909" s="1">
        <f t="shared" si="60"/>
        <v>0.10827633469703836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 s="1">
        <v>-1.0000000000000001E-5</v>
      </c>
      <c r="F910">
        <v>814471.30229999998</v>
      </c>
      <c r="G910" s="1">
        <v>2.87E-5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0</v>
      </c>
      <c r="M910" s="1">
        <f t="shared" si="59"/>
        <v>-0.10276916037929501</v>
      </c>
      <c r="N910" s="1">
        <f t="shared" si="60"/>
        <v>0.13800295417171934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-4.4400000000000002E-5</v>
      </c>
      <c r="F911">
        <v>854028.26170000003</v>
      </c>
      <c r="G911" s="1">
        <v>1.77E-5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-0.52195309662597966</v>
      </c>
      <c r="N911" s="1">
        <f t="shared" si="60"/>
        <v>9.7356612183707711E-2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-2.9200000000000002E-5</v>
      </c>
      <c r="F912">
        <v>499306.76530000003</v>
      </c>
      <c r="G912" s="1">
        <v>3.1600000000000002E-5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-0.32108740247059919</v>
      </c>
      <c r="N912" s="1">
        <f t="shared" si="60"/>
        <v>0.16258151873244242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1.5099999999999999E-6</v>
      </c>
      <c r="F913">
        <v>110340.32709999999</v>
      </c>
      <c r="G913" s="1">
        <v>2.0699999999999998E-5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2.4346415268874971E-2</v>
      </c>
      <c r="N913" s="1">
        <f t="shared" si="60"/>
        <v>0.1561608275068431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 s="1">
        <v>-4.8999999999999997E-6</v>
      </c>
      <c r="F914">
        <v>337598.30310000002</v>
      </c>
      <c r="G914" s="1">
        <v>-3.9700000000000003E-5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0</v>
      </c>
      <c r="M914" s="1">
        <f t="shared" si="59"/>
        <v>-4.9605410138323619E-2</v>
      </c>
      <c r="N914" s="1">
        <f t="shared" si="60"/>
        <v>-0.1880473205524506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-3.67E-6</v>
      </c>
      <c r="F915">
        <v>524740.83810000005</v>
      </c>
      <c r="G915" s="1">
        <v>-1.29E-5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-5.5093731104353824E-2</v>
      </c>
      <c r="N915" s="1">
        <f t="shared" si="60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-1.11E-6</v>
      </c>
      <c r="F916">
        <v>282564.40549999999</v>
      </c>
      <c r="G916" s="1">
        <v>2.23E-5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-9.3822086219661448E-3</v>
      </c>
      <c r="N916" s="1">
        <f t="shared" si="60"/>
        <v>8.8192295774544155E-2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-3.0342462843499833E-2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2.6400000000000001E-5</v>
      </c>
      <c r="F918">
        <v>430516.70020000002</v>
      </c>
      <c r="G918">
        <v>0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0.27164102477947516</v>
      </c>
      <c r="N918" s="1">
        <f t="shared" si="60"/>
        <v>0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3.1099999999999999E-6</v>
      </c>
      <c r="F919">
        <v>417968.91480000003</v>
      </c>
      <c r="G919" s="1">
        <v>-1.08E-5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4.1233800309476501E-2</v>
      </c>
      <c r="N919" s="1">
        <f t="shared" si="60"/>
        <v>-6.6997779316380013E-2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5.5999999999999997E-6</v>
      </c>
      <c r="F920">
        <v>538222.56059999997</v>
      </c>
      <c r="G920" s="1">
        <v>3.3899999999999997E-5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0.10018434593078801</v>
      </c>
      <c r="N920" s="1">
        <f t="shared" si="60"/>
        <v>0.28376264036654553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-2.6299999999999999E-5</v>
      </c>
      <c r="F921">
        <v>585456.31889999995</v>
      </c>
      <c r="G921" s="1">
        <v>-3.4E-5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-0.22030579972809219</v>
      </c>
      <c r="N921" s="1">
        <f t="shared" si="60"/>
        <v>-0.13325784237224403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1.1399999999999999E-5</v>
      </c>
      <c r="F922">
        <v>660488.32510000002</v>
      </c>
      <c r="G922" s="1">
        <v>1.34E-5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0.10582988277441521</v>
      </c>
      <c r="N922" s="1">
        <f t="shared" si="60"/>
        <v>5.8203880482886994E-2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 s="1">
        <v>-4.3599999999999998E-6</v>
      </c>
      <c r="F923">
        <v>376841.57079999999</v>
      </c>
      <c r="G923">
        <v>0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0</v>
      </c>
      <c r="M923" s="1">
        <f t="shared" si="59"/>
        <v>-1.6978605401392951E-2</v>
      </c>
      <c r="N923" s="1">
        <f t="shared" si="60"/>
        <v>0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3.1999999999999999E-5</v>
      </c>
      <c r="F924">
        <v>721095.04500000004</v>
      </c>
      <c r="G924">
        <v>14039.143099999999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0.17363559819930882</v>
      </c>
      <c r="N924" s="1">
        <f t="shared" si="60"/>
        <v>35642902.96131999</v>
      </c>
      <c r="O924" s="1"/>
    </row>
    <row r="925" spans="1:15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-4.2986682997098753E-3</v>
      </c>
      <c r="M925" s="1">
        <f t="shared" si="59"/>
        <v>1.3730544898707E-2</v>
      </c>
      <c r="N925" s="1">
        <f t="shared" si="60"/>
        <v>-0.12816644868981136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-3.8899999999999997E-5</v>
      </c>
      <c r="F926">
        <v>778650.66709999996</v>
      </c>
      <c r="G926" s="1">
        <v>4.3800000000000001E-5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-0.27411364270364386</v>
      </c>
      <c r="N926" s="1">
        <f t="shared" si="60"/>
        <v>0.14441052217433545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-3.7799999999999998E-6</v>
      </c>
      <c r="F927">
        <v>383550.54729999998</v>
      </c>
      <c r="G927" s="1">
        <v>-1.45E-5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-1.8693654133604059E-2</v>
      </c>
      <c r="N927" s="1">
        <f t="shared" si="60"/>
        <v>-3.3551665530314551E-2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-2.1799999999999999E-6</v>
      </c>
      <c r="F928">
        <v>333037.11229999998</v>
      </c>
      <c r="G928" s="1">
        <v>9.5200000000000003E-6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-1.6155627015353748E-2</v>
      </c>
      <c r="N928" s="1">
        <f t="shared" si="60"/>
        <v>3.3010184447835003E-2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5.3700000000000003E-6</v>
      </c>
      <c r="F929">
        <v>1159103.6340000001</v>
      </c>
      <c r="G929">
        <v>4.1934999999999997E-4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2.9558294161303116E-2</v>
      </c>
      <c r="N929" s="1">
        <f t="shared" si="60"/>
        <v>1.0800041062027668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>
        <v>0</v>
      </c>
      <c r="F930">
        <v>1062485.0330000001</v>
      </c>
      <c r="G930">
        <v>1214.154691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0</v>
      </c>
      <c r="N930" s="1">
        <f t="shared" si="60"/>
        <v>3646704.4500937513</v>
      </c>
      <c r="O930" s="1"/>
    </row>
    <row r="931" spans="1:15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1.4409892055613599E-2</v>
      </c>
      <c r="M931" s="1">
        <f t="shared" si="59"/>
        <v>3.624642078604344E-2</v>
      </c>
      <c r="N931" s="1">
        <f t="shared" si="60"/>
        <v>-0.14462543584278345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7.9459043905538568E-3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-2.5899999999999999E-5</v>
      </c>
      <c r="F933">
        <v>1003305.371</v>
      </c>
      <c r="G933">
        <v>11574.92373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-0.14577047229865414</v>
      </c>
      <c r="N933" s="1">
        <f t="shared" si="60"/>
        <v>30481168.589880973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1.4615107564575095E-2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-4.1799999999999998E-6</v>
      </c>
      <c r="F935">
        <v>594693.61289999995</v>
      </c>
      <c r="G935">
        <v>11606.561079999999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-4.0552320064544685E-2</v>
      </c>
      <c r="N935" s="1">
        <f t="shared" si="60"/>
        <v>52684961.081618935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-2.2000000000000001E-6</v>
      </c>
      <c r="F936">
        <v>673138.97420000006</v>
      </c>
      <c r="G936">
        <v>24032.924620000002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-9.9435330083106604E-3</v>
      </c>
      <c r="N936" s="1">
        <f t="shared" si="60"/>
        <v>50823941.374085948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-1.9999999999999999E-7</v>
      </c>
      <c r="F937">
        <v>243493.2775</v>
      </c>
      <c r="G937">
        <v>4625.4965970000003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-8.8231044967914004E-4</v>
      </c>
      <c r="N937" s="1">
        <f t="shared" si="60"/>
        <v>9547583.6287572701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34265.535580000003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100721234.80830769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 s="1">
        <v>-3.8999999999999999E-6</v>
      </c>
      <c r="F939">
        <v>666563.71239999996</v>
      </c>
      <c r="G939">
        <v>9856.3822080000009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0</v>
      </c>
      <c r="M939" s="1">
        <f t="shared" si="59"/>
        <v>-3.441262284474924E-2</v>
      </c>
      <c r="N939" s="1">
        <f t="shared" si="60"/>
        <v>40692500.918413639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>
        <v>11226.17081</v>
      </c>
      <c r="F940">
        <v>744566.70790000004</v>
      </c>
      <c r="G940">
        <v>25991.522970000002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67596817.658600971</v>
      </c>
      <c r="N940" s="1">
        <f t="shared" si="60"/>
        <v>73226792.345454782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>
        <v>16430.199110000001</v>
      </c>
      <c r="F941">
        <v>780317.56030000001</v>
      </c>
      <c r="G941">
        <v>9189.0275369999999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168173132.11841482</v>
      </c>
      <c r="N941" s="1">
        <f t="shared" si="60"/>
        <v>44007532.399318047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>
        <v>14814.45004</v>
      </c>
      <c r="F942">
        <v>890798.45460000006</v>
      </c>
      <c r="G942">
        <v>49839.242830000003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78587665.367924422</v>
      </c>
      <c r="N942" s="1">
        <f t="shared" si="60"/>
        <v>123704063.97107971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>
        <v>6743.3050430000003</v>
      </c>
      <c r="F943">
        <v>787927.1703</v>
      </c>
      <c r="G943">
        <v>22460.709869999999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38496459.693138555</v>
      </c>
      <c r="N943" s="1">
        <f t="shared" si="60"/>
        <v>59995011.62104702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>
        <v>16472.185600000001</v>
      </c>
      <c r="F944">
        <v>885090.15419999999</v>
      </c>
      <c r="G944">
        <v>18986.97768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0</v>
      </c>
      <c r="M944" s="1">
        <f t="shared" si="59"/>
        <v>237236969.11930895</v>
      </c>
      <c r="N944" s="1">
        <f t="shared" si="60"/>
        <v>127947162.2081103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>
        <v>39521.770969999998</v>
      </c>
      <c r="F945">
        <v>864960.78139999998</v>
      </c>
      <c r="G945">
        <v>19889.74613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387225025.9617061</v>
      </c>
      <c r="N945" s="1">
        <f t="shared" si="60"/>
        <v>91180073.619103134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>
        <v>8357.0881879999997</v>
      </c>
      <c r="F946">
        <v>759688.80889999995</v>
      </c>
      <c r="G946">
        <v>14851.99663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61225804.781209677</v>
      </c>
      <c r="N946" s="1">
        <f t="shared" si="60"/>
        <v>50910579.147210546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>
        <v>7883.512205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29471143.48137781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>
        <v>6033.1389129999998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15957868.817678679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-9.7999999999999993E-7</v>
      </c>
      <c r="F949">
        <v>375063.00900000002</v>
      </c>
      <c r="G949" s="1">
        <v>2.2200000000000001E-5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-9.119703032033355E-3</v>
      </c>
      <c r="N949" s="1">
        <f t="shared" si="60"/>
        <v>9.6660997686464772E-2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3.3399999999999999E-5</v>
      </c>
      <c r="F950">
        <v>848328.59660000005</v>
      </c>
      <c r="G950">
        <v>9769.4240019999997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0.27395123833439416</v>
      </c>
      <c r="N950" s="1">
        <f t="shared" si="60"/>
        <v>37492071.625898018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2.69E-5</v>
      </c>
      <c r="F951">
        <v>637389.02619999996</v>
      </c>
      <c r="G951" s="1">
        <v>4.3900000000000003E-5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0.25870073570147167</v>
      </c>
      <c r="N951" s="1">
        <f t="shared" si="60"/>
        <v>0.19753933261554005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2.5299999999999998E-5</v>
      </c>
      <c r="F952">
        <v>649534.38740000001</v>
      </c>
      <c r="G952" s="1">
        <v>-4.0000000000000003E-5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0.40746793488031618</v>
      </c>
      <c r="N952" s="1">
        <f t="shared" si="60"/>
        <v>-0.30142313781624008</v>
      </c>
      <c r="O952" s="1"/>
    </row>
    <row r="953" spans="1:15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>
        <v>0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-1.0349105701675E-3</v>
      </c>
      <c r="M953" s="1">
        <f t="shared" si="59"/>
        <v>0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2.0400000000000001E-5</v>
      </c>
      <c r="F954">
        <v>702900.43160000001</v>
      </c>
      <c r="G954" s="1">
        <v>-3.8600000000000003E-5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0.15925744879495488</v>
      </c>
      <c r="N954" s="1">
        <f t="shared" si="60"/>
        <v>-0.14099397989645091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-3.0800000000000002E-6</v>
      </c>
      <c r="F955">
        <v>1191782.9110000001</v>
      </c>
      <c r="G955" s="1">
        <v>6.5900000000000003E-5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-7.7611284261865201E-3</v>
      </c>
      <c r="N955" s="1">
        <f t="shared" si="60"/>
        <v>7.7696820349011902E-2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2.1100000000000001E-5</v>
      </c>
      <c r="F956">
        <v>1010444.912</v>
      </c>
      <c r="G956">
        <v>3297.3066349999999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0.11332177496198784</v>
      </c>
      <c r="N956" s="1">
        <f t="shared" si="60"/>
        <v>8285790.1056911638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1.91E-5</v>
      </c>
      <c r="F957">
        <v>996586.51280000003</v>
      </c>
      <c r="G957">
        <v>924.24473769999997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3.5430691759326234E-2</v>
      </c>
      <c r="N957" s="1">
        <f t="shared" si="60"/>
        <v>802189.41879678634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5.5000000000000003E-7</v>
      </c>
      <c r="F958">
        <v>333844.68119999999</v>
      </c>
      <c r="G958" s="1">
        <v>-1.5400000000000002E-5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2.8730018684880697E-3</v>
      </c>
      <c r="N958" s="1">
        <f t="shared" si="60"/>
        <v>-3.7638960258724444E-2</v>
      </c>
      <c r="O958" s="1"/>
    </row>
    <row r="959" spans="1:15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4.0299999999999997E-5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-7.1530445102051003E-3</v>
      </c>
      <c r="M959" s="1">
        <f t="shared" si="59"/>
        <v>6.6219554520501461E-2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-3.4100000000000002E-5</v>
      </c>
      <c r="F960">
        <v>1096769.0630000001</v>
      </c>
      <c r="G960">
        <v>0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-3.3758917661352E-2</v>
      </c>
      <c r="M960" s="1">
        <f t="shared" si="59"/>
        <v>-8.0434949394537991E-2</v>
      </c>
      <c r="N960" s="1">
        <f t="shared" si="60"/>
        <v>0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-1.1E-5</v>
      </c>
      <c r="F961">
        <v>1077233.0090000001</v>
      </c>
      <c r="G961">
        <v>1.6079000000000001E-4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-4.70083941348362E-2</v>
      </c>
      <c r="N961" s="1">
        <f t="shared" si="60"/>
        <v>0.32150330637193997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2.7699999999999999E-5</v>
      </c>
      <c r="F962">
        <v>563240.16639999999</v>
      </c>
      <c r="G962" s="1">
        <v>-4.4499999999999997E-5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8.3690895503766502E-2</v>
      </c>
      <c r="N962" s="1">
        <f t="shared" si="60"/>
        <v>-6.2907457803397515E-2</v>
      </c>
      <c r="O962" s="1"/>
    </row>
    <row r="963" spans="1:15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4.1199999999999999E-5</v>
      </c>
      <c r="F963">
        <v>957335.06909999996</v>
      </c>
      <c r="G963">
        <v>4082.8076879999999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3.7792748462053001E-2</v>
      </c>
      <c r="M963" s="1">
        <f t="shared" ref="M963:M1026" si="63">$U$3*$K963*E963</f>
        <v>0.11352486608253352</v>
      </c>
      <c r="N963" s="1">
        <f t="shared" ref="N963:N1026" si="64">$U$4*$K963*G963</f>
        <v>5263763.6940117246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 s="1">
        <v>-1.6799999999999998E-5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0</v>
      </c>
      <c r="M964" s="1">
        <f t="shared" si="63"/>
        <v>-4.8599572002266875E-2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3.4600000000000001E-5</v>
      </c>
      <c r="F965">
        <v>877716.75950000004</v>
      </c>
      <c r="G965">
        <v>6090.2189559999997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0.35604501888214229</v>
      </c>
      <c r="N965" s="1">
        <f t="shared" si="64"/>
        <v>29322797.4445711</v>
      </c>
      <c r="O965" s="1"/>
    </row>
    <row r="966" spans="1:15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3.4699999999999998E-6</v>
      </c>
      <c r="F966">
        <v>1009864.672</v>
      </c>
      <c r="G966">
        <v>4121.7305839999999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-1.5870510019982478E-2</v>
      </c>
      <c r="M966" s="1">
        <f t="shared" si="63"/>
        <v>8.4337239267410907E-3</v>
      </c>
      <c r="N966" s="1">
        <f t="shared" si="64"/>
        <v>4687196.7589533562</v>
      </c>
      <c r="O966" s="1"/>
    </row>
    <row r="967" spans="1:15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 s="1">
        <v>2.9600000000000001E-5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1.5441256191182251E-2</v>
      </c>
      <c r="M967" s="1">
        <f t="shared" si="63"/>
        <v>0.35309725695920252</v>
      </c>
      <c r="N967" s="1">
        <f t="shared" si="64"/>
        <v>0.21734377945182964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-2.5599999999999999E-5</v>
      </c>
      <c r="F968">
        <v>1128799.469</v>
      </c>
      <c r="G968">
        <v>3035.9950699999999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-5.7737104834680315E-2</v>
      </c>
      <c r="N968" s="1">
        <f t="shared" si="64"/>
        <v>3203758.5462092506</v>
      </c>
      <c r="O968" s="1"/>
    </row>
    <row r="969" spans="1:15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3.04E-5</v>
      </c>
      <c r="F969">
        <v>1313754.5349999999</v>
      </c>
      <c r="G969">
        <v>6983.344916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-9.1909627798423515E-2</v>
      </c>
      <c r="M969" s="1">
        <f t="shared" si="63"/>
        <v>2.3137834201166659E-2</v>
      </c>
      <c r="N969" s="1">
        <f t="shared" si="64"/>
        <v>2486888.3747689445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 s="1">
        <v>4.7299999999999998E-5</v>
      </c>
      <c r="F970">
        <v>869431.27980000002</v>
      </c>
      <c r="G970">
        <v>11359.75891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0</v>
      </c>
      <c r="M970" s="1">
        <f t="shared" si="63"/>
        <v>0.34353240798765811</v>
      </c>
      <c r="N970" s="1">
        <f t="shared" si="64"/>
        <v>38602849.653410658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>
        <v>1051.2452169999999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3446111.4167227182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3.8300000000000003E-5</v>
      </c>
      <c r="F972">
        <v>771257.54810000001</v>
      </c>
      <c r="G972">
        <v>12451.71911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0.17685204064112561</v>
      </c>
      <c r="N972" s="1">
        <f t="shared" si="64"/>
        <v>26901983.049985293</v>
      </c>
      <c r="O972" s="1"/>
    </row>
    <row r="973" spans="1:15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2.1399999999999998E-5</v>
      </c>
      <c r="F973">
        <v>855054.99540000001</v>
      </c>
      <c r="G973">
        <v>11329.414419999999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2.0081328864574248E-2</v>
      </c>
      <c r="M973" s="1">
        <f t="shared" si="63"/>
        <v>0.20589761630552042</v>
      </c>
      <c r="N973" s="1">
        <f t="shared" si="64"/>
        <v>51002173.790613435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4.4799999999999998E-5</v>
      </c>
      <c r="F974">
        <v>721466.87730000005</v>
      </c>
      <c r="G974" s="1">
        <v>-3.7799999999999997E-5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0.45972204312524223</v>
      </c>
      <c r="N974" s="1">
        <f t="shared" si="64"/>
        <v>-0.18149003824067048</v>
      </c>
      <c r="O974" s="1"/>
    </row>
    <row r="975" spans="1:15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3.2199999999999997E-5</v>
      </c>
      <c r="F975">
        <v>709686.321</v>
      </c>
      <c r="G975">
        <v>18799.190780000001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-1.4968714958892499E-3</v>
      </c>
      <c r="M975" s="1">
        <f t="shared" si="63"/>
        <v>0.16165291003914123</v>
      </c>
      <c r="N975" s="1">
        <f t="shared" si="64"/>
        <v>44158111.201312795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 s="1">
        <v>2.3199999999999998E-6</v>
      </c>
      <c r="F976">
        <v>657042.16960000002</v>
      </c>
      <c r="G976">
        <v>594.94630489999997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0</v>
      </c>
      <c r="M976" s="1">
        <f t="shared" si="63"/>
        <v>3.2611568618192796E-2</v>
      </c>
      <c r="N976" s="1">
        <f t="shared" si="64"/>
        <v>3912957.7054955587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-0.16078524417991247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>
        <v>1868.113243</v>
      </c>
      <c r="F978">
        <v>1387757.9210000001</v>
      </c>
      <c r="G978">
        <v>9984.6235639999995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828834.46678302053</v>
      </c>
      <c r="N978" s="1">
        <f t="shared" si="64"/>
        <v>2072716.848609501</v>
      </c>
      <c r="O978" s="1"/>
    </row>
    <row r="979" spans="1:15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2.8353894771735002E-3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1.04E-5</v>
      </c>
      <c r="F980">
        <v>423011.45159999997</v>
      </c>
      <c r="G980" s="1">
        <v>-4.6999999999999997E-5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4.1356890274462876E-2</v>
      </c>
      <c r="N980" s="1">
        <f t="shared" si="64"/>
        <v>-8.7449246637162595E-2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3.4900000000000001E-5</v>
      </c>
      <c r="F981">
        <v>543147.97790000006</v>
      </c>
      <c r="G981" s="1">
        <v>-2.9600000000000001E-5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0.41038665303567412</v>
      </c>
      <c r="N981" s="1">
        <f t="shared" si="64"/>
        <v>-0.16285578492222963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-3.1403863771499792E-2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-2.5900000000000002E-6</v>
      </c>
      <c r="F983">
        <v>522725.82679999998</v>
      </c>
      <c r="G983" s="1">
        <v>-4.1199999999999999E-5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-1.9311976927189722E-2</v>
      </c>
      <c r="N983" s="1">
        <f t="shared" si="64"/>
        <v>-0.14373676426414594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4.57E-5</v>
      </c>
      <c r="F984">
        <v>838852.59250000003</v>
      </c>
      <c r="G984">
        <v>5727.2280760000003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0.11130363419583879</v>
      </c>
      <c r="N984" s="1">
        <f t="shared" si="64"/>
        <v>6526514.4109146856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 s="1">
        <v>2.12E-5</v>
      </c>
      <c r="F985">
        <v>657674.98389999999</v>
      </c>
      <c r="G985">
        <v>2983.4186770000001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0</v>
      </c>
      <c r="M985" s="1">
        <f t="shared" si="63"/>
        <v>0.20235278937985335</v>
      </c>
      <c r="N985" s="1">
        <f t="shared" si="64"/>
        <v>13323895.469155265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>
        <v>8360.7850390000003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13941680.68647122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 s="1">
        <v>-3.9900000000000001E-5</v>
      </c>
      <c r="F987">
        <v>949003.41760000004</v>
      </c>
      <c r="G987">
        <v>11399.16071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0</v>
      </c>
      <c r="M987" s="1">
        <f t="shared" si="63"/>
        <v>-0.22244078150999649</v>
      </c>
      <c r="N987" s="1">
        <f t="shared" si="64"/>
        <v>29734324.12715568</v>
      </c>
      <c r="O987" s="1"/>
    </row>
    <row r="988" spans="1:15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3.0231435988975E-3</v>
      </c>
      <c r="M988" s="1">
        <f t="shared" si="63"/>
        <v>4.9681876805266298E-2</v>
      </c>
      <c r="N988" s="1">
        <f t="shared" si="64"/>
        <v>-0.12381865983053732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1.9899999999999999E-5</v>
      </c>
      <c r="F989">
        <v>952018.26950000005</v>
      </c>
      <c r="G989">
        <v>4336.6708390000003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7.5025275964392998E-2</v>
      </c>
      <c r="N989" s="1">
        <f t="shared" si="64"/>
        <v>7649880.7107087029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>
        <v>25607.144680000001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68190186.330987722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>
        <v>14082.95714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33812619.584340982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-3.96E-5</v>
      </c>
      <c r="F992">
        <v>1049052.7549999999</v>
      </c>
      <c r="G992">
        <v>3067.3899350000002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-3.6174345686931272E-2</v>
      </c>
      <c r="N992" s="1">
        <f t="shared" si="64"/>
        <v>1311046.7095566879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>
        <v>22251.28817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61536495.373105638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4.6E-6</v>
      </c>
      <c r="F994">
        <v>500880.37040000001</v>
      </c>
      <c r="G994">
        <v>34231.29118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3.2304657207640641E-2</v>
      </c>
      <c r="N994" s="1">
        <f t="shared" si="64"/>
        <v>112479729.74588445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 s="1">
        <v>-1.19E-5</v>
      </c>
      <c r="F995">
        <v>941399.94</v>
      </c>
      <c r="G995">
        <v>11802.46595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0</v>
      </c>
      <c r="M995" s="1">
        <f t="shared" si="63"/>
        <v>-1.4619191166925449E-2</v>
      </c>
      <c r="N995" s="1">
        <f t="shared" si="64"/>
        <v>6784109.015629557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-4.7448958175230087E-2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 s="1">
        <v>4.4199999999999997E-5</v>
      </c>
      <c r="F997">
        <v>1127227.304</v>
      </c>
      <c r="G997">
        <v>4791.084108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0</v>
      </c>
      <c r="M997" s="1">
        <f t="shared" si="63"/>
        <v>0.1965104719049087</v>
      </c>
      <c r="N997" s="1">
        <f t="shared" si="64"/>
        <v>9966459.4107182976</v>
      </c>
      <c r="O997" s="1"/>
    </row>
    <row r="998" spans="1:15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9092.445952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2.2185321825595506E-2</v>
      </c>
      <c r="M998" s="1">
        <f t="shared" si="63"/>
        <v>-0.14813589295071056</v>
      </c>
      <c r="N998" s="1">
        <f t="shared" si="64"/>
        <v>14388336.812551897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-3.3300000000000003E-5</v>
      </c>
      <c r="F999">
        <v>917592.15720000002</v>
      </c>
      <c r="G999">
        <v>11868.327359999999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-0.18158245043278257</v>
      </c>
      <c r="N999" s="1">
        <f t="shared" si="64"/>
        <v>30280485.492720913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3.3800000000000002E-5</v>
      </c>
      <c r="F1000">
        <v>1016039.441</v>
      </c>
      <c r="G1000">
        <v>4571.0251340000004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0.14436720518661869</v>
      </c>
      <c r="N1000" s="1">
        <f t="shared" si="64"/>
        <v>9135012.2944199108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-2.6999999999999999E-5</v>
      </c>
      <c r="F1001">
        <v>1033084.339</v>
      </c>
      <c r="G1001">
        <v>2512.9576310000002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-5.3496823011477297E-2</v>
      </c>
      <c r="N1001" s="1">
        <f t="shared" si="64"/>
        <v>2329662.8374680132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-5.0999999999999999E-7</v>
      </c>
      <c r="F1002">
        <v>355590.23509999999</v>
      </c>
      <c r="G1002" s="1">
        <v>4.6300000000000001E-5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-6.9601982129940893E-3</v>
      </c>
      <c r="N1002" s="1">
        <f t="shared" si="64"/>
        <v>0.2956487864785563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>
        <v>5622.1922750000003</v>
      </c>
      <c r="F1003">
        <v>1325242.1499999999</v>
      </c>
      <c r="G1003">
        <v>8793.9276730000001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13722861.272593714</v>
      </c>
      <c r="N1003" s="1">
        <f t="shared" si="64"/>
        <v>10043048.186245849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-2.4600000000000002E-5</v>
      </c>
      <c r="F1004">
        <v>1044378.0209999999</v>
      </c>
      <c r="G1004">
        <v>5120.7612339999996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-0.1559901286543271</v>
      </c>
      <c r="N1004" s="1">
        <f t="shared" si="64"/>
        <v>15192883.713242069</v>
      </c>
      <c r="O1004" s="1"/>
    </row>
    <row r="1005" spans="1:15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2.9899999999999998E-5</v>
      </c>
      <c r="F1005">
        <v>1175877.879</v>
      </c>
      <c r="G1005">
        <v>2105.9884099999999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1.0346198999916E-2</v>
      </c>
      <c r="M1005" s="1">
        <f t="shared" si="63"/>
        <v>3.3468285022954077E-2</v>
      </c>
      <c r="N1005" s="1">
        <f t="shared" si="64"/>
        <v>1102965.4930523185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0</v>
      </c>
      <c r="M1009" s="1">
        <f t="shared" si="63"/>
        <v>-0.11901350728338392</v>
      </c>
      <c r="N1009" s="1">
        <f t="shared" si="64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-7.9999999999999996E-7</v>
      </c>
      <c r="F1010">
        <v>30849.654589999998</v>
      </c>
      <c r="G1010">
        <v>0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7.4982597287974982E-3</v>
      </c>
      <c r="M1010" s="1">
        <f t="shared" si="63"/>
        <v>-2.0118407641573598E-2</v>
      </c>
      <c r="N1010" s="1">
        <f t="shared" si="64"/>
        <v>0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>
        <v>0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0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>
        <v>0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0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0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0</v>
      </c>
      <c r="N1020" s="1">
        <f t="shared" si="64"/>
        <v>0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0</v>
      </c>
      <c r="M1021" s="1">
        <f t="shared" si="63"/>
        <v>0</v>
      </c>
      <c r="N1021" s="1">
        <f t="shared" si="64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1.0780222594678906E-2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0</v>
      </c>
      <c r="M1024" s="1">
        <f t="shared" si="63"/>
        <v>1.3834301974710868E-2</v>
      </c>
      <c r="N1024" s="1">
        <f t="shared" si="64"/>
        <v>4.6828500047140773E-2</v>
      </c>
      <c r="O1024" s="1"/>
    </row>
    <row r="1025" spans="1:15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-9.6299390701150012E-3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2.2130925781965001E-3</v>
      </c>
      <c r="M1027" s="1">
        <f t="shared" ref="M1027:M1090" si="67">$U$3*$K1027*E1027</f>
        <v>-1.046554456440062E-2</v>
      </c>
      <c r="N1027" s="1">
        <f t="shared" ref="N1027:N1090" si="68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-1.1165893119429938E-2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1.7200000000000001E-5</v>
      </c>
      <c r="F1031">
        <v>672268.06889999995</v>
      </c>
      <c r="G1031" s="1">
        <v>4.2799999999999997E-5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5.2939958795970923E-2</v>
      </c>
      <c r="N1031" s="1">
        <f t="shared" si="68"/>
        <v>6.1637157062004115E-2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-3.9810229960194538E-2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6.181875180425473E-3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-1.5E-6</v>
      </c>
      <c r="F1034">
        <v>458677.16190000001</v>
      </c>
      <c r="G1034" s="1">
        <v>-3.7599999999999999E-5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-2.0299106369703001E-3</v>
      </c>
      <c r="N1034" s="1">
        <f t="shared" si="68"/>
        <v>-2.3807685855989281E-2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-4.7500000000000003E-6</v>
      </c>
      <c r="F1035">
        <v>622913.54599999997</v>
      </c>
      <c r="G1035" s="1">
        <v>-3.4400000000000003E-5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-6.2510781304875758E-3</v>
      </c>
      <c r="N1035" s="1">
        <f t="shared" si="68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 s="1">
        <v>3.2000000000000001E-7</v>
      </c>
      <c r="F1036">
        <v>190069.6347</v>
      </c>
      <c r="G1036" s="1">
        <v>3.6999999999999998E-5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0</v>
      </c>
      <c r="M1036" s="1">
        <f t="shared" si="67"/>
        <v>4.7610026660867199E-3</v>
      </c>
      <c r="N1036" s="1">
        <f t="shared" si="68"/>
        <v>0.257569152262203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4.0854718113773135E-2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>
        <v>0</v>
      </c>
      <c r="F1038">
        <v>259052.20120000001</v>
      </c>
      <c r="G1038" s="1">
        <v>1.8899999999999999E-5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0</v>
      </c>
      <c r="N1038" s="1">
        <f t="shared" si="68"/>
        <v>8.1847561457588217E-2</v>
      </c>
      <c r="O1038" s="1"/>
    </row>
    <row r="1039" spans="1:15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-4.4299999999999999E-5</v>
      </c>
      <c r="F1039">
        <v>557121.48580000002</v>
      </c>
      <c r="G1039" s="1">
        <v>-2.8E-5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-1.0983379049438252E-3</v>
      </c>
      <c r="M1039" s="1">
        <f t="shared" si="67"/>
        <v>-7.7707607935564069E-2</v>
      </c>
      <c r="N1039" s="1">
        <f t="shared" si="68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0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 s="1">
        <v>1.2700000000000001E-7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0</v>
      </c>
      <c r="M1041" s="1">
        <f t="shared" si="67"/>
        <v>0</v>
      </c>
      <c r="N1041" s="1">
        <f t="shared" si="68"/>
        <v>9.3595121367358531E-4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3.6295922932869609E-2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0</v>
      </c>
      <c r="M1043" s="1">
        <f t="shared" si="67"/>
        <v>6.0530291145056998E-3</v>
      </c>
      <c r="N1043" s="1">
        <f t="shared" si="68"/>
        <v>7.6375225983073503E-2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0</v>
      </c>
      <c r="M1044" s="1">
        <f t="shared" si="67"/>
        <v>-2.6164032313892093E-2</v>
      </c>
      <c r="N1044" s="1">
        <f t="shared" si="68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4.9355073451979106E-3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0.20447074975657381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-1.37E-6</v>
      </c>
      <c r="F1047">
        <v>137673.23050000001</v>
      </c>
      <c r="G1047" s="1">
        <v>-4.0599999999999998E-5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-1.4378859081958092E-2</v>
      </c>
      <c r="N1047" s="1">
        <f t="shared" si="68"/>
        <v>-0.19937631832252345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3.7000000000000002E-6</v>
      </c>
      <c r="F1048">
        <v>276533.22169999999</v>
      </c>
      <c r="G1048" s="1">
        <v>-3.3699999999999999E-5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3.8931523853130298E-2</v>
      </c>
      <c r="N1048" s="1">
        <f t="shared" si="68"/>
        <v>-0.16591026542617171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-0.20780500059240914</v>
      </c>
      <c r="O1049" s="1"/>
    </row>
    <row r="1050" spans="1:15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-4.2400000000000001E-5</v>
      </c>
      <c r="F1050">
        <v>696389.76789999998</v>
      </c>
      <c r="G1050" s="1">
        <v>-1.9599999999999999E-5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1.8547326738641998E-2</v>
      </c>
      <c r="M1050" s="1">
        <f t="shared" si="67"/>
        <v>-0.32968586636656871</v>
      </c>
      <c r="N1050" s="1">
        <f t="shared" si="68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9.9999999999999995E-8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3.4711289489131993E-3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4.0099999999999999E-5</v>
      </c>
      <c r="F1052">
        <v>821054.53040000005</v>
      </c>
      <c r="G1052">
        <v>1028.976521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-0.19322634516449552</v>
      </c>
      <c r="M1052" s="1">
        <f t="shared" si="67"/>
        <v>0.58793806618830036</v>
      </c>
      <c r="N1052" s="1">
        <f t="shared" si="68"/>
        <v>7058888.96140501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3.2899999999999998E-6</v>
      </c>
      <c r="F1053">
        <v>320964.54460000002</v>
      </c>
      <c r="G1053" s="1">
        <v>2.4300000000000001E-5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4.6588667309668749E-2</v>
      </c>
      <c r="N1053" s="1">
        <f t="shared" si="68"/>
        <v>0.16100313821943751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5.6799999999999998E-6</v>
      </c>
      <c r="F1054">
        <v>785874.84400000004</v>
      </c>
      <c r="G1054">
        <v>2552.869698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8.8279907519445519E-2</v>
      </c>
      <c r="N1054" s="1">
        <f t="shared" si="68"/>
        <v>18564611.292286433</v>
      </c>
      <c r="O1054" s="1"/>
    </row>
    <row r="1055" spans="1:15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-4.1E-5</v>
      </c>
      <c r="F1055">
        <v>672143.15610000002</v>
      </c>
      <c r="G1055">
        <v>192.80951529999999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3.0108793107087497E-3</v>
      </c>
      <c r="M1055" s="1">
        <f t="shared" si="67"/>
        <v>-0.41401906583253545</v>
      </c>
      <c r="N1055" s="1">
        <f t="shared" si="68"/>
        <v>910979.54482314328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-0.24469301260204321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-1.9400000000000001E-5</v>
      </c>
      <c r="F1057">
        <v>638715.76309999998</v>
      </c>
      <c r="G1057" s="1">
        <v>1.6200000000000001E-5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-0.19467470513387508</v>
      </c>
      <c r="N1057" s="1">
        <f t="shared" si="68"/>
        <v>7.6061780659040762E-2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3.3699999999999999E-6</v>
      </c>
      <c r="F1058">
        <v>702542.80090000003</v>
      </c>
      <c r="G1058">
        <v>858.43564249999997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9.1372460935278371E-2</v>
      </c>
      <c r="N1058" s="1">
        <f t="shared" si="68"/>
        <v>10890224.696319044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-1.24E-5</v>
      </c>
      <c r="F1059">
        <v>879359.16520000005</v>
      </c>
      <c r="G1059" s="1">
        <v>-3.4999999999999999E-6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-0.2032488028619632</v>
      </c>
      <c r="N1059" s="1">
        <f t="shared" si="68"/>
        <v>-2.6842195406082001E-2</v>
      </c>
      <c r="O1059" s="1"/>
    </row>
    <row r="1060" spans="1:15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>
        <v>9018.7578589999994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-1.3178708257520001E-2</v>
      </c>
      <c r="M1060" s="1">
        <f t="shared" si="67"/>
        <v>-0.66520036803226723</v>
      </c>
      <c r="N1060" s="1">
        <f t="shared" si="68"/>
        <v>93255915.571043253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2.9600000000000001E-5</v>
      </c>
      <c r="F1061">
        <v>715708.29590000003</v>
      </c>
      <c r="G1061">
        <v>2552.8697099999999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0.50669313574682084</v>
      </c>
      <c r="N1061" s="1">
        <f t="shared" si="68"/>
        <v>20446813.626382913</v>
      </c>
      <c r="O1061" s="1"/>
    </row>
    <row r="1062" spans="1:15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-4.99E-5</v>
      </c>
      <c r="F1062">
        <v>1028993.802</v>
      </c>
      <c r="G1062">
        <v>6983.3444740000004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9.1756704263737512E-2</v>
      </c>
      <c r="M1062" s="1">
        <f t="shared" si="67"/>
        <v>-0.51187065657527653</v>
      </c>
      <c r="N1062" s="1">
        <f t="shared" si="68"/>
        <v>33517130.622875694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-0.11325408229951771</v>
      </c>
      <c r="O1063" s="1"/>
    </row>
    <row r="1064" spans="1:15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-1.77E-5</v>
      </c>
      <c r="F1064">
        <v>883977.50159999996</v>
      </c>
      <c r="G1064">
        <v>819.39935990000004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-2.5430880859618001E-2</v>
      </c>
      <c r="M1064" s="1">
        <f t="shared" si="67"/>
        <v>-0.18870691708638851</v>
      </c>
      <c r="N1064" s="1">
        <f t="shared" si="68"/>
        <v>4087463.163081815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0.1651511744842914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>
        <v>1882.2823969999999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8641937.0971025862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0</v>
      </c>
      <c r="M1068" s="1">
        <f t="shared" si="67"/>
        <v>1.6350227389770121E-2</v>
      </c>
      <c r="N1068" s="1">
        <f t="shared" si="68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-4.3699999999999997E-6</v>
      </c>
      <c r="F1070">
        <v>413412.79119999998</v>
      </c>
      <c r="G1070" s="1">
        <v>-1.8700000000000001E-5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-7.4000503856621574E-2</v>
      </c>
      <c r="N1070" s="1">
        <f t="shared" si="68"/>
        <v>-0.14816257747372624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4.5499999999999996E-6</v>
      </c>
      <c r="F1071">
        <v>243948.69839999999</v>
      </c>
      <c r="G1071">
        <v>0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9.8702885838752655E-2</v>
      </c>
      <c r="N1071" s="1">
        <f t="shared" si="68"/>
        <v>0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 s="1">
        <v>4.1300000000000001E-5</v>
      </c>
      <c r="F1072">
        <v>585690.09080000001</v>
      </c>
      <c r="G1072" s="1">
        <v>2.4700000000000001E-5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0</v>
      </c>
      <c r="M1072" s="1">
        <f t="shared" si="67"/>
        <v>0.75932591569046726</v>
      </c>
      <c r="N1072" s="1">
        <f t="shared" si="68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>
        <v>0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6.984639017785E-3</v>
      </c>
      <c r="M1075" s="1">
        <f t="shared" si="67"/>
        <v>-2.3425404705802001E-2</v>
      </c>
      <c r="N1075" s="1">
        <f t="shared" si="68"/>
        <v>0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1.9800000000000001E-6</v>
      </c>
      <c r="F1076">
        <v>363306.2757</v>
      </c>
      <c r="G1076" s="1">
        <v>3.2700000000000002E-5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1.3906267656240761E-2</v>
      </c>
      <c r="N1076" s="1">
        <f t="shared" si="68"/>
        <v>0.1074575227982241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1.14686310775374E-2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0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 s="1">
        <v>-3.9099999999999998E-6</v>
      </c>
      <c r="F1080">
        <v>481020.7745</v>
      </c>
      <c r="G1080">
        <v>2509.6827760000001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0</v>
      </c>
      <c r="M1080" s="1">
        <f t="shared" si="67"/>
        <v>-5.6320996663851319E-2</v>
      </c>
      <c r="N1080" s="1">
        <f t="shared" si="68"/>
        <v>16914379.966623988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0</v>
      </c>
      <c r="M1082" s="1">
        <f t="shared" si="67"/>
        <v>5.4524453442593275E-2</v>
      </c>
      <c r="N1082" s="1">
        <f t="shared" si="68"/>
        <v>0.29253951277301732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 s="1">
        <v>-2.1E-7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0</v>
      </c>
      <c r="M1083" s="1">
        <f t="shared" si="67"/>
        <v>-2.2235668171256399E-3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 s="1">
        <v>3.5700000000000001E-6</v>
      </c>
      <c r="F1084">
        <v>649220.39390000002</v>
      </c>
      <c r="G1084" s="1">
        <v>1.9199999999999999E-5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0</v>
      </c>
      <c r="M1084" s="1">
        <f t="shared" si="67"/>
        <v>3.4544357510844594E-2</v>
      </c>
      <c r="N1084" s="1">
        <f t="shared" si="68"/>
        <v>8.6926823618376961E-2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0</v>
      </c>
      <c r="M1085" s="1">
        <f t="shared" si="67"/>
        <v>-6.2858691018882071E-2</v>
      </c>
      <c r="N1085" s="1">
        <f t="shared" si="68"/>
        <v>0.29888619169837322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0.32951131073149442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>
        <v>0</v>
      </c>
      <c r="F1087">
        <v>135253.24559999999</v>
      </c>
      <c r="G1087" s="1">
        <v>3.3300000000000003E-5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0</v>
      </c>
      <c r="N1087" s="1">
        <f t="shared" si="68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0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0.10584577298752081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4.8999999999999997E-7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3.3105099976640439E-3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-2.1E-7</v>
      </c>
      <c r="F1092">
        <v>149611.08720000001</v>
      </c>
      <c r="G1092" s="1">
        <v>-3.8300000000000003E-5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-2.2363445227297019E-3</v>
      </c>
      <c r="N1092" s="1">
        <f t="shared" si="72"/>
        <v>-0.19083668659886097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2.0100000000000001E-5</v>
      </c>
      <c r="F1093">
        <v>641818.4828</v>
      </c>
      <c r="G1093" s="1">
        <v>1.3400000000000001E-6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0.21027623536232015</v>
      </c>
      <c r="N1093" s="1">
        <f t="shared" si="72"/>
        <v>6.5590752314852174E-3</v>
      </c>
      <c r="O1093" s="1"/>
    </row>
    <row r="1094" spans="1:15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-5.1084700176575E-3</v>
      </c>
      <c r="M1094" s="1">
        <f t="shared" si="71"/>
        <v>-7.5556629316547191E-2</v>
      </c>
      <c r="N1094" s="1">
        <f t="shared" si="72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9.9999999999999995E-8</v>
      </c>
      <c r="F1095">
        <v>35189.477610000002</v>
      </c>
      <c r="G1095">
        <v>0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2.3350036469194E-3</v>
      </c>
      <c r="N1095" s="1">
        <f t="shared" si="72"/>
        <v>0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>
        <v>9816.4173640000008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0</v>
      </c>
      <c r="M1096" s="1">
        <f t="shared" si="71"/>
        <v>0</v>
      </c>
      <c r="N1096" s="1">
        <f t="shared" si="72"/>
        <v>32564315.359042909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>
        <v>4627.9616889999998</v>
      </c>
      <c r="F1097">
        <v>830617.76500000001</v>
      </c>
      <c r="G1097">
        <v>28628.822219999998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19788598.14551552</v>
      </c>
      <c r="N1097" s="1">
        <f t="shared" si="72"/>
        <v>57275967.488473877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-3.3200000000000001E-5</v>
      </c>
      <c r="F1098">
        <v>983667.96640000003</v>
      </c>
      <c r="G1098" s="1">
        <v>-3.1699999999999998E-5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-0.1788198304948983</v>
      </c>
      <c r="N1098" s="1">
        <f t="shared" si="72"/>
        <v>-7.9887813629131763E-2</v>
      </c>
      <c r="O1098" s="1"/>
    </row>
    <row r="1099" spans="1:15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3.9600000000000002E-6</v>
      </c>
      <c r="F1099">
        <v>1072255.8149999999</v>
      </c>
      <c r="G1099">
        <v>7834.26188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4.3067807091907002E-2</v>
      </c>
      <c r="M1099" s="1">
        <f t="shared" si="71"/>
        <v>8.41166889282839E-3</v>
      </c>
      <c r="N1099" s="1">
        <f t="shared" si="72"/>
        <v>7786257.2158920169</v>
      </c>
      <c r="O1099" s="1"/>
    </row>
    <row r="1100" spans="1:15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>
        <v>2567.0388229999999</v>
      </c>
      <c r="F1100">
        <v>983472.22140000004</v>
      </c>
      <c r="G1100">
        <v>27555.5448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2.8401214506170998E-2</v>
      </c>
      <c r="M1100" s="1">
        <f t="shared" si="71"/>
        <v>20376577.456636917</v>
      </c>
      <c r="N1100" s="1">
        <f t="shared" si="72"/>
        <v>102341430.44528064</v>
      </c>
      <c r="O1100" s="1"/>
    </row>
    <row r="1101" spans="1:15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>
        <v>843.519229</v>
      </c>
      <c r="F1101">
        <v>1266958.1669999999</v>
      </c>
      <c r="G1101">
        <v>14510.14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-1.9285551623390001E-2</v>
      </c>
      <c r="M1101" s="1">
        <f t="shared" si="71"/>
        <v>1118022.0468764047</v>
      </c>
      <c r="N1101" s="1">
        <f t="shared" si="72"/>
        <v>8998511.1952480618</v>
      </c>
      <c r="O1101" s="1"/>
    </row>
    <row r="1102" spans="1:15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 s="1">
        <v>3.7100000000000001E-5</v>
      </c>
      <c r="F1102">
        <v>1338934.3</v>
      </c>
      <c r="G1102">
        <v>13612.38445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-8.7872180606671499E-2</v>
      </c>
      <c r="M1102" s="1">
        <f t="shared" si="71"/>
        <v>3.7702526382527204E-2</v>
      </c>
      <c r="N1102" s="1">
        <f t="shared" si="72"/>
        <v>6472535.2942992235</v>
      </c>
      <c r="O1102" s="1"/>
    </row>
    <row r="1103" spans="1:15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>
        <v>684.75646019999999</v>
      </c>
      <c r="F1103">
        <v>1142420.5009999999</v>
      </c>
      <c r="G1103">
        <v>19144.458210000001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-0.62477657594041636</v>
      </c>
      <c r="M1103" s="1">
        <f t="shared" si="71"/>
        <v>4283109.7887205621</v>
      </c>
      <c r="N1103" s="1">
        <f t="shared" si="72"/>
        <v>56028607.254428275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>
        <v>9407.752821</v>
      </c>
      <c r="F1104">
        <v>1064046.8740000001</v>
      </c>
      <c r="G1104">
        <v>29528.972829999999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95933403.420924723</v>
      </c>
      <c r="N1104" s="1">
        <f t="shared" si="72"/>
        <v>140888638.51191896</v>
      </c>
      <c r="O1104" s="1"/>
    </row>
    <row r="1105" spans="1:15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>
        <v>10734.4681</v>
      </c>
      <c r="F1105">
        <v>1121986.2690000001</v>
      </c>
      <c r="G1105">
        <v>21014.60886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0.24257809500392324</v>
      </c>
      <c r="M1105" s="1">
        <f t="shared" si="71"/>
        <v>34518723.461361364</v>
      </c>
      <c r="N1105" s="1">
        <f t="shared" si="72"/>
        <v>31618348.800252929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>
        <v>10831.5206</v>
      </c>
      <c r="F1106">
        <v>1115925.9839999999</v>
      </c>
      <c r="G1106">
        <v>21416.511320000001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50216710.189508907</v>
      </c>
      <c r="N1106" s="1">
        <f t="shared" si="72"/>
        <v>46457007.648013264</v>
      </c>
      <c r="O1106" s="1"/>
    </row>
    <row r="1107" spans="1:15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>
        <v>843.51928239999995</v>
      </c>
      <c r="F1107">
        <v>1252113.926</v>
      </c>
      <c r="G1107">
        <v>11968.63616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1.0260078564517569E-2</v>
      </c>
      <c r="M1107" s="1">
        <f t="shared" si="71"/>
        <v>765860.42442373326</v>
      </c>
      <c r="N1107" s="1">
        <f t="shared" si="72"/>
        <v>5084438.0051942514</v>
      </c>
      <c r="O1107" s="1"/>
    </row>
    <row r="1108" spans="1:15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>
        <v>1868.113308</v>
      </c>
      <c r="F1108">
        <v>1227221.128</v>
      </c>
      <c r="G1108">
        <v>10907.75794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8.1458476889562495E-2</v>
      </c>
      <c r="M1108" s="1">
        <f t="shared" si="71"/>
        <v>1458191.6004590273</v>
      </c>
      <c r="N1108" s="1">
        <f t="shared" si="72"/>
        <v>3983735.9781709034</v>
      </c>
      <c r="O1108" s="1"/>
    </row>
    <row r="1109" spans="1:15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-2.7699999999999999E-5</v>
      </c>
      <c r="F1109">
        <v>810801.76890000002</v>
      </c>
      <c r="G1109">
        <v>843.51928980000002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9.5970731912380005E-3</v>
      </c>
      <c r="M1109" s="1">
        <f t="shared" si="71"/>
        <v>-0.22289571604849917</v>
      </c>
      <c r="N1109" s="1">
        <f t="shared" si="72"/>
        <v>3175854.8806462819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 s="1">
        <v>1.79E-6</v>
      </c>
      <c r="F1110">
        <v>357654.30910000001</v>
      </c>
      <c r="G1110" s="1">
        <v>1.9599999999999999E-5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0</v>
      </c>
      <c r="M1110" s="1">
        <f t="shared" si="71"/>
        <v>2.1429020883976059E-2</v>
      </c>
      <c r="N1110" s="1">
        <f t="shared" si="72"/>
        <v>0.1097865269623416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3.2399999999999999E-6</v>
      </c>
      <c r="F1111">
        <v>880828.54839999997</v>
      </c>
      <c r="G1111" s="1">
        <v>-2.1299999999999999E-6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2.4762407258422908E-2</v>
      </c>
      <c r="N1111" s="1">
        <f t="shared" si="72"/>
        <v>-7.6167751174608701E-3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 s="1">
        <v>-2.8399999999999999E-5</v>
      </c>
      <c r="F1112">
        <v>794543.35389999999</v>
      </c>
      <c r="G1112">
        <v>29978.97134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0</v>
      </c>
      <c r="M1112" s="1">
        <f t="shared" si="71"/>
        <v>-0.34049768856017282</v>
      </c>
      <c r="N1112" s="1">
        <f t="shared" si="72"/>
        <v>168172985.13398537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4.88E-5</v>
      </c>
      <c r="F1113">
        <v>761876.19660000002</v>
      </c>
      <c r="G1113">
        <v>20889.969229999999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0.33558632064828281</v>
      </c>
      <c r="N1113" s="1">
        <f t="shared" si="72"/>
        <v>67214954.040067807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>
        <v>594.94630849999999</v>
      </c>
      <c r="F1114">
        <v>839123.76269999996</v>
      </c>
      <c r="G1114">
        <v>28659.120869999999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1685968.1253013364</v>
      </c>
      <c r="N1114" s="1">
        <f t="shared" si="72"/>
        <v>37999521.48604504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>
        <v>4627.9616800000003</v>
      </c>
      <c r="F1115">
        <v>879176.70860000001</v>
      </c>
      <c r="G1115">
        <v>36438.089059999998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12993569.505570889</v>
      </c>
      <c r="N1115" s="1">
        <f t="shared" si="72"/>
        <v>47867196.325816706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38102.4568</v>
      </c>
      <c r="F1116">
        <v>991880.97420000006</v>
      </c>
      <c r="G1116">
        <v>45626.094279999998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230770193.13792959</v>
      </c>
      <c r="N1116" s="1">
        <f t="shared" si="72"/>
        <v>129295588.10100941</v>
      </c>
      <c r="O1116" s="1"/>
    </row>
    <row r="1117" spans="1:15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>
        <v>4627.9617150000004</v>
      </c>
      <c r="F1117">
        <v>860512.82609999995</v>
      </c>
      <c r="G1117">
        <v>37032.367389999999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4.7604516731889002E-3</v>
      </c>
      <c r="M1117" s="1">
        <f t="shared" si="71"/>
        <v>9353065.2454497572</v>
      </c>
      <c r="N1117" s="1">
        <f t="shared" si="72"/>
        <v>35017840.547214992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>
        <v>594.94636309999999</v>
      </c>
      <c r="F1118">
        <v>777270.67249999999</v>
      </c>
      <c r="G1118">
        <v>31235.91977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0</v>
      </c>
      <c r="M1118" s="1">
        <f t="shared" si="71"/>
        <v>5916357.4332689168</v>
      </c>
      <c r="N1118" s="1">
        <f t="shared" si="72"/>
        <v>145336456.25160044</v>
      </c>
      <c r="O1118" s="1"/>
    </row>
    <row r="1119" spans="1:15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>
        <v>594.94631719999995</v>
      </c>
      <c r="F1119">
        <v>822168.95030000003</v>
      </c>
      <c r="G1119">
        <v>28940.430850000001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-1.0733147555141374E-2</v>
      </c>
      <c r="M1119" s="1">
        <f t="shared" si="71"/>
        <v>3510897.7577735903</v>
      </c>
      <c r="N1119" s="1">
        <f t="shared" si="72"/>
        <v>79907781.315224171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>
        <v>34241.82142</v>
      </c>
      <c r="F1120">
        <v>968225.46219999995</v>
      </c>
      <c r="G1120">
        <v>48383.989679999999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51512255.777764618</v>
      </c>
      <c r="N1120" s="1">
        <f t="shared" si="72"/>
        <v>34056425.679555327</v>
      </c>
      <c r="O1120" s="1"/>
    </row>
    <row r="1121" spans="1:15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-5.0100000000000003E-6</v>
      </c>
      <c r="F1121">
        <v>725902.35439999995</v>
      </c>
      <c r="G1121">
        <v>18316.689269999999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8.7588778268680011E-3</v>
      </c>
      <c r="M1121" s="1">
        <f t="shared" si="71"/>
        <v>-4.7475291240440171E-2</v>
      </c>
      <c r="N1121" s="1">
        <f t="shared" si="72"/>
        <v>81212067.68178992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 s="1">
        <v>8.8999999999999995E-7</v>
      </c>
      <c r="F1122">
        <v>706600.6679</v>
      </c>
      <c r="G1122">
        <v>18375.315050000001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0</v>
      </c>
      <c r="M1122" s="1">
        <f t="shared" si="71"/>
        <v>6.5322588900247605E-3</v>
      </c>
      <c r="N1122" s="1">
        <f t="shared" si="72"/>
        <v>63103268.422954157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>
        <v>2567.0388800000001</v>
      </c>
      <c r="F1123">
        <v>796029.72690000001</v>
      </c>
      <c r="G1123">
        <v>32729.58207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19326011.986644059</v>
      </c>
      <c r="N1123" s="1">
        <f t="shared" si="72"/>
        <v>115290609.72596945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1.13E-5</v>
      </c>
      <c r="F1124">
        <v>764166.63049999997</v>
      </c>
      <c r="G1124">
        <v>13285.88708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7.8405701728248053E-2</v>
      </c>
      <c r="N1124" s="1">
        <f t="shared" si="72"/>
        <v>43132381.488246247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>
        <v>22433.98833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156669821.24231461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>
        <v>594.94638650000002</v>
      </c>
      <c r="F1126">
        <v>870536.10719999997</v>
      </c>
      <c r="G1126">
        <v>16121.17381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5083477.9196734894</v>
      </c>
      <c r="N1126" s="1">
        <f t="shared" si="72"/>
        <v>64450078.239078328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>
        <v>12713.803029999999</v>
      </c>
      <c r="F1127">
        <v>1087603.3189999999</v>
      </c>
      <c r="G1127">
        <v>31907.997449999999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33070596.938694149</v>
      </c>
      <c r="N1127" s="1">
        <f t="shared" si="72"/>
        <v>38833790.398849577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-8.0999999999999997E-7</v>
      </c>
      <c r="F1128">
        <v>543445.98069999996</v>
      </c>
      <c r="G1128">
        <v>12801.70932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-3.3663000746128858E-3</v>
      </c>
      <c r="N1128" s="1">
        <f t="shared" si="72"/>
        <v>24893126.5941048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-3.68E-5</v>
      </c>
      <c r="F1129">
        <v>637040.67169999995</v>
      </c>
      <c r="G1129">
        <v>11201.39558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-0.39763061347333051</v>
      </c>
      <c r="N1129" s="1">
        <f t="shared" si="72"/>
        <v>56630162.447116964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4.4700000000000002E-5</v>
      </c>
      <c r="F1130">
        <v>757654.33700000006</v>
      </c>
      <c r="G1130">
        <v>12958.724700000001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0.33259145646031141</v>
      </c>
      <c r="N1130" s="1">
        <f t="shared" si="72"/>
        <v>45113810.154116496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>
        <v>11507.19247</v>
      </c>
      <c r="F1131">
        <v>1097325.3729999999</v>
      </c>
      <c r="G1131">
        <v>25292.59881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30628770.461319394</v>
      </c>
      <c r="N1131" s="1">
        <f t="shared" si="72"/>
        <v>31499040.108654257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>
        <v>14620.1584</v>
      </c>
      <c r="F1132">
        <v>1144468.5460000001</v>
      </c>
      <c r="G1132">
        <v>29829.328099999999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9322531.6515804268</v>
      </c>
      <c r="N1132" s="1">
        <f t="shared" si="72"/>
        <v>8899568.2468740046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>
        <v>594.94638740000005</v>
      </c>
      <c r="F1133">
        <v>896204.51390000002</v>
      </c>
      <c r="G1133">
        <v>17477.639910000002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1759090.5861904712</v>
      </c>
      <c r="N1133" s="1">
        <f t="shared" si="72"/>
        <v>24178916.655152138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>
        <v>26755.072349999999</v>
      </c>
      <c r="F1134">
        <v>1015590.349</v>
      </c>
      <c r="G1134">
        <v>45359.372710000003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115979369.85603292</v>
      </c>
      <c r="N1134" s="1">
        <f t="shared" si="72"/>
        <v>91999471.638114244</v>
      </c>
      <c r="O1134" s="1"/>
    </row>
    <row r="1135" spans="1:15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>
        <v>35603.794829999999</v>
      </c>
      <c r="F1135">
        <v>881380.74380000005</v>
      </c>
      <c r="G1135">
        <v>41618.854979999996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-5.2900975819536011E-2</v>
      </c>
      <c r="M1135" s="1">
        <f t="shared" si="71"/>
        <v>217823690.54962867</v>
      </c>
      <c r="N1135" s="1">
        <f t="shared" si="72"/>
        <v>119135893.99217138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4.1900000000000002E-5</v>
      </c>
      <c r="F1136">
        <v>843022.72580000001</v>
      </c>
      <c r="G1136">
        <v>17354.703150000001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0.25008250759070649</v>
      </c>
      <c r="N1136" s="1">
        <f t="shared" si="72"/>
        <v>48465216.832226358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>
        <v>12713.803099999999</v>
      </c>
      <c r="F1137">
        <v>1076810.389</v>
      </c>
      <c r="G1137">
        <v>32171.31551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39528624.993907481</v>
      </c>
      <c r="N1137" s="1">
        <f t="shared" si="72"/>
        <v>46800309.43065723</v>
      </c>
      <c r="O1137" s="1"/>
    </row>
    <row r="1138" spans="1:15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>
        <v>18098.890490000002</v>
      </c>
      <c r="F1138">
        <v>1056097.8770000001</v>
      </c>
      <c r="G1138">
        <v>29045.472740000001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-1.9632428934442999E-2</v>
      </c>
      <c r="M1138" s="1">
        <f t="shared" si="71"/>
        <v>45834845.876631767</v>
      </c>
      <c r="N1138" s="1">
        <f t="shared" si="72"/>
        <v>34416440.415624768</v>
      </c>
      <c r="O1138" s="1"/>
    </row>
    <row r="1139" spans="1:15" x14ac:dyDescent="0.25">
      <c r="A1139">
        <v>1844</v>
      </c>
      <c r="B1139">
        <v>451056.19280000002</v>
      </c>
      <c r="C1139">
        <v>594.94638889999999</v>
      </c>
      <c r="D1139">
        <v>841488.3726</v>
      </c>
      <c r="E1139">
        <v>20139.556049999999</v>
      </c>
      <c r="F1139">
        <v>1337335.9539999999</v>
      </c>
      <c r="G1139">
        <v>21535.288240000002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1546884.7495305238</v>
      </c>
      <c r="M1139" s="1">
        <f t="shared" si="71"/>
        <v>17561966.921624467</v>
      </c>
      <c r="N1139" s="1">
        <f t="shared" si="72"/>
        <v>8786534.7115568258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>
        <v>13311.957479999999</v>
      </c>
      <c r="F1140">
        <v>1174570.3049999999</v>
      </c>
      <c r="G1140">
        <v>38365.66358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11351662.671000184</v>
      </c>
      <c r="N1140" s="1">
        <f t="shared" si="72"/>
        <v>15307488.705701735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8345.3767530000005</v>
      </c>
      <c r="F1141">
        <v>1202796.99</v>
      </c>
      <c r="G1141">
        <v>24087.44168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11926972.433989283</v>
      </c>
      <c r="N1141" s="1">
        <f t="shared" si="72"/>
        <v>16107146.994264755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>
        <v>5716.8469249999998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9.4372527207466236E-2</v>
      </c>
      <c r="N1143" s="1">
        <f t="shared" si="72"/>
        <v>19721314.428393487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7.9999999999999996E-7</v>
      </c>
      <c r="F1144">
        <v>549143.3138</v>
      </c>
      <c r="G1144">
        <v>16871.92958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7.9395037794568E-3</v>
      </c>
      <c r="N1144" s="1">
        <f t="shared" si="72"/>
        <v>78345093.830551475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>
        <v>19604.025399999999</v>
      </c>
      <c r="F1145">
        <v>1077350.463</v>
      </c>
      <c r="G1145">
        <v>38843.442199999998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165390300.87073034</v>
      </c>
      <c r="N1145" s="1">
        <f t="shared" si="72"/>
        <v>153329658.28891975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6.4799999999999998E-6</v>
      </c>
      <c r="F1146">
        <v>733384.70770000003</v>
      </c>
      <c r="G1146">
        <v>19046.366910000001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5.0277690119834788E-2</v>
      </c>
      <c r="N1146" s="1">
        <f t="shared" si="72"/>
        <v>69144260.397401214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>
        <v>17468.168519999999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125433555.74152824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>
        <v>36488.448779999999</v>
      </c>
      <c r="F1148">
        <v>963410.88219999999</v>
      </c>
      <c r="G1148">
        <v>44982.653709999999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231012726.61122924</v>
      </c>
      <c r="N1148" s="1">
        <f t="shared" si="72"/>
        <v>133250625.42820115</v>
      </c>
      <c r="O1148" s="1"/>
    </row>
    <row r="1149" spans="1:15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>
        <v>23994.784950000001</v>
      </c>
      <c r="F1149">
        <v>981907.60789999994</v>
      </c>
      <c r="G1149">
        <v>43622.203170000001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2.1433227180845997E-2</v>
      </c>
      <c r="M1149" s="1">
        <f t="shared" si="71"/>
        <v>143736253.31228077</v>
      </c>
      <c r="N1149" s="1">
        <f t="shared" si="72"/>
        <v>122264600.31859785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>
        <v>20266.343580000001</v>
      </c>
      <c r="F1150">
        <v>886451.59169999999</v>
      </c>
      <c r="G1150">
        <v>34999.431429999997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135468981.15800586</v>
      </c>
      <c r="N1150" s="1">
        <f t="shared" si="72"/>
        <v>109463449.75732645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 s="1">
        <v>-3.2400000000000001E-5</v>
      </c>
      <c r="F1151">
        <v>712183.70129999996</v>
      </c>
      <c r="G1151">
        <v>8901.1406150000003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0</v>
      </c>
      <c r="M1151" s="1">
        <f t="shared" si="71"/>
        <v>-0.51132093684851154</v>
      </c>
      <c r="N1151" s="1">
        <f t="shared" si="72"/>
        <v>65726106.431189544</v>
      </c>
      <c r="O1151" s="1"/>
    </row>
    <row r="1152" spans="1:15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>
        <v>4707.4625699999997</v>
      </c>
      <c r="F1152">
        <v>1068878.2169999999</v>
      </c>
      <c r="G1152">
        <v>35157.535960000001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-0.16222318973075411</v>
      </c>
      <c r="M1152" s="1">
        <f t="shared" si="71"/>
        <v>37011514.320651457</v>
      </c>
      <c r="N1152" s="1">
        <f t="shared" si="72"/>
        <v>129333814.56280544</v>
      </c>
      <c r="O1152" s="1"/>
    </row>
    <row r="1153" spans="1:15" x14ac:dyDescent="0.25">
      <c r="A1153">
        <v>1900</v>
      </c>
      <c r="B1153">
        <v>221769.0013</v>
      </c>
      <c r="C1153" s="1">
        <v>-1.04E-5</v>
      </c>
      <c r="D1153">
        <v>639054.72609999997</v>
      </c>
      <c r="E1153">
        <v>5463.1082749999996</v>
      </c>
      <c r="F1153">
        <v>1040347.374</v>
      </c>
      <c r="G1153">
        <v>43190.72034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-8.5407548352724003E-2</v>
      </c>
      <c r="M1153" s="1">
        <f t="shared" si="71"/>
        <v>15046859.341036085</v>
      </c>
      <c r="N1153" s="1">
        <f t="shared" si="72"/>
        <v>55659612.522841431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>
        <v>17380.312379999999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34032812.714232221</v>
      </c>
      <c r="O1154" s="1"/>
    </row>
    <row r="1155" spans="1:15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>
        <v>22398.712680000001</v>
      </c>
      <c r="F1155">
        <v>902760.99230000004</v>
      </c>
      <c r="G1155">
        <v>25263.980240000001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-0.1620715883503015</v>
      </c>
      <c r="M1155" s="1">
        <f t="shared" ref="M1155:M1218" si="75">$U$3*$K1155*E1155</f>
        <v>229719157.37266219</v>
      </c>
      <c r="N1155" s="1">
        <f t="shared" ref="N1155:N1218" si="76">$U$4*$K1155*G1155</f>
        <v>121232652.35583106</v>
      </c>
      <c r="O1155" s="1"/>
    </row>
    <row r="1156" spans="1:15" x14ac:dyDescent="0.25">
      <c r="A1156">
        <v>1903</v>
      </c>
      <c r="B1156">
        <v>150799.2819</v>
      </c>
      <c r="C1156" s="1">
        <v>6.1E-6</v>
      </c>
      <c r="D1156">
        <v>587397.47329999995</v>
      </c>
      <c r="E1156">
        <v>22300.139569999999</v>
      </c>
      <c r="F1156">
        <v>1008634.988</v>
      </c>
      <c r="G1156">
        <v>47195.70465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8.7527638484559009E-2</v>
      </c>
      <c r="M1156" s="1">
        <f t="shared" si="75"/>
        <v>107316399.71438104</v>
      </c>
      <c r="N1156" s="1">
        <f t="shared" si="76"/>
        <v>106268528.27545536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>
        <v>32703.255389999998</v>
      </c>
      <c r="F1157">
        <v>926311.81980000006</v>
      </c>
      <c r="G1157">
        <v>39677.303899999999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141232508.42848384</v>
      </c>
      <c r="N1157" s="1">
        <f t="shared" si="76"/>
        <v>80173255.492787331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>
        <v>29123.426899999999</v>
      </c>
      <c r="F1158">
        <v>1078270.976</v>
      </c>
      <c r="G1158">
        <v>46562.672120000003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95579900.221680656</v>
      </c>
      <c r="N1158" s="1">
        <f t="shared" si="76"/>
        <v>71499938.816038102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>
        <v>22630.992590000002</v>
      </c>
      <c r="F1159">
        <v>948456.81140000001</v>
      </c>
      <c r="G1159">
        <v>50530.42409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47755487.859878443</v>
      </c>
      <c r="N1159" s="1">
        <f t="shared" si="76"/>
        <v>49890321.775612533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4.8799999999999999E-6</v>
      </c>
      <c r="F1160">
        <v>697307.28749999998</v>
      </c>
      <c r="G1160">
        <v>12621.126990000001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1.7191816367299554E-2</v>
      </c>
      <c r="N1160" s="1">
        <f t="shared" si="76"/>
        <v>20803852.037116211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>
        <v>10734.46811</v>
      </c>
      <c r="F1161">
        <v>1068173.5630000001</v>
      </c>
      <c r="G1161">
        <v>22025.10801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13937963.138904106</v>
      </c>
      <c r="N1161" s="1">
        <f t="shared" si="76"/>
        <v>13380751.537111107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>
        <v>20391.976989999999</v>
      </c>
      <c r="F1162">
        <v>946225.47600000002</v>
      </c>
      <c r="G1162">
        <v>30554.338510000001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56227372.28601221</v>
      </c>
      <c r="N1162" s="1">
        <f t="shared" si="76"/>
        <v>39418947.055308625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>
        <v>14128.5627</v>
      </c>
      <c r="F1163">
        <v>1047559.023</v>
      </c>
      <c r="G1163">
        <v>33611.552839999997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14927579.596232973</v>
      </c>
      <c r="N1163" s="1">
        <f t="shared" si="76"/>
        <v>16615892.26473012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>
        <v>9652.2565990000003</v>
      </c>
      <c r="F1164">
        <v>1053737.2139999999</v>
      </c>
      <c r="G1164">
        <v>21313.822550000001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18574719.972695909</v>
      </c>
      <c r="N1164" s="1">
        <f t="shared" si="76"/>
        <v>19191036.887746565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>
        <v>4082.8076150000002</v>
      </c>
      <c r="F1165">
        <v>1159791.1299999999</v>
      </c>
      <c r="G1165">
        <v>21936.151119999999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16613523.64583702</v>
      </c>
      <c r="N1165" s="1">
        <f t="shared" si="76"/>
        <v>41764467.193992518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>
        <v>10501.173790000001</v>
      </c>
      <c r="F1166">
        <v>1114619.8459999999</v>
      </c>
      <c r="G1166">
        <v>29085.463479999999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13279326.434049189</v>
      </c>
      <c r="N1166" s="1">
        <f t="shared" si="76"/>
        <v>17209088.494155657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>
        <v>8962.8374820000008</v>
      </c>
      <c r="F1167">
        <v>1082876.497</v>
      </c>
      <c r="G1167">
        <v>23678.726320000002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16769365.065553969</v>
      </c>
      <c r="N1167" s="1">
        <f t="shared" si="76"/>
        <v>20728750.00073972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>
        <v>14035.757030000001</v>
      </c>
      <c r="F1168">
        <v>1231100.067</v>
      </c>
      <c r="G1168">
        <v>21726.1594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66013829.683569282</v>
      </c>
      <c r="N1168" s="1">
        <f t="shared" si="76"/>
        <v>47810768.710918456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>
        <v>14035.757</v>
      </c>
      <c r="F1169">
        <v>1238182.557</v>
      </c>
      <c r="G1169">
        <v>21726.1594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62134704.455017403</v>
      </c>
      <c r="N1169" s="1">
        <f t="shared" si="76"/>
        <v>45001297.519163638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13431.16547</v>
      </c>
      <c r="F1170">
        <v>1246894.149</v>
      </c>
      <c r="G1170">
        <v>24001.750199999999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0.17347565822463501</v>
      </c>
      <c r="M1170" s="1">
        <f t="shared" si="75"/>
        <v>38119001.800962709</v>
      </c>
      <c r="N1170" s="1">
        <f t="shared" si="76"/>
        <v>31872373.754431747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14125.1309</v>
      </c>
      <c r="F1171">
        <v>1228771.6089999999</v>
      </c>
      <c r="G1171">
        <v>25154.92438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84925882.634597719</v>
      </c>
      <c r="N1171" s="1">
        <f t="shared" si="76"/>
        <v>70764310.960276634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>
        <v>9166.1737140000005</v>
      </c>
      <c r="F1172">
        <v>835523.58790000004</v>
      </c>
      <c r="G1172">
        <v>48745.437660000003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91701972.002511337</v>
      </c>
      <c r="N1172" s="1">
        <f t="shared" si="76"/>
        <v>228175096.91897249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>
        <v>7795.7129610000002</v>
      </c>
      <c r="F1173">
        <v>812611.6152</v>
      </c>
      <c r="G1173">
        <v>38802.417699999998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58455688.009810291</v>
      </c>
      <c r="N1173" s="1">
        <f t="shared" si="76"/>
        <v>136136130.15289992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>
        <v>4627.9616500000002</v>
      </c>
      <c r="F1174">
        <v>758196.98910000001</v>
      </c>
      <c r="G1174">
        <v>37469.048929999997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0</v>
      </c>
      <c r="M1174" s="1">
        <f t="shared" si="75"/>
        <v>34980805.667670645</v>
      </c>
      <c r="N1174" s="1">
        <f t="shared" si="76"/>
        <v>132512364.70342615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>
        <v>31518.197800000002</v>
      </c>
      <c r="F1175">
        <v>926522.57649999997</v>
      </c>
      <c r="G1175">
        <v>42651.775759999997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112830308.7034658</v>
      </c>
      <c r="N1175" s="1">
        <f t="shared" si="76"/>
        <v>71440616.73200196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>
        <v>20757.36104</v>
      </c>
      <c r="F1176">
        <v>1019127.36</v>
      </c>
      <c r="G1176">
        <v>44585.280460000002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11672437.912675325</v>
      </c>
      <c r="N1176" s="1">
        <f t="shared" si="76"/>
        <v>11730718.53033662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>
        <v>20757.361099999998</v>
      </c>
      <c r="F1177">
        <v>1015212.3419999999</v>
      </c>
      <c r="G1177">
        <v>46687.083429999999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62437027.470138043</v>
      </c>
      <c r="N1177" s="1">
        <f t="shared" si="76"/>
        <v>65706827.773995511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18718.858339999999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24565930.281742591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>
        <v>25092.066780000001</v>
      </c>
      <c r="F1179">
        <v>938302.85739999998</v>
      </c>
      <c r="G1179">
        <v>38704.290240000002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85769008.12891899</v>
      </c>
      <c r="N1179" s="1">
        <f t="shared" si="76"/>
        <v>61900868.004822016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>
        <v>7795.7129720000003</v>
      </c>
      <c r="F1180">
        <v>819871.09620000003</v>
      </c>
      <c r="G1180">
        <v>38802.417719999998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20711864.68209647</v>
      </c>
      <c r="N1180" s="1">
        <f t="shared" si="76"/>
        <v>48235393.330289237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>
        <v>7666.9351859999997</v>
      </c>
      <c r="F1181">
        <v>795773.66830000002</v>
      </c>
      <c r="G1181">
        <v>38142.81609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19557069.976471938</v>
      </c>
      <c r="N1181" s="1">
        <f t="shared" si="76"/>
        <v>45523791.951303199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>
        <v>1882.282387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0</v>
      </c>
      <c r="M1182" s="1">
        <f t="shared" si="75"/>
        <v>0</v>
      </c>
      <c r="N1182" s="1">
        <f t="shared" si="76"/>
        <v>14106017.602184482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>
        <v>7795.712947</v>
      </c>
      <c r="F1183">
        <v>792956.56299999997</v>
      </c>
      <c r="G1183">
        <v>39356.52375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43266396.746587202</v>
      </c>
      <c r="N1183" s="1">
        <f t="shared" si="76"/>
        <v>102201036.1385773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>
        <v>4627.9617230000003</v>
      </c>
      <c r="F1184">
        <v>806057.06480000005</v>
      </c>
      <c r="G1184">
        <v>33787.930390000001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17090129.469515067</v>
      </c>
      <c r="N1184" s="1">
        <f t="shared" si="76"/>
        <v>58379566.181306772</v>
      </c>
      <c r="O1184" s="1"/>
    </row>
    <row r="1185" spans="1:15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-2.9000000000000002E-6</v>
      </c>
      <c r="F1185">
        <v>536179.5882</v>
      </c>
      <c r="G1185">
        <v>17913.85455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3.7493350485369998E-3</v>
      </c>
      <c r="M1185" s="1">
        <f t="shared" si="75"/>
        <v>-1.823330475142378E-2</v>
      </c>
      <c r="N1185" s="1">
        <f t="shared" si="76"/>
        <v>52698725.825448617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7062.4277220000004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38609319.161346085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 s="1">
        <v>-3.8999999999999999E-6</v>
      </c>
      <c r="F1187">
        <v>518662.3946</v>
      </c>
      <c r="G1187">
        <v>6155.0096579999999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0</v>
      </c>
      <c r="M1187" s="1">
        <f t="shared" si="75"/>
        <v>-2.8286698114099229E-2</v>
      </c>
      <c r="N1187" s="1">
        <f t="shared" si="76"/>
        <v>20887673.263575085</v>
      </c>
      <c r="O1187" s="1"/>
    </row>
    <row r="1188" spans="1:15" x14ac:dyDescent="0.25">
      <c r="A1188">
        <v>1940</v>
      </c>
      <c r="B1188">
        <v>400095.93150000001</v>
      </c>
      <c r="C1188">
        <v>4627.9616770000002</v>
      </c>
      <c r="D1188">
        <v>738755.72620000003</v>
      </c>
      <c r="E1188">
        <v>37933.758589999998</v>
      </c>
      <c r="F1188">
        <v>1229026.149</v>
      </c>
      <c r="G1188">
        <v>30188.960149999999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22834058.1769486</v>
      </c>
      <c r="M1188" s="1">
        <f t="shared" si="75"/>
        <v>62771479.10595756</v>
      </c>
      <c r="N1188" s="1">
        <f t="shared" si="76"/>
        <v>23373745.901284277</v>
      </c>
      <c r="O1188" s="1"/>
    </row>
    <row r="1189" spans="1:15" x14ac:dyDescent="0.25">
      <c r="A1189">
        <v>1941</v>
      </c>
      <c r="B1189">
        <v>313484.36489999999</v>
      </c>
      <c r="C1189">
        <v>594.94632439999998</v>
      </c>
      <c r="D1189">
        <v>669743.20039999997</v>
      </c>
      <c r="E1189">
        <v>26808.343290000001</v>
      </c>
      <c r="F1189">
        <v>1160795.0619999999</v>
      </c>
      <c r="G1189">
        <v>28714.865959999999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8422629.7401221208</v>
      </c>
      <c r="M1189" s="1">
        <f t="shared" si="75"/>
        <v>127286702.80477154</v>
      </c>
      <c r="N1189" s="1">
        <f t="shared" si="76"/>
        <v>63791605.440520518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>
        <v>21129.187249999999</v>
      </c>
      <c r="F1190">
        <v>930250.10629999998</v>
      </c>
      <c r="G1190">
        <v>43594.529240000003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</v>
      </c>
      <c r="M1190" s="1">
        <f t="shared" si="75"/>
        <v>125058616.44862841</v>
      </c>
      <c r="N1190" s="1">
        <f t="shared" si="76"/>
        <v>120727580.81768619</v>
      </c>
      <c r="O1190" s="1"/>
    </row>
    <row r="1191" spans="1:15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>
        <v>14341.46723</v>
      </c>
      <c r="F1191">
        <v>1205344.74</v>
      </c>
      <c r="G1191">
        <v>24387.702949999999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-5.2390123189914255E-2</v>
      </c>
      <c r="M1191" s="1">
        <f t="shared" si="75"/>
        <v>24949667.815541871</v>
      </c>
      <c r="N1191" s="1">
        <f t="shared" si="76"/>
        <v>19851153.95440862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15517.53846</v>
      </c>
      <c r="F1192">
        <v>859946.40350000001</v>
      </c>
      <c r="G1192">
        <v>28065.128929999999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65687696.509595081</v>
      </c>
      <c r="N1192" s="1">
        <f t="shared" si="76"/>
        <v>55586831.811198801</v>
      </c>
      <c r="O1192" s="1"/>
    </row>
    <row r="1193" spans="1:15" x14ac:dyDescent="0.25">
      <c r="A1193">
        <v>1945</v>
      </c>
      <c r="B1193">
        <v>519230.30839999998</v>
      </c>
      <c r="C1193">
        <v>18098.890469999998</v>
      </c>
      <c r="D1193">
        <v>913221.14599999995</v>
      </c>
      <c r="E1193">
        <v>30140.64818</v>
      </c>
      <c r="F1193">
        <v>1345850.9709999999</v>
      </c>
      <c r="G1193">
        <v>17476.08583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179291717.5307861</v>
      </c>
      <c r="M1193" s="1">
        <f t="shared" si="75"/>
        <v>100139172.98697542</v>
      </c>
      <c r="N1193" s="1">
        <f t="shared" si="76"/>
        <v>27166848.439238623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13163.48532</v>
      </c>
      <c r="F1194">
        <v>1121695.422</v>
      </c>
      <c r="G1194">
        <v>23013.701379999999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0.300494745648825</v>
      </c>
      <c r="M1194" s="1">
        <f t="shared" si="75"/>
        <v>31967068.831608016</v>
      </c>
      <c r="N1194" s="1">
        <f t="shared" si="76"/>
        <v>26149420.832153976</v>
      </c>
      <c r="O1194" s="1"/>
    </row>
    <row r="1195" spans="1:15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>
        <v>8184.3014080000003</v>
      </c>
      <c r="F1195">
        <v>1425049.8060000001</v>
      </c>
      <c r="G1195">
        <v>11181.09708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-5.0838277784809136E-2</v>
      </c>
      <c r="M1195" s="1">
        <f t="shared" si="75"/>
        <v>8776441.4013626371</v>
      </c>
      <c r="N1195" s="1">
        <f t="shared" si="76"/>
        <v>5610026.837714537</v>
      </c>
      <c r="O1195" s="1"/>
    </row>
    <row r="1196" spans="1:15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>
        <v>7531.6680450000003</v>
      </c>
      <c r="F1196">
        <v>1335064.415</v>
      </c>
      <c r="G1196">
        <v>10507.48675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-0.14505145596579302</v>
      </c>
      <c r="M1196" s="1">
        <f t="shared" si="75"/>
        <v>9849483.5665701721</v>
      </c>
      <c r="N1196" s="1">
        <f t="shared" si="76"/>
        <v>6429316.6942156916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>
        <v>1308.228944</v>
      </c>
      <c r="F1197">
        <v>1210524.4550000001</v>
      </c>
      <c r="G1197">
        <v>19298.653699999999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5.6527700130931252E-2</v>
      </c>
      <c r="M1197" s="1">
        <f t="shared" si="75"/>
        <v>895382.16117134306</v>
      </c>
      <c r="N1197" s="1">
        <f t="shared" si="76"/>
        <v>6180098.1920020701</v>
      </c>
      <c r="O1197" s="1"/>
    </row>
    <row r="1198" spans="1:15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>
        <v>1897.532596</v>
      </c>
      <c r="F1198">
        <v>1263959.1159999999</v>
      </c>
      <c r="G1198">
        <v>15103.694090000001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-0.33736372722935026</v>
      </c>
      <c r="M1198" s="1">
        <f t="shared" si="75"/>
        <v>6333314.7206449909</v>
      </c>
      <c r="N1198" s="1">
        <f t="shared" si="76"/>
        <v>23586781.501234382</v>
      </c>
      <c r="O1198" s="1"/>
    </row>
    <row r="1199" spans="1:15" x14ac:dyDescent="0.25">
      <c r="A1199">
        <v>1951</v>
      </c>
      <c r="B1199">
        <v>573376.3811</v>
      </c>
      <c r="C1199">
        <v>684.75647679999997</v>
      </c>
      <c r="D1199">
        <v>1026006.527</v>
      </c>
      <c r="E1199">
        <v>20145.837169999999</v>
      </c>
      <c r="F1199">
        <v>1441035.5390000001</v>
      </c>
      <c r="G1199">
        <v>8583.532158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1926990.369865549</v>
      </c>
      <c r="M1199" s="1">
        <f t="shared" si="75"/>
        <v>19013928.301125735</v>
      </c>
      <c r="N1199" s="1">
        <f t="shared" si="76"/>
        <v>3790497.802596143</v>
      </c>
      <c r="O1199" s="1"/>
    </row>
    <row r="1200" spans="1:15" x14ac:dyDescent="0.25">
      <c r="A1200">
        <v>1952</v>
      </c>
      <c r="B1200">
        <v>491741.96990000003</v>
      </c>
      <c r="C1200">
        <v>1882.282426</v>
      </c>
      <c r="D1200">
        <v>897905.74650000001</v>
      </c>
      <c r="E1200">
        <v>14380.78766</v>
      </c>
      <c r="F1200">
        <v>1355897.716</v>
      </c>
      <c r="G1200">
        <v>16344.7264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3156595.0500961994</v>
      </c>
      <c r="M1200" s="1">
        <f t="shared" si="75"/>
        <v>8088349.2285811575</v>
      </c>
      <c r="N1200" s="1">
        <f t="shared" si="76"/>
        <v>4301288.312487605</v>
      </c>
      <c r="O1200" s="1"/>
    </row>
    <row r="1201" spans="1:15" x14ac:dyDescent="0.25">
      <c r="A1201">
        <v>1953</v>
      </c>
      <c r="B1201">
        <v>510026.8469</v>
      </c>
      <c r="C1201">
        <v>4627.9616560000004</v>
      </c>
      <c r="D1201">
        <v>917272.58669999999</v>
      </c>
      <c r="E1201">
        <v>17365.782660000001</v>
      </c>
      <c r="F1201">
        <v>1375388.037</v>
      </c>
      <c r="G1201">
        <v>15525.45145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6838239.0137503613</v>
      </c>
      <c r="M1201" s="1">
        <f t="shared" si="75"/>
        <v>8605815.3349850327</v>
      </c>
      <c r="N1201" s="1">
        <f t="shared" si="76"/>
        <v>3599859.7161871847</v>
      </c>
      <c r="O1201" s="1"/>
    </row>
    <row r="1202" spans="1:15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>
        <v>14920.216899999999</v>
      </c>
      <c r="F1202">
        <v>1261973.69</v>
      </c>
      <c r="G1202">
        <v>23263.51844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-0.13748039916641874</v>
      </c>
      <c r="M1202" s="1">
        <f t="shared" si="75"/>
        <v>29274615.238194253</v>
      </c>
      <c r="N1202" s="1">
        <f t="shared" si="76"/>
        <v>21356748.655773971</v>
      </c>
      <c r="O1202" s="1"/>
    </row>
    <row r="1203" spans="1:15" x14ac:dyDescent="0.25">
      <c r="A1203">
        <v>1955</v>
      </c>
      <c r="B1203">
        <v>580875.98620000004</v>
      </c>
      <c r="C1203">
        <v>15625.926030000001</v>
      </c>
      <c r="D1203">
        <v>999974.48219999997</v>
      </c>
      <c r="E1203">
        <v>27197.071950000001</v>
      </c>
      <c r="F1203">
        <v>1416672.784</v>
      </c>
      <c r="G1203">
        <v>15452.003220000001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12795430.703160688</v>
      </c>
      <c r="M1203" s="1">
        <f t="shared" si="75"/>
        <v>7469205.9099278944</v>
      </c>
      <c r="N1203" s="1">
        <f t="shared" si="76"/>
        <v>1985549.6442541822</v>
      </c>
      <c r="O1203" s="1"/>
    </row>
    <row r="1204" spans="1:15" x14ac:dyDescent="0.25">
      <c r="A1204">
        <v>1956</v>
      </c>
      <c r="B1204">
        <v>490418.26929999999</v>
      </c>
      <c r="C1204">
        <v>22433.98832</v>
      </c>
      <c r="D1204">
        <v>882053.29119999998</v>
      </c>
      <c r="E1204">
        <v>29027.613140000001</v>
      </c>
      <c r="F1204">
        <v>1327578.591</v>
      </c>
      <c r="G1204">
        <v>27613.820500000002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67537574.102809682</v>
      </c>
      <c r="M1204" s="1">
        <f t="shared" si="75"/>
        <v>29308489.14262047</v>
      </c>
      <c r="N1204" s="1">
        <f t="shared" si="76"/>
        <v>13045246.210361581</v>
      </c>
      <c r="O1204" s="1"/>
    </row>
    <row r="1205" spans="1:15" x14ac:dyDescent="0.25">
      <c r="A1205">
        <v>1957</v>
      </c>
      <c r="B1205">
        <v>540194.6237</v>
      </c>
      <c r="C1205">
        <v>18098.890500000001</v>
      </c>
      <c r="D1205">
        <v>940906.2463</v>
      </c>
      <c r="E1205">
        <v>30140.648209999999</v>
      </c>
      <c r="F1205">
        <v>1377150.0560000001</v>
      </c>
      <c r="G1205">
        <v>17476.08583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62203610.615919083</v>
      </c>
      <c r="M1205" s="1">
        <f t="shared" si="75"/>
        <v>34742364.039696246</v>
      </c>
      <c r="N1205" s="1">
        <f t="shared" si="76"/>
        <v>9425287.9187508989</v>
      </c>
      <c r="O1205" s="1"/>
    </row>
    <row r="1206" spans="1:15" x14ac:dyDescent="0.25">
      <c r="A1206">
        <v>1958</v>
      </c>
      <c r="B1206">
        <v>440354.11109999998</v>
      </c>
      <c r="C1206">
        <v>4627.9616939999996</v>
      </c>
      <c r="D1206">
        <v>794380.27159999998</v>
      </c>
      <c r="E1206">
        <v>29818.247520000001</v>
      </c>
      <c r="F1206">
        <v>1246931.5190000001</v>
      </c>
      <c r="G1206">
        <v>25780.02115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37100236.150988787</v>
      </c>
      <c r="M1206" s="1">
        <f t="shared" si="75"/>
        <v>80170053.024756283</v>
      </c>
      <c r="N1206" s="1">
        <f t="shared" si="76"/>
        <v>32430750.781049848</v>
      </c>
      <c r="O1206" s="1"/>
    </row>
    <row r="1207" spans="1:15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>
        <v>15178.684359999999</v>
      </c>
      <c r="F1207">
        <v>1147216.709</v>
      </c>
      <c r="G1207">
        <v>21955.51756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1.2708992613767451E-2</v>
      </c>
      <c r="M1207" s="1">
        <f t="shared" si="75"/>
        <v>27183879.545644831</v>
      </c>
      <c r="N1207" s="1">
        <f t="shared" si="76"/>
        <v>18397747.945152629</v>
      </c>
      <c r="O1207" s="1"/>
    </row>
    <row r="1208" spans="1:15" x14ac:dyDescent="0.25">
      <c r="A1208">
        <v>1960</v>
      </c>
      <c r="B1208">
        <v>575404.92590000003</v>
      </c>
      <c r="C1208">
        <v>13423.413060000001</v>
      </c>
      <c r="D1208">
        <v>992720.52339999995</v>
      </c>
      <c r="E1208">
        <v>37374.581429999998</v>
      </c>
      <c r="F1208">
        <v>1410977.077</v>
      </c>
      <c r="G1208">
        <v>12576.846740000001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88085080.593738064</v>
      </c>
      <c r="M1208" s="1">
        <f t="shared" si="75"/>
        <v>82254350.272384688</v>
      </c>
      <c r="N1208" s="1">
        <f t="shared" si="76"/>
        <v>12950841.417974167</v>
      </c>
      <c r="O1208" s="1"/>
    </row>
    <row r="1209" spans="1:15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>
        <v>1127.162112</v>
      </c>
      <c r="F1209">
        <v>1301455.496</v>
      </c>
      <c r="G1209">
        <v>16541.169320000001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5.1209877296933548E-2</v>
      </c>
      <c r="M1209" s="1">
        <f t="shared" si="75"/>
        <v>796667.28027485893</v>
      </c>
      <c r="N1209" s="1">
        <f t="shared" si="76"/>
        <v>5470165.7249097936</v>
      </c>
      <c r="O1209" s="1"/>
    </row>
    <row r="1210" spans="1:15" x14ac:dyDescent="0.25">
      <c r="A1210">
        <v>1962</v>
      </c>
      <c r="B1210">
        <v>583195.08609999996</v>
      </c>
      <c r="C1210">
        <v>5113.6003179999998</v>
      </c>
      <c r="D1210">
        <v>1031766.632</v>
      </c>
      <c r="E1210">
        <v>21295.333019999998</v>
      </c>
      <c r="F1210">
        <v>1440112.9950000001</v>
      </c>
      <c r="G1210">
        <v>11509.31314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6703124.4891662011</v>
      </c>
      <c r="M1210" s="1">
        <f t="shared" si="75"/>
        <v>9362203.5200185534</v>
      </c>
      <c r="N1210" s="1">
        <f t="shared" si="76"/>
        <v>2367482.2206807467</v>
      </c>
      <c r="O1210" s="1"/>
    </row>
    <row r="1211" spans="1:15" x14ac:dyDescent="0.25">
      <c r="A1211">
        <v>1963</v>
      </c>
      <c r="B1211">
        <v>584528.87049999996</v>
      </c>
      <c r="C1211">
        <v>12713.803099999999</v>
      </c>
      <c r="D1211">
        <v>995534.37670000002</v>
      </c>
      <c r="E1211">
        <v>33495.757180000001</v>
      </c>
      <c r="F1211">
        <v>1426713.8859999999</v>
      </c>
      <c r="G1211">
        <v>17054.532940000001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7535384.1393430578</v>
      </c>
      <c r="M1211" s="1">
        <f t="shared" si="75"/>
        <v>6658292.2269131048</v>
      </c>
      <c r="N1211" s="1">
        <f t="shared" si="76"/>
        <v>1586194.9426068978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0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-4.7211368439300004E-3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-9.9999999999999995E-8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-2.1223721373516001E-3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0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-4.1894203842725002E-3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0</v>
      </c>
      <c r="N1220" s="1">
        <f t="shared" si="80"/>
        <v>0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9.9999999999999995E-8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2.9014425848008997E-3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0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-4.8491750146248602E-3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 s="1">
        <v>1.9599999999999999E-6</v>
      </c>
      <c r="F1230">
        <v>54428.795169999998</v>
      </c>
      <c r="G1230">
        <v>0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0</v>
      </c>
      <c r="M1230" s="1">
        <f t="shared" si="79"/>
        <v>2.5534883330045877E-2</v>
      </c>
      <c r="N1230" s="1">
        <f t="shared" si="80"/>
        <v>0</v>
      </c>
      <c r="O1230" s="1"/>
    </row>
    <row r="1231" spans="1:15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>
        <v>0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2.0157560575490003E-3</v>
      </c>
      <c r="M1231" s="1">
        <f t="shared" si="79"/>
        <v>0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-7.4000000000000001E-7</v>
      </c>
      <c r="F1236">
        <v>93860.664539999998</v>
      </c>
      <c r="G1236">
        <v>0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5.1368747141712001E-3</v>
      </c>
      <c r="M1236" s="1">
        <f t="shared" si="79"/>
        <v>-1.328013828349516E-3</v>
      </c>
      <c r="N1236" s="1">
        <f t="shared" si="80"/>
        <v>0</v>
      </c>
      <c r="O1236" s="1"/>
    </row>
    <row r="1237" spans="1:15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>
        <v>0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4.1521890419424995E-3</v>
      </c>
      <c r="M1237" s="1">
        <f t="shared" si="79"/>
        <v>-4.6512182849525741E-2</v>
      </c>
      <c r="N1237" s="1">
        <f t="shared" si="80"/>
        <v>0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>
        <v>0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0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0</v>
      </c>
      <c r="N1241" s="1">
        <f t="shared" si="80"/>
        <v>0</v>
      </c>
      <c r="O1241" s="1"/>
    </row>
    <row r="1242" spans="1:15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>
        <v>0</v>
      </c>
      <c r="F1242">
        <v>81403.781950000004</v>
      </c>
      <c r="G1242" s="1">
        <v>1.7600000000000001E-6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-3.7669137918424993E-3</v>
      </c>
      <c r="M1242" s="1">
        <f t="shared" si="79"/>
        <v>0</v>
      </c>
      <c r="N1242" s="1">
        <f t="shared" si="80"/>
        <v>1.040363636787024E-2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0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>
        <v>0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-1.4145705672019998E-2</v>
      </c>
      <c r="M1244" s="1">
        <f t="shared" si="79"/>
        <v>4.1512205491350998E-2</v>
      </c>
      <c r="N1244" s="1">
        <f t="shared" si="80"/>
        <v>0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>
        <v>0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0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>
        <v>0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0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0</v>
      </c>
      <c r="N1247" s="1">
        <f t="shared" si="80"/>
        <v>0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0</v>
      </c>
      <c r="N1248" s="1">
        <f t="shared" si="80"/>
        <v>0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-2.9999999999999999E-7</v>
      </c>
      <c r="F1249">
        <v>100122.6882</v>
      </c>
      <c r="G1249">
        <v>0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-1.8556885240230902E-3</v>
      </c>
      <c r="N1249" s="1">
        <f t="shared" si="80"/>
        <v>0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0</v>
      </c>
      <c r="N1250" s="1">
        <f t="shared" si="80"/>
        <v>0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0</v>
      </c>
      <c r="M1251" s="1">
        <f t="shared" si="79"/>
        <v>0</v>
      </c>
      <c r="N1251" s="1">
        <f t="shared" si="80"/>
        <v>0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-3.9999999999999998E-7</v>
      </c>
      <c r="F1252">
        <v>51401.776169999997</v>
      </c>
      <c r="G1252">
        <v>0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-2.5239321424694001E-2</v>
      </c>
      <c r="N1252" s="1">
        <f t="shared" si="80"/>
        <v>0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 s="1">
        <v>1.3999999999999999E-6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0</v>
      </c>
      <c r="N1253" s="1">
        <f t="shared" si="80"/>
        <v>5.13383084472048E-3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>
        <v>0</v>
      </c>
      <c r="F1254">
        <v>75126.700060000003</v>
      </c>
      <c r="G1254" s="1">
        <v>-2.6000000000000001E-6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0</v>
      </c>
      <c r="N1254" s="1">
        <f t="shared" si="8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0</v>
      </c>
      <c r="N1255" s="1">
        <f t="shared" si="80"/>
        <v>0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0</v>
      </c>
      <c r="M1256" s="1">
        <f t="shared" si="79"/>
        <v>0</v>
      </c>
      <c r="N1256" s="1">
        <f t="shared" si="80"/>
        <v>0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0</v>
      </c>
      <c r="M1257" s="1">
        <f t="shared" si="79"/>
        <v>0</v>
      </c>
      <c r="N1257" s="1">
        <f t="shared" si="80"/>
        <v>0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0</v>
      </c>
      <c r="M1258" s="1">
        <f t="shared" si="79"/>
        <v>0</v>
      </c>
      <c r="N1258" s="1">
        <f t="shared" si="80"/>
        <v>0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0</v>
      </c>
      <c r="N1259" s="1">
        <f t="shared" si="80"/>
        <v>0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0</v>
      </c>
      <c r="M1260" s="1">
        <f t="shared" si="79"/>
        <v>0</v>
      </c>
      <c r="N1260" s="1">
        <f t="shared" si="80"/>
        <v>0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0</v>
      </c>
      <c r="M1261" s="1">
        <f t="shared" si="79"/>
        <v>0</v>
      </c>
      <c r="N1261" s="1">
        <f t="shared" si="80"/>
        <v>0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0</v>
      </c>
      <c r="M1262" s="1">
        <f t="shared" si="79"/>
        <v>0</v>
      </c>
      <c r="N1262" s="1">
        <f t="shared" si="80"/>
        <v>0</v>
      </c>
      <c r="O1262" s="1"/>
    </row>
    <row r="1263" spans="1:15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-3.2018340525372499E-3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0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3.9999999999999998E-7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1.4118982304008799E-2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>
        <v>0</v>
      </c>
      <c r="F1266">
        <v>264750.01520000002</v>
      </c>
      <c r="G1266" s="1">
        <v>3.1399999999999998E-5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0</v>
      </c>
      <c r="N1266" s="1">
        <f t="shared" si="8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6.6536265530235603E-3</v>
      </c>
      <c r="O1267" s="1"/>
    </row>
    <row r="1268" spans="1:15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7.1917088400560002E-3</v>
      </c>
      <c r="M1268" s="1">
        <f t="shared" si="79"/>
        <v>-3.0149856291004005E-2</v>
      </c>
      <c r="N1268" s="1">
        <f t="shared" si="8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-3.9999999999999998E-7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-9.7611642452551991E-3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0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>
        <v>0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0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>
        <v>0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0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0</v>
      </c>
      <c r="M1278" s="1">
        <f t="shared" si="79"/>
        <v>0</v>
      </c>
      <c r="N1278" s="1">
        <f t="shared" si="80"/>
        <v>0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0</v>
      </c>
      <c r="N1279" s="1">
        <f t="shared" si="80"/>
        <v>0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 s="1">
        <v>-9.9999999999999995E-8</v>
      </c>
      <c r="F1280">
        <v>421777.10110000003</v>
      </c>
      <c r="G1280">
        <v>0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0</v>
      </c>
      <c r="M1280" s="1">
        <f t="shared" si="79"/>
        <v>-1.6846210016447998E-4</v>
      </c>
      <c r="N1280" s="1">
        <f t="shared" si="80"/>
        <v>0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6.9999999999999997E-7</v>
      </c>
      <c r="F1281">
        <v>137145.94709999999</v>
      </c>
      <c r="G1281">
        <v>0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7.3173325974058793E-3</v>
      </c>
      <c r="N1281" s="1">
        <f t="shared" si="80"/>
        <v>0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0</v>
      </c>
      <c r="M1283" s="1">
        <f t="shared" ref="M1283:M1346" si="83">$U$3*$K1283*E1283</f>
        <v>0</v>
      </c>
      <c r="N1283" s="1">
        <f t="shared" ref="N1283:N1346" si="84">$U$4*$K1283*G1283</f>
        <v>0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0</v>
      </c>
      <c r="M1284" s="1">
        <f t="shared" si="83"/>
        <v>0</v>
      </c>
      <c r="N1284" s="1">
        <f t="shared" si="84"/>
        <v>0</v>
      </c>
      <c r="O1284" s="1"/>
    </row>
    <row r="1285" spans="1:15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-2.1243893736770249E-2</v>
      </c>
      <c r="M1285" s="1">
        <f t="shared" si="83"/>
        <v>0</v>
      </c>
      <c r="N1285" s="1">
        <f t="shared" si="84"/>
        <v>0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0</v>
      </c>
      <c r="M1286" s="1">
        <f t="shared" si="83"/>
        <v>0</v>
      </c>
      <c r="N1286" s="1">
        <f t="shared" si="84"/>
        <v>0</v>
      </c>
      <c r="O1286" s="1"/>
    </row>
    <row r="1287" spans="1:15" x14ac:dyDescent="0.25">
      <c r="A1287">
        <v>2147</v>
      </c>
      <c r="B1287">
        <v>8461.6515199999994</v>
      </c>
      <c r="C1287" s="1">
        <v>-1.98E-7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-8.0905312099755003E-3</v>
      </c>
      <c r="M1287" s="1">
        <f t="shared" si="83"/>
        <v>0</v>
      </c>
      <c r="N1287" s="1">
        <f t="shared" si="84"/>
        <v>0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0</v>
      </c>
      <c r="M1288" s="1">
        <f t="shared" si="83"/>
        <v>0</v>
      </c>
      <c r="N1288" s="1">
        <f t="shared" si="84"/>
        <v>0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0</v>
      </c>
      <c r="M1289" s="1">
        <f t="shared" si="83"/>
        <v>0</v>
      </c>
      <c r="N1289" s="1">
        <f t="shared" si="84"/>
        <v>0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0</v>
      </c>
      <c r="M1290" s="1">
        <f t="shared" si="83"/>
        <v>0</v>
      </c>
      <c r="N1290" s="1">
        <f t="shared" si="84"/>
        <v>0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0</v>
      </c>
      <c r="M1291" s="1">
        <f t="shared" si="83"/>
        <v>0</v>
      </c>
      <c r="N1291" s="1">
        <f t="shared" si="84"/>
        <v>0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0</v>
      </c>
      <c r="N1292" s="1">
        <f t="shared" si="84"/>
        <v>0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</v>
      </c>
      <c r="N1293" s="1">
        <f t="shared" si="84"/>
        <v>0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>
        <v>0</v>
      </c>
      <c r="F1294">
        <v>565159.98199999996</v>
      </c>
      <c r="G1294">
        <v>4921.2559240000001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0</v>
      </c>
      <c r="N1294" s="1">
        <f t="shared" si="84"/>
        <v>24093659.816210713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>
        <v>0</v>
      </c>
      <c r="F1295">
        <v>510035.8798</v>
      </c>
      <c r="G1295">
        <v>2695.8166510000001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0</v>
      </c>
      <c r="N1295" s="1">
        <f t="shared" si="84"/>
        <v>17194349.740554992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23852.34576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0</v>
      </c>
      <c r="M1296" s="1">
        <f t="shared" si="83"/>
        <v>0</v>
      </c>
      <c r="N1296" s="1">
        <f t="shared" si="84"/>
        <v>61030303.467201993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5927.5997029999999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0</v>
      </c>
      <c r="M1297" s="1">
        <f t="shared" si="83"/>
        <v>0</v>
      </c>
      <c r="N1297" s="1">
        <f t="shared" si="84"/>
        <v>26680433.20870487</v>
      </c>
      <c r="O1297" s="1"/>
    </row>
    <row r="1298" spans="1:15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1.2270870079727998E-2</v>
      </c>
      <c r="M1298" s="1">
        <f t="shared" si="83"/>
        <v>0</v>
      </c>
      <c r="N1298" s="1">
        <f t="shared" si="84"/>
        <v>0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 s="1">
        <v>-3.0000000000000001E-6</v>
      </c>
      <c r="F1299">
        <v>66302.358259999994</v>
      </c>
      <c r="G1299">
        <v>0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0</v>
      </c>
      <c r="M1299" s="1">
        <f t="shared" si="83"/>
        <v>-5.4426307683627009E-2</v>
      </c>
      <c r="N1299" s="1">
        <f t="shared" si="84"/>
        <v>0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0</v>
      </c>
      <c r="N1300" s="1">
        <f t="shared" si="84"/>
        <v>0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0</v>
      </c>
      <c r="N1301" s="1">
        <f t="shared" si="84"/>
        <v>0</v>
      </c>
      <c r="O1301" s="1"/>
    </row>
    <row r="1302" spans="1:15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-1.1600868293638E-2</v>
      </c>
      <c r="M1302" s="1">
        <f t="shared" si="83"/>
        <v>0</v>
      </c>
      <c r="N1302" s="1">
        <f t="shared" si="84"/>
        <v>0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 s="1">
        <v>3.0000000000000001E-6</v>
      </c>
      <c r="F1303">
        <v>173245.0448</v>
      </c>
      <c r="G1303">
        <v>0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0</v>
      </c>
      <c r="M1303" s="1">
        <f t="shared" si="83"/>
        <v>1.44903951453597E-2</v>
      </c>
      <c r="N1303" s="1">
        <f t="shared" si="84"/>
        <v>0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0</v>
      </c>
      <c r="N1304" s="1">
        <f t="shared" si="84"/>
        <v>0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0</v>
      </c>
      <c r="N1307" s="1">
        <f t="shared" si="84"/>
        <v>0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>
        <v>15813.729799999999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0</v>
      </c>
      <c r="M1308" s="1">
        <f t="shared" si="83"/>
        <v>0</v>
      </c>
      <c r="N1308" s="1">
        <f t="shared" si="84"/>
        <v>30125333.827849783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15625.92599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0</v>
      </c>
      <c r="M1309" s="1">
        <f t="shared" si="83"/>
        <v>0</v>
      </c>
      <c r="N1309" s="1">
        <f t="shared" si="84"/>
        <v>34783247.76913885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>
        <v>0</v>
      </c>
      <c r="F1310">
        <v>655861.92009999999</v>
      </c>
      <c r="G1310">
        <v>14091.81846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0</v>
      </c>
      <c r="N1310" s="1">
        <f t="shared" si="84"/>
        <v>21391610.369672123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723.72412420000001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0</v>
      </c>
      <c r="M1311" s="1">
        <f t="shared" si="83"/>
        <v>0</v>
      </c>
      <c r="N1311" s="1">
        <f t="shared" si="84"/>
        <v>2977028.9645407535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-2.9000000000000002E-6</v>
      </c>
      <c r="F1312">
        <v>546009.17599999998</v>
      </c>
      <c r="G1312">
        <v>7100.4122200000002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-4.3080752321273806E-2</v>
      </c>
      <c r="N1312" s="1">
        <f t="shared" si="84"/>
        <v>49352882.352632277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-2.9999999999999999E-7</v>
      </c>
      <c r="F1313">
        <v>441351.7132</v>
      </c>
      <c r="G1313">
        <v>0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-3.1378575982135199E-3</v>
      </c>
      <c r="N1313" s="1">
        <f t="shared" si="84"/>
        <v>0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0</v>
      </c>
      <c r="N1314" s="1">
        <f t="shared" si="84"/>
        <v>0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>
        <v>2680.8885570000002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0</v>
      </c>
      <c r="M1315" s="1">
        <f t="shared" si="83"/>
        <v>0</v>
      </c>
      <c r="N1315" s="1">
        <f t="shared" si="84"/>
        <v>3034879.2825049576</v>
      </c>
      <c r="O1315" s="1"/>
    </row>
    <row r="1316" spans="1:15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5.0631481938569999E-3</v>
      </c>
      <c r="M1316" s="1">
        <f t="shared" si="83"/>
        <v>0</v>
      </c>
      <c r="N1316" s="1">
        <f t="shared" si="84"/>
        <v>0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128.7777835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0</v>
      </c>
      <c r="M1317" s="1">
        <f t="shared" si="83"/>
        <v>0</v>
      </c>
      <c r="N1317" s="1">
        <f t="shared" si="84"/>
        <v>518622.10171867633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0</v>
      </c>
      <c r="M1318" s="1">
        <f t="shared" si="83"/>
        <v>0</v>
      </c>
      <c r="N1318" s="1">
        <f t="shared" si="84"/>
        <v>0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>
        <v>2394.3074780000002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0</v>
      </c>
      <c r="M1319" s="1">
        <f t="shared" si="83"/>
        <v>0</v>
      </c>
      <c r="N1319" s="1">
        <f t="shared" si="84"/>
        <v>3370374.918988355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>
        <v>0</v>
      </c>
      <c r="F1320">
        <v>600328.40020000003</v>
      </c>
      <c r="G1320">
        <v>10517.2721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0</v>
      </c>
      <c r="N1320" s="1">
        <f t="shared" si="84"/>
        <v>24512707.518135846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21546.46211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0</v>
      </c>
      <c r="M1321" s="1">
        <f t="shared" si="83"/>
        <v>0</v>
      </c>
      <c r="N1321" s="1">
        <f t="shared" si="84"/>
        <v>40426257.920634799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2126.8223600000001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0</v>
      </c>
      <c r="M1322" s="1">
        <f t="shared" si="83"/>
        <v>0</v>
      </c>
      <c r="N1322" s="1">
        <f t="shared" si="84"/>
        <v>2838605.9702819539</v>
      </c>
      <c r="O1322" s="1"/>
    </row>
    <row r="1323" spans="1:15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-3.8833716519129998E-3</v>
      </c>
      <c r="M1323" s="1">
        <f t="shared" si="83"/>
        <v>0</v>
      </c>
      <c r="N1323" s="1">
        <f t="shared" si="84"/>
        <v>0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0</v>
      </c>
      <c r="N1324" s="1">
        <f t="shared" si="84"/>
        <v>0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 s="1">
        <v>-1.1000000000000001E-6</v>
      </c>
      <c r="F1325">
        <v>561047.14619999996</v>
      </c>
      <c r="G1325">
        <v>3604.1149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0</v>
      </c>
      <c r="M1325" s="1">
        <f t="shared" si="83"/>
        <v>-2.2373949574597499E-4</v>
      </c>
      <c r="N1325" s="1">
        <f t="shared" si="84"/>
        <v>342998.54351262981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>
        <v>0</v>
      </c>
      <c r="F1326">
        <v>830491.38260000001</v>
      </c>
      <c r="G1326" s="1">
        <v>-1.5800000000000001E-5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0</v>
      </c>
      <c r="N1326" s="1">
        <f t="shared" si="84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-5.3441968158028798E-2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-4.5499999999999996E-6</v>
      </c>
      <c r="F1329">
        <v>292446.21039999998</v>
      </c>
      <c r="G1329" s="1">
        <v>-3.57E-5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-1.6909719692825505E-2</v>
      </c>
      <c r="N1329" s="1">
        <f t="shared" si="84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2.4600000000000002E-6</v>
      </c>
      <c r="F1330">
        <v>331177.43229999999</v>
      </c>
      <c r="G1330" s="1">
        <v>-3.1099999999999997E-5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7.1330936377421873E-3</v>
      </c>
      <c r="N1330" s="1">
        <f t="shared" si="84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0</v>
      </c>
      <c r="M1331" s="1">
        <f t="shared" si="83"/>
        <v>-2.3966982408431887E-2</v>
      </c>
      <c r="N1331" s="1">
        <f t="shared" si="84"/>
        <v>8.9930616569446314E-2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 s="1">
        <v>-7.8999999999999995E-7</v>
      </c>
      <c r="F1332">
        <v>303305.88540000003</v>
      </c>
      <c r="G1332">
        <v>0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0</v>
      </c>
      <c r="M1332" s="1">
        <f t="shared" si="83"/>
        <v>-1.5470972686809018E-3</v>
      </c>
      <c r="N1332" s="1">
        <f t="shared" si="84"/>
        <v>0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3.3300000000000003E-5</v>
      </c>
      <c r="F1333">
        <v>937625.16130000004</v>
      </c>
      <c r="G1333" s="1">
        <v>8.2199999999999992E-6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0.10656179462553804</v>
      </c>
      <c r="N1333" s="1">
        <f t="shared" si="84"/>
        <v>1.2307583420921303E-2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1.1000000000000001E-7</v>
      </c>
      <c r="F1334">
        <v>233142.41529999999</v>
      </c>
      <c r="G1334" s="1">
        <v>2.9100000000000001E-6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3.6368334625826502E-4</v>
      </c>
      <c r="N1334" s="1">
        <f t="shared" si="84"/>
        <v>4.5016051224511357E-3</v>
      </c>
      <c r="O1334" s="1"/>
    </row>
    <row r="1335" spans="1:15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-4.9100000000000001E-5</v>
      </c>
      <c r="F1335">
        <v>1005080.04</v>
      </c>
      <c r="G1335">
        <v>0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-3.910341627764E-3</v>
      </c>
      <c r="M1335" s="1">
        <f t="shared" si="83"/>
        <v>-7.3173976774930594E-2</v>
      </c>
      <c r="N1335" s="1">
        <f t="shared" si="84"/>
        <v>0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0.12430732532613253</v>
      </c>
      <c r="O1336" s="1"/>
    </row>
    <row r="1337" spans="1:15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>
        <v>0</v>
      </c>
      <c r="F1337">
        <v>231788.44889999999</v>
      </c>
      <c r="G1337" s="1">
        <v>-1.5699999999999999E-5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-7.5602103662312516E-4</v>
      </c>
      <c r="M1337" s="1">
        <f t="shared" si="83"/>
        <v>0</v>
      </c>
      <c r="N1337" s="1">
        <f t="shared" si="84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-5.6767555373749999E-4</v>
      </c>
      <c r="M1338" s="1">
        <f t="shared" si="83"/>
        <v>8.7008068794849503E-3</v>
      </c>
      <c r="N1338" s="1">
        <f t="shared" si="84"/>
        <v>3.1712976472794002E-2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-3.0199999999999999E-6</v>
      </c>
      <c r="F1339">
        <v>870168.04480000003</v>
      </c>
      <c r="G1339" s="1">
        <v>1.8700000000000001E-5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-1.9072242714106478E-2</v>
      </c>
      <c r="N1339" s="1">
        <f t="shared" si="84"/>
        <v>5.5256084441470781E-2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-0.12198143597336791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0</v>
      </c>
      <c r="M1342" s="1">
        <f t="shared" si="83"/>
        <v>-1.455490188667855E-2</v>
      </c>
      <c r="N1342" s="1">
        <f t="shared" si="84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>
        <v>0</v>
      </c>
      <c r="F1343">
        <v>207960.13089999999</v>
      </c>
      <c r="G1343" s="1">
        <v>-1.59E-5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0</v>
      </c>
      <c r="N1343" s="1">
        <f t="shared" si="84"/>
        <v>-6.5123916024768927E-2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1.8580928448116835E-2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-2.65E-6</v>
      </c>
      <c r="F1345">
        <v>110989.26880000001</v>
      </c>
      <c r="G1345" s="1">
        <v>-3.3200000000000001E-5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-3.4441593566424747E-2</v>
      </c>
      <c r="N1345" s="1">
        <f t="shared" si="84"/>
        <v>-0.20189200701634202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-2.65E-6</v>
      </c>
      <c r="F1346">
        <v>137645.0215</v>
      </c>
      <c r="G1346" s="1">
        <v>4.4499999999999997E-5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-2.2282017177100846E-2</v>
      </c>
      <c r="N1346" s="1">
        <f t="shared" si="84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-1.4500000000000001E-6</v>
      </c>
      <c r="F1348">
        <v>153538.88639999999</v>
      </c>
      <c r="G1348" s="1">
        <v>-3.54E-5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-8.4342113878010348E-3</v>
      </c>
      <c r="N1348" s="1">
        <f t="shared" si="88"/>
        <v>-9.6343721857234985E-2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4.5700000000000003E-6</v>
      </c>
      <c r="F1349">
        <v>176308.1</v>
      </c>
      <c r="G1349" s="1">
        <v>3.2700000000000002E-5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3.0875484490157912E-2</v>
      </c>
      <c r="N1349" s="1">
        <f t="shared" si="88"/>
        <v>0.10336868986858119</v>
      </c>
      <c r="O1349" s="1"/>
    </row>
    <row r="1350" spans="1:15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3.5087846457624995E-3</v>
      </c>
      <c r="M1350" s="1">
        <f t="shared" si="87"/>
        <v>-1.2120961605530951E-2</v>
      </c>
      <c r="N1350" s="1">
        <f t="shared" si="88"/>
        <v>4.2121610139822744E-3</v>
      </c>
      <c r="O1350" s="1"/>
    </row>
    <row r="1351" spans="1:15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3.7066761169165002E-3</v>
      </c>
      <c r="M1351" s="1">
        <f t="shared" si="87"/>
        <v>-7.8674404245075616E-2</v>
      </c>
      <c r="N1351" s="1">
        <f t="shared" si="88"/>
        <v>2.4845320486531743E-2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-0.23573154798256951</v>
      </c>
      <c r="O1353" s="1"/>
    </row>
    <row r="1354" spans="1:15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-3.5976279252875006E-3</v>
      </c>
      <c r="M1354" s="1">
        <f t="shared" si="87"/>
        <v>-5.8760887125549652E-2</v>
      </c>
      <c r="N1354" s="1">
        <f t="shared" si="88"/>
        <v>-0.1417022617587855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0.11228852423778127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0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0</v>
      </c>
      <c r="M1359" s="1">
        <f t="shared" si="87"/>
        <v>-2.28669058505537E-2</v>
      </c>
      <c r="N1359" s="1">
        <f t="shared" si="88"/>
        <v>2.5174575248316003E-3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-2.8899999999999999E-6</v>
      </c>
      <c r="F1360">
        <v>89248.7978</v>
      </c>
      <c r="G1360">
        <v>0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-0.11210667731749833</v>
      </c>
      <c r="N1360" s="1">
        <f t="shared" si="88"/>
        <v>0</v>
      </c>
      <c r="O1360" s="1"/>
    </row>
    <row r="1361" spans="1:15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-2.2166971238327497E-3</v>
      </c>
      <c r="M1361" s="1">
        <f t="shared" si="87"/>
        <v>3.4570244221988601E-2</v>
      </c>
      <c r="N1361" s="1">
        <f t="shared" si="88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-1.6359818557537002E-3</v>
      </c>
      <c r="M1362" s="1">
        <f t="shared" si="87"/>
        <v>2.2809542190176536E-2</v>
      </c>
      <c r="N1362" s="1">
        <f t="shared" si="88"/>
        <v>1.4486529443586062E-3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>
        <v>0</v>
      </c>
      <c r="F1363">
        <v>208834.3547</v>
      </c>
      <c r="G1363" s="1">
        <v>-1.7900000000000001E-5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0</v>
      </c>
      <c r="N1363" s="1">
        <f t="shared" si="88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 s="1">
        <v>-4.5999999999999999E-7</v>
      </c>
      <c r="F1364">
        <v>155958.39420000001</v>
      </c>
      <c r="G1364" s="1">
        <v>-1.03E-5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0</v>
      </c>
      <c r="M1364" s="1">
        <f t="shared" si="87"/>
        <v>-4.5921557767842382E-3</v>
      </c>
      <c r="N1364" s="1">
        <f t="shared" si="88"/>
        <v>-4.8110479248998014E-2</v>
      </c>
      <c r="O1364" s="1"/>
    </row>
    <row r="1365" spans="1:15" x14ac:dyDescent="0.25">
      <c r="A1365">
        <v>2342</v>
      </c>
      <c r="B1365">
        <v>22344.64819</v>
      </c>
      <c r="C1365" s="1">
        <v>4.3200000000000001E-6</v>
      </c>
      <c r="D1365">
        <v>75113.985790000006</v>
      </c>
      <c r="E1365" s="1">
        <v>-3.7400000000000002E-6</v>
      </c>
      <c r="F1365">
        <v>204857.07629999999</v>
      </c>
      <c r="G1365" s="1">
        <v>-7.7400000000000004E-6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0.141795490883904</v>
      </c>
      <c r="M1365" s="1">
        <f t="shared" si="87"/>
        <v>-4.1171189326020159E-2</v>
      </c>
      <c r="N1365" s="1">
        <f t="shared" si="88"/>
        <v>-3.9866347629282248E-2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2.48E-6</v>
      </c>
      <c r="F1366">
        <v>122993.5589</v>
      </c>
      <c r="G1366" s="1">
        <v>4.35E-5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2.6945917533037246E-2</v>
      </c>
      <c r="N1366" s="1">
        <f t="shared" si="88"/>
        <v>0.2211435263652084</v>
      </c>
      <c r="O1366" s="1"/>
    </row>
    <row r="1367" spans="1:15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-2.1783587819760003E-2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4.2E-7</v>
      </c>
      <c r="F1368">
        <v>225173.36540000001</v>
      </c>
      <c r="G1368" s="1">
        <v>-1.2999999999999999E-5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3.43701512171136E-3</v>
      </c>
      <c r="N1368" s="1">
        <f t="shared" si="88"/>
        <v>-4.9775907070656003E-2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0.14698864630150743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2.4623376081638403E-2</v>
      </c>
      <c r="O1370" s="1"/>
    </row>
    <row r="1371" spans="1:15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6.3948571492715E-3</v>
      </c>
      <c r="M1371" s="1">
        <f t="shared" si="87"/>
        <v>1.629999896140465E-2</v>
      </c>
      <c r="N1371" s="1">
        <f t="shared" si="88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-6.7999999999999995E-7</v>
      </c>
      <c r="F1372">
        <v>124898.09729999999</v>
      </c>
      <c r="G1372" s="1">
        <v>8.1300000000000001E-6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-3.9652492209529674E-3</v>
      </c>
      <c r="N1372" s="1">
        <f t="shared" si="88"/>
        <v>2.2181749655743783E-2</v>
      </c>
      <c r="O1372" s="1"/>
    </row>
    <row r="1373" spans="1:15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-1.1955542878500001E-3</v>
      </c>
      <c r="M1373" s="1">
        <f t="shared" si="87"/>
        <v>-2.47799778271236E-2</v>
      </c>
      <c r="N1373" s="1">
        <f t="shared" si="88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-0.11695846422314314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0</v>
      </c>
      <c r="M1375" s="1">
        <f t="shared" si="87"/>
        <v>-1.603787484079152E-2</v>
      </c>
      <c r="N1375" s="1">
        <f t="shared" si="88"/>
        <v>-1.79000707440371E-2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0.10267388847986521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-2.94E-5</v>
      </c>
      <c r="F1377">
        <v>744364.68539999996</v>
      </c>
      <c r="G1377">
        <v>16498.72755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-0.21773106990469712</v>
      </c>
      <c r="N1377" s="1">
        <f t="shared" si="88"/>
        <v>57169870.086097404</v>
      </c>
      <c r="O1377" s="1"/>
    </row>
    <row r="1378" spans="1:15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>
        <v>879.43871779999995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2.7336478719614996E-3</v>
      </c>
      <c r="M1378" s="1">
        <f t="shared" si="87"/>
        <v>-5.4092582967952014E-3</v>
      </c>
      <c r="N1378" s="1">
        <f t="shared" si="88"/>
        <v>1257516.5615503644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0.22437849426099557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-0.25269977653447234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-5.7000000000000005E-7</v>
      </c>
      <c r="F1381">
        <v>196842.7248</v>
      </c>
      <c r="G1381" s="1">
        <v>5.4199999999999998E-6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-4.2543840412846623E-3</v>
      </c>
      <c r="N1381" s="1">
        <f t="shared" si="88"/>
        <v>1.8928003165812109E-2</v>
      </c>
      <c r="O1381" s="1"/>
    </row>
    <row r="1382" spans="1:15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-3.05E-6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4.8126052764724996E-3</v>
      </c>
      <c r="M1382" s="1">
        <f t="shared" si="87"/>
        <v>-4.9229249974254846E-2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3.6899999999999998E-6</v>
      </c>
      <c r="F1383">
        <v>81407.58683</v>
      </c>
      <c r="G1383" s="1">
        <v>-3.7299999999999999E-6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8.7054302409613565E-2</v>
      </c>
      <c r="N1383" s="1">
        <f t="shared" si="88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-4.34E-6</v>
      </c>
      <c r="F1384">
        <v>264437.65159999998</v>
      </c>
      <c r="G1384" s="1">
        <v>-2.76E-5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-6.7929857167011276E-2</v>
      </c>
      <c r="N1384" s="1">
        <f t="shared" si="88"/>
        <v>-0.20212672165958881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4.7299999999999996E-6</v>
      </c>
      <c r="F1385">
        <v>507183.68890000001</v>
      </c>
      <c r="G1385">
        <v>2524.1129129999999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3.8067057629905268E-2</v>
      </c>
      <c r="N1385" s="1">
        <f t="shared" si="88"/>
        <v>9504748.4103060942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>
        <v>0</v>
      </c>
      <c r="F1386">
        <v>64510.833250000003</v>
      </c>
      <c r="G1386" s="1">
        <v>3.7100000000000001E-6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0</v>
      </c>
      <c r="N1386" s="1">
        <f t="shared" si="88"/>
        <v>3.7550389037511421E-2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2.6900000000000001E-6</v>
      </c>
      <c r="F1387">
        <v>750003.62589999998</v>
      </c>
      <c r="G1387">
        <v>6554.8834290000004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2.2505875344288308E-2</v>
      </c>
      <c r="N1387" s="1">
        <f t="shared" si="88"/>
        <v>25659741.676000722</v>
      </c>
      <c r="O1387" s="1"/>
    </row>
    <row r="1388" spans="1:15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 s="1">
        <v>2.73E-5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-9.5226865954999994E-4</v>
      </c>
      <c r="M1388" s="1">
        <f t="shared" si="87"/>
        <v>4.8864567493277994E-3</v>
      </c>
      <c r="N1388" s="1">
        <f t="shared" si="88"/>
        <v>4.0795189375122005E-2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 s="1">
        <v>-3.1999999999999999E-6</v>
      </c>
      <c r="F1389">
        <v>442531.53220000002</v>
      </c>
      <c r="G1389">
        <v>2524.1129500000002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0</v>
      </c>
      <c r="M1389" s="1">
        <f t="shared" si="87"/>
        <v>-3.1680922172614721E-2</v>
      </c>
      <c r="N1389" s="1">
        <f t="shared" si="88"/>
        <v>11692309.409735629</v>
      </c>
      <c r="O1389" s="1"/>
    </row>
    <row r="1390" spans="1:15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>
        <v>0</v>
      </c>
      <c r="F1390">
        <v>634428.8713</v>
      </c>
      <c r="G1390">
        <v>2524.1129679999999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-1.2096012616011998E-2</v>
      </c>
      <c r="M1390" s="1">
        <f t="shared" si="87"/>
        <v>0</v>
      </c>
      <c r="N1390" s="1">
        <f t="shared" si="88"/>
        <v>11977821.67356571</v>
      </c>
      <c r="O1390" s="1"/>
    </row>
    <row r="1391" spans="1:15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9.1420348561424992E-4</v>
      </c>
      <c r="M1391" s="1">
        <f t="shared" si="87"/>
        <v>7.9718543945562596E-3</v>
      </c>
      <c r="N1391" s="1">
        <f t="shared" si="88"/>
        <v>7.4599004426122804E-3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0</v>
      </c>
      <c r="M1392" s="1">
        <f t="shared" si="87"/>
        <v>0</v>
      </c>
      <c r="N1392" s="1">
        <f t="shared" si="88"/>
        <v>2.9367164333023922E-2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>
        <v>0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0</v>
      </c>
      <c r="O1394" s="1"/>
    </row>
    <row r="1395" spans="1:15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1.0759209477463198E-2</v>
      </c>
      <c r="M1395" s="1">
        <f t="shared" si="87"/>
        <v>2.4282018466220953E-2</v>
      </c>
      <c r="N1395" s="1">
        <f t="shared" si="88"/>
        <v>0.11994449488625802</v>
      </c>
      <c r="O1395" s="1"/>
    </row>
    <row r="1396" spans="1:15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-1.1799999999999999E-6</v>
      </c>
      <c r="F1396">
        <v>239648.47330000001</v>
      </c>
      <c r="G1396" s="1">
        <v>3.3200000000000001E-5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-1.0479133942793751E-2</v>
      </c>
      <c r="M1396" s="1">
        <f t="shared" si="87"/>
        <v>-1.6588630248887778E-2</v>
      </c>
      <c r="N1396" s="1">
        <f t="shared" si="88"/>
        <v>0.2183787026700108</v>
      </c>
      <c r="O1396" s="1"/>
    </row>
    <row r="1397" spans="1:15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-8.7000000000000003E-7</v>
      </c>
      <c r="F1397">
        <v>584187.07339999999</v>
      </c>
      <c r="G1397">
        <v>2524.11292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1.403124076926E-3</v>
      </c>
      <c r="M1397" s="1">
        <f t="shared" si="87"/>
        <v>-4.0941001912274642E-3</v>
      </c>
      <c r="N1397" s="1">
        <f t="shared" si="88"/>
        <v>5557656.1279240465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2.0200000000000001E-6</v>
      </c>
      <c r="F1398">
        <v>748807.98349999997</v>
      </c>
      <c r="G1398">
        <v>7682.0455199999997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1.3038744381020406E-2</v>
      </c>
      <c r="N1398" s="1">
        <f t="shared" si="88"/>
        <v>23200906.625446416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2.23E-5</v>
      </c>
      <c r="F1399">
        <v>843246.9497</v>
      </c>
      <c r="G1399">
        <v>8720.3187749999997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8.3191737135040272E-2</v>
      </c>
      <c r="N1399" s="1">
        <f t="shared" si="88"/>
        <v>15221286.802337343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1.9300000000000002E-6</v>
      </c>
      <c r="F1400">
        <v>608604.41159999999</v>
      </c>
      <c r="G1400">
        <v>2524.112975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6.9243454063801025E-3</v>
      </c>
      <c r="N1400" s="1">
        <f t="shared" si="88"/>
        <v>4237150.4219466122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0</v>
      </c>
      <c r="M1401" s="1">
        <f t="shared" si="87"/>
        <v>-1.288376072305783E-2</v>
      </c>
      <c r="N1401" s="1">
        <f t="shared" si="88"/>
        <v>3.9782524253653175E-2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-0.19782147651075813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-2.7499999999999999E-6</v>
      </c>
      <c r="F1403">
        <v>655484.62080000003</v>
      </c>
      <c r="G1403" s="1">
        <v>-4.07E-5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-3.5783770651557495E-2</v>
      </c>
      <c r="N1403" s="1">
        <f t="shared" si="88"/>
        <v>-0.247794404475189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5.6000000000000004E-7</v>
      </c>
      <c r="F1404">
        <v>245420.86420000001</v>
      </c>
      <c r="G1404" s="1">
        <v>-4.1300000000000003E-6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2.3580122356049284E-3</v>
      </c>
      <c r="N1404" s="1">
        <f t="shared" si="88"/>
        <v>-8.1367646983202171E-3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1.3222264630508025E-2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0.15905610767154602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0</v>
      </c>
      <c r="M1407" s="1">
        <f t="shared" si="87"/>
        <v>-1.6248461557134272E-2</v>
      </c>
      <c r="N1407" s="1">
        <f t="shared" si="88"/>
        <v>-4.3750185134364482E-2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-3.1E-7</v>
      </c>
      <c r="F1408">
        <v>412292.49430000002</v>
      </c>
      <c r="G1408" s="1">
        <v>-3.6699999999999998E-5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-1.6859523518629651E-3</v>
      </c>
      <c r="N1408" s="1">
        <f t="shared" si="88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-1.6899999999999999E-6</v>
      </c>
      <c r="F1409">
        <v>151285.07070000001</v>
      </c>
      <c r="G1409" s="1">
        <v>-3.4700000000000003E-5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-6.1295180374018104E-3</v>
      </c>
      <c r="N1409" s="1">
        <f t="shared" si="88"/>
        <v>-5.888609777313928E-2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-2.1500000000000001E-5</v>
      </c>
      <c r="F1410">
        <v>592683.04209999996</v>
      </c>
      <c r="G1410" s="1">
        <v>-7.4499999999999996E-7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-8.7543498691821348E-2</v>
      </c>
      <c r="N1410" s="1">
        <f t="shared" si="88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1.8112131392378078E-2</v>
      </c>
      <c r="M1411" s="1">
        <f t="shared" ref="M1411:M1474" si="91">$U$3*$K1411*E1411</f>
        <v>-4.3428357847414535E-2</v>
      </c>
      <c r="N1411" s="1">
        <f t="shared" ref="N1411:N1474" si="92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2.2000000000000001E-7</v>
      </c>
      <c r="F1412">
        <v>695204.60900000005</v>
      </c>
      <c r="G1412" s="1">
        <v>4.3900000000000003E-5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1.3035691342191981E-3</v>
      </c>
      <c r="N1412" s="1">
        <f t="shared" si="92"/>
        <v>0.12170812904934791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-9.5999999999999991E-7</v>
      </c>
      <c r="F1413">
        <v>722706.59920000006</v>
      </c>
      <c r="G1413" s="1">
        <v>6.3200000000000005E-7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-1.2933166900356478E-2</v>
      </c>
      <c r="N1413" s="1">
        <f t="shared" si="92"/>
        <v>3.9837713640318243E-3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 s="1">
        <v>-1.9599999999999999E-6</v>
      </c>
      <c r="F1414">
        <v>592986.01159999997</v>
      </c>
      <c r="G1414" s="1">
        <v>3.79E-5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0</v>
      </c>
      <c r="M1414" s="1">
        <f t="shared" si="91"/>
        <v>-1.2603457872702872E-2</v>
      </c>
      <c r="N1414" s="1">
        <f t="shared" si="92"/>
        <v>0.11402931905142943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 s="1">
        <v>-4.5300000000000003E-5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-3.9537286710651633E-2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-9.3700000000000001E-6</v>
      </c>
      <c r="F1416">
        <v>983702.91399999999</v>
      </c>
      <c r="G1416" s="1">
        <v>9.7599999999999997E-6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-3.0688666628457067E-2</v>
      </c>
      <c r="N1416" s="1">
        <f t="shared" si="92"/>
        <v>1.4956567124221153E-2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2.7499999999999999E-6</v>
      </c>
      <c r="F1417">
        <v>759028.58629999997</v>
      </c>
      <c r="G1417" s="1">
        <v>-4.5199999999999999E-6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1.8940251302785448E-2</v>
      </c>
      <c r="N1417" s="1">
        <f t="shared" si="92"/>
        <v>-1.4565827290469065E-2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2.48E-5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8.9401154863129689E-2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4.1E-5</v>
      </c>
      <c r="F1419">
        <v>832306.12659999996</v>
      </c>
      <c r="G1419" s="1">
        <v>-3.7499999999999997E-5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0.1455295521148581</v>
      </c>
      <c r="N1419" s="1">
        <f t="shared" si="92"/>
        <v>-6.2279093403371254E-2</v>
      </c>
      <c r="O1419" s="1"/>
    </row>
    <row r="1420" spans="1:15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 s="1">
        <v>-1.88E-5</v>
      </c>
      <c r="F1420">
        <v>1046873.117</v>
      </c>
      <c r="G1420">
        <v>0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5.7445546523901252E-3</v>
      </c>
      <c r="M1420" s="1">
        <f t="shared" si="91"/>
        <v>-6.5855895908687234E-2</v>
      </c>
      <c r="N1420" s="1">
        <f t="shared" si="92"/>
        <v>0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-1.1599999999999999E-6</v>
      </c>
      <c r="F1421">
        <v>930540.84970000002</v>
      </c>
      <c r="G1421">
        <v>3120.7334879999999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-5.2861333491380155E-3</v>
      </c>
      <c r="N1421" s="1">
        <f t="shared" si="92"/>
        <v>6653964.5808218811</v>
      </c>
      <c r="O1421" s="1"/>
    </row>
    <row r="1422" spans="1:15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3.8000000000000002E-5</v>
      </c>
      <c r="F1422">
        <v>922266.57330000005</v>
      </c>
      <c r="G1422">
        <v>2911.7016010000002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-6.5377500025451257E-3</v>
      </c>
      <c r="M1422" s="1">
        <f t="shared" si="91"/>
        <v>0.23806031218058823</v>
      </c>
      <c r="N1422" s="1">
        <f t="shared" si="92"/>
        <v>8534811.7328946665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-3.8099999999999998E-5</v>
      </c>
      <c r="F1423">
        <v>1194168.173</v>
      </c>
      <c r="G1423">
        <v>15166.223819999999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-8.8595863804796324E-2</v>
      </c>
      <c r="N1423" s="1">
        <f t="shared" si="92"/>
        <v>16500975.149769722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 s="1">
        <v>2.0699999999999998E-5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3.7865458427913272E-2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8.4E-7</v>
      </c>
      <c r="F1425">
        <v>817784.63029999996</v>
      </c>
      <c r="G1425">
        <v>0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3.9054680291744884E-3</v>
      </c>
      <c r="N1425" s="1">
        <f t="shared" si="92"/>
        <v>0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 s="1">
        <v>-9.38E-6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-1.4894719720043898E-2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4.0299999999999997E-5</v>
      </c>
      <c r="F1427">
        <v>1102505.2919999999</v>
      </c>
      <c r="G1427">
        <v>7207.131805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6.8382015146172648E-2</v>
      </c>
      <c r="N1427" s="1">
        <f t="shared" si="92"/>
        <v>5721935.9411634319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6.0999999999999998E-7</v>
      </c>
      <c r="F1428">
        <v>683553.25719999999</v>
      </c>
      <c r="G1428">
        <v>1882.2824450000001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3.7282736922806601E-3</v>
      </c>
      <c r="N1428" s="1">
        <f t="shared" si="92"/>
        <v>5382777.412812396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>
        <v>2463.0595830000002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5130631.8918894175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4.4000000000000002E-7</v>
      </c>
      <c r="F1430">
        <v>519274.24170000001</v>
      </c>
      <c r="G1430" s="1">
        <v>3.8999999999999999E-5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2.3983122941921881E-3</v>
      </c>
      <c r="N1430" s="1">
        <f t="shared" si="92"/>
        <v>9.9462951483491713E-2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8.4E-7</v>
      </c>
      <c r="F1431">
        <v>709075.16229999997</v>
      </c>
      <c r="G1431">
        <v>0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4.6510603031261885E-3</v>
      </c>
      <c r="N1431" s="1">
        <f t="shared" si="92"/>
        <v>0</v>
      </c>
      <c r="O1431" s="1"/>
    </row>
    <row r="1432" spans="1:15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>
        <v>474.91371229999999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3.0151539209142E-2</v>
      </c>
      <c r="M1432" s="1">
        <f t="shared" si="91"/>
        <v>2.0994143638633018E-2</v>
      </c>
      <c r="N1432" s="1">
        <f t="shared" si="92"/>
        <v>2442435.9541337937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9.1999999999999998E-7</v>
      </c>
      <c r="F1433">
        <v>658738.56240000005</v>
      </c>
      <c r="G1433" s="1">
        <v>-2.7900000000000001E-5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9.8512302099433794E-3</v>
      </c>
      <c r="N1433" s="1">
        <f t="shared" si="92"/>
        <v>-0.13978176571328715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 s="1">
        <v>3.32E-6</v>
      </c>
      <c r="F1434">
        <v>562069.15560000006</v>
      </c>
      <c r="G1434">
        <v>698.70099349999998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0</v>
      </c>
      <c r="M1434" s="1">
        <f t="shared" si="91"/>
        <v>2.4510342592750738E-2</v>
      </c>
      <c r="N1434" s="1">
        <f t="shared" si="92"/>
        <v>2413494.6301248916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2.5299999999999998E-5</v>
      </c>
      <c r="F1435">
        <v>931812.69299999997</v>
      </c>
      <c r="G1435">
        <v>14691.31012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0.17500515208370337</v>
      </c>
      <c r="N1435" s="1">
        <f t="shared" si="92"/>
        <v>47548247.835091561</v>
      </c>
      <c r="O1435" s="1"/>
    </row>
    <row r="1436" spans="1:15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-1.49E-5</v>
      </c>
      <c r="F1436">
        <v>834132.72679999995</v>
      </c>
      <c r="G1436">
        <v>28136.869289999999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-7.3543241498350001E-3</v>
      </c>
      <c r="M1436" s="1">
        <f t="shared" si="91"/>
        <v>-0.18375627464226188</v>
      </c>
      <c r="N1436" s="1">
        <f t="shared" si="92"/>
        <v>162358623.43584749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 s="1">
        <v>1.7200000000000001E-5</v>
      </c>
      <c r="F1437">
        <v>692557.83129999996</v>
      </c>
      <c r="G1437">
        <v>9547.4017980000008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0</v>
      </c>
      <c r="M1437" s="1">
        <f t="shared" si="91"/>
        <v>0.11963031917297416</v>
      </c>
      <c r="N1437" s="1">
        <f t="shared" si="92"/>
        <v>31070031.439479273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 s="1">
        <v>4.3000000000000001E-7</v>
      </c>
      <c r="F1438">
        <v>444762.88170000003</v>
      </c>
      <c r="G1438">
        <v>474.91366929999998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0</v>
      </c>
      <c r="M1438" s="1">
        <f t="shared" si="91"/>
        <v>4.6498468334506349E-3</v>
      </c>
      <c r="N1438" s="1">
        <f t="shared" si="92"/>
        <v>2402860.3987456448</v>
      </c>
      <c r="O1438" s="1"/>
    </row>
    <row r="1439" spans="1:15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5.2E-7</v>
      </c>
      <c r="F1439">
        <v>157449.26730000001</v>
      </c>
      <c r="G1439" s="1">
        <v>8.2900000000000002E-6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3.9694428962825006E-3</v>
      </c>
      <c r="M1439" s="1">
        <f t="shared" si="91"/>
        <v>6.9227084111166794E-3</v>
      </c>
      <c r="N1439" s="1">
        <f t="shared" si="92"/>
        <v>5.1638177295977791E-2</v>
      </c>
      <c r="O1439" s="1"/>
    </row>
    <row r="1440" spans="1:15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>
        <v>698.70103930000005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-1.2805213132952499E-3</v>
      </c>
      <c r="M1440" s="1">
        <f t="shared" si="91"/>
        <v>-1.6749218777901871E-2</v>
      </c>
      <c r="N1440" s="1">
        <f t="shared" si="92"/>
        <v>1403993.2367601478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-3.1599999999999998E-6</v>
      </c>
      <c r="F1441">
        <v>830276.27040000004</v>
      </c>
      <c r="G1441" s="1">
        <v>-1.66E-5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-6.6037410083313302E-3</v>
      </c>
      <c r="N1441" s="1">
        <f t="shared" si="92"/>
        <v>-1.6231352739673983E-2</v>
      </c>
      <c r="O1441" s="1"/>
    </row>
    <row r="1442" spans="1:15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 s="1">
        <v>-1.31E-5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-1.0045285109834001E-2</v>
      </c>
      <c r="M1442" s="1">
        <f t="shared" si="91"/>
        <v>-1.27234797815066E-2</v>
      </c>
      <c r="N1442" s="1">
        <f t="shared" si="92"/>
        <v>-2.1968101413682804E-2</v>
      </c>
      <c r="O1442" s="1"/>
    </row>
    <row r="1443" spans="1:15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 s="1">
        <v>4.7299999999999998E-5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2.0057980354502999E-3</v>
      </c>
      <c r="M1443" s="1">
        <f t="shared" si="91"/>
        <v>2.1022306333084873E-2</v>
      </c>
      <c r="N1443" s="1">
        <f t="shared" si="92"/>
        <v>0.12406632310042971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 s="1">
        <v>4.7999999999999996E-7</v>
      </c>
      <c r="F1444">
        <v>484864.93770000001</v>
      </c>
      <c r="G1444" s="1">
        <v>1.33E-5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0</v>
      </c>
      <c r="M1444" s="1">
        <f t="shared" si="91"/>
        <v>2.1644559703532158E-3</v>
      </c>
      <c r="N1444" s="1">
        <f t="shared" si="92"/>
        <v>2.806098021197604E-2</v>
      </c>
      <c r="O1444" s="1"/>
    </row>
    <row r="1445" spans="1:15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2.7399999999999999E-5</v>
      </c>
      <c r="F1445">
        <v>963188.60649999999</v>
      </c>
      <c r="G1445" s="1">
        <v>2.5400000000000001E-5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-2.6754188592586002E-3</v>
      </c>
      <c r="M1445" s="1">
        <f t="shared" si="91"/>
        <v>8.7806658956722364E-2</v>
      </c>
      <c r="N1445" s="1">
        <f t="shared" si="92"/>
        <v>3.8085028464654842E-2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-2.9E-5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-5.4046640984367005E-2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 s="1">
        <v>-2.8799999999999999E-5</v>
      </c>
      <c r="F1447">
        <v>913767.14439999999</v>
      </c>
      <c r="G1447" s="1">
        <v>2.48E-5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0</v>
      </c>
      <c r="M1447" s="1">
        <f t="shared" si="91"/>
        <v>-8.0259586346787842E-2</v>
      </c>
      <c r="N1447" s="1">
        <f t="shared" si="92"/>
        <v>3.2337004590792966E-2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-4.9699999999999998E-6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-1.1315251345283992E-2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>
        <v>0</v>
      </c>
      <c r="F1449">
        <v>642830.53449999995</v>
      </c>
      <c r="G1449" s="1">
        <v>1.4100000000000001E-5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0</v>
      </c>
      <c r="N1449" s="1">
        <f t="shared" si="92"/>
        <v>1.8625724395579264E-2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2.5600000000000001E-6</v>
      </c>
      <c r="F1450">
        <v>674898.61699999997</v>
      </c>
      <c r="G1450" s="1">
        <v>2.3499999999999999E-5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8.2751419916154874E-3</v>
      </c>
      <c r="N1450" s="1">
        <f t="shared" si="92"/>
        <v>3.5542422867514196E-2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-2.9E-5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-2.6478784450750501E-2</v>
      </c>
      <c r="O1451" s="1"/>
    </row>
    <row r="1452" spans="1:15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1.5716924748310503E-3</v>
      </c>
      <c r="M1452" s="1">
        <f t="shared" si="91"/>
        <v>3.977371138404618E-3</v>
      </c>
      <c r="N1452" s="1">
        <f t="shared" si="92"/>
        <v>3.8788930644571624E-2</v>
      </c>
      <c r="O1452" s="1"/>
    </row>
    <row r="1453" spans="1:15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4.7391084086840004E-3</v>
      </c>
      <c r="M1453" s="1">
        <f t="shared" si="91"/>
        <v>-1.2953806014936713E-2</v>
      </c>
      <c r="N1453" s="1">
        <f t="shared" si="92"/>
        <v>-7.8271843571426289E-2</v>
      </c>
      <c r="O1453" s="1"/>
    </row>
    <row r="1454" spans="1:15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-5.6000000000000004E-7</v>
      </c>
      <c r="F1454">
        <v>258009.1476</v>
      </c>
      <c r="G1454" s="1">
        <v>1.4600000000000001E-5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1.4109145764274274E-2</v>
      </c>
      <c r="M1454" s="1">
        <f t="shared" si="91"/>
        <v>-2.9774321778783122E-3</v>
      </c>
      <c r="N1454" s="1">
        <f t="shared" si="92"/>
        <v>3.6320380072873387E-2</v>
      </c>
      <c r="O1454" s="1"/>
    </row>
    <row r="1455" spans="1:15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-1.77E-6</v>
      </c>
      <c r="F1455">
        <v>812017.7378</v>
      </c>
      <c r="G1455" s="1">
        <v>1.8199999999999999E-5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-3.0749806265109752E-3</v>
      </c>
      <c r="M1455" s="1">
        <f t="shared" si="91"/>
        <v>-6.2944934989152511E-3</v>
      </c>
      <c r="N1455" s="1">
        <f t="shared" si="92"/>
        <v>3.0283257480397743E-2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2.2002619031978209E-2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-1.11E-6</v>
      </c>
      <c r="F1457">
        <v>293182.32209999999</v>
      </c>
      <c r="G1457">
        <v>238.1749016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-6.5415273144514927E-3</v>
      </c>
      <c r="N1457" s="1">
        <f t="shared" si="92"/>
        <v>656743.60563759832</v>
      </c>
      <c r="O1457" s="1"/>
    </row>
    <row r="1458" spans="1:15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-1.5979469149637502E-4</v>
      </c>
      <c r="M1458" s="1">
        <f t="shared" si="91"/>
        <v>-1.2647872750931538E-2</v>
      </c>
      <c r="N1458" s="1">
        <f t="shared" si="92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3.1422099024997444E-2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>
        <v>5454.5270700000001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19736440.956107546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2.3934000076824218E-2</v>
      </c>
      <c r="O1461" s="1"/>
    </row>
    <row r="1462" spans="1:15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-2.9699999999999999E-6</v>
      </c>
      <c r="F1462">
        <v>272646.63929999998</v>
      </c>
      <c r="G1462" s="1">
        <v>1.1000000000000001E-7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2.1435584250275002E-4</v>
      </c>
      <c r="M1462" s="1">
        <f t="shared" si="91"/>
        <v>-1.0675910291294655E-2</v>
      </c>
      <c r="N1462" s="1">
        <f t="shared" si="92"/>
        <v>1.8500558099083503E-4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-2.2500000000000001E-5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-5.3935568471686512E-2</v>
      </c>
      <c r="O1463" s="1"/>
    </row>
    <row r="1464" spans="1:15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-5.7628176303847495E-4</v>
      </c>
      <c r="M1464" s="1">
        <f t="shared" si="91"/>
        <v>2.0100707894782008E-2</v>
      </c>
      <c r="N1464" s="1">
        <f t="shared" si="92"/>
        <v>0.12178163533994603</v>
      </c>
      <c r="O1464" s="1"/>
    </row>
    <row r="1465" spans="1:15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1.4471969536983076E-2</v>
      </c>
      <c r="M1465" s="1">
        <f t="shared" si="91"/>
        <v>4.5645207748135554E-2</v>
      </c>
      <c r="N1465" s="1">
        <f t="shared" si="92"/>
        <v>4.9768416352060293E-2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0.18178672686544772</v>
      </c>
      <c r="O1466" s="1"/>
    </row>
    <row r="1467" spans="1:15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1.60414966780575E-3</v>
      </c>
      <c r="M1467" s="1">
        <f t="shared" si="91"/>
        <v>-2.1950690469740713E-2</v>
      </c>
      <c r="N1467" s="1">
        <f t="shared" si="92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2.73668095803375E-3</v>
      </c>
      <c r="M1468" s="1">
        <f t="shared" si="91"/>
        <v>-2.2854233194459693E-2</v>
      </c>
      <c r="N1468" s="1">
        <f t="shared" si="92"/>
        <v>0.20355853993694734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>
        <v>0</v>
      </c>
      <c r="F1469">
        <v>384662.80570000003</v>
      </c>
      <c r="G1469" s="1">
        <v>3.8000000000000002E-5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0</v>
      </c>
      <c r="N1469" s="1">
        <f t="shared" si="92"/>
        <v>5.064534970044781E-2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0</v>
      </c>
      <c r="M1470" s="1">
        <f t="shared" si="91"/>
        <v>3.3237219616967136E-2</v>
      </c>
      <c r="N1470" s="1">
        <f t="shared" si="92"/>
        <v>-4.155424032637945E-2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>
        <v>8253.7781410000007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18645763.98590903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-0.16634397854884261</v>
      </c>
      <c r="O1472" s="1"/>
    </row>
    <row r="1473" spans="1:15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>
        <v>9697.8745550000003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5.9844993068445002E-3</v>
      </c>
      <c r="M1473" s="1">
        <f t="shared" si="91"/>
        <v>-0.17194233752065127</v>
      </c>
      <c r="N1473" s="1">
        <f t="shared" si="92"/>
        <v>30357775.396568034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-2.58E-5</v>
      </c>
      <c r="F1474">
        <v>979885.30460000003</v>
      </c>
      <c r="G1474">
        <v>17968.746029999998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-6.7363935062747168E-2</v>
      </c>
      <c r="N1474" s="1">
        <f t="shared" si="92"/>
        <v>21951752.178692732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>
        <v>6946.6834680000002</v>
      </c>
      <c r="F1475">
        <v>840665.19140000001</v>
      </c>
      <c r="G1475">
        <v>40233.724240000003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27278174.25799197</v>
      </c>
      <c r="N1475" s="1">
        <f t="shared" ref="N1475:N1538" si="96">$U$4*$K1475*G1475</f>
        <v>73921658.518531054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-4.9300000000000002E-6</v>
      </c>
      <c r="F1476">
        <v>1011263.6580000001</v>
      </c>
      <c r="G1476">
        <v>18715.35873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-1.0010011512332669E-2</v>
      </c>
      <c r="N1476" s="1">
        <f t="shared" si="96"/>
        <v>17779907.277260587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 s="1">
        <v>-4.5600000000000004E-6</v>
      </c>
      <c r="F1477">
        <v>683082.11040000001</v>
      </c>
      <c r="G1477">
        <v>1227.1140969999999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0</v>
      </c>
      <c r="M1477" s="1">
        <f t="shared" si="95"/>
        <v>-1.713894736337988E-2</v>
      </c>
      <c r="N1477" s="1">
        <f t="shared" si="96"/>
        <v>2157982.5361833372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 s="1">
        <v>5.0000000000000002E-5</v>
      </c>
      <c r="F1478">
        <v>983047.76919999998</v>
      </c>
      <c r="G1478">
        <v>17358.382440000001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0</v>
      </c>
      <c r="M1478" s="1">
        <f t="shared" si="95"/>
        <v>8.4600925267665009E-2</v>
      </c>
      <c r="N1478" s="1">
        <f t="shared" si="96"/>
        <v>13742256.145738244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 s="1">
        <v>-4.5499999999999996E-6</v>
      </c>
      <c r="F1479">
        <v>601949.51899999997</v>
      </c>
      <c r="G1479" s="1">
        <v>4.2799999999999997E-5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0</v>
      </c>
      <c r="M1479" s="1">
        <f t="shared" si="95"/>
        <v>-3.7011495128861434E-2</v>
      </c>
      <c r="N1479" s="1">
        <f t="shared" si="96"/>
        <v>0.16289684760011844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9.9999999999999995E-7</v>
      </c>
      <c r="F1480">
        <v>748139.4068</v>
      </c>
      <c r="G1480" s="1">
        <v>1.59E-5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5.7472424329165998E-3</v>
      </c>
      <c r="N1480" s="1">
        <f t="shared" si="96"/>
        <v>4.2756320081211663E-2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 s="1">
        <v>7.4000000000000001E-7</v>
      </c>
      <c r="F1481">
        <v>218933.10550000001</v>
      </c>
      <c r="G1481" s="1">
        <v>-7.1400000000000002E-6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0</v>
      </c>
      <c r="M1481" s="1">
        <f t="shared" si="95"/>
        <v>2.1034385882573881E-3</v>
      </c>
      <c r="N1481" s="1">
        <f t="shared" si="96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-1.4100000000000001E-5</v>
      </c>
      <c r="F1482">
        <v>937820.60179999995</v>
      </c>
      <c r="G1482">
        <v>17080.54162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-6.0766197244565522E-2</v>
      </c>
      <c r="N1482" s="1">
        <f t="shared" si="96"/>
        <v>34441992.073245801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 s="1">
        <v>1.61E-6</v>
      </c>
      <c r="F1483">
        <v>754201.09920000006</v>
      </c>
      <c r="G1483">
        <v>698.70099549999998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0</v>
      </c>
      <c r="M1483" s="1">
        <f t="shared" si="95"/>
        <v>1.048530231860258E-2</v>
      </c>
      <c r="N1483" s="1">
        <f t="shared" si="96"/>
        <v>2129070.8848050041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 s="1">
        <v>1.1399999999999999E-5</v>
      </c>
      <c r="F1484">
        <v>962087.60549999995</v>
      </c>
      <c r="G1484">
        <v>16856.754250000002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0</v>
      </c>
      <c r="M1484" s="1">
        <f t="shared" si="95"/>
        <v>4.4461291087169702E-2</v>
      </c>
      <c r="N1484" s="1">
        <f t="shared" si="96"/>
        <v>30760603.518590767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-4.7999999999999996E-7</v>
      </c>
      <c r="F1486">
        <v>650085.27049999998</v>
      </c>
      <c r="G1486">
        <v>2075.0919800000001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-4.1545291149940799E-3</v>
      </c>
      <c r="N1486" s="1">
        <f t="shared" si="96"/>
        <v>8403526.9955511559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-0.13399837529158443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>
        <v>2999.0266769999998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12054558.527561661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4.1600000000000002E-5</v>
      </c>
      <c r="F1489">
        <v>722388.48389999999</v>
      </c>
      <c r="G1489">
        <v>17464.204699999998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0.33370680994558755</v>
      </c>
      <c r="N1489" s="1">
        <f t="shared" si="96"/>
        <v>65548722.206325106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>
        <v>6554.883401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14061119.672900394</v>
      </c>
      <c r="O1490" s="1"/>
    </row>
    <row r="1491" spans="1:15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>
        <v>7682.0454570000002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2.07832626460875E-3</v>
      </c>
      <c r="M1491" s="1">
        <f t="shared" si="95"/>
        <v>1.4916627214850368E-2</v>
      </c>
      <c r="N1491" s="1">
        <f t="shared" si="96"/>
        <v>25054019.655362245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-0.18027054137404683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1.38E-5</v>
      </c>
      <c r="F1493">
        <v>947794.16040000005</v>
      </c>
      <c r="G1493">
        <v>16856.754300000001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7.0525542917165521E-2</v>
      </c>
      <c r="N1493" s="1">
        <f t="shared" si="96"/>
        <v>40307418.68785201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 s="1">
        <v>-2.1799999999999999E-6</v>
      </c>
      <c r="F1494">
        <v>707657.99789999996</v>
      </c>
      <c r="G1494">
        <v>474.91369809999998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0</v>
      </c>
      <c r="M1494" s="1">
        <f t="shared" si="95"/>
        <v>-1.3987418864964648E-2</v>
      </c>
      <c r="N1494" s="1">
        <f t="shared" si="96"/>
        <v>1425737.1341711022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-3.0599999999999998E-5</v>
      </c>
      <c r="F1495">
        <v>880748.20149999997</v>
      </c>
      <c r="G1495">
        <v>1707.5852769999999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-0.21144096190883879</v>
      </c>
      <c r="N1495" s="1">
        <f t="shared" si="96"/>
        <v>5520695.3136123996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>
        <v>474.91366099999999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1900389.2956330001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 s="1">
        <v>3.96E-5</v>
      </c>
      <c r="F1497">
        <v>743836.89450000005</v>
      </c>
      <c r="G1497" s="1">
        <v>3.5299999999999997E-5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0</v>
      </c>
      <c r="M1497" s="1">
        <f t="shared" si="95"/>
        <v>0.26358313271453065</v>
      </c>
      <c r="N1497" s="1">
        <f t="shared" si="96"/>
        <v>0.10993622320127178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 s="1">
        <v>-2.8999999999999998E-7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0</v>
      </c>
      <c r="M1498" s="1">
        <f t="shared" si="95"/>
        <v>-2.7243847559446244E-3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-8.8999999999999995E-7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-3.8695202741258947E-3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3.3999999999999997E-7</v>
      </c>
      <c r="F1502">
        <v>276552.37170000002</v>
      </c>
      <c r="G1502">
        <v>2524.1129550000001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-3.8267806512389999E-3</v>
      </c>
      <c r="M1502" s="1">
        <f t="shared" si="95"/>
        <v>1.090926853345518E-3</v>
      </c>
      <c r="N1502" s="1">
        <f t="shared" si="96"/>
        <v>3789388.9038809277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-0.14757604655268375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-8.9999999999999999E-8</v>
      </c>
      <c r="F1504">
        <v>147273.20129999999</v>
      </c>
      <c r="G1504">
        <v>208.89732910000001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-1.28949051477555E-3</v>
      </c>
      <c r="N1504" s="1">
        <f t="shared" si="96"/>
        <v>1400400.3411066486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1.8134076722821683E-2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1.4213111806648021E-2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-0.10221467768708137</v>
      </c>
      <c r="O1508" s="1"/>
    </row>
    <row r="1509" spans="1:15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-3.1E-7</v>
      </c>
      <c r="F1509">
        <v>273979.99609999999</v>
      </c>
      <c r="G1509" s="1">
        <v>5.4E-6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-6.6712192345870502E-3</v>
      </c>
      <c r="M1509" s="1">
        <f t="shared" si="95"/>
        <v>-2.2374242971384259E-3</v>
      </c>
      <c r="N1509" s="1">
        <f t="shared" si="96"/>
        <v>1.8235769500796761E-2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>
        <v>8690.9297760000009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28920074.616758518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-2.8499999999999998E-6</v>
      </c>
      <c r="F1511">
        <v>688158.57629999996</v>
      </c>
      <c r="G1511">
        <v>8690.9298080000008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-2.1381727973501023E-2</v>
      </c>
      <c r="N1511" s="1">
        <f t="shared" si="96"/>
        <v>30507587.144902054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>
        <v>3737.6745340000002</v>
      </c>
      <c r="F1512">
        <v>1076702.3910000001</v>
      </c>
      <c r="G1512">
        <v>16825.92311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16645116.77619073</v>
      </c>
      <c r="N1512" s="1">
        <f t="shared" si="96"/>
        <v>35059679.602648385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-3.5800000000000003E-5</v>
      </c>
      <c r="F1513">
        <v>1000574.583</v>
      </c>
      <c r="G1513">
        <v>18715.359090000002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-0.11729479230561292</v>
      </c>
      <c r="N1513" s="1">
        <f t="shared" si="96"/>
        <v>28690462.310161516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2.5700000000000001E-5</v>
      </c>
      <c r="F1514">
        <v>755375.74580000003</v>
      </c>
      <c r="G1514" s="1">
        <v>-2.76E-5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0.15944590112885212</v>
      </c>
      <c r="N1514" s="1">
        <f t="shared" si="96"/>
        <v>-8.0118534405087732E-2</v>
      </c>
      <c r="O1514" s="1"/>
    </row>
    <row r="1515" spans="1:15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3.2253192430842502E-4</v>
      </c>
      <c r="M1515" s="1">
        <f t="shared" si="95"/>
        <v>-3.3425223823483272E-2</v>
      </c>
      <c r="N1515" s="1">
        <f t="shared" si="96"/>
        <v>-0.15386261398393297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 s="1">
        <v>-3.89E-6</v>
      </c>
      <c r="F1516">
        <v>484597.30680000002</v>
      </c>
      <c r="G1516" s="1">
        <v>-4.1100000000000003E-5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0</v>
      </c>
      <c r="M1516" s="1">
        <f t="shared" si="95"/>
        <v>-1.7584338900343444E-2</v>
      </c>
      <c r="N1516" s="1">
        <f t="shared" si="96"/>
        <v>-8.6928451614372057E-2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1.031250934526391E-2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>
        <v>0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0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0</v>
      </c>
      <c r="M1520" s="1">
        <f t="shared" si="95"/>
        <v>2.7939798126542608E-2</v>
      </c>
      <c r="N1520" s="1">
        <f t="shared" si="96"/>
        <v>-0.21335180053974931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17249.812829999999</v>
      </c>
      <c r="F1521">
        <v>1168832.662</v>
      </c>
      <c r="G1521">
        <v>10780.8601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29330608.278845247</v>
      </c>
      <c r="N1521" s="1">
        <f t="shared" si="96"/>
        <v>8576967.6334908865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>
        <v>17476.408739999999</v>
      </c>
      <c r="F1522">
        <v>1122352.827</v>
      </c>
      <c r="G1522">
        <v>13882.3181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30555470.467196565</v>
      </c>
      <c r="N1522" s="1">
        <f t="shared" si="96"/>
        <v>11356446.291149111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>
        <v>8386.8801500000009</v>
      </c>
      <c r="F1523">
        <v>985686.48719999997</v>
      </c>
      <c r="G1523">
        <v>22902.42211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47056707.869286433</v>
      </c>
      <c r="N1523" s="1">
        <f t="shared" si="96"/>
        <v>60123768.828636982</v>
      </c>
      <c r="O1523" s="1"/>
    </row>
    <row r="1524" spans="1:15" x14ac:dyDescent="0.25">
      <c r="A1524">
        <v>2702</v>
      </c>
      <c r="B1524">
        <v>425740.00020000001</v>
      </c>
      <c r="C1524">
        <v>3907.5703950000002</v>
      </c>
      <c r="D1524">
        <v>941538.07109999994</v>
      </c>
      <c r="E1524">
        <v>19014.275669999999</v>
      </c>
      <c r="F1524">
        <v>1411547.01</v>
      </c>
      <c r="G1524">
        <v>6595.8302549999999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13459958.926163387</v>
      </c>
      <c r="M1524" s="1">
        <f t="shared" si="95"/>
        <v>21966448.523654561</v>
      </c>
      <c r="N1524" s="1">
        <f t="shared" si="96"/>
        <v>3565276.4426572965</v>
      </c>
      <c r="O1524" s="1"/>
    </row>
    <row r="1525" spans="1:15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>
        <v>9078.9963229999994</v>
      </c>
      <c r="F1525">
        <v>918165.39800000004</v>
      </c>
      <c r="G1525">
        <v>17339.218219999999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9.2221803482217513E-4</v>
      </c>
      <c r="M1525" s="1">
        <f t="shared" si="95"/>
        <v>40115900.749005474</v>
      </c>
      <c r="N1525" s="1">
        <f t="shared" si="96"/>
        <v>35846924.279659949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>
        <v>7682.0454820000004</v>
      </c>
      <c r="F1526">
        <v>1083670.6399999999</v>
      </c>
      <c r="G1526">
        <v>19980.22681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16950450.105441824</v>
      </c>
      <c r="N1526" s="1">
        <f t="shared" si="96"/>
        <v>20627588.211094815</v>
      </c>
      <c r="O1526" s="1"/>
    </row>
    <row r="1527" spans="1:15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>
        <v>8276.9918409999991</v>
      </c>
      <c r="F1527">
        <v>1061271.909</v>
      </c>
      <c r="G1527">
        <v>20166.473470000001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1.2736294613295503E-2</v>
      </c>
      <c r="M1527" s="1">
        <f t="shared" si="95"/>
        <v>27196649.749754511</v>
      </c>
      <c r="N1527" s="1">
        <f t="shared" si="96"/>
        <v>31003913.65368405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-9.1500000000000005E-6</v>
      </c>
      <c r="F1528">
        <v>828437.98549999995</v>
      </c>
      <c r="G1528">
        <v>27379.227620000001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-1.6402939310422457E-2</v>
      </c>
      <c r="N1528" s="1">
        <f t="shared" si="96"/>
        <v>22964947.370403785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>
        <v>11085.020259999999</v>
      </c>
      <c r="F1529">
        <v>1031576.595</v>
      </c>
      <c r="G1529">
        <v>23529.363399999998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-3.3454856241751103E-2</v>
      </c>
      <c r="M1529" s="1">
        <f t="shared" si="95"/>
        <v>36907012.788529217</v>
      </c>
      <c r="N1529" s="1">
        <f t="shared" si="96"/>
        <v>36654412.207580842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>
        <v>5454.5270520000004</v>
      </c>
      <c r="F1530">
        <v>615323.80969999998</v>
      </c>
      <c r="G1530">
        <v>28583.19888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27204484.49878218</v>
      </c>
      <c r="N1530" s="1">
        <f t="shared" si="96"/>
        <v>66701854.713111125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 s="1">
        <v>-4.3000000000000003E-6</v>
      </c>
      <c r="F1531">
        <v>477632.16590000002</v>
      </c>
      <c r="G1531">
        <v>954.74888060000001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0</v>
      </c>
      <c r="M1531" s="1">
        <f t="shared" si="95"/>
        <v>-2.2113136645033712E-2</v>
      </c>
      <c r="N1531" s="1">
        <f t="shared" si="96"/>
        <v>2297284.223124471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>
        <v>10938.920340000001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17553794.593256924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3.4400000000000003E-5</v>
      </c>
      <c r="F1533">
        <v>839296.03330000001</v>
      </c>
      <c r="G1533">
        <v>28548.994780000001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9.3324313503998002E-2</v>
      </c>
      <c r="N1533" s="1">
        <f t="shared" si="96"/>
        <v>36238554.057155125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>
        <v>1383.457494</v>
      </c>
      <c r="F1534">
        <v>937190.68590000004</v>
      </c>
      <c r="G1534">
        <v>32608.191490000001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3706962.3701638267</v>
      </c>
      <c r="N1534" s="1">
        <f t="shared" si="96"/>
        <v>40881116.487218104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>
        <v>698.70102180000004</v>
      </c>
      <c r="F1535">
        <v>762532.4669</v>
      </c>
      <c r="G1535">
        <v>30803.83553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0</v>
      </c>
      <c r="M1535" s="1">
        <f t="shared" si="95"/>
        <v>7076955.5185206691</v>
      </c>
      <c r="N1535" s="1">
        <f t="shared" si="96"/>
        <v>145983429.34450796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>
        <v>0</v>
      </c>
      <c r="F1536">
        <v>647476.4118</v>
      </c>
      <c r="G1536">
        <v>19530.312580000002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0</v>
      </c>
      <c r="N1536" s="1">
        <f t="shared" si="96"/>
        <v>37530314.631260291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>
        <v>15577.418180000001</v>
      </c>
      <c r="F1537">
        <v>539322.62849999999</v>
      </c>
      <c r="G1537">
        <v>56036.90163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96446297.940048903</v>
      </c>
      <c r="N1537" s="1">
        <f t="shared" si="96"/>
        <v>162333396.62938437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>
        <v>15577.418180000001</v>
      </c>
      <c r="F1538">
        <v>490734.4877</v>
      </c>
      <c r="G1538">
        <v>109626.0637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0</v>
      </c>
      <c r="M1538" s="1">
        <f t="shared" si="95"/>
        <v>112319517.1788846</v>
      </c>
      <c r="N1538" s="1">
        <f t="shared" si="96"/>
        <v>369842867.45881152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>
        <v>10308.34816</v>
      </c>
      <c r="F1539">
        <v>709040.32440000004</v>
      </c>
      <c r="G1539">
        <v>56675.982320000003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0</v>
      </c>
      <c r="M1539" s="1">
        <f t="shared" ref="M1539:M1602" si="99">$U$3*$K1539*E1539</f>
        <v>45782685.735786773</v>
      </c>
      <c r="N1539" s="1">
        <f t="shared" ref="N1539:N1602" si="100">$U$4*$K1539*G1539</f>
        <v>117775490.61349648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 s="1">
        <v>-4.2899999999999996E-6</v>
      </c>
      <c r="F1540">
        <v>578597.91810000001</v>
      </c>
      <c r="G1540">
        <v>1370.4606900000001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0</v>
      </c>
      <c r="M1540" s="1">
        <f t="shared" si="99"/>
        <v>-4.5364646207995678E-2</v>
      </c>
      <c r="N1540" s="1">
        <f t="shared" si="100"/>
        <v>6780637.0298637729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>
        <v>139480.91889999999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279324390.67928493</v>
      </c>
      <c r="O1541" s="1"/>
    </row>
    <row r="1542" spans="1:15" x14ac:dyDescent="0.25">
      <c r="A1542">
        <v>2722</v>
      </c>
      <c r="B1542">
        <v>18800.202929999999</v>
      </c>
      <c r="C1542">
        <v>2524.1129289999999</v>
      </c>
      <c r="D1542">
        <v>57088.19023</v>
      </c>
      <c r="E1542">
        <v>35576.712449999999</v>
      </c>
      <c r="F1542">
        <v>636172.21860000002</v>
      </c>
      <c r="G1542">
        <v>92731.208790000004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38200733.433380432</v>
      </c>
      <c r="M1542" s="1">
        <f t="shared" si="99"/>
        <v>180580923.79004338</v>
      </c>
      <c r="N1542" s="1">
        <f t="shared" si="100"/>
        <v>220229582.75680792</v>
      </c>
      <c r="O1542" s="1"/>
    </row>
    <row r="1543" spans="1:15" x14ac:dyDescent="0.25">
      <c r="A1543">
        <v>2723</v>
      </c>
      <c r="B1543">
        <v>36084.583630000001</v>
      </c>
      <c r="C1543">
        <v>22416.95882</v>
      </c>
      <c r="D1543">
        <v>369149.9963</v>
      </c>
      <c r="E1543">
        <v>176656.3842</v>
      </c>
      <c r="F1543">
        <v>946962.74210000003</v>
      </c>
      <c r="G1543">
        <v>83552.101800000004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282842347.35821325</v>
      </c>
      <c r="M1543" s="1">
        <f t="shared" si="99"/>
        <v>747549943.28828537</v>
      </c>
      <c r="N1543" s="1">
        <f t="shared" si="100"/>
        <v>165429109.99708846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>
        <v>12734.94533</v>
      </c>
      <c r="F1544">
        <v>631732.54249999998</v>
      </c>
      <c r="G1544">
        <v>32645.840810000002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78843813.692572802</v>
      </c>
      <c r="N1544" s="1">
        <f t="shared" si="100"/>
        <v>94567536.302466571</v>
      </c>
      <c r="O1544" s="1"/>
    </row>
    <row r="1545" spans="1:15" x14ac:dyDescent="0.25">
      <c r="A1545">
        <v>2725</v>
      </c>
      <c r="B1545">
        <v>32112.014429999999</v>
      </c>
      <c r="C1545">
        <v>2524.1129310000001</v>
      </c>
      <c r="D1545">
        <v>367702.76659999997</v>
      </c>
      <c r="E1545">
        <v>16443.968649999999</v>
      </c>
      <c r="F1545">
        <v>937441.35560000001</v>
      </c>
      <c r="G1545">
        <v>51783.026610000001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38573374.642018005</v>
      </c>
      <c r="M1545" s="1">
        <f t="shared" si="99"/>
        <v>84280796.393510476</v>
      </c>
      <c r="N1545" s="1">
        <f t="shared" si="100"/>
        <v>124180412.80125152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>
        <v>3322.6461100000001</v>
      </c>
      <c r="F1546">
        <v>916635.02099999995</v>
      </c>
      <c r="G1546">
        <v>24023.0419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27050859.334484622</v>
      </c>
      <c r="N1546" s="1">
        <f t="shared" si="100"/>
        <v>91510021.05662556</v>
      </c>
      <c r="O1546" s="1"/>
    </row>
    <row r="1547" spans="1:15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>
        <v>6554.8834470000002</v>
      </c>
      <c r="F1547">
        <v>979750.39939999999</v>
      </c>
      <c r="G1547">
        <v>17592.11737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1.4870977866706001E-2</v>
      </c>
      <c r="M1547" s="1">
        <f t="shared" si="99"/>
        <v>40865578.484038554</v>
      </c>
      <c r="N1547" s="1">
        <f t="shared" si="100"/>
        <v>51316197.653561436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3.9000000000000002E-7</v>
      </c>
      <c r="F1548">
        <v>601630.18909999996</v>
      </c>
      <c r="G1548">
        <v>7682.045486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3.6061439075344408E-3</v>
      </c>
      <c r="N1548" s="1">
        <f t="shared" si="100"/>
        <v>33235253.772378474</v>
      </c>
      <c r="O1548" s="1"/>
    </row>
    <row r="1549" spans="1:15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-2.0899999999999999E-6</v>
      </c>
      <c r="F1549">
        <v>648416.3996</v>
      </c>
      <c r="G1549">
        <v>8690.9297530000003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6.5470286128779991E-3</v>
      </c>
      <c r="M1549" s="1">
        <f t="shared" si="99"/>
        <v>-1.1472912217690284E-2</v>
      </c>
      <c r="N1549" s="1">
        <f t="shared" si="100"/>
        <v>22322215.800273769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2.73E-5</v>
      </c>
      <c r="F1550">
        <v>720654.62419999996</v>
      </c>
      <c r="G1550">
        <v>32476.185150000001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0.21207396344330467</v>
      </c>
      <c r="N1550" s="1">
        <f t="shared" si="100"/>
        <v>118041139.36762236</v>
      </c>
      <c r="O1550" s="1"/>
    </row>
    <row r="1551" spans="1:15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 s="1">
        <v>7.6199999999999999E-6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-1.2900934107782501E-3</v>
      </c>
      <c r="M1551" s="1">
        <f t="shared" si="99"/>
        <v>-2.0292573923813822E-2</v>
      </c>
      <c r="N1551" s="1">
        <f t="shared" si="100"/>
        <v>1.5426341578358264E-2</v>
      </c>
      <c r="O1551" s="1"/>
    </row>
    <row r="1552" spans="1:15" x14ac:dyDescent="0.25">
      <c r="A1552">
        <v>2736</v>
      </c>
      <c r="B1552">
        <v>39128.527220000004</v>
      </c>
      <c r="C1552">
        <v>37695.19526</v>
      </c>
      <c r="D1552">
        <v>430755.3149</v>
      </c>
      <c r="E1552">
        <v>196969.92869999999</v>
      </c>
      <c r="F1552">
        <v>974259.37600000005</v>
      </c>
      <c r="G1552">
        <v>103513.90640000001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521033531.64772618</v>
      </c>
      <c r="M1552" s="1">
        <f t="shared" si="99"/>
        <v>913109247.35176492</v>
      </c>
      <c r="N1552" s="1">
        <f t="shared" si="100"/>
        <v>224525250.58645302</v>
      </c>
      <c r="O1552" s="1"/>
    </row>
    <row r="1553" spans="1:15" x14ac:dyDescent="0.25">
      <c r="A1553">
        <v>2737</v>
      </c>
      <c r="B1553">
        <v>22221.072069999998</v>
      </c>
      <c r="C1553">
        <v>115.9651066</v>
      </c>
      <c r="D1553">
        <v>55785.996019999999</v>
      </c>
      <c r="E1553">
        <v>71306.4283</v>
      </c>
      <c r="F1553">
        <v>675373.7426</v>
      </c>
      <c r="G1553">
        <v>122222.083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971842.47097326745</v>
      </c>
      <c r="M1553" s="1">
        <f t="shared" si="99"/>
        <v>200419679.49940774</v>
      </c>
      <c r="N1553" s="1">
        <f t="shared" si="100"/>
        <v>160732995.70007059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>
        <v>49762.410499999998</v>
      </c>
      <c r="F1554">
        <v>738883.60060000001</v>
      </c>
      <c r="G1554">
        <v>116900.40760000001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206029821.85977</v>
      </c>
      <c r="N1554" s="1">
        <f t="shared" si="100"/>
        <v>226458372.13478464</v>
      </c>
      <c r="O1554" s="1"/>
    </row>
    <row r="1555" spans="1:15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>
        <v>19681.628789999999</v>
      </c>
      <c r="F1555">
        <v>282959.43930000003</v>
      </c>
      <c r="G1555">
        <v>150914.7611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1.1650817039042999E-2</v>
      </c>
      <c r="M1555" s="1">
        <f t="shared" si="99"/>
        <v>128176764.67091787</v>
      </c>
      <c r="N1555" s="1">
        <f t="shared" si="100"/>
        <v>459857916.78674966</v>
      </c>
      <c r="O1555" s="1"/>
    </row>
    <row r="1556" spans="1:15" x14ac:dyDescent="0.25">
      <c r="A1556">
        <v>2740</v>
      </c>
      <c r="B1556">
        <v>22907.432280000001</v>
      </c>
      <c r="C1556">
        <v>115.9651066</v>
      </c>
      <c r="D1556">
        <v>68487.655660000004</v>
      </c>
      <c r="E1556">
        <v>59971.740689999999</v>
      </c>
      <c r="F1556">
        <v>676231.48739999998</v>
      </c>
      <c r="G1556">
        <v>122896.25109999999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404890.97698814003</v>
      </c>
      <c r="M1556" s="1">
        <f t="shared" si="99"/>
        <v>70226424.686168507</v>
      </c>
      <c r="N1556" s="1">
        <f t="shared" si="100"/>
        <v>67334279.48573038</v>
      </c>
      <c r="O1556" s="1"/>
    </row>
    <row r="1557" spans="1:15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>
        <v>20438.159660000001</v>
      </c>
      <c r="F1557">
        <v>370071.96169999999</v>
      </c>
      <c r="G1557">
        <v>124537.9299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-5.8242362801090002E-3</v>
      </c>
      <c r="M1557" s="1">
        <f t="shared" si="99"/>
        <v>99807670.291977793</v>
      </c>
      <c r="N1557" s="1">
        <f t="shared" si="100"/>
        <v>284555806.21719867</v>
      </c>
      <c r="O1557" s="1"/>
    </row>
    <row r="1558" spans="1:15" x14ac:dyDescent="0.25">
      <c r="A1558">
        <v>2744</v>
      </c>
      <c r="B1558">
        <v>30327.48201</v>
      </c>
      <c r="C1558" s="1">
        <v>1E-8</v>
      </c>
      <c r="D1558">
        <v>193509.889</v>
      </c>
      <c r="E1558">
        <v>13361.530059999999</v>
      </c>
      <c r="F1558">
        <v>874448.66870000004</v>
      </c>
      <c r="G1558">
        <v>36004.570359999998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1.29290997575025E-4</v>
      </c>
      <c r="M1558" s="1">
        <f t="shared" si="99"/>
        <v>57938549.235040948</v>
      </c>
      <c r="N1558" s="1">
        <f t="shared" si="100"/>
        <v>73048740.853641048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>
        <v>6946.6834060000001</v>
      </c>
      <c r="F1559">
        <v>798083.47919999994</v>
      </c>
      <c r="G1559">
        <v>34878.786870000004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0</v>
      </c>
      <c r="M1559" s="1">
        <f t="shared" si="99"/>
        <v>45287872.398153603</v>
      </c>
      <c r="N1559" s="1">
        <f t="shared" si="100"/>
        <v>106392119.58214396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>
        <v>109.7544673</v>
      </c>
      <c r="F1560">
        <v>579726.424</v>
      </c>
      <c r="G1560">
        <v>9382.2169560000002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331643.93836982839</v>
      </c>
      <c r="N1560" s="1">
        <f t="shared" si="100"/>
        <v>13264748.105487879</v>
      </c>
      <c r="O1560" s="1"/>
    </row>
    <row r="1561" spans="1:15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>
        <v>2524.1129310000001</v>
      </c>
      <c r="F1561">
        <v>396881.88549999997</v>
      </c>
      <c r="G1561">
        <v>1662.007861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-5.2491543588510008E-3</v>
      </c>
      <c r="M1561" s="1">
        <f t="shared" si="99"/>
        <v>15322981.060424402</v>
      </c>
      <c r="N1561" s="1">
        <f t="shared" si="100"/>
        <v>4720752.5327177905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>
        <v>19681.628789999999</v>
      </c>
      <c r="F1562">
        <v>249568.429</v>
      </c>
      <c r="G1562">
        <v>115960.4555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77076251.240899727</v>
      </c>
      <c r="N1562" s="1">
        <f t="shared" si="100"/>
        <v>212477593.06621328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 s="1">
        <v>-4.1899999999999997E-6</v>
      </c>
      <c r="F1563">
        <v>148498.0189</v>
      </c>
      <c r="G1563">
        <v>24238.772099999998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0</v>
      </c>
      <c r="M1563" s="1">
        <f t="shared" si="99"/>
        <v>-3.5610576353959755E-2</v>
      </c>
      <c r="N1563" s="1">
        <f t="shared" si="100"/>
        <v>96387179.773285583</v>
      </c>
      <c r="O1563" s="1"/>
    </row>
    <row r="1564" spans="1:15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>
        <v>520.19124939999995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-1.7167867284782498E-3</v>
      </c>
      <c r="M1564" s="1">
        <f t="shared" si="99"/>
        <v>-1.1458098746898992E-2</v>
      </c>
      <c r="N1564" s="1">
        <f t="shared" si="100"/>
        <v>1401413.202931151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>
        <v>10633.712090000001</v>
      </c>
      <c r="F1565">
        <v>199016.7458</v>
      </c>
      <c r="G1565">
        <v>131293.90539999999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68798131.760701537</v>
      </c>
      <c r="N1565" s="1">
        <f t="shared" si="100"/>
        <v>397447703.951805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>
        <v>28145.02577</v>
      </c>
      <c r="F1566">
        <v>202766.9167</v>
      </c>
      <c r="G1566">
        <v>153984.7384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189173366.75092426</v>
      </c>
      <c r="N1566" s="1">
        <f t="shared" si="100"/>
        <v>484261229.34961969</v>
      </c>
      <c r="O1566" s="1"/>
    </row>
    <row r="1567" spans="1:15" x14ac:dyDescent="0.25">
      <c r="A1567">
        <v>2755</v>
      </c>
      <c r="B1567">
        <v>14582.757100000001</v>
      </c>
      <c r="C1567">
        <v>238.17494060000001</v>
      </c>
      <c r="D1567">
        <v>50089.419849999998</v>
      </c>
      <c r="E1567">
        <v>74394.909190000006</v>
      </c>
      <c r="F1567">
        <v>617978.6801</v>
      </c>
      <c r="G1567">
        <v>160114.05540000001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2819259.0141427531</v>
      </c>
      <c r="M1567" s="1">
        <f t="shared" si="99"/>
        <v>295342037.77977204</v>
      </c>
      <c r="N1567" s="1">
        <f t="shared" si="100"/>
        <v>297409738.27379686</v>
      </c>
      <c r="O1567" s="1"/>
    </row>
    <row r="1568" spans="1:15" x14ac:dyDescent="0.25">
      <c r="A1568">
        <v>2756</v>
      </c>
      <c r="B1568">
        <v>8441.9192359999997</v>
      </c>
      <c r="C1568">
        <v>5454.527051</v>
      </c>
      <c r="D1568">
        <v>41557.589249999997</v>
      </c>
      <c r="E1568">
        <v>38277.424209999997</v>
      </c>
      <c r="F1568">
        <v>454643.239</v>
      </c>
      <c r="G1568">
        <v>149172.87210000001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115243428.41947225</v>
      </c>
      <c r="M1568" s="1">
        <f t="shared" si="99"/>
        <v>271234489.23476219</v>
      </c>
      <c r="N1568" s="1">
        <f t="shared" si="100"/>
        <v>494579073.30045849</v>
      </c>
      <c r="O1568" s="1"/>
    </row>
    <row r="1569" spans="1:15" x14ac:dyDescent="0.25">
      <c r="A1569">
        <v>2757</v>
      </c>
      <c r="B1569">
        <v>7664.8786419999997</v>
      </c>
      <c r="C1569">
        <v>5454.527051</v>
      </c>
      <c r="D1569">
        <v>34842.485269999997</v>
      </c>
      <c r="E1569">
        <v>19502.912700000001</v>
      </c>
      <c r="F1569">
        <v>336292.25510000001</v>
      </c>
      <c r="G1569">
        <v>119649.3518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119447124.99239038</v>
      </c>
      <c r="M1569" s="1">
        <f t="shared" si="99"/>
        <v>143238978.38028988</v>
      </c>
      <c r="N1569" s="1">
        <f t="shared" si="100"/>
        <v>411164647.55595243</v>
      </c>
      <c r="O1569" s="1"/>
    </row>
    <row r="1570" spans="1:15" x14ac:dyDescent="0.25">
      <c r="A1570">
        <v>2758</v>
      </c>
      <c r="B1570">
        <v>4709.1140750000004</v>
      </c>
      <c r="C1570">
        <v>5454.527051</v>
      </c>
      <c r="D1570">
        <v>30166.248940000001</v>
      </c>
      <c r="E1570">
        <v>223.78732830000001</v>
      </c>
      <c r="F1570">
        <v>181991.70619999999</v>
      </c>
      <c r="G1570">
        <v>71637.227880000006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84468855.260924041</v>
      </c>
      <c r="M1570" s="1">
        <f t="shared" si="99"/>
        <v>1162299.7304331756</v>
      </c>
      <c r="N1570" s="1">
        <f t="shared" si="100"/>
        <v>174086500.65537429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>
        <v>12681.663060000001</v>
      </c>
      <c r="F1571">
        <v>981474.29269999999</v>
      </c>
      <c r="G1571">
        <v>28958.95781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35315400.078244545</v>
      </c>
      <c r="N1571" s="1">
        <f t="shared" si="100"/>
        <v>37732408.429888912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>
        <v>6247.9824280000003</v>
      </c>
      <c r="F1572">
        <v>714288.50569999998</v>
      </c>
      <c r="G1572">
        <v>24570.6106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17232131.450610846</v>
      </c>
      <c r="N1572" s="1">
        <f t="shared" si="100"/>
        <v>31707268.243169781</v>
      </c>
      <c r="O1572" s="1"/>
    </row>
    <row r="1573" spans="1:15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>
        <v>1065.2655930000001</v>
      </c>
      <c r="F1573">
        <v>789134.57239999995</v>
      </c>
      <c r="G1573">
        <v>33916.051290000003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-7.4906618464177493E-3</v>
      </c>
      <c r="M1573" s="1">
        <f t="shared" si="99"/>
        <v>8920721.3577717748</v>
      </c>
      <c r="N1573" s="1">
        <f t="shared" si="100"/>
        <v>132889612.72140183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>
        <v>24788.25531</v>
      </c>
      <c r="F1574">
        <v>981248.4902</v>
      </c>
      <c r="G1574">
        <v>45845.029670000004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78587120.070017025</v>
      </c>
      <c r="N1574" s="1">
        <f t="shared" si="100"/>
        <v>68005079.002682716</v>
      </c>
      <c r="O1574" s="1"/>
    </row>
    <row r="1575" spans="1:15" x14ac:dyDescent="0.25">
      <c r="A1575">
        <v>2765</v>
      </c>
      <c r="B1575">
        <v>15844.888580000001</v>
      </c>
      <c r="C1575">
        <v>2524.1129310000001</v>
      </c>
      <c r="D1575">
        <v>209661.09169999999</v>
      </c>
      <c r="E1575">
        <v>7366.5140110000002</v>
      </c>
      <c r="F1575">
        <v>862586.21589999995</v>
      </c>
      <c r="G1575">
        <v>35656.567940000001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22896803.147579324</v>
      </c>
      <c r="M1575" s="1">
        <f t="shared" si="99"/>
        <v>22411515.481886055</v>
      </c>
      <c r="N1575" s="1">
        <f t="shared" si="100"/>
        <v>50756588.286694549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>
        <v>28867.519069999998</v>
      </c>
      <c r="F1576">
        <v>880387.55500000005</v>
      </c>
      <c r="G1576">
        <v>67011.839649999994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0</v>
      </c>
      <c r="M1576" s="1">
        <f t="shared" si="99"/>
        <v>129811641.60479403</v>
      </c>
      <c r="N1576" s="1">
        <f t="shared" si="100"/>
        <v>140993599.96904022</v>
      </c>
      <c r="O1576" s="1"/>
    </row>
    <row r="1577" spans="1:15" x14ac:dyDescent="0.25">
      <c r="A1577">
        <v>2767</v>
      </c>
      <c r="B1577">
        <v>14512.20638</v>
      </c>
      <c r="C1577">
        <v>13089.085370000001</v>
      </c>
      <c r="D1577">
        <v>47304.012719999999</v>
      </c>
      <c r="E1577">
        <v>78298.611170000004</v>
      </c>
      <c r="F1577">
        <v>590223.73329999996</v>
      </c>
      <c r="G1577">
        <v>193926.2653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186797092.98940527</v>
      </c>
      <c r="M1577" s="1">
        <f t="shared" si="99"/>
        <v>374764123.44060028</v>
      </c>
      <c r="N1577" s="1">
        <f t="shared" si="100"/>
        <v>434294432.46445078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>
        <v>57416.630080000003</v>
      </c>
      <c r="F1578">
        <v>910878.42260000005</v>
      </c>
      <c r="G1578">
        <v>69027.736499999999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165955523.77515581</v>
      </c>
      <c r="N1578" s="1">
        <f t="shared" si="100"/>
        <v>93351504.998374104</v>
      </c>
      <c r="O1578" s="1"/>
    </row>
    <row r="1579" spans="1:15" x14ac:dyDescent="0.25">
      <c r="A1579">
        <v>2769</v>
      </c>
      <c r="B1579">
        <v>20872.414209999999</v>
      </c>
      <c r="C1579">
        <v>29174.973549999999</v>
      </c>
      <c r="D1579">
        <v>46709.683149999997</v>
      </c>
      <c r="E1579">
        <v>342805.01730000001</v>
      </c>
      <c r="F1579">
        <v>531849.94979999994</v>
      </c>
      <c r="G1579">
        <v>423868.83600000001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574777111.36123502</v>
      </c>
      <c r="M1579" s="1">
        <f t="shared" si="99"/>
        <v>2265057863.5366282</v>
      </c>
      <c r="N1579" s="1">
        <f t="shared" si="100"/>
        <v>1310410296.2096727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>
        <v>115.9651035</v>
      </c>
      <c r="F1580">
        <v>103167.9935</v>
      </c>
      <c r="G1580">
        <v>22382.192289999999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952193.77816697233</v>
      </c>
      <c r="N1580" s="1">
        <f t="shared" si="100"/>
        <v>85989281.499118447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>
        <v>26535.992050000001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126466878.94858582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>
        <v>24738.8289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121400864.60728331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>
        <v>16052.33188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63073827.288325317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>
        <v>698.70103099999994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4216089.6929696985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 s="1">
        <v>9.9999999999999995E-8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0</v>
      </c>
      <c r="N1585" s="1">
        <f t="shared" si="100"/>
        <v>1.5973243783398E-3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0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0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0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-7.9999999999999996E-7</v>
      </c>
      <c r="F1592">
        <v>59461.475339999997</v>
      </c>
      <c r="G1592" s="1">
        <v>2.6000000000000001E-6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-1.0269412447202399E-2</v>
      </c>
      <c r="N1592" s="1">
        <f t="shared" si="100"/>
        <v>1.5616101955264201E-2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0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-4.9999999999999998E-8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-5.4329644620380998E-4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 s="1">
        <v>-4.9999999999999998E-8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0</v>
      </c>
      <c r="M1599" s="1">
        <f t="shared" si="99"/>
        <v>-1.1250817766689E-3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>
        <v>0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 s="1">
        <v>-5.0999999999999999E-7</v>
      </c>
      <c r="F1602">
        <v>117527.1189</v>
      </c>
      <c r="G1602" s="1">
        <v>1.2099999999999999E-5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0</v>
      </c>
      <c r="M1602" s="1">
        <f t="shared" si="99"/>
        <v>-9.5088329535561889E-3</v>
      </c>
      <c r="N1602" s="1">
        <f t="shared" si="100"/>
        <v>0.10555676948443111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7.9612068288024002E-3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-0.17115418798055193</v>
      </c>
      <c r="O1605" s="1"/>
    </row>
    <row r="1606" spans="1:15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-8.5000000000000001E-7</v>
      </c>
      <c r="F1606">
        <v>99617.517860000007</v>
      </c>
      <c r="G1606" s="1">
        <v>-1.9199999999999998E-6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-3.3982052310700004E-3</v>
      </c>
      <c r="M1606" s="1">
        <f t="shared" si="103"/>
        <v>-9.6874989125734015E-3</v>
      </c>
      <c r="N1606" s="1">
        <f t="shared" si="104"/>
        <v>-1.023853096081152E-2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1.0821431346537501E-2</v>
      </c>
      <c r="M1609" s="1">
        <f t="shared" si="103"/>
        <v>0</v>
      </c>
      <c r="N1609" s="1">
        <f t="shared" si="104"/>
        <v>0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-3.3553569215725E-3</v>
      </c>
      <c r="M1611" s="1">
        <f t="shared" si="103"/>
        <v>-2.4757371993633401E-2</v>
      </c>
      <c r="N1611" s="1">
        <f t="shared" si="104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0</v>
      </c>
      <c r="N1613" s="1">
        <f t="shared" si="104"/>
        <v>0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0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0</v>
      </c>
      <c r="M1615" s="1">
        <f t="shared" si="103"/>
        <v>2.8095675474979265E-2</v>
      </c>
      <c r="N1615" s="1">
        <f t="shared" si="104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-1.863401811518E-2</v>
      </c>
      <c r="M1616" s="1">
        <f t="shared" si="103"/>
        <v>3.1247814993148E-2</v>
      </c>
      <c r="N1616" s="1">
        <f t="shared" si="104"/>
        <v>0.34431365318826057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-3.8999999999999999E-6</v>
      </c>
      <c r="F1618">
        <v>73124.523350000003</v>
      </c>
      <c r="G1618" s="1">
        <v>1.61E-6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-3.011392228354302E-2</v>
      </c>
      <c r="N1618" s="1">
        <f t="shared" si="104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4.9171964158611272E-3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1.9999999999999999E-7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4.8779648593393994E-3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-4.6594217037231753E-2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 s="1">
        <v>-1.5E-6</v>
      </c>
      <c r="F1625">
        <v>580354.11259999999</v>
      </c>
      <c r="G1625" s="1">
        <v>-4.6E-6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0</v>
      </c>
      <c r="M1625" s="1">
        <f t="shared" si="103"/>
        <v>-6.9785382159105007E-3</v>
      </c>
      <c r="N1625" s="1">
        <f t="shared" si="104"/>
        <v>-1.00132419905358E-2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-2.2900000000000001E-6</v>
      </c>
      <c r="F1627">
        <v>337141.91529999999</v>
      </c>
      <c r="G1627" s="1">
        <v>-3.1199999999999999E-5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-1.5099095946776121E-2</v>
      </c>
      <c r="N1627" s="1">
        <f t="shared" si="104"/>
        <v>-9.6252880375426328E-2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1.9999999999999999E-7</v>
      </c>
      <c r="F1628">
        <v>134312.37109999999</v>
      </c>
      <c r="G1628" s="1">
        <v>3.1600000000000002E-5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1.0590227410193199E-3</v>
      </c>
      <c r="N1628" s="1">
        <f t="shared" si="104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0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2.584553179164552E-3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0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1.5512814762285751E-3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2.8752746424199984E-3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2.1721800164544999E-2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-7.8999999999999995E-7</v>
      </c>
      <c r="F1638">
        <v>102257.3187</v>
      </c>
      <c r="G1638" s="1">
        <v>3.9700000000000003E-5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-8.8899404184251303E-3</v>
      </c>
      <c r="N1638" s="1">
        <f t="shared" si="104"/>
        <v>0.20902871170811013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6.0999999999999998E-7</v>
      </c>
      <c r="F1639">
        <v>88898.00288</v>
      </c>
      <c r="G1639" s="1">
        <v>8.0999999999999997E-7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5.3888300649049719E-3</v>
      </c>
      <c r="N1639" s="1">
        <f t="shared" si="104"/>
        <v>3.3480609111328683E-3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-0.13823185083981859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0</v>
      </c>
      <c r="N1647" s="1">
        <f t="shared" si="104"/>
        <v>0</v>
      </c>
      <c r="O1647" s="1"/>
    </row>
    <row r="1648" spans="1:15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-3.5776108019924999E-3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1.2216559466059001E-2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0</v>
      </c>
      <c r="M1650" s="1">
        <f t="shared" si="103"/>
        <v>0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4.849255045725121E-3</v>
      </c>
      <c r="O1652" s="1"/>
    </row>
    <row r="1653" spans="1:15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2.0476915653089997E-2</v>
      </c>
      <c r="M1653" s="1">
        <f t="shared" si="103"/>
        <v>-1.4507894740214263E-2</v>
      </c>
      <c r="N1653" s="1">
        <f t="shared" si="104"/>
        <v>-0.18516644766146115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0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4.4375629439375001E-3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>
        <v>0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0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-4.8999999999999997E-7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-6.3034157147561594E-3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0.18044258016659312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0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4.6E-6</v>
      </c>
      <c r="F1665">
        <v>80003.867199999993</v>
      </c>
      <c r="G1665" s="1">
        <v>4.42E-6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4.9671585944206058E-2</v>
      </c>
      <c r="N1665" s="1">
        <f t="shared" si="104"/>
        <v>2.2331409859479321E-2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>
        <v>0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0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2.1E-7</v>
      </c>
      <c r="F1672">
        <v>100571.3746</v>
      </c>
      <c r="G1672" s="1">
        <v>3.3399999999999999E-5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1.4637356600347949E-3</v>
      </c>
      <c r="N1672" s="1">
        <f t="shared" si="108"/>
        <v>0.1089264885672027</v>
      </c>
      <c r="O1672" s="1"/>
    </row>
    <row r="1673" spans="1:15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1.8749369518945001E-3</v>
      </c>
      <c r="M1673" s="1">
        <f t="shared" si="107"/>
        <v>0</v>
      </c>
      <c r="N1673" s="1">
        <f t="shared" si="108"/>
        <v>0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3.8669554124903709E-3</v>
      </c>
      <c r="O1674" s="1"/>
    </row>
    <row r="1675" spans="1:15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3.7997757881524999E-3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 s="1">
        <v>-1.1000000000000001E-6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0</v>
      </c>
      <c r="M1676" s="1">
        <f t="shared" si="107"/>
        <v>0</v>
      </c>
      <c r="N1676" s="1">
        <f t="shared" si="108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0</v>
      </c>
      <c r="M1678" s="1">
        <f t="shared" si="107"/>
        <v>8.9058533064256609E-3</v>
      </c>
      <c r="N1678" s="1">
        <f t="shared" si="108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0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0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0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0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 s="1">
        <v>3.9999999999999998E-7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0</v>
      </c>
      <c r="N1709" s="1">
        <f t="shared" si="108"/>
        <v>1.8187128696049199E-3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1.081292883144528E-3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0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0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0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3.9000000000000002E-7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4.0429380260677203E-3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-5.8779943532375001E-3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9.2974665948775004E-3</v>
      </c>
      <c r="M1718" s="1">
        <f t="shared" si="107"/>
        <v>-2.1827590805820096E-2</v>
      </c>
      <c r="N1718" s="1">
        <f t="shared" si="108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2.6E-7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4.1873706760496001E-3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0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 s="1">
        <v>6.4000000000000001E-7</v>
      </c>
      <c r="F1724">
        <v>40885.728909999998</v>
      </c>
      <c r="G1724" s="1">
        <v>4.3000000000000001E-7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0</v>
      </c>
      <c r="M1724" s="1">
        <f t="shared" si="107"/>
        <v>8.3626823777363194E-3</v>
      </c>
      <c r="N1724" s="1">
        <f t="shared" si="108"/>
        <v>2.62892237018001E-3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0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2.4142853055192002E-3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>
        <v>0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0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>
        <v>0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0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2.0158471633500478E-2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>
        <v>0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0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0</v>
      </c>
      <c r="M1738" s="1">
        <f t="shared" si="111"/>
        <v>4.0765260297594592E-3</v>
      </c>
      <c r="N1738" s="1">
        <f t="shared" si="112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0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6.6535590218146081E-3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>
        <v>0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0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-1.99E-6</v>
      </c>
      <c r="F1743">
        <v>64956.561450000001</v>
      </c>
      <c r="G1743" s="1">
        <v>-4.4299999999999999E-6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-1.667310298245623E-2</v>
      </c>
      <c r="N1743" s="1">
        <f t="shared" si="112"/>
        <v>-1.736643841605429E-2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2.1375597058026961E-2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6.9699926271821096E-3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-3.1599999999999998E-6</v>
      </c>
      <c r="F1746">
        <v>82161.809399999998</v>
      </c>
      <c r="G1746" s="1">
        <v>-2.5100000000000001E-6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-2.3207290590505244E-2</v>
      </c>
      <c r="N1746" s="1">
        <f t="shared" si="112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-6.9643194587752505E-3</v>
      </c>
      <c r="M1747" s="1">
        <f t="shared" si="111"/>
        <v>-1.1395509760563811E-2</v>
      </c>
      <c r="N1747" s="1">
        <f t="shared" si="112"/>
        <v>2.1161790847741414E-3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 s="1">
        <v>7.6000000000000003E-7</v>
      </c>
      <c r="F1748">
        <v>41730.401299999998</v>
      </c>
      <c r="G1748" s="1">
        <v>-4.8999999999999997E-6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0</v>
      </c>
      <c r="M1748" s="1">
        <f t="shared" si="111"/>
        <v>2.2985006959594684E-2</v>
      </c>
      <c r="N1748" s="1">
        <f t="shared" si="112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0</v>
      </c>
      <c r="M1750" s="1">
        <f t="shared" si="111"/>
        <v>5.2318234419488935E-2</v>
      </c>
      <c r="N1750" s="1">
        <f t="shared" si="112"/>
        <v>1.4356207251205561E-2</v>
      </c>
      <c r="O1750" s="1"/>
    </row>
    <row r="1751" spans="1:15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3.3095700204996007E-3</v>
      </c>
      <c r="M1751" s="1">
        <f t="shared" si="111"/>
        <v>1.6784225919346737E-3</v>
      </c>
      <c r="N1751" s="1">
        <f t="shared" si="112"/>
        <v>-5.5711866806619848E-3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-7.8140152899100167E-3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4.3000000000000001E-7</v>
      </c>
      <c r="F1753">
        <v>71941.736069999999</v>
      </c>
      <c r="G1753" s="1">
        <v>-7.9100000000000003E-7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1.782223589347125E-3</v>
      </c>
      <c r="N1753" s="1">
        <f t="shared" si="112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>
        <v>0</v>
      </c>
      <c r="F1755">
        <v>33562.514219999997</v>
      </c>
      <c r="G1755" s="1">
        <v>5.6899999999999997E-7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0</v>
      </c>
      <c r="N1755" s="1">
        <f t="shared" si="112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0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0</v>
      </c>
      <c r="M1757" s="1">
        <f t="shared" si="111"/>
        <v>0</v>
      </c>
      <c r="N1757" s="1">
        <f t="shared" si="112"/>
        <v>2.7060446114423761E-2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0</v>
      </c>
      <c r="M1758" s="1">
        <f t="shared" si="111"/>
        <v>-5.4978822638155629E-2</v>
      </c>
      <c r="N1758" s="1">
        <f t="shared" si="112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>
        <v>0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0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0</v>
      </c>
      <c r="M1760" s="1">
        <f t="shared" si="111"/>
        <v>6.034342563600139E-2</v>
      </c>
      <c r="N1760" s="1">
        <f t="shared" si="112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 s="1">
        <v>5.0000000000000004E-6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0</v>
      </c>
      <c r="N1761" s="1">
        <f t="shared" si="112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4.5999999999999999E-7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1.9889254140781538E-2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1.7099999999999999E-6</v>
      </c>
      <c r="F1764">
        <v>225310.08309999999</v>
      </c>
      <c r="G1764" s="1">
        <v>1.2500000000000001E-5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3.8975076245170008E-3</v>
      </c>
      <c r="M1764" s="1">
        <f t="shared" si="111"/>
        <v>2.149279426431135E-2</v>
      </c>
      <c r="N1764" s="1">
        <f t="shared" si="112"/>
        <v>7.3510683746437516E-2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-1.0000000000000001E-9</v>
      </c>
      <c r="F1765">
        <v>26323.37528</v>
      </c>
      <c r="G1765" s="1">
        <v>-1.5E-6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-5.5837173451387001E-6</v>
      </c>
      <c r="N1765" s="1">
        <f t="shared" si="112"/>
        <v>-3.91884749452395E-3</v>
      </c>
      <c r="O1765" s="1"/>
    </row>
    <row r="1766" spans="1:15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3.23E-6</v>
      </c>
      <c r="F1766">
        <v>60538.504439999997</v>
      </c>
      <c r="G1766" s="1">
        <v>-4.5900000000000001E-6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-3.3113096010800004E-5</v>
      </c>
      <c r="M1766" s="1">
        <f t="shared" si="111"/>
        <v>3.5871162192376474E-2</v>
      </c>
      <c r="N1766" s="1">
        <f t="shared" si="112"/>
        <v>-2.3850598908209758E-2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0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1.75E-6</v>
      </c>
      <c r="F1769">
        <v>27613.23645</v>
      </c>
      <c r="G1769" s="1">
        <v>1.6300000000000001E-6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2.9875438840012498E-2</v>
      </c>
      <c r="N1769" s="1">
        <f t="shared" si="112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-7.5099999999999999E-7</v>
      </c>
      <c r="F1771">
        <v>49200.93361</v>
      </c>
      <c r="G1771" s="1">
        <v>3.6399999999999998E-7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-1.0909231250402048E-2</v>
      </c>
      <c r="N1771" s="1">
        <f t="shared" si="112"/>
        <v>2.4739975925978041E-3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 s="1">
        <v>6.6400000000000002E-7</v>
      </c>
      <c r="F1772">
        <v>123912.1597</v>
      </c>
      <c r="G1772" s="1">
        <v>-1.59E-6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</v>
      </c>
      <c r="M1772" s="1">
        <f t="shared" si="111"/>
        <v>1.3204608214821728E-2</v>
      </c>
      <c r="N1772" s="1">
        <f t="shared" si="112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-2.4499999999999998E-6</v>
      </c>
      <c r="F1773">
        <v>80968.752909999996</v>
      </c>
      <c r="G1773" s="1">
        <v>-2.6299999999999998E-6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-1.4599504894520001E-2</v>
      </c>
      <c r="M1773" s="1">
        <f t="shared" si="111"/>
        <v>-2.9990752169858199E-2</v>
      </c>
      <c r="N1773" s="1">
        <f t="shared" si="112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-4.0935164389275004E-3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-6.2099999999999996E-7</v>
      </c>
      <c r="F1776">
        <v>61227.793109999999</v>
      </c>
      <c r="G1776" s="1">
        <v>2.9699999999999999E-6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-8.8623496095639291E-3</v>
      </c>
      <c r="N1776" s="1">
        <f t="shared" si="112"/>
        <v>1.9831584088413901E-2</v>
      </c>
      <c r="O1776" s="1"/>
    </row>
    <row r="1777" spans="1:15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-2.8149078315734999E-3</v>
      </c>
      <c r="M1777" s="1">
        <f t="shared" si="111"/>
        <v>-1.6049305267402142E-2</v>
      </c>
      <c r="N1777" s="1">
        <f t="shared" si="112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-1E-8</v>
      </c>
      <c r="F1779">
        <v>56168.757769999997</v>
      </c>
      <c r="G1779" s="1">
        <v>-3.6600000000000001E-6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-2.2113991642975001E-4</v>
      </c>
      <c r="N1779" s="1">
        <f t="shared" si="112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-4.7E-7</v>
      </c>
      <c r="F1781">
        <v>59064.21529</v>
      </c>
      <c r="G1781" s="1">
        <v>3.6600000000000001E-6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-4.6678860825005893E-3</v>
      </c>
      <c r="N1781" s="1">
        <f t="shared" si="112"/>
        <v>1.7007761392925241E-2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7.9628019517811507E-3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 s="1">
        <v>3.7E-7</v>
      </c>
      <c r="F1783">
        <v>22520.449110000001</v>
      </c>
      <c r="G1783" s="1">
        <v>-6.0999999999999998E-7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0</v>
      </c>
      <c r="M1783" s="1">
        <f t="shared" si="111"/>
        <v>5.9574827511345201E-3</v>
      </c>
      <c r="N1783" s="1">
        <f t="shared" si="112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0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2.2526594954610481E-2</v>
      </c>
      <c r="O1786" s="1"/>
    </row>
    <row r="1787" spans="1:15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-1.3799999999999999E-6</v>
      </c>
      <c r="F1787">
        <v>192016.38620000001</v>
      </c>
      <c r="G1787" s="1">
        <v>4.3600000000000003E-5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4.6918949466343507E-2</v>
      </c>
      <c r="M1787" s="1">
        <f t="shared" si="111"/>
        <v>-1.7234550375402662E-2</v>
      </c>
      <c r="N1787" s="1">
        <f t="shared" si="112"/>
        <v>0.25477161424508288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2.9299999999999999E-6</v>
      </c>
      <c r="F1788">
        <v>79707.522389999998</v>
      </c>
      <c r="G1788" s="1">
        <v>4.2899999999999996E-6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3.336799691872451E-2</v>
      </c>
      <c r="N1788" s="1">
        <f t="shared" si="112"/>
        <v>2.2859329448125167E-2</v>
      </c>
      <c r="O1788" s="1"/>
    </row>
    <row r="1789" spans="1:15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-4.8899999999999998E-6</v>
      </c>
      <c r="F1789">
        <v>111162.73299999999</v>
      </c>
      <c r="G1789" s="1">
        <v>-3.4700000000000003E-5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4.2495693365450001E-3</v>
      </c>
      <c r="M1789" s="1">
        <f t="shared" si="111"/>
        <v>-6.9694244679133849E-2</v>
      </c>
      <c r="N1789" s="1">
        <f t="shared" si="112"/>
        <v>-0.23139885707334423</v>
      </c>
      <c r="O1789" s="1"/>
    </row>
    <row r="1790" spans="1:15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3.8399999999999997E-6</v>
      </c>
      <c r="F1790">
        <v>81075.601240000004</v>
      </c>
      <c r="G1790" s="1">
        <v>2.79E-6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7.3172066110324995E-3</v>
      </c>
      <c r="M1790" s="1">
        <f t="shared" si="111"/>
        <v>9.4236615357346565E-2</v>
      </c>
      <c r="N1790" s="1">
        <f t="shared" si="112"/>
        <v>3.2035856267194296E-2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 s="1">
        <v>-2.4399999999999999E-6</v>
      </c>
      <c r="F1791">
        <v>74933.915120000005</v>
      </c>
      <c r="G1791" s="1">
        <v>4.6199999999999998E-6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0</v>
      </c>
      <c r="M1791" s="1">
        <f t="shared" si="111"/>
        <v>-5.5438030167799635E-2</v>
      </c>
      <c r="N1791" s="1">
        <f t="shared" si="112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1.11E-6</v>
      </c>
      <c r="F1795">
        <v>82618.278219999993</v>
      </c>
      <c r="G1795" s="1">
        <v>4.6400000000000003E-7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8.552570775883098E-3</v>
      </c>
      <c r="N1795" s="1">
        <f t="shared" ref="N1795:N1858" si="116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3.9400000000000004E-6</v>
      </c>
      <c r="F1796">
        <v>64674.503299999997</v>
      </c>
      <c r="G1796" s="1">
        <v>-1.2599999999999999E-7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6.2626663887254998E-3</v>
      </c>
      <c r="M1796" s="1">
        <f t="shared" si="115"/>
        <v>4.1377918573877751E-2</v>
      </c>
      <c r="N1796" s="1">
        <f t="shared" si="116"/>
        <v>-6.1913683406077027E-4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-1.9999999999999999E-7</v>
      </c>
      <c r="F1797">
        <v>48678.488619999996</v>
      </c>
      <c r="G1797" s="1">
        <v>-3.1599999999999998E-6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-3.4056045473439996E-3</v>
      </c>
      <c r="N1797" s="1">
        <f t="shared" si="116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1.0896032906943211E-2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2.5756789242430921E-2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-1.8512453376067682E-2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0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 s="1">
        <v>-3.0299999999999998E-6</v>
      </c>
      <c r="F1806">
        <v>31078.289219999999</v>
      </c>
      <c r="G1806">
        <v>0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0</v>
      </c>
      <c r="M1806" s="1">
        <f t="shared" si="115"/>
        <v>-4.6853411649211675E-2</v>
      </c>
      <c r="N1806" s="1">
        <f t="shared" si="116"/>
        <v>0</v>
      </c>
      <c r="O1806" s="1"/>
    </row>
    <row r="1807" spans="1:15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-1.0641246619087501E-3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1.6999999999999999E-7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1.2999636715243798E-3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-8.2999999999999999E-7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-1.5419497065751219E-2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4.3850502628595009E-4</v>
      </c>
      <c r="M1812" s="1">
        <f t="shared" si="115"/>
        <v>0</v>
      </c>
      <c r="N1812" s="1">
        <f t="shared" si="116"/>
        <v>0</v>
      </c>
      <c r="O1812" s="1"/>
    </row>
    <row r="1813" spans="1:15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3.1038478428782497E-3</v>
      </c>
      <c r="M1813" s="1">
        <f t="shared" si="115"/>
        <v>3.8932757280853769E-2</v>
      </c>
      <c r="N1813" s="1">
        <f t="shared" si="116"/>
        <v>2.4158441548753299E-3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-7.6400000000000001E-7</v>
      </c>
      <c r="F1814">
        <v>115380.0763</v>
      </c>
      <c r="G1814">
        <v>0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-9.947895634701413E-3</v>
      </c>
      <c r="N1814" s="1">
        <f t="shared" si="116"/>
        <v>0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-4.6999999999999999E-6</v>
      </c>
      <c r="F1815">
        <v>109939.3401</v>
      </c>
      <c r="G1815">
        <v>0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-4.3660058077001081E-2</v>
      </c>
      <c r="N1815" s="1">
        <f t="shared" si="116"/>
        <v>0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1.7400000000000001E-6</v>
      </c>
      <c r="F1816">
        <v>136709.4417</v>
      </c>
      <c r="G1816">
        <v>0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1.252932409847664E-2</v>
      </c>
      <c r="N1816" s="1">
        <f t="shared" si="116"/>
        <v>0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 s="1">
        <v>-3.3799999999999998E-6</v>
      </c>
      <c r="F1817">
        <v>100951.6456</v>
      </c>
      <c r="G1817">
        <v>0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0</v>
      </c>
      <c r="M1817" s="1">
        <f t="shared" si="115"/>
        <v>-3.1019651011061931E-2</v>
      </c>
      <c r="N1817" s="1">
        <f t="shared" si="116"/>
        <v>0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-9.9999999999999995E-8</v>
      </c>
      <c r="F1818">
        <v>33453.032370000001</v>
      </c>
      <c r="G1818">
        <v>0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-1.7486346117551001E-3</v>
      </c>
      <c r="N1818" s="1">
        <f t="shared" si="116"/>
        <v>0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2.83E-6</v>
      </c>
      <c r="F1819">
        <v>94727.077170000004</v>
      </c>
      <c r="G1819" s="1">
        <v>9.2600000000000001E-7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3.7177444347543422E-2</v>
      </c>
      <c r="N1819" s="1">
        <f t="shared" si="116"/>
        <v>5.6917754943984359E-3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0</v>
      </c>
      <c r="N1820" s="1">
        <f t="shared" si="116"/>
        <v>0</v>
      </c>
      <c r="O1820" s="1"/>
    </row>
    <row r="1821" spans="1:15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-1.0699999999999999E-6</v>
      </c>
      <c r="F1821">
        <v>100669.2387</v>
      </c>
      <c r="G1821">
        <v>0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3.2336399684159997E-3</v>
      </c>
      <c r="M1821" s="1">
        <f t="shared" si="115"/>
        <v>-9.670241782470718E-3</v>
      </c>
      <c r="N1821" s="1">
        <f t="shared" si="116"/>
        <v>0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1.1999999999999999E-7</v>
      </c>
      <c r="F1822">
        <v>56292.682509999999</v>
      </c>
      <c r="G1822">
        <v>0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1.1680238334678961E-3</v>
      </c>
      <c r="N1822" s="1">
        <f t="shared" si="116"/>
        <v>0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6.1999999999999999E-7</v>
      </c>
      <c r="F1823">
        <v>92234.156900000002</v>
      </c>
      <c r="G1823" s="1">
        <v>2.2400000000000002E-6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2.623465124684652E-2</v>
      </c>
      <c r="N1823" s="1">
        <f t="shared" si="116"/>
        <v>4.4348129009170567E-2</v>
      </c>
      <c r="O1823" s="1"/>
    </row>
    <row r="1824" spans="1:15" x14ac:dyDescent="0.25">
      <c r="A1824">
        <v>3416</v>
      </c>
      <c r="B1824">
        <v>22107.82531</v>
      </c>
      <c r="C1824" s="1">
        <v>-1.15E-6</v>
      </c>
      <c r="D1824">
        <v>77992.82733</v>
      </c>
      <c r="E1824" s="1">
        <v>1.02E-6</v>
      </c>
      <c r="F1824">
        <v>286877.50719999999</v>
      </c>
      <c r="G1824">
        <v>0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-1.0093911640629376E-2</v>
      </c>
      <c r="M1824" s="1">
        <f t="shared" si="115"/>
        <v>3.0026517624218703E-3</v>
      </c>
      <c r="N1824" s="1">
        <f t="shared" si="116"/>
        <v>0</v>
      </c>
      <c r="O1824" s="1"/>
    </row>
    <row r="1825" spans="1:15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3.6301932720259694E-2</v>
      </c>
      <c r="M1825" s="1">
        <f t="shared" si="115"/>
        <v>1.0054725462000365E-3</v>
      </c>
      <c r="N1825" s="1">
        <f t="shared" si="116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2.52E-6</v>
      </c>
      <c r="F1826">
        <v>238079.80609999999</v>
      </c>
      <c r="G1826">
        <v>0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7.3449226538862863E-2</v>
      </c>
      <c r="M1826" s="1">
        <f t="shared" si="115"/>
        <v>1.3321250277778043E-2</v>
      </c>
      <c r="N1826" s="1">
        <f t="shared" si="116"/>
        <v>0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-3.7500000000000001E-6</v>
      </c>
      <c r="F1827">
        <v>131962.5827</v>
      </c>
      <c r="G1827" s="1">
        <v>1.06E-5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-2.5317296627095875E-2</v>
      </c>
      <c r="N1827" s="1">
        <f t="shared" si="116"/>
        <v>3.3483866805157261E-2</v>
      </c>
      <c r="O1827" s="1"/>
    </row>
    <row r="1828" spans="1:15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3.8800000000000001E-5</v>
      </c>
      <c r="F1828">
        <v>393577.44270000001</v>
      </c>
      <c r="G1828">
        <v>0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-1.03043479323213E-2</v>
      </c>
      <c r="M1828" s="1">
        <f t="shared" si="115"/>
        <v>6.7722064141994165E-2</v>
      </c>
      <c r="N1828" s="1">
        <f t="shared" si="116"/>
        <v>0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 s="1">
        <v>-4.5499999999999996E-6</v>
      </c>
      <c r="F1829">
        <v>81046.896970000002</v>
      </c>
      <c r="G1829" s="1">
        <v>3.2399999999999999E-7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0</v>
      </c>
      <c r="M1829" s="1">
        <f t="shared" si="115"/>
        <v>-2.286997515522856E-2</v>
      </c>
      <c r="N1829" s="1">
        <f t="shared" si="116"/>
        <v>7.6197896857545483E-4</v>
      </c>
      <c r="O1829" s="1"/>
    </row>
    <row r="1830" spans="1:15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3.72E-6</v>
      </c>
      <c r="F1830">
        <v>176913.0575</v>
      </c>
      <c r="G1830" s="1">
        <v>1.31E-5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-3.5905917427020871E-3</v>
      </c>
      <c r="M1830" s="1">
        <f t="shared" si="115"/>
        <v>3.0894708537524507E-2</v>
      </c>
      <c r="N1830" s="1">
        <f t="shared" si="116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-2.65E-6</v>
      </c>
      <c r="F1831">
        <v>72213.408320000002</v>
      </c>
      <c r="G1831" s="1">
        <v>2.4E-8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-2.2931003383735417E-2</v>
      </c>
      <c r="N1831" s="1">
        <f t="shared" si="116"/>
        <v>9.7169977987509611E-5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>
        <v>0</v>
      </c>
      <c r="F1832">
        <v>136703.69279999999</v>
      </c>
      <c r="G1832" s="1">
        <v>-3.6900000000000002E-5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0</v>
      </c>
      <c r="N1832" s="1">
        <f t="shared" si="116"/>
        <v>-0.17356826826660612</v>
      </c>
      <c r="O1832" s="1"/>
    </row>
    <row r="1833" spans="1:15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>
        <v>0</v>
      </c>
      <c r="F1833">
        <v>65456.690399999999</v>
      </c>
      <c r="G1833" s="1">
        <v>4.0400000000000003E-6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4.5618379622530004E-3</v>
      </c>
      <c r="M1833" s="1">
        <f t="shared" si="115"/>
        <v>0</v>
      </c>
      <c r="N1833" s="1">
        <f t="shared" si="116"/>
        <v>1.4460324519117052E-2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0</v>
      </c>
      <c r="N1835" s="1">
        <f t="shared" si="116"/>
        <v>0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 s="1">
        <v>1.88E-6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0</v>
      </c>
      <c r="N1836" s="1">
        <f t="shared" si="116"/>
        <v>9.0207610755987967E-3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 s="1">
        <v>-1.5799999999999999E-6</v>
      </c>
      <c r="F1837">
        <v>91973.360889999996</v>
      </c>
      <c r="G1837" s="1">
        <v>-3.1599999999999998E-6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0</v>
      </c>
      <c r="M1837" s="1">
        <f t="shared" si="115"/>
        <v>-1.1956113042807448E-2</v>
      </c>
      <c r="N1837" s="1">
        <f t="shared" si="116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-6.2500000000000005E-7</v>
      </c>
      <c r="F1838">
        <v>61501.269659999998</v>
      </c>
      <c r="G1838" s="1">
        <v>3.9299999999999996E-6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-9.7201568284118762E-3</v>
      </c>
      <c r="N1838" s="1">
        <f t="shared" si="116"/>
        <v>2.8597593146694932E-2</v>
      </c>
      <c r="O1838" s="1"/>
    </row>
    <row r="1839" spans="1:15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-4.0099999999999997E-6</v>
      </c>
      <c r="F1839">
        <v>81258.623749999999</v>
      </c>
      <c r="G1839" s="1">
        <v>2.96E-6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3.1400007550275004E-4</v>
      </c>
      <c r="M1839" s="1">
        <f t="shared" si="115"/>
        <v>-2.111481430792261E-2</v>
      </c>
      <c r="N1839" s="1">
        <f t="shared" si="116"/>
        <v>7.2925309842915608E-3</v>
      </c>
      <c r="O1839" s="1"/>
    </row>
    <row r="1840" spans="1:15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-3.3299999999999999E-6</v>
      </c>
      <c r="F1840">
        <v>111162.71060000001</v>
      </c>
      <c r="G1840" s="1">
        <v>6.2500000000000003E-6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-1.4554892916521102E-2</v>
      </c>
      <c r="M1840" s="1">
        <f t="shared" si="115"/>
        <v>-3.2839095458645925E-2</v>
      </c>
      <c r="N1840" s="1">
        <f t="shared" si="116"/>
        <v>2.8838365918515001E-2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-4.2832294962451885E-3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-3.49E-6</v>
      </c>
      <c r="F1842">
        <v>173296.1452</v>
      </c>
      <c r="G1842">
        <v>0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-2.2438773759928428E-2</v>
      </c>
      <c r="N1842" s="1">
        <f t="shared" si="116"/>
        <v>0</v>
      </c>
      <c r="O1842" s="1"/>
    </row>
    <row r="1843" spans="1:15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-1.9400000000000001E-6</v>
      </c>
      <c r="F1843">
        <v>171562.5491</v>
      </c>
      <c r="G1843">
        <v>0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-3.6918458056675E-4</v>
      </c>
      <c r="M1843" s="1">
        <f t="shared" si="115"/>
        <v>-1.2010426370253071E-2</v>
      </c>
      <c r="N1843" s="1">
        <f t="shared" si="116"/>
        <v>0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-1.55E-6</v>
      </c>
      <c r="F1844">
        <v>161080.2893</v>
      </c>
      <c r="G1844">
        <v>0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-1.6468733320532301E-2</v>
      </c>
      <c r="N1844" s="1">
        <f t="shared" si="116"/>
        <v>0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-3.4699999999999998E-6</v>
      </c>
      <c r="F1845">
        <v>192394.73540000001</v>
      </c>
      <c r="G1845">
        <v>0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-2.9091706713810377E-2</v>
      </c>
      <c r="N1845" s="1">
        <f t="shared" si="116"/>
        <v>0</v>
      </c>
      <c r="O1845" s="1"/>
    </row>
    <row r="1846" spans="1:15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-2.92E-6</v>
      </c>
      <c r="F1846">
        <v>340117.02549999999</v>
      </c>
      <c r="G1846">
        <v>0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-1.6100593038549341E-2</v>
      </c>
      <c r="M1846" s="1">
        <f t="shared" si="115"/>
        <v>-1.6685378110897788E-2</v>
      </c>
      <c r="N1846" s="1">
        <f t="shared" si="116"/>
        <v>0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4.4400000000000001E-7</v>
      </c>
      <c r="F1847">
        <v>307418.65500000003</v>
      </c>
      <c r="G1847">
        <v>0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3.0892753002420455E-3</v>
      </c>
      <c r="N1847" s="1">
        <f t="shared" si="116"/>
        <v>0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 s="1">
        <v>-9.4499999999999995E-7</v>
      </c>
      <c r="F1848">
        <v>115976.8977</v>
      </c>
      <c r="G1848" s="1">
        <v>3.8699999999999999E-5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0</v>
      </c>
      <c r="M1848" s="1">
        <f t="shared" si="115"/>
        <v>-9.5588681986898093E-3</v>
      </c>
      <c r="N1848" s="1">
        <f t="shared" si="116"/>
        <v>0.18315944045195939</v>
      </c>
      <c r="O1848" s="1"/>
    </row>
    <row r="1849" spans="1:15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4.4000000000000002E-7</v>
      </c>
      <c r="F1849">
        <v>90327.48014</v>
      </c>
      <c r="G1849">
        <v>0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-2.1336357280212002E-3</v>
      </c>
      <c r="M1849" s="1">
        <f t="shared" si="115"/>
        <v>3.9357372890729521E-3</v>
      </c>
      <c r="N1849" s="1">
        <f t="shared" si="116"/>
        <v>0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>
        <v>0</v>
      </c>
      <c r="F1851">
        <v>80113.91347</v>
      </c>
      <c r="G1851" s="1">
        <v>-2.9799999999999998E-6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0</v>
      </c>
      <c r="N1851" s="1">
        <f t="shared" si="116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>
        <v>0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-1.0405214881698001E-2</v>
      </c>
      <c r="M1852" s="1">
        <f t="shared" si="115"/>
        <v>5.7830126138105266E-2</v>
      </c>
      <c r="N1852" s="1">
        <f t="shared" si="116"/>
        <v>0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3.9099999999999998E-6</v>
      </c>
      <c r="F1853">
        <v>169485.3279</v>
      </c>
      <c r="G1853">
        <v>0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3.0456835642589445E-2</v>
      </c>
      <c r="N1853" s="1">
        <f t="shared" si="116"/>
        <v>0</v>
      </c>
      <c r="O1853" s="1"/>
    </row>
    <row r="1854" spans="1:15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1.9400000000000001E-6</v>
      </c>
      <c r="F1854">
        <v>267560.40649999998</v>
      </c>
      <c r="G1854">
        <v>0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-8.2086172653606876E-2</v>
      </c>
      <c r="M1854" s="1">
        <f t="shared" si="115"/>
        <v>1.1244011057056981E-2</v>
      </c>
      <c r="N1854" s="1">
        <f t="shared" si="116"/>
        <v>0</v>
      </c>
      <c r="O1854" s="1"/>
    </row>
    <row r="1855" spans="1:15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-3.05E-6</v>
      </c>
      <c r="F1855">
        <v>228877.98420000001</v>
      </c>
      <c r="G1855">
        <v>0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-8.4503489321874998E-4</v>
      </c>
      <c r="M1855" s="1">
        <f t="shared" si="115"/>
        <v>-8.6440569307868753E-3</v>
      </c>
      <c r="N1855" s="1">
        <f t="shared" si="116"/>
        <v>0</v>
      </c>
      <c r="O1855" s="1"/>
    </row>
    <row r="1856" spans="1:15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4.0057988304492927E-2</v>
      </c>
      <c r="M1856" s="1">
        <f t="shared" si="115"/>
        <v>0</v>
      </c>
      <c r="N1856" s="1">
        <f t="shared" si="116"/>
        <v>0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 s="1">
        <v>-4.1500000000000001E-6</v>
      </c>
      <c r="F1857">
        <v>270190.18949999998</v>
      </c>
      <c r="G1857">
        <v>0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0</v>
      </c>
      <c r="M1857" s="1">
        <f t="shared" si="115"/>
        <v>-1.271886213454638E-2</v>
      </c>
      <c r="N1857" s="1">
        <f t="shared" si="116"/>
        <v>0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-5.0000000000000004E-6</v>
      </c>
      <c r="F1858">
        <v>178960.1825</v>
      </c>
      <c r="G1858">
        <v>0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-2.9843672406700501E-2</v>
      </c>
      <c r="N1858" s="1">
        <f t="shared" si="116"/>
        <v>0</v>
      </c>
      <c r="O1858" s="1"/>
    </row>
    <row r="1859" spans="1:15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-2.5500000000000001E-6</v>
      </c>
      <c r="F1859">
        <v>243036.52009999999</v>
      </c>
      <c r="G1859">
        <v>0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-0.10241545119581685</v>
      </c>
      <c r="M1859" s="1">
        <f t="shared" ref="M1859:M1922" si="119">$U$3*$K1859*E1859</f>
        <v>-2.7201504691712661E-2</v>
      </c>
      <c r="N1859" s="1">
        <f t="shared" ref="N1859:N1922" si="120">$U$4*$K1859*G1859</f>
        <v>0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2.5900000000000002E-6</v>
      </c>
      <c r="F1860">
        <v>169277.79810000001</v>
      </c>
      <c r="G1860">
        <v>0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1.4697182121748014E-2</v>
      </c>
      <c r="N1860" s="1">
        <f t="shared" si="120"/>
        <v>0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>
        <v>0</v>
      </c>
      <c r="F1861">
        <v>84220.888479999994</v>
      </c>
      <c r="G1861" s="1">
        <v>3.9099999999999998E-6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0</v>
      </c>
      <c r="N1861" s="1">
        <f t="shared" si="12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2.9699999999999999E-6</v>
      </c>
      <c r="F1862">
        <v>162370.79639999999</v>
      </c>
      <c r="G1862">
        <v>0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3.403445226916977E-2</v>
      </c>
      <c r="N1862" s="1">
        <f t="shared" si="120"/>
        <v>0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 s="1">
        <v>3.4999999999999999E-6</v>
      </c>
      <c r="F1863">
        <v>98455.541750000004</v>
      </c>
      <c r="G1863">
        <v>0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0</v>
      </c>
      <c r="M1863" s="1">
        <f t="shared" si="119"/>
        <v>2.5410911327865351E-2</v>
      </c>
      <c r="N1863" s="1">
        <f t="shared" si="120"/>
        <v>0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-3.3400000000000002E-6</v>
      </c>
      <c r="F1864">
        <v>139112.81409999999</v>
      </c>
      <c r="G1864">
        <v>0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-1.5298376513132607E-2</v>
      </c>
      <c r="N1864" s="1">
        <f t="shared" si="120"/>
        <v>0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0</v>
      </c>
      <c r="N1865" s="1">
        <f t="shared" si="120"/>
        <v>0</v>
      </c>
      <c r="O1865" s="1"/>
    </row>
    <row r="1866" spans="1:15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2.1900000000000002E-6</v>
      </c>
      <c r="F1866">
        <v>145555.60440000001</v>
      </c>
      <c r="G1866">
        <v>0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-5.0372096115834999E-4</v>
      </c>
      <c r="M1866" s="1">
        <f t="shared" si="119"/>
        <v>1.8498958559709192E-2</v>
      </c>
      <c r="N1866" s="1">
        <f t="shared" si="120"/>
        <v>0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-2.4700000000000001E-6</v>
      </c>
      <c r="F1867">
        <v>164122.42629999999</v>
      </c>
      <c r="G1867">
        <v>0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-1.8878841855740035E-2</v>
      </c>
      <c r="N1867" s="1">
        <f t="shared" si="120"/>
        <v>0</v>
      </c>
      <c r="O1867" s="1"/>
    </row>
    <row r="1868" spans="1:15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7.9999999999999996E-7</v>
      </c>
      <c r="F1868">
        <v>69356.356419999996</v>
      </c>
      <c r="G1868" s="1">
        <v>1.3200000000000001E-6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9.286375043335E-3</v>
      </c>
      <c r="M1868" s="1">
        <f t="shared" si="119"/>
        <v>1.2458029288904798E-2</v>
      </c>
      <c r="N1868" s="1">
        <f t="shared" si="12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3.5300000000000001E-6</v>
      </c>
      <c r="F1869">
        <v>132105.2163</v>
      </c>
      <c r="G1869">
        <v>0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2.904338192504706E-2</v>
      </c>
      <c r="N1869" s="1">
        <f t="shared" si="120"/>
        <v>0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>
        <v>0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0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 s="1">
        <v>-7.6899999999999996E-7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0</v>
      </c>
      <c r="N1874" s="1">
        <f t="shared" si="12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-1.39E-6</v>
      </c>
      <c r="F1880">
        <v>127583.5472</v>
      </c>
      <c r="G1880">
        <v>0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-0.15192061659098996</v>
      </c>
      <c r="M1880" s="1">
        <f t="shared" si="119"/>
        <v>-1.6902876900826799E-2</v>
      </c>
      <c r="N1880" s="1">
        <f t="shared" si="120"/>
        <v>0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1.2100000000000001E-6</v>
      </c>
      <c r="F1881">
        <v>103640.94070000001</v>
      </c>
      <c r="G1881">
        <v>0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1.0119257592640714E-2</v>
      </c>
      <c r="N1881" s="1">
        <f t="shared" si="120"/>
        <v>0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 s="1">
        <v>-8.8899999999999998E-7</v>
      </c>
      <c r="F1882">
        <v>140601.3591</v>
      </c>
      <c r="G1882">
        <v>0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0</v>
      </c>
      <c r="M1882" s="1">
        <f t="shared" si="119"/>
        <v>-8.5087204985802248E-3</v>
      </c>
      <c r="N1882" s="1">
        <f t="shared" si="120"/>
        <v>0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4.33E-6</v>
      </c>
      <c r="F1883">
        <v>135231.6347</v>
      </c>
      <c r="G1883">
        <v>0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2.5788085108965721E-2</v>
      </c>
      <c r="N1883" s="1">
        <f t="shared" si="120"/>
        <v>0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-1.39E-6</v>
      </c>
      <c r="F1884">
        <v>112989.5834</v>
      </c>
      <c r="G1884">
        <v>0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-2.1743640400332311E-2</v>
      </c>
      <c r="N1884" s="1">
        <f t="shared" si="120"/>
        <v>0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6.9599999999999999E-7</v>
      </c>
      <c r="F1885">
        <v>118468.28049999999</v>
      </c>
      <c r="G1885">
        <v>0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5.3239611648943962E-3</v>
      </c>
      <c r="N1885" s="1">
        <f t="shared" si="120"/>
        <v>0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-1.8700000000000001E-6</v>
      </c>
      <c r="F1886">
        <v>92762.266759999999</v>
      </c>
      <c r="G1886" s="1">
        <v>-1.48E-6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-1.0042651260415312E-2</v>
      </c>
      <c r="N1886" s="1">
        <f t="shared" si="12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-4.6999999999999999E-6</v>
      </c>
      <c r="F1887">
        <v>121507.3744</v>
      </c>
      <c r="G1887">
        <v>0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-3.4002445792425888E-2</v>
      </c>
      <c r="N1887" s="1">
        <f t="shared" si="120"/>
        <v>0</v>
      </c>
      <c r="O1887" s="1"/>
    </row>
    <row r="1888" spans="1:15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-1.39E-6</v>
      </c>
      <c r="F1888">
        <v>123008.9311</v>
      </c>
      <c r="G1888">
        <v>0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3.1351746040127497E-3</v>
      </c>
      <c r="M1888" s="1">
        <f t="shared" si="119"/>
        <v>-1.4615701669352976E-2</v>
      </c>
      <c r="N1888" s="1">
        <f t="shared" si="120"/>
        <v>0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>
        <v>0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0</v>
      </c>
      <c r="O1889" s="1"/>
    </row>
    <row r="1890" spans="1:15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-4.6899999999999998E-7</v>
      </c>
      <c r="F1890">
        <v>132775.52859999999</v>
      </c>
      <c r="G1890">
        <v>0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-1.8255766709154E-3</v>
      </c>
      <c r="M1890" s="1">
        <f t="shared" si="119"/>
        <v>-3.5894348074563907E-3</v>
      </c>
      <c r="N1890" s="1">
        <f t="shared" si="120"/>
        <v>0</v>
      </c>
      <c r="O1890" s="1"/>
    </row>
    <row r="1891" spans="1:15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>
        <v>0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-4.1472149056324993E-3</v>
      </c>
      <c r="M1891" s="1">
        <f t="shared" si="119"/>
        <v>6.8432874141310676E-2</v>
      </c>
      <c r="N1891" s="1">
        <f t="shared" si="120"/>
        <v>0</v>
      </c>
      <c r="O1891" s="1"/>
    </row>
    <row r="1892" spans="1:15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1.73E-6</v>
      </c>
      <c r="F1892">
        <v>161055.8768</v>
      </c>
      <c r="G1892">
        <v>0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0.28624630754400199</v>
      </c>
      <c r="M1892" s="1">
        <f t="shared" si="119"/>
        <v>5.3403379879863919E-2</v>
      </c>
      <c r="N1892" s="1">
        <f t="shared" si="120"/>
        <v>0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</v>
      </c>
      <c r="N1893" s="1">
        <f t="shared" si="120"/>
        <v>0</v>
      </c>
      <c r="O1893" s="1"/>
    </row>
    <row r="1894" spans="1:15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-1.39E-6</v>
      </c>
      <c r="F1894">
        <v>152925.11569999999</v>
      </c>
      <c r="G1894">
        <v>0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-0.18867384300539777</v>
      </c>
      <c r="M1894" s="1">
        <f t="shared" si="119"/>
        <v>-1.8754124293093533E-2</v>
      </c>
      <c r="N1894" s="1">
        <f t="shared" si="120"/>
        <v>0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>
        <v>0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0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1.386298643603058E-2</v>
      </c>
      <c r="O1897" s="1"/>
    </row>
    <row r="1898" spans="1:15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8.0000000000000002E-8</v>
      </c>
      <c r="F1898">
        <v>10018.050869999999</v>
      </c>
      <c r="G1898" s="1">
        <v>-3.4000000000000001E-6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1.6412175775970001E-3</v>
      </c>
      <c r="M1898" s="1">
        <f t="shared" si="119"/>
        <v>1.10087825204968E-3</v>
      </c>
      <c r="N1898" s="1">
        <f t="shared" si="12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0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-5.0500000000000004E-7</v>
      </c>
      <c r="F1901">
        <v>92006.719920000003</v>
      </c>
      <c r="G1901" s="1">
        <v>-3.2600000000000001E-6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-5.0999908052578504E-3</v>
      </c>
      <c r="N1901" s="1">
        <f t="shared" si="120"/>
        <v>-1.5404205128207289E-2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3.3299999999999999E-6</v>
      </c>
      <c r="F1902">
        <v>102155.5042</v>
      </c>
      <c r="G1902">
        <v>0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4.3871581983582264E-2</v>
      </c>
      <c r="N1902" s="1">
        <f t="shared" si="120"/>
        <v>0</v>
      </c>
      <c r="O1902" s="1"/>
    </row>
    <row r="1903" spans="1:15" x14ac:dyDescent="0.25">
      <c r="A1903">
        <v>3602</v>
      </c>
      <c r="B1903">
        <v>20067.122950000001</v>
      </c>
      <c r="C1903" s="1">
        <v>3.19E-6</v>
      </c>
      <c r="D1903">
        <v>38245.012369999997</v>
      </c>
      <c r="E1903" s="1">
        <v>-4.4999999999999999E-8</v>
      </c>
      <c r="F1903">
        <v>94926.941330000001</v>
      </c>
      <c r="G1903" s="1">
        <v>3.5499999999999999E-6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0.1194201112086125</v>
      </c>
      <c r="M1903" s="1">
        <f t="shared" si="119"/>
        <v>-5.6499218276175002E-4</v>
      </c>
      <c r="N1903" s="1">
        <f t="shared" si="12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-4.0600000000000001E-6</v>
      </c>
      <c r="F1904">
        <v>69484.358689999994</v>
      </c>
      <c r="G1904" s="1">
        <v>2.7499999999999999E-6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-3.9721351922271296E-2</v>
      </c>
      <c r="N1904" s="1">
        <f t="shared" si="12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-3.9499999999999998E-7</v>
      </c>
      <c r="F1905">
        <v>94859.986610000007</v>
      </c>
      <c r="G1905" s="1">
        <v>4.4700000000000004E-6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-5.4599675283734141E-3</v>
      </c>
      <c r="N1905" s="1">
        <f t="shared" si="12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>
        <v>0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0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0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>
        <v>0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0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>
        <v>0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0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-1E-8</v>
      </c>
      <c r="F1917">
        <v>140.85205199999999</v>
      </c>
      <c r="G1917" s="1">
        <v>-1E-8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-2.4107831945587E-4</v>
      </c>
      <c r="N1917" s="1">
        <f t="shared" si="120"/>
        <v>-1.1279811277293001E-4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-1E-8</v>
      </c>
      <c r="F1922">
        <v>140.85205199999999</v>
      </c>
      <c r="G1922" s="1">
        <v>-1E-8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-1.5405957341183999E-4</v>
      </c>
      <c r="N1922" s="1">
        <f t="shared" si="12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0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4.9000000000000002E-8</v>
      </c>
      <c r="F1929">
        <v>10666.243759999999</v>
      </c>
      <c r="G1929">
        <v>0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9.2785503381119505E-4</v>
      </c>
      <c r="N1929" s="1">
        <f t="shared" si="124"/>
        <v>0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0</v>
      </c>
      <c r="M1930" s="1">
        <f t="shared" si="123"/>
        <v>0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0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2.4E-8</v>
      </c>
      <c r="F1933">
        <v>48950.656470000002</v>
      </c>
      <c r="G1933" s="1">
        <v>3.7100000000000001E-6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4.0922478740932803E-4</v>
      </c>
      <c r="N1933" s="1">
        <f t="shared" si="124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0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0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 s="1">
        <v>-4.4099999999999999E-7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0</v>
      </c>
      <c r="N1956" s="1">
        <f t="shared" si="124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0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0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0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0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>
        <v>0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0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0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>
        <v>0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0</v>
      </c>
      <c r="O1970" s="1"/>
    </row>
    <row r="1971" spans="1:15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>
        <v>0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4.0765455588974995E-3</v>
      </c>
      <c r="M1971" s="1">
        <f t="shared" si="123"/>
        <v>0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>
        <v>0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0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0</v>
      </c>
      <c r="M1976" s="1">
        <f t="shared" si="123"/>
        <v>-2.6111863406529782E-3</v>
      </c>
      <c r="N1976" s="1">
        <f t="shared" si="124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>
        <v>0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0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>
        <v>0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0</v>
      </c>
      <c r="O1979" s="1"/>
    </row>
    <row r="1980" spans="1:15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3.6621897601045246E-3</v>
      </c>
      <c r="M1980" s="1">
        <f t="shared" si="123"/>
        <v>2.2482170689155392E-2</v>
      </c>
      <c r="N1980" s="1">
        <f t="shared" si="124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1.9999999999999999E-7</v>
      </c>
      <c r="F1981">
        <v>19154.720679999999</v>
      </c>
      <c r="G1981" s="1">
        <v>-6.1999999999999999E-7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4.9634818266800001E-3</v>
      </c>
      <c r="N1981" s="1">
        <f t="shared" si="124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-1.066496770239036E-2</v>
      </c>
      <c r="O1983" s="1"/>
    </row>
    <row r="1984" spans="1:15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3.5700000000000002E-8</v>
      </c>
      <c r="F1984">
        <v>120012.5315</v>
      </c>
      <c r="G1984">
        <v>0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1.0962702741146E-2</v>
      </c>
      <c r="M1984" s="1">
        <f t="shared" si="123"/>
        <v>3.2814742443554947E-4</v>
      </c>
      <c r="N1984" s="1">
        <f t="shared" si="124"/>
        <v>0</v>
      </c>
      <c r="O1984" s="1"/>
    </row>
    <row r="1985" spans="1:15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2.5818256119240005E-3</v>
      </c>
      <c r="M1985" s="1">
        <f t="shared" si="123"/>
        <v>-9.9579027832207203E-3</v>
      </c>
      <c r="N1985" s="1">
        <f t="shared" si="124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>
        <v>0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0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3.9299999999999996E-6</v>
      </c>
      <c r="F1987">
        <v>115039.8009</v>
      </c>
      <c r="G1987">
        <v>0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3.5382450028542421E-2</v>
      </c>
      <c r="N1987" s="1">
        <f t="shared" ref="N1987:N2050" si="128">$U$4*$K1987*G1987</f>
        <v>0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1.4461550201489395E-2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2.79E-6</v>
      </c>
      <c r="F1989">
        <v>78874.392569999996</v>
      </c>
      <c r="G1989" s="1">
        <v>-2.7099999999999999E-6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2.1666839800849019E-2</v>
      </c>
      <c r="N1989" s="1">
        <f t="shared" si="128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1.2972958558147975E-2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4.8500000000000002E-7</v>
      </c>
      <c r="F1991">
        <v>96848.039170000004</v>
      </c>
      <c r="G1991" s="1">
        <v>-4.2400000000000001E-6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5.6619786067519905E-3</v>
      </c>
      <c r="N1991" s="1">
        <f t="shared" si="128"/>
        <v>-2.3159864824062241E-2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5.5364267643084604E-4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0</v>
      </c>
      <c r="M1994" s="1">
        <f t="shared" si="127"/>
        <v>-4.6924731003296699E-3</v>
      </c>
      <c r="N1994" s="1">
        <f t="shared" si="128"/>
        <v>1.38879305728893E-2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1.2982206280405528E-2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1.13080983719886E-2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1.9000000000000001E-8</v>
      </c>
      <c r="F1998">
        <v>40310.130360000003</v>
      </c>
      <c r="G1998" s="1">
        <v>-1.4100000000000001E-6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1.700738731372539E-4</v>
      </c>
      <c r="N1998" s="1">
        <f t="shared" si="128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2.2747431902999404E-4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3.0399788006887861E-3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-6.498362395804572E-3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-3.19E-6</v>
      </c>
      <c r="F2002">
        <v>85200.091790000006</v>
      </c>
      <c r="G2002" s="1">
        <v>-3.5999999999999998E-6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-4.0248624632427746E-2</v>
      </c>
      <c r="N2002" s="1">
        <f t="shared" si="128"/>
        <v>-2.125232947719E-2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 s="1">
        <v>-3.7900000000000001E-6</v>
      </c>
      <c r="F2003">
        <v>142324.092</v>
      </c>
      <c r="G2003" s="1">
        <v>-4.2400000000000001E-5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0</v>
      </c>
      <c r="M2003" s="1">
        <f t="shared" si="127"/>
        <v>-4.0957691411269433E-2</v>
      </c>
      <c r="N2003" s="1">
        <f t="shared" si="128"/>
        <v>-0.21439062697036873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-8.7499999999999999E-7</v>
      </c>
      <c r="F2004">
        <v>66861.955130000002</v>
      </c>
      <c r="G2004" s="1">
        <v>4.51E-6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-8.1737311847833241E-3</v>
      </c>
      <c r="N2004" s="1">
        <f t="shared" si="128"/>
        <v>1.9712082933808779E-2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4.9500000000000003E-7</v>
      </c>
      <c r="F2005">
        <v>63258.768580000004</v>
      </c>
      <c r="G2005">
        <v>0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6.4517720859776258E-3</v>
      </c>
      <c r="N2005" s="1">
        <f t="shared" si="128"/>
        <v>0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4.9699999999999998E-6</v>
      </c>
      <c r="F2006">
        <v>67779.270759999999</v>
      </c>
      <c r="G2006" s="1">
        <v>-6.1600000000000001E-7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0.12340600686923026</v>
      </c>
      <c r="N2006" s="1">
        <f t="shared" si="128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-1.86E-6</v>
      </c>
      <c r="F2007">
        <v>58288.568319999998</v>
      </c>
      <c r="G2007" s="1">
        <v>4.9699999999999998E-6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-1.1755924127360842E-2</v>
      </c>
      <c r="N2007" s="1">
        <f t="shared" si="128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 s="1">
        <v>-3.18E-6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0</v>
      </c>
      <c r="N2008" s="1">
        <f t="shared" si="128"/>
        <v>-3.723458385751921E-2</v>
      </c>
      <c r="O2008" s="1"/>
    </row>
    <row r="2009" spans="1:15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3.19E-6</v>
      </c>
      <c r="F2009">
        <v>76043.035759999999</v>
      </c>
      <c r="G2009" s="1">
        <v>1.4699999999999999E-6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-2.3289903020897499E-3</v>
      </c>
      <c r="M2009" s="1">
        <f t="shared" si="127"/>
        <v>2.4917329782757753E-2</v>
      </c>
      <c r="N2009" s="1">
        <f t="shared" si="128"/>
        <v>5.3724431676205713E-3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-1.0499999999999999E-6</v>
      </c>
      <c r="F2010">
        <v>87355.914019999997</v>
      </c>
      <c r="G2010" s="1">
        <v>3.2799999999999999E-6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-2.7449556054142947E-2</v>
      </c>
      <c r="N2010" s="1">
        <f t="shared" si="128"/>
        <v>4.0120242348073681E-2</v>
      </c>
      <c r="O2010" s="1"/>
    </row>
    <row r="2011" spans="1:15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-4.4700000000000004E-6</v>
      </c>
      <c r="F2011">
        <v>135928.36689999999</v>
      </c>
      <c r="G2011" s="1">
        <v>-3.9900000000000001E-5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-0.127923604967106</v>
      </c>
      <c r="M2011" s="1">
        <f t="shared" si="127"/>
        <v>-4.7352872211299572E-2</v>
      </c>
      <c r="N2011" s="1">
        <f t="shared" si="128"/>
        <v>-0.19776770655085588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 s="1">
        <v>-3.1700000000000001E-6</v>
      </c>
      <c r="F2012">
        <v>123085.13679999999</v>
      </c>
      <c r="G2012" s="1">
        <v>1.9700000000000001E-5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0</v>
      </c>
      <c r="M2012" s="1">
        <f t="shared" si="127"/>
        <v>-4.0961220033019163E-2</v>
      </c>
      <c r="N2012" s="1">
        <f t="shared" si="128"/>
        <v>0.11910322625292842</v>
      </c>
      <c r="O2012" s="1"/>
    </row>
    <row r="2013" spans="1:15" x14ac:dyDescent="0.25">
      <c r="A2013">
        <v>3813</v>
      </c>
      <c r="B2013">
        <v>25523.710780000001</v>
      </c>
      <c r="C2013" s="1">
        <v>2.26E-6</v>
      </c>
      <c r="D2013">
        <v>57415.618240000003</v>
      </c>
      <c r="E2013" s="1">
        <v>1.81E-6</v>
      </c>
      <c r="F2013">
        <v>142775.71359999999</v>
      </c>
      <c r="G2013" s="1">
        <v>4.1100000000000003E-5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2.2237827584154646E-2</v>
      </c>
      <c r="M2013" s="1">
        <f t="shared" si="127"/>
        <v>5.9731804003783128E-3</v>
      </c>
      <c r="N2013" s="1">
        <f t="shared" si="128"/>
        <v>6.3461824913746176E-2</v>
      </c>
      <c r="O2013" s="1"/>
    </row>
    <row r="2014" spans="1:15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-7.6499999999999998E-7</v>
      </c>
      <c r="F2014">
        <v>116601.14509999999</v>
      </c>
      <c r="G2014" s="1">
        <v>3.1699999999999998E-5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-8.4098797290350705E-2</v>
      </c>
      <c r="M2014" s="1">
        <f t="shared" si="127"/>
        <v>-7.3894396333571049E-3</v>
      </c>
      <c r="N2014" s="1">
        <f t="shared" si="128"/>
        <v>0.14326925772319279</v>
      </c>
      <c r="O2014" s="1"/>
    </row>
    <row r="2015" spans="1:15" x14ac:dyDescent="0.25">
      <c r="A2015">
        <v>3815</v>
      </c>
      <c r="B2015">
        <v>12381.820970000001</v>
      </c>
      <c r="C2015" s="1">
        <v>4.2899999999999996E-6</v>
      </c>
      <c r="D2015">
        <v>60479.551160000003</v>
      </c>
      <c r="E2015" s="1">
        <v>4.8400000000000002E-6</v>
      </c>
      <c r="F2015">
        <v>140683.6974</v>
      </c>
      <c r="G2015" s="1">
        <v>-7.0700000000000001E-6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0.12897646667352233</v>
      </c>
      <c r="M2015" s="1">
        <f t="shared" si="127"/>
        <v>4.8802456344474408E-2</v>
      </c>
      <c r="N2015" s="1">
        <f t="shared" si="128"/>
        <v>-3.335488225818322E-2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-3.6500000000000002E-6</v>
      </c>
      <c r="F2016">
        <v>58738.499669999997</v>
      </c>
      <c r="G2016" s="1">
        <v>-3.6899999999999998E-6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-2.3336628213636083E-2</v>
      </c>
      <c r="N2016" s="1">
        <f t="shared" si="128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3.765452840964361E-2</v>
      </c>
      <c r="O2017" s="1"/>
    </row>
    <row r="2018" spans="1:15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-4.4800000000000003E-6</v>
      </c>
      <c r="F2018">
        <v>65960.947799999994</v>
      </c>
      <c r="G2018" s="1">
        <v>-4.0899999999999998E-6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4.9170251973439999E-3</v>
      </c>
      <c r="M2018" s="1">
        <f t="shared" si="127"/>
        <v>-3.6939719144108027E-2</v>
      </c>
      <c r="N2018" s="1">
        <f t="shared" si="128"/>
        <v>-1.5779112090984385E-2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-3.15E-7</v>
      </c>
      <c r="F2019">
        <v>61623.177369999998</v>
      </c>
      <c r="G2019">
        <v>0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-2.5236948534553666E-3</v>
      </c>
      <c r="N2019" s="1">
        <f t="shared" si="128"/>
        <v>0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 s="1">
        <v>3.89E-6</v>
      </c>
      <c r="F2020">
        <v>64648.230049999998</v>
      </c>
      <c r="G2020">
        <v>0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0</v>
      </c>
      <c r="M2020" s="1">
        <f t="shared" si="127"/>
        <v>4.6064737401879094E-2</v>
      </c>
      <c r="N2020" s="1">
        <f t="shared" si="128"/>
        <v>0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-3.204108621501324E-2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-4.7400000000000004E-6</v>
      </c>
      <c r="F2025">
        <v>339867.5833</v>
      </c>
      <c r="G2025" s="1">
        <v>3.6000000000000001E-5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-7.7907771722191446E-2</v>
      </c>
      <c r="N2025" s="1">
        <f t="shared" si="128"/>
        <v>0.27685260883742402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0</v>
      </c>
      <c r="N2026" s="1">
        <f t="shared" si="128"/>
        <v>0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 s="1">
        <v>-3.7599999999999998E-7</v>
      </c>
      <c r="F2028">
        <v>223231.94500000001</v>
      </c>
      <c r="G2028" s="1">
        <v>4.88E-5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0</v>
      </c>
      <c r="M2028" s="1">
        <f t="shared" si="127"/>
        <v>-4.9762394734075509E-4</v>
      </c>
      <c r="N2028" s="1">
        <f t="shared" si="128"/>
        <v>3.0218780015168638E-2</v>
      </c>
      <c r="O2028" s="1"/>
    </row>
    <row r="2029" spans="1:15" x14ac:dyDescent="0.25">
      <c r="A2029">
        <v>3832</v>
      </c>
      <c r="B2029">
        <v>25195.28066</v>
      </c>
      <c r="C2029" s="1">
        <v>3.3299999999999999E-6</v>
      </c>
      <c r="D2029">
        <v>64736.990510000003</v>
      </c>
      <c r="E2029" s="1">
        <v>8.3399999999999998E-7</v>
      </c>
      <c r="F2029">
        <v>208715.54149999999</v>
      </c>
      <c r="G2029" s="1">
        <v>3.79E-5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7.6509419865178939E-3</v>
      </c>
      <c r="M2029" s="1">
        <f t="shared" si="127"/>
        <v>6.4265791843510806E-4</v>
      </c>
      <c r="N2029" s="1">
        <f t="shared" si="128"/>
        <v>1.3664592992137157E-2</v>
      </c>
      <c r="O2029" s="1"/>
    </row>
    <row r="2030" spans="1:15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1.0300000000000001E-6</v>
      </c>
      <c r="F2030">
        <v>86145.088470000002</v>
      </c>
      <c r="G2030" s="1">
        <v>2.5399999999999998E-6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-2.0297383418373749E-3</v>
      </c>
      <c r="M2030" s="1">
        <f t="shared" si="127"/>
        <v>1.5581451188928692E-2</v>
      </c>
      <c r="N2030" s="1">
        <f t="shared" si="128"/>
        <v>1.797827725139238E-2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-4.6700000000000002E-6</v>
      </c>
      <c r="F2031">
        <v>68717.481849999996</v>
      </c>
      <c r="G2031" s="1">
        <v>-4.7700000000000001E-6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-2.4873189282073053E-2</v>
      </c>
      <c r="N2031" s="1">
        <f t="shared" si="128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-1.8899999999999999E-6</v>
      </c>
      <c r="F2032">
        <v>129539.1505</v>
      </c>
      <c r="G2032" s="1">
        <v>9.9699999999999994E-6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2.9747844838817133E-2</v>
      </c>
      <c r="M2032" s="1">
        <f t="shared" si="127"/>
        <v>-1.9744997229946736E-2</v>
      </c>
      <c r="N2032" s="1">
        <f t="shared" si="128"/>
        <v>4.8734230093252839E-2</v>
      </c>
      <c r="O2032" s="1"/>
    </row>
    <row r="2033" spans="1:15" x14ac:dyDescent="0.25">
      <c r="A2033">
        <v>3836</v>
      </c>
      <c r="B2033">
        <v>21184.141159999999</v>
      </c>
      <c r="C2033" s="1">
        <v>-1.22E-6</v>
      </c>
      <c r="D2033">
        <v>31183.466789999999</v>
      </c>
      <c r="E2033" s="1">
        <v>-1.55E-6</v>
      </c>
      <c r="F2033">
        <v>88142.243220000004</v>
      </c>
      <c r="G2033" s="1">
        <v>1.75E-6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-3.9028659498454597E-2</v>
      </c>
      <c r="M2033" s="1">
        <f t="shared" si="127"/>
        <v>-1.6630244696756381E-2</v>
      </c>
      <c r="N2033" s="1">
        <f t="shared" si="128"/>
        <v>8.7851396222876996E-3</v>
      </c>
      <c r="O2033" s="1"/>
    </row>
    <row r="2034" spans="1:15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-3.5200000000000002E-6</v>
      </c>
      <c r="F2034">
        <v>309867.95860000001</v>
      </c>
      <c r="G2034" s="1">
        <v>1.5299999999999999E-5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-2.4819583591588503E-2</v>
      </c>
      <c r="M2034" s="1">
        <f t="shared" si="127"/>
        <v>-5.8837057969852802E-3</v>
      </c>
      <c r="N2034" s="1">
        <f t="shared" si="128"/>
        <v>1.1965845583266301E-2</v>
      </c>
      <c r="O2034" s="1"/>
    </row>
    <row r="2035" spans="1:15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-4.3699999999999997E-6</v>
      </c>
      <c r="F2035">
        <v>164695.08559999999</v>
      </c>
      <c r="G2035" s="1">
        <v>-4.2799999999999997E-5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2.3578787789721452E-2</v>
      </c>
      <c r="M2035" s="1">
        <f t="shared" si="127"/>
        <v>-1.4768289267426715E-2</v>
      </c>
      <c r="N2035" s="1">
        <f t="shared" si="128"/>
        <v>-6.7676236669827708E-2</v>
      </c>
      <c r="O2035" s="1"/>
    </row>
    <row r="2036" spans="1:15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4.2200000000000003E-5</v>
      </c>
      <c r="F2036">
        <v>249974.97099999999</v>
      </c>
      <c r="G2036" s="1">
        <v>2.0599999999999999E-5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-1.4173683900172873E-2</v>
      </c>
      <c r="M2036" s="1">
        <f t="shared" si="127"/>
        <v>0.12777287840081369</v>
      </c>
      <c r="N2036" s="1">
        <f t="shared" si="128"/>
        <v>2.9183483205333899E-2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7.1399999999999996E-7</v>
      </c>
      <c r="F2037">
        <v>159424.6827</v>
      </c>
      <c r="G2037" s="1">
        <v>3.1399999999999998E-5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1.0545033967282498E-2</v>
      </c>
      <c r="N2037" s="1">
        <f t="shared" si="128"/>
        <v>0.21698169500174999</v>
      </c>
      <c r="O2037" s="1"/>
    </row>
    <row r="2038" spans="1:15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-2.62E-5</v>
      </c>
      <c r="F2038">
        <v>278036.22619999998</v>
      </c>
      <c r="G2038" s="1">
        <v>2.8500000000000002E-5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-2.6674403201403749E-4</v>
      </c>
      <c r="M2038" s="1">
        <f t="shared" si="127"/>
        <v>-3.6060005047369864E-2</v>
      </c>
      <c r="N2038" s="1">
        <f t="shared" si="128"/>
        <v>1.8353252096208455E-2</v>
      </c>
      <c r="O2038" s="1"/>
    </row>
    <row r="2039" spans="1:15" x14ac:dyDescent="0.25">
      <c r="A2039">
        <v>3842</v>
      </c>
      <c r="B2039">
        <v>24190.272099999998</v>
      </c>
      <c r="C2039" s="1">
        <v>-3.32E-6</v>
      </c>
      <c r="D2039">
        <v>53495.309950000003</v>
      </c>
      <c r="E2039" s="1">
        <v>1.9300000000000002E-6</v>
      </c>
      <c r="F2039">
        <v>136563.3314</v>
      </c>
      <c r="G2039" s="1">
        <v>2.3E-5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-0.14428903668126999</v>
      </c>
      <c r="M2039" s="1">
        <f t="shared" si="127"/>
        <v>2.8131681785578101E-2</v>
      </c>
      <c r="N2039" s="1">
        <f t="shared" si="128"/>
        <v>0.15685916591949001</v>
      </c>
      <c r="O2039" s="1"/>
    </row>
    <row r="2040" spans="1:15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-8.1499999999999999E-6</v>
      </c>
      <c r="F2040">
        <v>323163.52970000001</v>
      </c>
      <c r="G2040">
        <v>0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3.7963450438477202E-2</v>
      </c>
      <c r="M2040" s="1">
        <f t="shared" si="127"/>
        <v>-2.3530320039784561E-2</v>
      </c>
      <c r="N2040" s="1">
        <f t="shared" si="128"/>
        <v>0</v>
      </c>
      <c r="O2040" s="1"/>
    </row>
    <row r="2041" spans="1:15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9.1399999999999995E-7</v>
      </c>
      <c r="F2041">
        <v>125953.5812</v>
      </c>
      <c r="G2041" s="1">
        <v>4.5500000000000001E-5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1.149446301769805E-2</v>
      </c>
      <c r="M2041" s="1">
        <f t="shared" si="127"/>
        <v>3.5412365600345909E-3</v>
      </c>
      <c r="N2041" s="1">
        <f t="shared" si="128"/>
        <v>8.2482880348104595E-2</v>
      </c>
      <c r="O2041" s="1"/>
    </row>
    <row r="2042" spans="1:15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-6.6599999999999996E-7</v>
      </c>
      <c r="F2042">
        <v>218913.89139999999</v>
      </c>
      <c r="G2042" s="1">
        <v>-2.9600000000000001E-5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-2.7166470915471228E-2</v>
      </c>
      <c r="M2042" s="1">
        <f t="shared" si="127"/>
        <v>-1.3575100943987045E-3</v>
      </c>
      <c r="N2042" s="1">
        <f t="shared" si="128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 s="1">
        <v>1.64E-6</v>
      </c>
      <c r="F2043">
        <v>111723.8995</v>
      </c>
      <c r="G2043" s="1">
        <v>-4.2400000000000001E-5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0</v>
      </c>
      <c r="M2043" s="1">
        <f t="shared" si="127"/>
        <v>6.7187683285609432E-3</v>
      </c>
      <c r="N2043" s="1">
        <f t="shared" si="128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1.8700000000000001E-6</v>
      </c>
      <c r="F2044">
        <v>123796.58</v>
      </c>
      <c r="G2044" s="1">
        <v>2.3099999999999999E-5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-2.4007193250643193E-2</v>
      </c>
      <c r="M2044" s="1">
        <f t="shared" si="127"/>
        <v>5.9277846157221124E-3</v>
      </c>
      <c r="N2044" s="1">
        <f t="shared" si="128"/>
        <v>3.4261507411971835E-2</v>
      </c>
      <c r="O2044" s="1"/>
    </row>
    <row r="2045" spans="1:15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4.0899999999999998E-5</v>
      </c>
      <c r="F2045">
        <v>412950.94880000001</v>
      </c>
      <c r="G2045">
        <v>0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-7.5879736530083518E-3</v>
      </c>
      <c r="M2045" s="1">
        <f t="shared" si="127"/>
        <v>2.8993310771353361E-2</v>
      </c>
      <c r="N2045" s="1">
        <f t="shared" si="128"/>
        <v>0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 s="1">
        <v>1.33E-6</v>
      </c>
      <c r="F2046">
        <v>66457.830350000004</v>
      </c>
      <c r="G2046" s="1">
        <v>-8.7599999999999996E-7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0</v>
      </c>
      <c r="M2046" s="1">
        <f t="shared" si="127"/>
        <v>2.365438465865251E-3</v>
      </c>
      <c r="N2046" s="1">
        <f t="shared" si="128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-1.57E-6</v>
      </c>
      <c r="F2047">
        <v>120002.65029999999</v>
      </c>
      <c r="G2047">
        <v>0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-5.3714875197018098E-2</v>
      </c>
      <c r="M2047" s="1">
        <f t="shared" si="127"/>
        <v>-1.6444054727130068E-2</v>
      </c>
      <c r="N2047" s="1">
        <f t="shared" si="128"/>
        <v>0</v>
      </c>
      <c r="O2047" s="1"/>
    </row>
    <row r="2048" spans="1:15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>
        <v>0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-1.9178742594961301E-2</v>
      </c>
      <c r="M2048" s="1">
        <f t="shared" si="127"/>
        <v>-4.4591707889030359E-3</v>
      </c>
      <c r="N2048" s="1">
        <f t="shared" si="128"/>
        <v>0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-2.2400000000000002E-6</v>
      </c>
      <c r="F2049">
        <v>87710.605490000002</v>
      </c>
      <c r="G2049" s="1">
        <v>2.7E-6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-1.8096730410651872E-2</v>
      </c>
      <c r="N2049" s="1">
        <f t="shared" si="128"/>
        <v>1.0206093453255091E-2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1.24E-6</v>
      </c>
      <c r="F2050">
        <v>74260.346980000002</v>
      </c>
      <c r="G2050" s="1">
        <v>1.35E-6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1.06728157871703E-2</v>
      </c>
      <c r="N2050" s="1">
        <f t="shared" si="128"/>
        <v>5.4366925639736255E-3</v>
      </c>
      <c r="O2050" s="1"/>
    </row>
    <row r="2051" spans="1:15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>
        <v>0</v>
      </c>
      <c r="F2051">
        <v>45130.93808</v>
      </c>
      <c r="G2051" s="1">
        <v>-4.1600000000000002E-7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6.4818211267225001E-3</v>
      </c>
      <c r="M2051" s="1">
        <f t="shared" ref="M2051:M2114" si="131">$U$3*$K2051*E2051</f>
        <v>0</v>
      </c>
      <c r="N2051" s="1">
        <f t="shared" ref="N2051:N2114" si="132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-2.1100000000000001E-6</v>
      </c>
      <c r="F2052">
        <v>63548.783499999998</v>
      </c>
      <c r="G2052" s="1">
        <v>-7.4600000000000004E-7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-4.8688676436551413E-2</v>
      </c>
      <c r="N2052" s="1">
        <f t="shared" si="132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>
        <v>0</v>
      </c>
      <c r="F2053">
        <v>70730.93763</v>
      </c>
      <c r="G2053" s="1">
        <v>-1.3400000000000001E-6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0</v>
      </c>
      <c r="N2053" s="1">
        <f t="shared" si="132"/>
        <v>-6.7344985345125976E-3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7.1399999999999996E-7</v>
      </c>
      <c r="F2054">
        <v>68297.78903</v>
      </c>
      <c r="G2054" s="1">
        <v>-2.7599999999999998E-6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4.8735885702569058E-3</v>
      </c>
      <c r="N2054" s="1">
        <f t="shared" si="132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-9.2600000000000001E-7</v>
      </c>
      <c r="F2055">
        <v>59423.366670000003</v>
      </c>
      <c r="G2055" s="1">
        <v>2.5500000000000001E-6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-6.7643596501775569E-3</v>
      </c>
      <c r="N2055" s="1">
        <f t="shared" si="132"/>
        <v>8.7156455951967766E-3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-1.59E-6</v>
      </c>
      <c r="F2056">
        <v>70319.059819999995</v>
      </c>
      <c r="G2056" s="1">
        <v>2.9399999999999998E-6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-1.3339164177972172E-2</v>
      </c>
      <c r="N2056" s="1">
        <f t="shared" si="132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-3.2100000000000002E-6</v>
      </c>
      <c r="F2057">
        <v>48368.768790000002</v>
      </c>
      <c r="G2057" s="1">
        <v>4.4400000000000001E-7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-3.4265906279097973E-2</v>
      </c>
      <c r="N2057" s="1">
        <f t="shared" si="132"/>
        <v>2.2176031946723102E-3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3.6100000000000002E-6</v>
      </c>
      <c r="F2058">
        <v>66995.771670000002</v>
      </c>
      <c r="G2058" s="1">
        <v>4.8400000000000002E-6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2.2748376000220571E-2</v>
      </c>
      <c r="N2058" s="1">
        <f t="shared" si="132"/>
        <v>1.4270271498372121E-2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4.8899999999999998E-6</v>
      </c>
      <c r="F2059">
        <v>48556.532209999998</v>
      </c>
      <c r="G2059" s="1">
        <v>1.75E-6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3.9408671855994601E-2</v>
      </c>
      <c r="N2059" s="1">
        <f t="shared" si="132"/>
        <v>6.5987954506435504E-3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>
        <v>0</v>
      </c>
      <c r="F2060">
        <v>84277.056890000007</v>
      </c>
      <c r="G2060" s="1">
        <v>-3.8999999999999999E-6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0</v>
      </c>
      <c r="N2060" s="1">
        <f t="shared" si="132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5.3871109785605994E-3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 s="1">
        <v>-1.86E-7</v>
      </c>
      <c r="F2062">
        <v>61280.375220000002</v>
      </c>
      <c r="G2062">
        <v>0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0</v>
      </c>
      <c r="M2062" s="1">
        <f t="shared" si="131"/>
        <v>-1.8957762751393829E-3</v>
      </c>
      <c r="N2062" s="1">
        <f t="shared" si="132"/>
        <v>0</v>
      </c>
      <c r="O2062" s="1"/>
    </row>
    <row r="2063" spans="1:15" x14ac:dyDescent="0.25">
      <c r="A2063">
        <v>3866</v>
      </c>
      <c r="B2063">
        <v>30920.274399999998</v>
      </c>
      <c r="C2063" s="1">
        <v>-4.07E-6</v>
      </c>
      <c r="D2063">
        <v>106959.98239999999</v>
      </c>
      <c r="E2063" s="1">
        <v>-2.8200000000000001E-5</v>
      </c>
      <c r="F2063">
        <v>269180.72409999999</v>
      </c>
      <c r="G2063">
        <v>0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-2.8474781611433304E-2</v>
      </c>
      <c r="M2063" s="1">
        <f t="shared" si="131"/>
        <v>-6.6169558659779762E-2</v>
      </c>
      <c r="N2063" s="1">
        <f t="shared" si="132"/>
        <v>0</v>
      </c>
      <c r="O2063" s="1"/>
    </row>
    <row r="2064" spans="1:15" x14ac:dyDescent="0.25">
      <c r="A2064">
        <v>3867</v>
      </c>
      <c r="B2064">
        <v>28247.463919999998</v>
      </c>
      <c r="C2064" s="1">
        <v>-2.57E-6</v>
      </c>
      <c r="D2064">
        <v>86370.549440000003</v>
      </c>
      <c r="E2064" s="1">
        <v>3.8299999999999998E-6</v>
      </c>
      <c r="F2064">
        <v>227192.18580000001</v>
      </c>
      <c r="G2064" s="1">
        <v>2.8900000000000001E-5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-2.8647703585484748E-2</v>
      </c>
      <c r="M2064" s="1">
        <f t="shared" si="131"/>
        <v>1.4318535547240129E-2</v>
      </c>
      <c r="N2064" s="1">
        <f t="shared" si="132"/>
        <v>5.0552349972638105E-2</v>
      </c>
      <c r="O2064" s="1"/>
    </row>
    <row r="2065" spans="1:15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>
        <v>0</v>
      </c>
      <c r="F2065">
        <v>216172.69200000001</v>
      </c>
      <c r="G2065" s="1">
        <v>2.9899999999999998E-5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1.8715438330256851E-2</v>
      </c>
      <c r="M2065" s="1">
        <f t="shared" si="131"/>
        <v>0</v>
      </c>
      <c r="N2065" s="1">
        <f t="shared" si="132"/>
        <v>2.6291268456756028E-2</v>
      </c>
      <c r="O2065" s="1"/>
    </row>
    <row r="2066" spans="1:15" x14ac:dyDescent="0.25">
      <c r="A2066">
        <v>3869</v>
      </c>
      <c r="B2066">
        <v>23103.88855</v>
      </c>
      <c r="C2066" s="1">
        <v>-4.6399999999999996E-6</v>
      </c>
      <c r="D2066">
        <v>53968.551319999999</v>
      </c>
      <c r="E2066" s="1">
        <v>-5.8599999999999998E-7</v>
      </c>
      <c r="F2066">
        <v>141640.20420000001</v>
      </c>
      <c r="G2066" s="1">
        <v>4.8199999999999999E-5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-0.10338821828267919</v>
      </c>
      <c r="M2066" s="1">
        <f t="shared" si="131"/>
        <v>-4.3791903545012277E-3</v>
      </c>
      <c r="N2066" s="1">
        <f t="shared" si="132"/>
        <v>0.16853376537299869</v>
      </c>
      <c r="O2066" s="1"/>
    </row>
    <row r="2067" spans="1:15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-1.59E-6</v>
      </c>
      <c r="F2067">
        <v>135336.7617</v>
      </c>
      <c r="G2067" s="1">
        <v>-1.3200000000000001E-5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-5.3525185238944249E-3</v>
      </c>
      <c r="M2067" s="1">
        <f t="shared" si="131"/>
        <v>-4.4949484451902739E-3</v>
      </c>
      <c r="N2067" s="1">
        <f t="shared" si="132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-3.7299999999999999E-6</v>
      </c>
      <c r="F2068">
        <v>82990.510250000007</v>
      </c>
      <c r="G2068" s="1">
        <v>-6.9599999999999999E-7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-6.7135560847606954E-2</v>
      </c>
      <c r="N2068" s="1">
        <f t="shared" si="132"/>
        <v>-5.8613372060079601E-3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-4.9300000000000002E-6</v>
      </c>
      <c r="F2069">
        <v>241606.24619999999</v>
      </c>
      <c r="G2069" s="1">
        <v>-1.84E-5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-7.9732698803758925E-2</v>
      </c>
      <c r="N2069" s="1">
        <f t="shared" si="132"/>
        <v>-0.13923584226407762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 s="1">
        <v>-3.8099999999999998E-5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0</v>
      </c>
      <c r="M2070" s="1">
        <f t="shared" si="131"/>
        <v>0</v>
      </c>
      <c r="N2070" s="1">
        <f t="shared" si="132"/>
        <v>-0.23223499780696472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1.9300000000000002E-5</v>
      </c>
      <c r="F2071">
        <v>316328.59399999998</v>
      </c>
      <c r="G2071" s="1">
        <v>6.0999999999999998E-7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0.22455056874826973</v>
      </c>
      <c r="N2071" s="1">
        <f t="shared" si="132"/>
        <v>3.3207055158809107E-3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>
        <v>0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0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-8.6999999999999998E-8</v>
      </c>
      <c r="F2073">
        <v>134357.71549999999</v>
      </c>
      <c r="G2073" s="1">
        <v>2.9E-5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-1.6423272675143749E-3</v>
      </c>
      <c r="M2073" s="1">
        <f t="shared" si="131"/>
        <v>-3.3048677937058495E-4</v>
      </c>
      <c r="N2073" s="1">
        <f t="shared" si="132"/>
        <v>5.1543809626605E-2</v>
      </c>
      <c r="O2073" s="1"/>
    </row>
    <row r="2074" spans="1:15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8.8697476232133601E-2</v>
      </c>
      <c r="M2074" s="1">
        <f t="shared" si="131"/>
        <v>-1.4245410483912768E-2</v>
      </c>
      <c r="N2074" s="1">
        <f t="shared" si="132"/>
        <v>-5.3910383712055213E-2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-4.33E-6</v>
      </c>
      <c r="F2075">
        <v>109840.0919</v>
      </c>
      <c r="G2075" s="1">
        <v>4.5599999999999997E-5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-6.3256961062879993E-2</v>
      </c>
      <c r="N2075" s="1">
        <f t="shared" si="132"/>
        <v>0.31169436330240002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 s="1">
        <v>2.8500000000000002E-7</v>
      </c>
      <c r="F2076">
        <v>80638.705329999997</v>
      </c>
      <c r="G2076" s="1">
        <v>1.2100000000000001E-6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0</v>
      </c>
      <c r="M2076" s="1">
        <f t="shared" si="131"/>
        <v>2.451660825319535E-3</v>
      </c>
      <c r="N2076" s="1">
        <f t="shared" si="132"/>
        <v>4.8701751015763238E-3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 s="1">
        <v>-6.2699999999999999E-7</v>
      </c>
      <c r="F2077">
        <v>161747.88860000001</v>
      </c>
      <c r="G2077" s="1">
        <v>-3.8600000000000003E-5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0</v>
      </c>
      <c r="M2077" s="1">
        <f t="shared" si="131"/>
        <v>-4.6273226138713293E-3</v>
      </c>
      <c r="N2077" s="1">
        <f t="shared" si="132"/>
        <v>-0.13328866595945599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 s="1">
        <v>3.1E-6</v>
      </c>
      <c r="F2078">
        <v>163917.15520000001</v>
      </c>
      <c r="G2078" s="1">
        <v>9.3000000000000007E-6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0</v>
      </c>
      <c r="M2078" s="1">
        <f t="shared" si="131"/>
        <v>2.0512732415406368E-2</v>
      </c>
      <c r="N2078" s="1">
        <f t="shared" si="132"/>
        <v>2.8793101463827294E-2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4.3308717840814321E-4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2.4600000000000002E-6</v>
      </c>
      <c r="F2080">
        <v>105384.58100000001</v>
      </c>
      <c r="G2080" s="1">
        <v>-1.04E-5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2.4025038759801019E-2</v>
      </c>
      <c r="N2080" s="1">
        <f t="shared" si="132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 s="1">
        <v>-2.2299999999999998E-6</v>
      </c>
      <c r="D2081">
        <v>92358.822610000003</v>
      </c>
      <c r="E2081" s="1">
        <v>7.0999999999999998E-7</v>
      </c>
      <c r="F2081">
        <v>342134.51059999998</v>
      </c>
      <c r="G2081" s="1">
        <v>2.69E-5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-5.8159583227028397E-2</v>
      </c>
      <c r="M2081" s="1">
        <f t="shared" si="131"/>
        <v>6.2103761930868955E-3</v>
      </c>
      <c r="N2081" s="1">
        <f t="shared" si="132"/>
        <v>0.11009193822581616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3.58E-6</v>
      </c>
      <c r="F2082">
        <v>164149.1814</v>
      </c>
      <c r="G2082" s="1">
        <v>-1.31E-5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1.7556733521022133E-2</v>
      </c>
      <c r="N2082" s="1">
        <f t="shared" si="132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-4.8500000000000002E-6</v>
      </c>
      <c r="F2083">
        <v>136890.73120000001</v>
      </c>
      <c r="G2083" s="1">
        <v>3.7599999999999999E-5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-5.4846846080742251E-2</v>
      </c>
      <c r="N2083" s="1">
        <f t="shared" si="132"/>
        <v>0.198948854713764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1.9700000000000002E-6</v>
      </c>
      <c r="F2084">
        <v>198070.1336</v>
      </c>
      <c r="G2084" s="1">
        <v>-9.7499999999999998E-6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1.2935385315405242E-2</v>
      </c>
      <c r="N2084" s="1">
        <f t="shared" si="132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 s="1">
        <v>4.7700000000000001E-6</v>
      </c>
      <c r="F2085">
        <v>198881.29949999999</v>
      </c>
      <c r="G2085" s="1">
        <v>-2.92E-6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0</v>
      </c>
      <c r="M2085" s="1">
        <f t="shared" si="131"/>
        <v>1.8073256109814501E-2</v>
      </c>
      <c r="N2085" s="1">
        <f t="shared" si="132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5.2999999999999998E-8</v>
      </c>
      <c r="F2086">
        <v>84760.938030000005</v>
      </c>
      <c r="G2086" s="1">
        <v>-4.1500000000000001E-6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1.0408787311273001E-3</v>
      </c>
      <c r="M2086" s="1">
        <f t="shared" si="131"/>
        <v>4.6255049459403169E-4</v>
      </c>
      <c r="N2086" s="1">
        <f t="shared" si="132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-4.4000000000000002E-7</v>
      </c>
      <c r="F2087">
        <v>58229.515460000002</v>
      </c>
      <c r="G2087" s="1">
        <v>2.5900000000000002E-6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-4.1140369797037276E-3</v>
      </c>
      <c r="N2087" s="1">
        <f t="shared" si="132"/>
        <v>1.1330757811698613E-2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-2.67E-7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-3.3766954056386853E-3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8.5395134782647892E-3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1.6999999999999999E-7</v>
      </c>
      <c r="F2090">
        <v>126391.33010000001</v>
      </c>
      <c r="G2090" s="1">
        <v>-4.5600000000000004E-6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1.53201619092217E-3</v>
      </c>
      <c r="N2090" s="1">
        <f t="shared" si="132"/>
        <v>-1.9227505955793842E-2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-0.13516045979959215</v>
      </c>
      <c r="O2091" s="1"/>
    </row>
    <row r="2092" spans="1:15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-3.8299999999999998E-6</v>
      </c>
      <c r="F2092">
        <v>144570.65410000001</v>
      </c>
      <c r="G2092" s="1">
        <v>4.1600000000000002E-5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-5.3676014261480002E-4</v>
      </c>
      <c r="M2092" s="1">
        <f t="shared" si="131"/>
        <v>-3.4474039498061625E-2</v>
      </c>
      <c r="N2092" s="1">
        <f t="shared" si="132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-1.1999999999999999E-7</v>
      </c>
      <c r="F2093">
        <v>59700.430339999999</v>
      </c>
      <c r="G2093" s="1">
        <v>4.0999999999999997E-6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-1.2389094422876759E-3</v>
      </c>
      <c r="N2093" s="1">
        <f t="shared" si="132"/>
        <v>1.9805501864094271E-2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-0.2476050535519069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3.7799999999999998E-6</v>
      </c>
      <c r="F2095">
        <v>256729.59640000001</v>
      </c>
      <c r="G2095" s="1">
        <v>-4.5399999999999999E-5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2.0697126389015455E-2</v>
      </c>
      <c r="N2095" s="1">
        <f t="shared" si="132"/>
        <v>-0.11631019475056158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>
        <v>0</v>
      </c>
      <c r="F2096">
        <v>129244.8848</v>
      </c>
      <c r="G2096" s="1">
        <v>3.29E-5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0</v>
      </c>
      <c r="N2096" s="1">
        <f t="shared" si="132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-4.25E-6</v>
      </c>
      <c r="F2098">
        <v>147578.92050000001</v>
      </c>
      <c r="G2098" s="1">
        <v>-3.3000000000000003E-5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-3.07091866163875E-3</v>
      </c>
      <c r="M2098" s="1">
        <f t="shared" si="131"/>
        <v>-4.377240215397387E-2</v>
      </c>
      <c r="N2098" s="1">
        <f t="shared" si="132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2.8988150774764999E-3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-1.4499999999999999E-7</v>
      </c>
      <c r="F2104">
        <v>58105.710010000003</v>
      </c>
      <c r="G2104" s="1">
        <v>2.3499999999999999E-6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-2.0926370019689797E-3</v>
      </c>
      <c r="N2104" s="1">
        <f t="shared" si="132"/>
        <v>1.5868557082314601E-2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3.5977229263626752E-3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9.1999999999999998E-7</v>
      </c>
      <c r="F2106">
        <v>84560.794250000006</v>
      </c>
      <c r="G2106">
        <v>0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1.6382955614583281E-2</v>
      </c>
      <c r="N2106" s="1">
        <f t="shared" si="132"/>
        <v>0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0</v>
      </c>
      <c r="M2107" s="1">
        <f t="shared" si="131"/>
        <v>-2.9111855318251644E-3</v>
      </c>
      <c r="N2107" s="1">
        <f t="shared" si="132"/>
        <v>1.1619669194429669E-2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3.65E-7</v>
      </c>
      <c r="F2108">
        <v>30725.83884</v>
      </c>
      <c r="G2108" s="1">
        <v>-4.34E-6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5.9414520187202995E-3</v>
      </c>
      <c r="N2108" s="1">
        <f t="shared" si="132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5.6464467423672005E-4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1.986460540060248E-3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3.6300000000000001E-7</v>
      </c>
      <c r="F2111">
        <v>79683.345409999994</v>
      </c>
      <c r="G2111" s="1">
        <v>3.5700000000000001E-6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3.684692300618317E-3</v>
      </c>
      <c r="N2111" s="1">
        <f t="shared" si="132"/>
        <v>1.6955339731937649E-2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>
        <v>0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0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2.7999999999999999E-6</v>
      </c>
      <c r="F2115">
        <v>201792.12049999999</v>
      </c>
      <c r="G2115" s="1">
        <v>-4.0399999999999999E-5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2.3801673768425562E-2</v>
      </c>
      <c r="N2115" s="1">
        <f t="shared" ref="N2115:N2178" si="136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1.1300000000000001E-7</v>
      </c>
      <c r="F2116">
        <v>82052.020860000004</v>
      </c>
      <c r="G2116">
        <v>0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9.5360188660947322E-4</v>
      </c>
      <c r="N2116" s="1">
        <f t="shared" si="136"/>
        <v>0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3.114345410243535E-3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 s="1">
        <v>1.2699999999999999E-6</v>
      </c>
      <c r="F2119">
        <v>118583.8839</v>
      </c>
      <c r="G2119" s="1">
        <v>2.2900000000000001E-5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0</v>
      </c>
      <c r="M2119" s="1">
        <f t="shared" si="135"/>
        <v>8.9398988432360226E-3</v>
      </c>
      <c r="N2119" s="1">
        <f t="shared" si="136"/>
        <v>7.5423736610672198E-2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-2.3E-6</v>
      </c>
      <c r="F2120">
        <v>96245.828030000004</v>
      </c>
      <c r="G2120" s="1">
        <v>-3.0199999999999998E-7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-3.7112128078446202E-2</v>
      </c>
      <c r="N2120" s="1">
        <f t="shared" si="136"/>
        <v>-2.280019930850532E-3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-2.7083643285855E-3</v>
      </c>
      <c r="M2123" s="1">
        <f t="shared" si="135"/>
        <v>1.9983562030609317E-2</v>
      </c>
      <c r="N2123" s="1">
        <f t="shared" si="136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-2.055977515948491E-2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-3.8999999999999999E-6</v>
      </c>
      <c r="F2125">
        <v>155045.432</v>
      </c>
      <c r="G2125" s="1">
        <v>-2.4899999999999999E-5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-5.9775179523649198E-2</v>
      </c>
      <c r="N2125" s="1">
        <f t="shared" si="136"/>
        <v>-0.17856622083529078</v>
      </c>
      <c r="O2125" s="1"/>
    </row>
    <row r="2126" spans="1:15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-1.8417169748900003E-3</v>
      </c>
      <c r="M2126" s="1">
        <f t="shared" si="135"/>
        <v>-3.051356683997752E-3</v>
      </c>
      <c r="N2126" s="1">
        <f t="shared" si="136"/>
        <v>2.1502187352377283E-2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-4.9999999999999998E-8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-1.1035199767669001E-3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-1E-8</v>
      </c>
      <c r="F2129">
        <v>74335.334359999993</v>
      </c>
      <c r="G2129" s="1">
        <v>-2.79E-6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-2.0192551312732998E-4</v>
      </c>
      <c r="N2129" s="1">
        <f t="shared" si="136"/>
        <v>-2.635961583751173E-2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-0.22687945954780095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-1.5699999999999999E-7</v>
      </c>
      <c r="F2138">
        <v>52977.594340000003</v>
      </c>
      <c r="G2138">
        <v>0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-1.2236323078789533E-3</v>
      </c>
      <c r="N2138" s="1">
        <f t="shared" si="136"/>
        <v>0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 s="1">
        <v>-1.9599999999999999E-6</v>
      </c>
      <c r="F2139">
        <v>132692.69630000001</v>
      </c>
      <c r="G2139" s="1">
        <v>3.4199999999999998E-5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0</v>
      </c>
      <c r="M2139" s="1">
        <f t="shared" si="135"/>
        <v>-1.4528946992143358E-2</v>
      </c>
      <c r="N2139" s="1">
        <f t="shared" si="136"/>
        <v>0.11861725025134079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2.1299999999999999E-7</v>
      </c>
      <c r="F2140">
        <v>142251.177</v>
      </c>
      <c r="G2140" s="1">
        <v>-1.2999999999999999E-5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7.1908288290772372E-4</v>
      </c>
      <c r="N2140" s="1">
        <f t="shared" si="136"/>
        <v>-2.05346061665082E-2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>
        <v>0</v>
      </c>
      <c r="F2141">
        <v>42440.181470000003</v>
      </c>
      <c r="G2141" s="1">
        <v>4.5399999999999997E-6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0</v>
      </c>
      <c r="N2141" s="1">
        <f t="shared" si="136"/>
        <v>1.5413112085474717E-2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3.5721814178041205E-3</v>
      </c>
      <c r="O2143" s="1"/>
    </row>
    <row r="2144" spans="1:15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-8.7198451529540012E-4</v>
      </c>
      <c r="M2144" s="1">
        <f t="shared" si="135"/>
        <v>-2.1495089059351068E-2</v>
      </c>
      <c r="N2144" s="1">
        <f t="shared" si="136"/>
        <v>2.599855370219208E-3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1.9925990851558537E-2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4.5999999999999999E-7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4.7126797992170701E-3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 s="1">
        <v>3.5599999999999998E-6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0</v>
      </c>
      <c r="M2147" s="1">
        <f t="shared" si="135"/>
        <v>0</v>
      </c>
      <c r="N2147" s="1">
        <f t="shared" si="136"/>
        <v>1.828723558519656E-2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-1.67942268174429E-2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0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0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2.7279303148030204E-3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0</v>
      </c>
      <c r="M2153" s="1">
        <f t="shared" si="135"/>
        <v>-3.5057628207594962E-2</v>
      </c>
      <c r="N2153" s="1">
        <f t="shared" si="136"/>
        <v>2.7711315374268661E-2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0</v>
      </c>
      <c r="M2154" s="1">
        <f t="shared" si="135"/>
        <v>0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1.671560540127342E-3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-7.6431473416194E-4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0</v>
      </c>
      <c r="M2159" s="1">
        <f t="shared" si="135"/>
        <v>3.5293972836005931E-2</v>
      </c>
      <c r="N2159" s="1">
        <f t="shared" si="136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4.5999999999999999E-7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6.1499899224394597E-3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-4.0582284413539144E-2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3.9105285368564403E-3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 s="1">
        <v>3.5999999999999999E-7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0</v>
      </c>
      <c r="M2167" s="1">
        <f t="shared" si="135"/>
        <v>6.67820136788712E-3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2.1511775041672498E-3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-1.4000000000000001E-7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3.8518774170890006E-3</v>
      </c>
      <c r="M2169" s="1">
        <f t="shared" si="135"/>
        <v>-9.0430229822735617E-4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7.7477776129390007E-3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-7.0000000000000005E-8</v>
      </c>
      <c r="F2171">
        <v>258184.7438</v>
      </c>
      <c r="G2171" s="1">
        <v>7.7100000000000007E-6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-4.3264391446788398E-4</v>
      </c>
      <c r="N2171" s="1">
        <f t="shared" si="136"/>
        <v>2.229618789094583E-2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-1.4000000000000001E-7</v>
      </c>
      <c r="F2172">
        <v>176683.0626</v>
      </c>
      <c r="G2172">
        <v>0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-7.1481101758161193E-4</v>
      </c>
      <c r="N2172" s="1">
        <f t="shared" si="136"/>
        <v>0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-2.6813600300418662E-2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0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0</v>
      </c>
      <c r="M2179" s="1">
        <f t="shared" ref="M2179:M2242" si="139">$U$3*$K2179*E2179</f>
        <v>0</v>
      </c>
      <c r="N2179" s="1">
        <f t="shared" ref="N2179:N2242" si="140">$U$4*$K2179*G2179</f>
        <v>0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0</v>
      </c>
      <c r="M2180" s="1">
        <f t="shared" si="139"/>
        <v>1.6545305383802552E-2</v>
      </c>
      <c r="N2180" s="1">
        <f t="shared" si="140"/>
        <v>0.10631497147536978</v>
      </c>
      <c r="O2180" s="1"/>
    </row>
    <row r="2181" spans="1:15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-7.4000000000000001E-7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-1.4367382331526251E-2</v>
      </c>
      <c r="M2181" s="1">
        <f t="shared" si="139"/>
        <v>-7.1315265160671222E-3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 s="1">
        <v>-3.9999999999999998E-7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0</v>
      </c>
      <c r="M2182" s="1">
        <f t="shared" si="139"/>
        <v>-4.05470834350884E-3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-1.4000000000000001E-7</v>
      </c>
      <c r="F2183">
        <v>234270.0987</v>
      </c>
      <c r="G2183" s="1">
        <v>3.8000000000000002E-5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3.6822785235925003E-3</v>
      </c>
      <c r="M2183" s="1">
        <f t="shared" si="139"/>
        <v>-1.7289713929237401E-3</v>
      </c>
      <c r="N2183" s="1">
        <f t="shared" si="140"/>
        <v>0.21957710088376206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4.8300000000000002E-5</v>
      </c>
      <c r="F2184">
        <v>282722.91649999999</v>
      </c>
      <c r="G2184" s="1">
        <v>-3.6600000000000002E-5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0.43855390735331035</v>
      </c>
      <c r="N2184" s="1">
        <f t="shared" si="140"/>
        <v>-0.15548933908212983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2.4999999999999999E-7</v>
      </c>
      <c r="F2185">
        <v>105501.9526</v>
      </c>
      <c r="G2185" s="1">
        <v>-2.3900000000000002E-5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2.6812981396008248E-3</v>
      </c>
      <c r="N2185" s="1">
        <f t="shared" si="140"/>
        <v>-0.11993520375630995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0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2.5561904982258032E-2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0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2.2185854458841737E-2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-6.6000000000000003E-7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-1.1310749121813899E-2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0.25403250187835524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4.75E-7</v>
      </c>
      <c r="F2195">
        <v>207156.66029999999</v>
      </c>
      <c r="G2195" s="1">
        <v>4.7700000000000001E-5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3.6531996072917778E-3</v>
      </c>
      <c r="N2195" s="1">
        <f t="shared" si="140"/>
        <v>0.17164922616434009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 s="1">
        <v>3.5700000000000001E-6</v>
      </c>
      <c r="F2196">
        <v>241806.56210000001</v>
      </c>
      <c r="G2196" s="1">
        <v>1.6699999999999999E-5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</v>
      </c>
      <c r="M2196" s="1">
        <f t="shared" si="139"/>
        <v>5.5406822992513864E-2</v>
      </c>
      <c r="N2196" s="1">
        <f t="shared" si="140"/>
        <v>0.12127050379750741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 s="1">
        <v>3.41E-6</v>
      </c>
      <c r="F2197">
        <v>275340.54009999998</v>
      </c>
      <c r="G2197" s="1">
        <v>-2.65E-5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</v>
      </c>
      <c r="M2197" s="1">
        <f t="shared" si="139"/>
        <v>3.4397283021749346E-2</v>
      </c>
      <c r="N2197" s="1">
        <f t="shared" si="140"/>
        <v>-0.12507177487662902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-3.8800000000000001E-5</v>
      </c>
      <c r="F2198">
        <v>1002021.515</v>
      </c>
      <c r="G2198">
        <v>17300.799050000001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-5.2095332648158327E-2</v>
      </c>
      <c r="N2198" s="1">
        <f t="shared" si="140"/>
        <v>10868683.193280827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-3.9899999999999999E-6</v>
      </c>
      <c r="F2199">
        <v>321663.07520000002</v>
      </c>
      <c r="G2199">
        <v>0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-1.5253790807350053E-2</v>
      </c>
      <c r="N2199" s="1">
        <f t="shared" si="140"/>
        <v>0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>
        <v>0</v>
      </c>
      <c r="F2200">
        <v>982515.70929999999</v>
      </c>
      <c r="G2200">
        <v>20624.640380000001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0</v>
      </c>
      <c r="N2200" s="1">
        <f t="shared" si="140"/>
        <v>21883849.7387571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-3.7599999999999999E-5</v>
      </c>
      <c r="F2201">
        <v>378580.24660000001</v>
      </c>
      <c r="G2201">
        <v>0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-0.2547570719476912</v>
      </c>
      <c r="N2201" s="1">
        <f t="shared" si="140"/>
        <v>0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>
        <v>0</v>
      </c>
      <c r="F2202">
        <v>548600.78489999997</v>
      </c>
      <c r="G2202">
        <v>2526.6907580000002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</v>
      </c>
      <c r="N2202" s="1">
        <f t="shared" si="140"/>
        <v>5610296.0224940619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-4.7199999999999997E-6</v>
      </c>
      <c r="F2203">
        <v>260579.30840000001</v>
      </c>
      <c r="G2203">
        <v>0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-4.619575831216579E-3</v>
      </c>
      <c r="N2203" s="1">
        <f t="shared" si="140"/>
        <v>0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-1.6399999999999999E-5</v>
      </c>
      <c r="F2204">
        <v>677297.27980000002</v>
      </c>
      <c r="G2204">
        <v>46915.363400000002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-2.4358148474186839E-2</v>
      </c>
      <c r="N2204" s="1">
        <f t="shared" si="140"/>
        <v>32603121.927891701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>
        <v>0</v>
      </c>
      <c r="F2205">
        <v>601157.3909</v>
      </c>
      <c r="G2205">
        <v>15361.28534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0</v>
      </c>
      <c r="N2205" s="1">
        <f t="shared" si="140"/>
        <v>17066529.716019597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0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0</v>
      </c>
      <c r="M2208" s="1">
        <f t="shared" si="139"/>
        <v>-3.8937468300979494E-2</v>
      </c>
      <c r="N2208" s="1">
        <f t="shared" si="140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5.1174576838170248E-2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-2.7500000000000001E-5</v>
      </c>
      <c r="F2211">
        <v>293192.45449999999</v>
      </c>
      <c r="G2211" s="1">
        <v>6.63E-6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-0.36984275128281247</v>
      </c>
      <c r="N2211" s="1">
        <f t="shared" si="140"/>
        <v>4.1719742949543746E-2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>
        <v>0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0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0</v>
      </c>
      <c r="M2213" s="1">
        <f t="shared" si="139"/>
        <v>8.8289106839436506E-3</v>
      </c>
      <c r="N2213" s="1">
        <f t="shared" si="140"/>
        <v>1.7819819729060583E-2</v>
      </c>
      <c r="O2213" s="1"/>
    </row>
    <row r="2214" spans="1:15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-5.1520304353115003E-4</v>
      </c>
      <c r="M2214" s="1">
        <f t="shared" si="139"/>
        <v>2.5659489428052185E-2</v>
      </c>
      <c r="N2214" s="1">
        <f t="shared" si="140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1.13E-5</v>
      </c>
      <c r="F2215">
        <v>317940.49359999999</v>
      </c>
      <c r="G2215">
        <v>0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8.1857159824741621E-2</v>
      </c>
      <c r="N2215" s="1">
        <f t="shared" si="140"/>
        <v>0</v>
      </c>
      <c r="O2215" s="1"/>
    </row>
    <row r="2216" spans="1:15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3.4718576470447998E-3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-9.8842022298337492E-3</v>
      </c>
      <c r="M2217" s="1">
        <f t="shared" si="139"/>
        <v>-6.3849962952773551E-2</v>
      </c>
      <c r="N2217" s="1">
        <f t="shared" si="140"/>
        <v>0.27447008118349053</v>
      </c>
      <c r="O2217" s="1"/>
    </row>
    <row r="2218" spans="1:15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>
        <v>0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-1.4375346641394376E-2</v>
      </c>
      <c r="M2218" s="1">
        <f t="shared" si="139"/>
        <v>2.5240767016862776E-2</v>
      </c>
      <c r="N2218" s="1">
        <f t="shared" si="140"/>
        <v>0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 s="1">
        <v>-2.3300000000000001E-6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0</v>
      </c>
      <c r="M2220" s="1">
        <f t="shared" si="139"/>
        <v>0</v>
      </c>
      <c r="N2220" s="1">
        <f t="shared" si="140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>
        <v>0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0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>
        <v>0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0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1.8738907433357009E-2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0</v>
      </c>
      <c r="M2227" s="1">
        <f t="shared" si="139"/>
        <v>1.398669937329434E-2</v>
      </c>
      <c r="N2227" s="1">
        <f t="shared" si="140"/>
        <v>-0.17932905034674182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-1.4520391891282335E-2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0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0</v>
      </c>
      <c r="M2230" s="1">
        <f t="shared" si="139"/>
        <v>-6.6161820721585829E-2</v>
      </c>
      <c r="N2230" s="1">
        <f t="shared" si="140"/>
        <v>0.12591094227260011</v>
      </c>
      <c r="O2230" s="1"/>
    </row>
    <row r="2231" spans="1:15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>
        <v>0</v>
      </c>
      <c r="F2231">
        <v>188279.79749999999</v>
      </c>
      <c r="G2231" s="1">
        <v>3.9299999999999996E-6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4.1873727591800001E-3</v>
      </c>
      <c r="M2231" s="1">
        <f t="shared" si="139"/>
        <v>0</v>
      </c>
      <c r="N2231" s="1">
        <f t="shared" si="140"/>
        <v>2.5823849911459917E-2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1.3200000000000001E-6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1.1509976339498471E-2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-0.24559526921645825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0</v>
      </c>
      <c r="M2234" s="1">
        <f t="shared" si="139"/>
        <v>-4.9609078410406501E-2</v>
      </c>
      <c r="N2234" s="1">
        <f t="shared" si="140"/>
        <v>1.6506017526153601E-2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1.6500000000000001E-5</v>
      </c>
      <c r="F2235">
        <v>394365.09779999999</v>
      </c>
      <c r="G2235">
        <v>819.61369679999996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0.18119799462345901</v>
      </c>
      <c r="N2235" s="1">
        <f t="shared" si="140"/>
        <v>4211359.6160856644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 s="1">
        <v>-2.9300000000000001E-5</v>
      </c>
      <c r="F2236">
        <v>444618.1642</v>
      </c>
      <c r="G2236" s="1">
        <v>-3.3500000000000001E-5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0</v>
      </c>
      <c r="M2236" s="1">
        <f t="shared" si="139"/>
        <v>-0.2632806442268194</v>
      </c>
      <c r="N2236" s="1">
        <f t="shared" si="140"/>
        <v>-0.14084446900507905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2.5880408392873359E-2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-4.7299999999999996E-6</v>
      </c>
      <c r="F2238">
        <v>621074.14430000004</v>
      </c>
      <c r="G2238">
        <v>24244.779729999998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-2.9338592264277378E-2</v>
      </c>
      <c r="N2238" s="1">
        <f t="shared" si="140"/>
        <v>70362303.971953452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-1.7099999999999999E-5</v>
      </c>
      <c r="F2240">
        <v>685919.27910000004</v>
      </c>
      <c r="G2240">
        <v>4934.4460689999996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1.0090689160006E-2</v>
      </c>
      <c r="M2240" s="1">
        <f t="shared" si="139"/>
        <v>-8.2672683627846952E-2</v>
      </c>
      <c r="N2240" s="1">
        <f t="shared" si="140"/>
        <v>11162153.997422937</v>
      </c>
      <c r="O2240" s="1"/>
    </row>
    <row r="2241" spans="1:15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-2.8399999999999999E-5</v>
      </c>
      <c r="F2241">
        <v>321929.03649999999</v>
      </c>
      <c r="G2241">
        <v>10855.722830000001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-3.2156781352019999E-2</v>
      </c>
      <c r="M2241" s="1">
        <f t="shared" si="139"/>
        <v>-0.38286358597428116</v>
      </c>
      <c r="N2241" s="1">
        <f t="shared" si="140"/>
        <v>68474386.071478963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1.9700000000000002E-6</v>
      </c>
      <c r="F2242">
        <v>344049.98440000002</v>
      </c>
      <c r="G2242">
        <v>0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1.7186128551659706E-2</v>
      </c>
      <c r="N2242" s="1">
        <f t="shared" si="140"/>
        <v>0</v>
      </c>
      <c r="O2242" s="1"/>
    </row>
    <row r="2243" spans="1:15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4.9599999999999999E-5</v>
      </c>
      <c r="F2243">
        <v>519848.6741</v>
      </c>
      <c r="G2243">
        <v>3897.9479889999998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6.8413756372000005E-3</v>
      </c>
      <c r="M2243" s="1">
        <f t="shared" ref="M2243:M2306" si="143">$U$3*$K2243*E2243</f>
        <v>0.56903404992243201</v>
      </c>
      <c r="N2243" s="1">
        <f t="shared" ref="N2243:N2306" si="144">$U$4*$K2243*G2243</f>
        <v>20923594.565505907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 s="1">
        <v>4.3000000000000003E-6</v>
      </c>
      <c r="F2244">
        <v>157289.2273</v>
      </c>
      <c r="G2244">
        <v>0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0</v>
      </c>
      <c r="M2244" s="1">
        <f t="shared" si="143"/>
        <v>3.8383497644204539E-2</v>
      </c>
      <c r="N2244" s="1">
        <f t="shared" si="144"/>
        <v>0</v>
      </c>
      <c r="O2244" s="1"/>
    </row>
    <row r="2245" spans="1:15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4.5899999999999998E-5</v>
      </c>
      <c r="F2245">
        <v>383846.09769999998</v>
      </c>
      <c r="G2245">
        <v>4713.6068269999996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1.1510189314E-2</v>
      </c>
      <c r="M2245" s="1">
        <f t="shared" si="143"/>
        <v>0.44297406274517992</v>
      </c>
      <c r="N2245" s="1">
        <f t="shared" si="144"/>
        <v>21284460.411209039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-4.2599999999999999E-6</v>
      </c>
      <c r="F2246">
        <v>213963.4841</v>
      </c>
      <c r="G2246">
        <v>0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-3.8143635689631104E-2</v>
      </c>
      <c r="N2246" s="1">
        <f t="shared" si="144"/>
        <v>0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 s="1">
        <v>9.9999999999999995E-7</v>
      </c>
      <c r="F2247">
        <v>158926.40479999999</v>
      </c>
      <c r="G2247">
        <v>0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0</v>
      </c>
      <c r="M2247" s="1">
        <f t="shared" si="143"/>
        <v>8.1801204709929E-3</v>
      </c>
      <c r="N2247" s="1">
        <f t="shared" si="144"/>
        <v>0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-1.55E-6</v>
      </c>
      <c r="F2249">
        <v>177438.0301</v>
      </c>
      <c r="G2249">
        <v>0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-2.7007743815385801E-2</v>
      </c>
      <c r="N2249" s="1">
        <f t="shared" si="144"/>
        <v>0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-2.4900000000000002E-7</v>
      </c>
      <c r="F2250">
        <v>175134.34160000001</v>
      </c>
      <c r="G2250">
        <v>0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-2.5052196267463687E-3</v>
      </c>
      <c r="N2250" s="1">
        <f t="shared" si="144"/>
        <v>0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0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2.4600000000000002E-6</v>
      </c>
      <c r="F2274">
        <v>175614.83410000001</v>
      </c>
      <c r="G2274" s="1">
        <v>-3.4499999999999998E-5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0.11126182946295547</v>
      </c>
      <c r="N2274" s="1">
        <f t="shared" si="144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>
        <v>0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0</v>
      </c>
      <c r="O2275" s="1"/>
    </row>
    <row r="2276" spans="1:15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>
        <v>0</v>
      </c>
      <c r="F2276">
        <v>156221.2659</v>
      </c>
      <c r="G2276" s="1">
        <v>-4.0300000000000004E-6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2.0629242638829826E-3</v>
      </c>
      <c r="M2276" s="1">
        <f t="shared" si="143"/>
        <v>0</v>
      </c>
      <c r="N2276" s="1">
        <f t="shared" si="144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0</v>
      </c>
      <c r="N2283" s="1">
        <f t="shared" si="144"/>
        <v>0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>
        <v>0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0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>
        <v>0</v>
      </c>
      <c r="F2288">
        <v>9927.7451400000009</v>
      </c>
      <c r="G2288" s="1">
        <v>-2.7999999999999999E-8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0</v>
      </c>
      <c r="N2288" s="1">
        <f t="shared" si="144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6.9999999999999998E-9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6.4853547208171391E-5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>
        <v>0</v>
      </c>
      <c r="F2290">
        <v>20635.39834</v>
      </c>
      <c r="G2290" s="1">
        <v>9.6500000000000008E-7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0</v>
      </c>
      <c r="N2290" s="1">
        <f t="shared" si="144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0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4.82E-7</v>
      </c>
      <c r="F2295">
        <v>35394.36479</v>
      </c>
      <c r="G2295" s="1">
        <v>-4.16E-6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6.3226442724186056E-3</v>
      </c>
      <c r="N2295" s="1">
        <f t="shared" si="144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 s="1">
        <v>7.3499999999999995E-7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0</v>
      </c>
      <c r="M2296" s="1">
        <f t="shared" si="143"/>
        <v>0</v>
      </c>
      <c r="N2296" s="1">
        <f t="shared" si="144"/>
        <v>6.6307475317056754E-3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 s="1">
        <v>-7.0000000000000005E-8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0</v>
      </c>
      <c r="M2297" s="1">
        <f t="shared" si="143"/>
        <v>-1.4499837282109902E-3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-7.7000000000000001E-8</v>
      </c>
      <c r="F2298">
        <v>61266.534110000001</v>
      </c>
      <c r="G2298" s="1">
        <v>-1.6500000000000001E-6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-2.1560260011618789E-3</v>
      </c>
      <c r="N2298" s="1">
        <f t="shared" si="144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4.9899999999999997E-6</v>
      </c>
      <c r="F2299">
        <v>115094.80039999999</v>
      </c>
      <c r="G2299" s="1">
        <v>-2.5999999999999998E-5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9.2519724175421383E-2</v>
      </c>
      <c r="N2299" s="1">
        <f t="shared" si="144"/>
        <v>-0.225554143620468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1.9500000000000001E-7</v>
      </c>
      <c r="F2300">
        <v>56936.499620000002</v>
      </c>
      <c r="G2300" s="1">
        <v>9.2299999999999999E-7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4.8389593474696497E-3</v>
      </c>
      <c r="N2300" s="1">
        <f t="shared" si="144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1.1200000000000001E-6</v>
      </c>
      <c r="F2301">
        <v>104499.6581</v>
      </c>
      <c r="G2301" s="1">
        <v>-6.8600000000000004E-6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1.0832285824210705E-2</v>
      </c>
      <c r="N2301" s="1">
        <f t="shared" si="144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1.1799999999999999E-6</v>
      </c>
      <c r="F2302">
        <v>163853.30369999999</v>
      </c>
      <c r="G2302" s="1">
        <v>3.1999999999999999E-5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3.7604024451007162E-3</v>
      </c>
      <c r="N2302" s="1">
        <f t="shared" si="144"/>
        <v>4.7714016408057607E-2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8.5300000000000003E-7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6.4139537215964857E-3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1.8100738261073997E-2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-3.49E-6</v>
      </c>
      <c r="F2305">
        <v>74026.081219999993</v>
      </c>
      <c r="G2305" s="1">
        <v>-3.3000000000000002E-7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-5.8098407758845928E-2</v>
      </c>
      <c r="N2305" s="1">
        <f t="shared" si="144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2.8700000000000001E-6</v>
      </c>
      <c r="F2306">
        <v>93641.406560000003</v>
      </c>
      <c r="G2306">
        <v>0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2.4161541191672478E-2</v>
      </c>
      <c r="N2306" s="1">
        <f t="shared" si="144"/>
        <v>0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-9.6700000000000002E-7</v>
      </c>
      <c r="F2307">
        <v>147049.80910000001</v>
      </c>
      <c r="G2307" s="1">
        <v>-4.2700000000000001E-5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-6.749589677320646E-3</v>
      </c>
      <c r="N2307" s="1">
        <f t="shared" ref="N2307:N2370" si="148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 s="1">
        <v>4.35E-5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0</v>
      </c>
      <c r="M2308" s="1">
        <f t="shared" si="147"/>
        <v>0</v>
      </c>
      <c r="N2308" s="1">
        <f t="shared" si="148"/>
        <v>0.18728493441794825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0</v>
      </c>
      <c r="N2309" s="1">
        <f t="shared" si="148"/>
        <v>0</v>
      </c>
      <c r="O2309" s="1"/>
    </row>
    <row r="2310" spans="1:15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-3.2664142325751294E-2</v>
      </c>
      <c r="M2310" s="1">
        <f t="shared" si="147"/>
        <v>1.6360974576899445E-2</v>
      </c>
      <c r="N2310" s="1">
        <f t="shared" si="148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-2.43E-6</v>
      </c>
      <c r="F2311">
        <v>237167.7</v>
      </c>
      <c r="G2311" s="1">
        <v>7.8099999999999998E-6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-6.4807704914195078E-3</v>
      </c>
      <c r="N2311" s="1">
        <f t="shared" si="148"/>
        <v>9.7457458165790909E-3</v>
      </c>
      <c r="O2311" s="1"/>
    </row>
    <row r="2312" spans="1:15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1.5500000000000001E-5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7.783393078598151E-3</v>
      </c>
      <c r="M2312" s="1">
        <f t="shared" si="147"/>
        <v>2.9534065370671703E-2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4.6600000000000003E-6</v>
      </c>
      <c r="F2313">
        <v>339372.55349999998</v>
      </c>
      <c r="G2313" s="1">
        <v>3.9900000000000001E-5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-7.5886746286191751E-3</v>
      </c>
      <c r="M2313" s="1">
        <f t="shared" si="147"/>
        <v>9.0536497730142676E-3</v>
      </c>
      <c r="N2313" s="1">
        <f t="shared" si="148"/>
        <v>3.6270567238466611E-2</v>
      </c>
      <c r="O2313" s="1"/>
    </row>
    <row r="2314" spans="1:15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-1.8E-5</v>
      </c>
      <c r="F2314">
        <v>495290.50079999998</v>
      </c>
      <c r="G2314" s="1">
        <v>2.94E-5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2.4396423490047371E-2</v>
      </c>
      <c r="M2314" s="1">
        <f t="shared" si="147"/>
        <v>-0.10909580145292978</v>
      </c>
      <c r="N2314" s="1">
        <f t="shared" si="148"/>
        <v>8.3373213403936261E-2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9.3500000000000005E-7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1.2838811791953784E-2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3.79E-5</v>
      </c>
      <c r="F2316">
        <v>871014.41899999999</v>
      </c>
      <c r="G2316" s="1">
        <v>-1.31E-5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-1.320695583437295E-2</v>
      </c>
      <c r="M2316" s="1">
        <f t="shared" si="147"/>
        <v>5.0412802261379619E-2</v>
      </c>
      <c r="N2316" s="1">
        <f t="shared" si="148"/>
        <v>-8.1529842392650213E-3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4.1099999999999996E-6</v>
      </c>
      <c r="F2317">
        <v>548496.55090000003</v>
      </c>
      <c r="G2317" s="1">
        <v>4.35E-5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4.4708958397972447E-2</v>
      </c>
      <c r="N2317" s="1">
        <f t="shared" si="148"/>
        <v>0.22140410322976378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>
        <v>0</v>
      </c>
      <c r="F2318">
        <v>340323.99290000001</v>
      </c>
      <c r="G2318" s="1">
        <v>-2.7900000000000001E-5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0</v>
      </c>
      <c r="N2318" s="1">
        <f t="shared" si="148"/>
        <v>-0.10917187168127751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2.3300000000000001E-5</v>
      </c>
      <c r="F2319">
        <v>761416.55550000002</v>
      </c>
      <c r="G2319" s="1">
        <v>-2.4499999999999999E-5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0.11462325114410059</v>
      </c>
      <c r="N2319" s="1">
        <f t="shared" si="148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3.7900000000000001E-6</v>
      </c>
      <c r="F2320">
        <v>389830.13959999999</v>
      </c>
      <c r="G2320" s="1">
        <v>3.01E-5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-3.2817293740075E-3</v>
      </c>
      <c r="M2320" s="1">
        <f t="shared" si="147"/>
        <v>4.1714314513730415E-2</v>
      </c>
      <c r="N2320" s="1">
        <f t="shared" si="148"/>
        <v>0.1550087003704281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5.9999999999999995E-8</v>
      </c>
      <c r="F2321">
        <v>252421.3314</v>
      </c>
      <c r="G2321" s="1">
        <v>-2.4600000000000002E-5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3.4183025540230797E-4</v>
      </c>
      <c r="N2321" s="1">
        <f t="shared" si="148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 s="1">
        <v>1.46E-6</v>
      </c>
      <c r="D2322">
        <v>211492.3107</v>
      </c>
      <c r="E2322">
        <v>0</v>
      </c>
      <c r="F2322">
        <v>841541.48869999999</v>
      </c>
      <c r="G2322">
        <v>128.77782819999999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7.9950584722112E-3</v>
      </c>
      <c r="M2322" s="1">
        <f t="shared" si="147"/>
        <v>0</v>
      </c>
      <c r="N2322" s="1">
        <f t="shared" si="148"/>
        <v>110661.53758809649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-3.8399999999999997E-6</v>
      </c>
      <c r="F2323">
        <v>477022.07630000002</v>
      </c>
      <c r="G2323" s="1">
        <v>2.0400000000000001E-5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-5.8557795763952633E-2</v>
      </c>
      <c r="N2323" s="1">
        <f t="shared" si="148"/>
        <v>0.14555507146601762</v>
      </c>
      <c r="O2323" s="1"/>
    </row>
    <row r="2324" spans="1:15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2.9570791751474998E-3</v>
      </c>
      <c r="M2324" s="1">
        <f t="shared" si="147"/>
        <v>9.9175886181870013E-3</v>
      </c>
      <c r="N2324" s="1">
        <f t="shared" si="148"/>
        <v>-0.17772500777894193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 s="1">
        <v>4.4599999999999996E-6</v>
      </c>
      <c r="F2325">
        <v>409454.11339999997</v>
      </c>
      <c r="G2325" s="1">
        <v>-2.7500000000000001E-5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0</v>
      </c>
      <c r="M2325" s="1">
        <f t="shared" si="147"/>
        <v>5.182134765447062E-2</v>
      </c>
      <c r="N2325" s="1">
        <f t="shared" si="148"/>
        <v>-0.14950310627678254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>
        <v>0</v>
      </c>
      <c r="F2326">
        <v>361102.18</v>
      </c>
      <c r="G2326" s="1">
        <v>2.55E-5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0</v>
      </c>
      <c r="N2326" s="1">
        <f t="shared" si="148"/>
        <v>0.13020152098839749</v>
      </c>
      <c r="O2326" s="1"/>
    </row>
    <row r="2327" spans="1:15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-2.7499999999999999E-6</v>
      </c>
      <c r="F2327">
        <v>343236.61330000003</v>
      </c>
      <c r="G2327" s="1">
        <v>1.98E-5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5.993946982821298E-2</v>
      </c>
      <c r="M2327" s="1">
        <f t="shared" si="147"/>
        <v>-1.5063388036895274E-2</v>
      </c>
      <c r="N2327" s="1">
        <f t="shared" si="148"/>
        <v>5.0745652175669224E-2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-2.0600000000000002E-6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-2.1693558474039885E-2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 s="1">
        <v>-4.3699999999999997E-6</v>
      </c>
      <c r="F2329">
        <v>201644.10079999999</v>
      </c>
      <c r="G2329" s="1">
        <v>-3.5899999999999998E-5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0</v>
      </c>
      <c r="M2329" s="1">
        <f t="shared" si="147"/>
        <v>-2.2954255787256309E-2</v>
      </c>
      <c r="N2329" s="1">
        <f t="shared" si="148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1.98E-5</v>
      </c>
      <c r="F2330">
        <v>678562.89229999995</v>
      </c>
      <c r="G2330" s="1">
        <v>-3.4900000000000001E-5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1.2856407607908802E-3</v>
      </c>
      <c r="M2330" s="1">
        <f t="shared" si="147"/>
        <v>5.6167406678924642E-2</v>
      </c>
      <c r="N2330" s="1">
        <f t="shared" si="148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-4.6699999999999997E-5</v>
      </c>
      <c r="F2331">
        <v>574889.54700000002</v>
      </c>
      <c r="G2331" s="1">
        <v>4.9100000000000001E-5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2.5796024421462747E-2</v>
      </c>
      <c r="M2331" s="1">
        <f t="shared" si="147"/>
        <v>-0.19708743431530482</v>
      </c>
      <c r="N2331" s="1">
        <f t="shared" si="148"/>
        <v>9.6954333589170549E-2</v>
      </c>
      <c r="O2331" s="1"/>
    </row>
    <row r="2332" spans="1:15" x14ac:dyDescent="0.25">
      <c r="A2332">
        <v>4516</v>
      </c>
      <c r="B2332">
        <v>39225.024299999997</v>
      </c>
      <c r="C2332" s="1">
        <v>-2.5000000000000002E-6</v>
      </c>
      <c r="D2332">
        <v>149977.30110000001</v>
      </c>
      <c r="E2332" s="1">
        <v>4.8600000000000002E-5</v>
      </c>
      <c r="F2332">
        <v>495843.9865</v>
      </c>
      <c r="G2332" s="1">
        <v>-1.42E-5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-2.8404037608943753E-2</v>
      </c>
      <c r="M2332" s="1">
        <f t="shared" si="147"/>
        <v>0.18519082932876138</v>
      </c>
      <c r="N2332" s="1">
        <f t="shared" si="148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 s="1">
        <v>-4.7500000000000003E-5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0</v>
      </c>
      <c r="M2333" s="1">
        <f t="shared" si="147"/>
        <v>0</v>
      </c>
      <c r="N2333" s="1">
        <f t="shared" si="148"/>
        <v>-3.8894661879854256E-2</v>
      </c>
      <c r="O2333" s="1"/>
    </row>
    <row r="2334" spans="1:15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4.4000000000000002E-6</v>
      </c>
      <c r="F2334">
        <v>262480.10700000002</v>
      </c>
      <c r="G2334" s="1">
        <v>2.4600000000000002E-5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-2.8691922979752504E-3</v>
      </c>
      <c r="M2334" s="1">
        <f t="shared" si="147"/>
        <v>4.2340450034120923E-2</v>
      </c>
      <c r="N2334" s="1">
        <f t="shared" si="148"/>
        <v>0.11075965098583845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-3.5099999999999999E-6</v>
      </c>
      <c r="F2335">
        <v>226169.87700000001</v>
      </c>
      <c r="G2335" s="1">
        <v>-1.31E-5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-3.7092867318173857E-2</v>
      </c>
      <c r="N2335" s="1">
        <f t="shared" si="148"/>
        <v>-6.477363406067059E-2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 s="1">
        <v>-2.17E-6</v>
      </c>
      <c r="F2336">
        <v>341987.46659999999</v>
      </c>
      <c r="G2336" s="1">
        <v>-1.22E-5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0</v>
      </c>
      <c r="M2336" s="1">
        <f t="shared" si="147"/>
        <v>-9.4585165263722289E-3</v>
      </c>
      <c r="N2336" s="1">
        <f t="shared" si="148"/>
        <v>-2.4880941033732725E-2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1.7999999999999999E-6</v>
      </c>
      <c r="F2337">
        <v>217921.77420000001</v>
      </c>
      <c r="G2337" s="1">
        <v>-1.5800000000000001E-5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1.517233316061474E-2</v>
      </c>
      <c r="N2337" s="1">
        <f t="shared" si="148"/>
        <v>-6.231328267494067E-2</v>
      </c>
      <c r="O2337" s="1"/>
    </row>
    <row r="2338" spans="1:15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4.8400000000000002E-6</v>
      </c>
      <c r="F2338">
        <v>261862.42300000001</v>
      </c>
      <c r="G2338" s="1">
        <v>-4.1199999999999999E-5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1.3598636999219999E-2</v>
      </c>
      <c r="M2338" s="1">
        <f t="shared" si="147"/>
        <v>5.518536104083465E-2</v>
      </c>
      <c r="N2338" s="1">
        <f t="shared" si="148"/>
        <v>-0.21979581586739283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 s="1">
        <v>-3.2399999999999999E-6</v>
      </c>
      <c r="F2339">
        <v>255528.22990000001</v>
      </c>
      <c r="G2339" s="1">
        <v>-4.3900000000000003E-5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0</v>
      </c>
      <c r="M2339" s="1">
        <f t="shared" si="147"/>
        <v>-5.05647587589102E-2</v>
      </c>
      <c r="N2339" s="1">
        <f t="shared" si="148"/>
        <v>-0.32056132740209553</v>
      </c>
      <c r="O2339" s="1"/>
    </row>
    <row r="2340" spans="1:15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4.7999999999999996E-7</v>
      </c>
      <c r="F2340">
        <v>202581.71429999999</v>
      </c>
      <c r="G2340" s="1">
        <v>-1.0900000000000001E-5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-2.3604057665305E-3</v>
      </c>
      <c r="M2340" s="1">
        <f t="shared" si="147"/>
        <v>3.7998901447654078E-3</v>
      </c>
      <c r="N2340" s="1">
        <f t="shared" si="148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 s="1">
        <v>-1.9700000000000002E-6</v>
      </c>
      <c r="F2341">
        <v>278938.54019999999</v>
      </c>
      <c r="G2341" s="1">
        <v>5.4299999999999997E-6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0</v>
      </c>
      <c r="M2341" s="1">
        <f t="shared" si="147"/>
        <v>-2.0473438116723267E-2</v>
      </c>
      <c r="N2341" s="1">
        <f t="shared" si="148"/>
        <v>2.6403898931980509E-2</v>
      </c>
      <c r="O2341" s="1"/>
    </row>
    <row r="2342" spans="1:15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2.9200000000000002E-5</v>
      </c>
      <c r="F2342">
        <v>611537.76009999996</v>
      </c>
      <c r="G2342" s="1">
        <v>1.63E-5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2.1738327255223802E-2</v>
      </c>
      <c r="M2342" s="1">
        <f t="shared" si="147"/>
        <v>4.6995244006063044E-2</v>
      </c>
      <c r="N2342" s="1">
        <f t="shared" si="148"/>
        <v>1.2274458446097839E-2</v>
      </c>
      <c r="O2342" s="1"/>
    </row>
    <row r="2343" spans="1:15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-4.74E-5</v>
      </c>
      <c r="F2343">
        <v>561801.61699999997</v>
      </c>
      <c r="G2343" s="1">
        <v>3.4199999999999998E-5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1.9070270542857946E-2</v>
      </c>
      <c r="M2343" s="1">
        <f t="shared" si="147"/>
        <v>-6.5762362614203151E-2</v>
      </c>
      <c r="N2343" s="1">
        <f t="shared" si="148"/>
        <v>2.2200811534024919E-2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6.9699999999999995E-7</v>
      </c>
      <c r="F2344">
        <v>84806.469379999995</v>
      </c>
      <c r="G2344" s="1">
        <v>-4.16E-6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9.2319903049293793E-3</v>
      </c>
      <c r="N2344" s="1">
        <f t="shared" si="148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3.1E-6</v>
      </c>
      <c r="F2345">
        <v>109919.6004</v>
      </c>
      <c r="G2345" s="1">
        <v>1.5E-5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5.6007909578426406E-2</v>
      </c>
      <c r="N2345" s="1">
        <f t="shared" si="148"/>
        <v>0.12680097906924001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 s="1">
        <v>-3.8699999999999999E-5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</v>
      </c>
      <c r="M2346" s="1">
        <f t="shared" si="147"/>
        <v>0</v>
      </c>
      <c r="N2346" s="1">
        <f t="shared" si="148"/>
        <v>-0.41743545438455104</v>
      </c>
      <c r="O2346" s="1"/>
    </row>
    <row r="2347" spans="1:15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3.2000000000000002E-8</v>
      </c>
      <c r="F2347">
        <v>322649.3296</v>
      </c>
      <c r="G2347" s="1">
        <v>-2.3200000000000001E-5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-8.7061139012126504E-2</v>
      </c>
      <c r="M2347" s="1">
        <f t="shared" si="147"/>
        <v>2.5253160322186884E-4</v>
      </c>
      <c r="N2347" s="1">
        <f t="shared" si="148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 s="1">
        <v>3.1E-6</v>
      </c>
      <c r="D2348">
        <v>163397.57449999999</v>
      </c>
      <c r="E2348" s="1">
        <v>4.5899999999999998E-5</v>
      </c>
      <c r="F2348">
        <v>567653.8824</v>
      </c>
      <c r="G2348" s="1">
        <v>1.9700000000000001E-5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7.0232528975443242E-2</v>
      </c>
      <c r="M2348" s="1">
        <f t="shared" si="147"/>
        <v>0.34876463098465516</v>
      </c>
      <c r="N2348" s="1">
        <f t="shared" si="148"/>
        <v>7.0037341798141778E-2</v>
      </c>
      <c r="O2348" s="1"/>
    </row>
    <row r="2349" spans="1:15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1.0039817129393676E-2</v>
      </c>
      <c r="M2349" s="1">
        <f t="shared" si="147"/>
        <v>6.2845315594506734E-2</v>
      </c>
      <c r="N2349" s="1">
        <f t="shared" si="148"/>
        <v>3.699505334007661E-3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5.2000000000000002E-8</v>
      </c>
      <c r="F2350">
        <v>256362.42170000001</v>
      </c>
      <c r="G2350" s="1">
        <v>4.8900000000000003E-5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3.9586058579494439E-4</v>
      </c>
      <c r="N2350" s="1">
        <f t="shared" si="148"/>
        <v>0.17417726092343189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0</v>
      </c>
      <c r="M2351" s="1">
        <f t="shared" si="147"/>
        <v>3.1499902931261051E-2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-4.9299999999999999E-5</v>
      </c>
      <c r="F2352">
        <v>754472.41859999998</v>
      </c>
      <c r="G2352" s="1">
        <v>-4.0899999999999998E-6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-0.11872745402275413</v>
      </c>
      <c r="N2352" s="1">
        <f t="shared" si="148"/>
        <v>-4.6086234130312976E-3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-9.6700000000000006E-6</v>
      </c>
      <c r="F2353">
        <v>404433.05810000002</v>
      </c>
      <c r="G2353" s="1">
        <v>-1.0900000000000001E-5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-8.924250912535403E-2</v>
      </c>
      <c r="N2353" s="1">
        <f t="shared" si="148"/>
        <v>-4.7066886922368725E-2</v>
      </c>
      <c r="O2353" s="1"/>
    </row>
    <row r="2354" spans="1:15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4.4400000000000002E-5</v>
      </c>
      <c r="F2354">
        <v>456701.31099999999</v>
      </c>
      <c r="G2354" s="1">
        <v>9.5799999999999998E-6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7.3479592637164352E-3</v>
      </c>
      <c r="M2354" s="1">
        <f t="shared" si="147"/>
        <v>0.19297888293410423</v>
      </c>
      <c r="N2354" s="1">
        <f t="shared" si="148"/>
        <v>1.9482110633925253E-2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4.9100000000000004E-6</v>
      </c>
      <c r="F2355">
        <v>292520.56949999998</v>
      </c>
      <c r="G2355" s="1">
        <v>4.2799999999999997E-5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8.0053266070947787E-2</v>
      </c>
      <c r="N2355" s="1">
        <f t="shared" si="148"/>
        <v>0.3265013718112536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 s="1">
        <v>4.4700000000000004E-6</v>
      </c>
      <c r="F2356">
        <v>453534.56559999997</v>
      </c>
      <c r="G2356" s="1">
        <v>4.1499999999999999E-5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0</v>
      </c>
      <c r="M2356" s="1">
        <f t="shared" si="147"/>
        <v>3.5256011966720367E-2</v>
      </c>
      <c r="N2356" s="1">
        <f t="shared" si="148"/>
        <v>0.15315015357749656</v>
      </c>
      <c r="O2356" s="1"/>
    </row>
    <row r="2357" spans="1:15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-9.6299999999999993E-7</v>
      </c>
      <c r="F2357">
        <v>155689.25889999999</v>
      </c>
      <c r="G2357" s="1">
        <v>3.9799999999999998E-5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9.2382098138398244E-3</v>
      </c>
      <c r="M2357" s="1">
        <f t="shared" si="147"/>
        <v>-1.028867023373289E-2</v>
      </c>
      <c r="N2357" s="1">
        <f t="shared" si="148"/>
        <v>0.19895722313137484</v>
      </c>
      <c r="O2357" s="1"/>
    </row>
    <row r="2358" spans="1:15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-3.7799999999999998E-6</v>
      </c>
      <c r="F2358">
        <v>293300.69520000002</v>
      </c>
      <c r="G2358" s="1">
        <v>4.5000000000000003E-5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-3.0896777693535004E-4</v>
      </c>
      <c r="M2358" s="1">
        <f t="shared" si="147"/>
        <v>-3.916950875473936E-2</v>
      </c>
      <c r="N2358" s="1">
        <f t="shared" si="148"/>
        <v>0.21817878402050103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 s="1">
        <v>-1.0499999999999999E-5</v>
      </c>
      <c r="F2359">
        <v>881600.13970000006</v>
      </c>
      <c r="G2359" s="1">
        <v>-2.1500000000000001E-5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0</v>
      </c>
      <c r="M2359" s="1">
        <f t="shared" si="147"/>
        <v>-3.18797448191208E-2</v>
      </c>
      <c r="N2359" s="1">
        <f t="shared" si="148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7.6699999999999994E-6</v>
      </c>
      <c r="F2360">
        <v>555593.36380000005</v>
      </c>
      <c r="G2360" s="1">
        <v>-1.0300000000000001E-6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-6.7278722096836248E-3</v>
      </c>
      <c r="M2360" s="1">
        <f t="shared" si="147"/>
        <v>1.6174559319803886E-2</v>
      </c>
      <c r="N2360" s="1">
        <f t="shared" si="148"/>
        <v>-1.0162908042406352E-3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3.3500000000000001E-6</v>
      </c>
      <c r="F2361">
        <v>259903.8707</v>
      </c>
      <c r="G2361" s="1">
        <v>2.19E-5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9.9469560111168906E-2</v>
      </c>
      <c r="N2361" s="1">
        <f t="shared" si="148"/>
        <v>0.30425181894608938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4.0999999999999997E-6</v>
      </c>
      <c r="F2362">
        <v>339965.32410000003</v>
      </c>
      <c r="G2362" s="1">
        <v>-4.2500000000000003E-5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3.5586420330666467E-2</v>
      </c>
      <c r="N2362" s="1">
        <f t="shared" si="148"/>
        <v>-0.17259692563598028</v>
      </c>
      <c r="O2362" s="1"/>
    </row>
    <row r="2363" spans="1:15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-8.2459624549506751E-3</v>
      </c>
      <c r="M2363" s="1">
        <f t="shared" si="147"/>
        <v>9.1275156174343546E-3</v>
      </c>
      <c r="N2363" s="1">
        <f t="shared" si="148"/>
        <v>0.2295087062010393</v>
      </c>
      <c r="O2363" s="1"/>
    </row>
    <row r="2364" spans="1:15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-2.4899999999999999E-5</v>
      </c>
      <c r="F2364">
        <v>419703.06310000003</v>
      </c>
      <c r="G2364" s="1">
        <v>1.5500000000000001E-5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6.6400704147106873E-3</v>
      </c>
      <c r="M2364" s="1">
        <f t="shared" si="147"/>
        <v>-0.21576552065329274</v>
      </c>
      <c r="N2364" s="1">
        <f t="shared" si="148"/>
        <v>6.2843168666013749E-2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-4.78E-6</v>
      </c>
      <c r="F2365">
        <v>278568.65299999999</v>
      </c>
      <c r="G2365" s="1">
        <v>1.52E-5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-8.0988829704524354E-2</v>
      </c>
      <c r="N2365" s="1">
        <f t="shared" si="148"/>
        <v>0.12049929136491359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-4.4299999999999999E-5</v>
      </c>
      <c r="F2366">
        <v>547994.06310000003</v>
      </c>
      <c r="G2366" s="1">
        <v>-4.2899999999999999E-5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-0.40352093584514848</v>
      </c>
      <c r="N2366" s="1">
        <f t="shared" si="148"/>
        <v>-0.1828366756136435</v>
      </c>
      <c r="O2366" s="1"/>
    </row>
    <row r="2367" spans="1:15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-6.6699999999999997E-6</v>
      </c>
      <c r="F2367">
        <v>487674.6936</v>
      </c>
      <c r="G2367" s="1">
        <v>4.6900000000000002E-5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-5.0360144455627504E-2</v>
      </c>
      <c r="M2367" s="1">
        <f t="shared" si="147"/>
        <v>-3.4663513205751346E-2</v>
      </c>
      <c r="N2367" s="1">
        <f t="shared" si="148"/>
        <v>0.11404159008134006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2.9699999999999999E-6</v>
      </c>
      <c r="F2368">
        <v>242553.94560000001</v>
      </c>
      <c r="G2368" s="1">
        <v>-1.8E-5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2.4205311427522698E-2</v>
      </c>
      <c r="N2368" s="1">
        <f t="shared" si="148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3.8800000000000001E-5</v>
      </c>
      <c r="F2369">
        <v>739862.11380000005</v>
      </c>
      <c r="G2369" s="1">
        <v>-8.7700000000000007E-6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7.8244516970160452E-2</v>
      </c>
      <c r="M2369" s="1">
        <f t="shared" si="147"/>
        <v>0.23901170904312216</v>
      </c>
      <c r="N2369" s="1">
        <f t="shared" si="148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3.41E-6</v>
      </c>
      <c r="F2370">
        <v>364183.55810000002</v>
      </c>
      <c r="G2370" s="1">
        <v>-1.0900000000000001E-5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1.1720761865350274E-2</v>
      </c>
      <c r="N2370" s="1">
        <f t="shared" si="148"/>
        <v>-1.7529585194512143E-2</v>
      </c>
      <c r="O2370" s="1"/>
    </row>
    <row r="2371" spans="1:15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2.2900000000000001E-5</v>
      </c>
      <c r="F2371">
        <v>534184.29350000003</v>
      </c>
      <c r="G2371" s="1">
        <v>2.27E-5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6.3339733656693001E-2</v>
      </c>
      <c r="M2371" s="1">
        <f t="shared" ref="M2371:M2434" si="151">$U$3*$K2371*E2371</f>
        <v>0.1201157144770913</v>
      </c>
      <c r="N2371" s="1">
        <f t="shared" ref="N2371:N2434" si="152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5.5000000000000003E-8</v>
      </c>
      <c r="F2372">
        <v>55156.599139999998</v>
      </c>
      <c r="G2372" s="1">
        <v>-2.9000000000000002E-6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1.66397088987668E-3</v>
      </c>
      <c r="N2372" s="1">
        <f t="shared" si="152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-1.8554977252890001E-2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3.14E-6</v>
      </c>
      <c r="F2374">
        <v>65433.838830000001</v>
      </c>
      <c r="G2374" s="1">
        <v>-4.7899999999999999E-6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4.8277551660190599E-2</v>
      </c>
      <c r="N2374" s="1">
        <f t="shared" si="152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2.8600000000000001E-5</v>
      </c>
      <c r="F2375">
        <v>503142.50319999998</v>
      </c>
      <c r="G2375" s="1">
        <v>2.7500000000000001E-5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-3.5339907127546781E-3</v>
      </c>
      <c r="M2375" s="1">
        <f t="shared" si="151"/>
        <v>6.085823862969994E-2</v>
      </c>
      <c r="N2375" s="1">
        <f t="shared" si="152"/>
        <v>2.7379765085697751E-2</v>
      </c>
      <c r="O2375" s="1"/>
    </row>
    <row r="2376" spans="1:15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-5.6699999999999999E-6</v>
      </c>
      <c r="F2376">
        <v>407121.33140000002</v>
      </c>
      <c r="G2376" s="1">
        <v>1.98E-5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3.0092023386943053E-2</v>
      </c>
      <c r="M2376" s="1">
        <f t="shared" si="151"/>
        <v>-1.6880211675817939E-2</v>
      </c>
      <c r="N2376" s="1">
        <f t="shared" si="152"/>
        <v>2.7580599243145085E-2</v>
      </c>
      <c r="O2376" s="1"/>
    </row>
    <row r="2377" spans="1:15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-3.18E-6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-2.9582950341197497E-3</v>
      </c>
      <c r="M2377" s="1">
        <f t="shared" si="151"/>
        <v>-3.1550899222356543E-2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3.3299999999999999E-6</v>
      </c>
      <c r="F2378">
        <v>94191.477310000002</v>
      </c>
      <c r="G2378" s="1">
        <v>4.1899999999999997E-6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6.3354654170980115E-2</v>
      </c>
      <c r="N2378" s="1">
        <f t="shared" si="152"/>
        <v>3.7298553736663471E-2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-2.0437644488955749E-2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 s="1">
        <v>1.3E-6</v>
      </c>
      <c r="F2380">
        <v>145183.49789999999</v>
      </c>
      <c r="G2380" s="1">
        <v>4.3000000000000002E-5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0</v>
      </c>
      <c r="M2380" s="1">
        <f t="shared" si="151"/>
        <v>1.2070119785610121E-2</v>
      </c>
      <c r="N2380" s="1">
        <f t="shared" si="152"/>
        <v>0.1868015009868948</v>
      </c>
      <c r="O2380" s="1"/>
    </row>
    <row r="2381" spans="1:15" x14ac:dyDescent="0.25">
      <c r="A2381">
        <v>4565</v>
      </c>
      <c r="B2381">
        <v>16072.769490000001</v>
      </c>
      <c r="C2381" s="1">
        <v>2.48E-6</v>
      </c>
      <c r="D2381">
        <v>90188.178270000004</v>
      </c>
      <c r="E2381" s="1">
        <v>1.3E-7</v>
      </c>
      <c r="F2381">
        <v>324252.28249999997</v>
      </c>
      <c r="G2381" s="1">
        <v>4.6799999999999999E-5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4.2073716104287402E-2</v>
      </c>
      <c r="M2381" s="1">
        <f t="shared" si="151"/>
        <v>7.3968307344634307E-4</v>
      </c>
      <c r="N2381" s="1">
        <f t="shared" si="152"/>
        <v>0.12459248833463173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 s="1">
        <v>-4.9100000000000004E-6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0</v>
      </c>
      <c r="M2382" s="1">
        <f t="shared" si="151"/>
        <v>-5.6455812321574185E-2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3.7000000000000002E-6</v>
      </c>
      <c r="F2383">
        <v>169778.4166</v>
      </c>
      <c r="G2383" s="1">
        <v>-3.9700000000000003E-5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3.7071274231580249E-2</v>
      </c>
      <c r="N2383" s="1">
        <f t="shared" si="152"/>
        <v>-0.18611011390200977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3.2500000000000001E-7</v>
      </c>
      <c r="F2384">
        <v>152899.0938</v>
      </c>
      <c r="G2384" s="1">
        <v>-7.1099999999999997E-6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2.4252803873014927E-3</v>
      </c>
      <c r="N2384" s="1">
        <f t="shared" si="152"/>
        <v>-2.4825149505699202E-2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 s="1">
        <v>2.0999999999999998E-6</v>
      </c>
      <c r="F2385">
        <v>142646.2922</v>
      </c>
      <c r="G2385" s="1">
        <v>-4.4100000000000001E-5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0</v>
      </c>
      <c r="M2385" s="1">
        <f t="shared" si="151"/>
        <v>1.809932594482299E-2</v>
      </c>
      <c r="N2385" s="1">
        <f t="shared" si="152"/>
        <v>-0.17783833107252683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-5.0000000000000004E-6</v>
      </c>
      <c r="F2386">
        <v>171639.00959999999</v>
      </c>
      <c r="G2386" s="1">
        <v>-2.2500000000000001E-5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-4.5916276817869507E-2</v>
      </c>
      <c r="N2386" s="1">
        <f t="shared" si="152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 s="1">
        <v>-3.0599999999999998E-5</v>
      </c>
      <c r="F2387">
        <v>534296.42350000003</v>
      </c>
      <c r="G2387" s="1">
        <v>2.2200000000000001E-5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0</v>
      </c>
      <c r="M2387" s="1">
        <f t="shared" si="151"/>
        <v>-5.9022847961744944E-2</v>
      </c>
      <c r="N2387" s="1">
        <f t="shared" si="152"/>
        <v>2.0035278665913425E-2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-2.4700000000000001E-6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-1.0339255886176802E-2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3.7400000000000001E-5</v>
      </c>
      <c r="F2389">
        <v>796632.86580000003</v>
      </c>
      <c r="G2389" s="1">
        <v>1.7E-5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-3.0991023804154375E-2</v>
      </c>
      <c r="M2389" s="1">
        <f t="shared" si="151"/>
        <v>9.1466430870599622E-2</v>
      </c>
      <c r="N2389" s="1">
        <f t="shared" si="152"/>
        <v>1.9452827249376903E-2</v>
      </c>
      <c r="O2389" s="1"/>
    </row>
    <row r="2390" spans="1:15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-3.5099999999999999E-5</v>
      </c>
      <c r="F2390">
        <v>889799.70299999998</v>
      </c>
      <c r="G2390" s="1">
        <v>4.9200000000000003E-5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4.0572734354209203E-2</v>
      </c>
      <c r="M2390" s="1">
        <f t="shared" si="151"/>
        <v>-0.10757257405805197</v>
      </c>
      <c r="N2390" s="1">
        <f t="shared" si="152"/>
        <v>7.0551008344824487E-2</v>
      </c>
      <c r="O2390" s="1"/>
    </row>
    <row r="2391" spans="1:15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8.8300000000000002E-6</v>
      </c>
      <c r="F2391">
        <v>709779.7254</v>
      </c>
      <c r="G2391" s="1">
        <v>1.17E-5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-1.051922875551535E-3</v>
      </c>
      <c r="M2391" s="1">
        <f t="shared" si="151"/>
        <v>7.2446812882439052E-2</v>
      </c>
      <c r="N2391" s="1">
        <f t="shared" si="152"/>
        <v>4.491466045378182E-2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-4.5499999999999996E-6</v>
      </c>
      <c r="F2392">
        <v>176349.01879999999</v>
      </c>
      <c r="G2392" s="1">
        <v>4.6100000000000002E-5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-8.3073848928079091E-2</v>
      </c>
      <c r="N2392" s="1">
        <f t="shared" si="152"/>
        <v>0.39381979275089585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-4.5299999999999999E-7</v>
      </c>
      <c r="F2393">
        <v>304858.83649999998</v>
      </c>
      <c r="G2393" s="1">
        <v>-5.0100000000000003E-6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-9.0199770248445502E-3</v>
      </c>
      <c r="N2393" s="1">
        <f t="shared" si="152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-2.9799999999999998E-6</v>
      </c>
      <c r="F2394">
        <v>302729.82799999998</v>
      </c>
      <c r="G2394" s="1">
        <v>2.23E-5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2.99081848692705E-3</v>
      </c>
      <c r="M2394" s="1">
        <f t="shared" si="151"/>
        <v>-5.2441439186161634E-2</v>
      </c>
      <c r="N2394" s="1">
        <f t="shared" si="152"/>
        <v>0.18361445965895459</v>
      </c>
      <c r="O2394" s="1"/>
    </row>
    <row r="2395" spans="1:15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4.5600000000000004E-6</v>
      </c>
      <c r="F2395">
        <v>724669.44010000001</v>
      </c>
      <c r="G2395">
        <v>0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4.7594455553125001E-3</v>
      </c>
      <c r="M2395" s="1">
        <f t="shared" si="151"/>
        <v>7.278876365577E-2</v>
      </c>
      <c r="N2395" s="1">
        <f t="shared" si="152"/>
        <v>0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-2.2299999999999998E-6</v>
      </c>
      <c r="F2396">
        <v>207484.3731</v>
      </c>
      <c r="G2396" s="1">
        <v>3.01E-5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-9.2995488433768869E-3</v>
      </c>
      <c r="N2396" s="1">
        <f t="shared" si="152"/>
        <v>5.8730972269172919E-2</v>
      </c>
      <c r="O2396" s="1"/>
    </row>
    <row r="2397" spans="1:15" x14ac:dyDescent="0.25">
      <c r="A2397">
        <v>4581</v>
      </c>
      <c r="B2397">
        <v>37948.127959999998</v>
      </c>
      <c r="C2397" s="1">
        <v>-3.9600000000000002E-6</v>
      </c>
      <c r="D2397">
        <v>160333.7972</v>
      </c>
      <c r="E2397" s="1">
        <v>-4.9999999999999998E-7</v>
      </c>
      <c r="F2397">
        <v>383858.59409999999</v>
      </c>
      <c r="G2397" s="1">
        <v>4.7899999999999999E-5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-2.6093888461683902E-2</v>
      </c>
      <c r="M2397" s="1">
        <f t="shared" si="151"/>
        <v>-1.10498595272865E-3</v>
      </c>
      <c r="N2397" s="1">
        <f t="shared" si="152"/>
        <v>4.9529728145336134E-2</v>
      </c>
      <c r="O2397" s="1"/>
    </row>
    <row r="2398" spans="1:15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3.8999999999999999E-5</v>
      </c>
      <c r="F2398">
        <v>582138.83440000005</v>
      </c>
      <c r="G2398" s="1">
        <v>1.81E-6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8.9196720020596493E-3</v>
      </c>
      <c r="M2398" s="1">
        <f t="shared" si="151"/>
        <v>6.2725435369322693E-2</v>
      </c>
      <c r="N2398" s="1">
        <f t="shared" si="152"/>
        <v>1.3620759677586871E-3</v>
      </c>
      <c r="O2398" s="1"/>
    </row>
    <row r="2399" spans="1:15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7.1500000000000004E-7</v>
      </c>
      <c r="F2399">
        <v>241067.6361</v>
      </c>
      <c r="G2399" s="1">
        <v>-4.3900000000000003E-5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-4.6728637448447503E-3</v>
      </c>
      <c r="M2399" s="1">
        <f t="shared" si="151"/>
        <v>3.2015792171822032E-3</v>
      </c>
      <c r="N2399" s="1">
        <f t="shared" si="152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2.7900000000000001E-5</v>
      </c>
      <c r="F2400">
        <v>596192.08700000006</v>
      </c>
      <c r="G2400" s="1">
        <v>-3.49E-6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2.7439222886001874E-3</v>
      </c>
      <c r="M2400" s="1">
        <f t="shared" si="151"/>
        <v>3.3917455835228254E-2</v>
      </c>
      <c r="N2400" s="1">
        <f t="shared" si="152"/>
        <v>-1.9851264227129252E-3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-1.13E-6</v>
      </c>
      <c r="F2401">
        <v>167894.88529999999</v>
      </c>
      <c r="G2401" s="1">
        <v>-1.1E-5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-9.1592221306067943E-3</v>
      </c>
      <c r="N2401" s="1">
        <f t="shared" si="152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0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>
        <v>0</v>
      </c>
      <c r="F2411">
        <v>4675.8849959999998</v>
      </c>
      <c r="G2411" s="1">
        <v>1E-8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0</v>
      </c>
      <c r="N2411" s="1">
        <f t="shared" si="152"/>
        <v>1.9738191946143001E-4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0</v>
      </c>
      <c r="M2412" s="1">
        <f t="shared" si="151"/>
        <v>7.7598274109908855E-2</v>
      </c>
      <c r="N2412" s="1">
        <f t="shared" si="152"/>
        <v>3.662179956503623E-2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0</v>
      </c>
      <c r="M2415" s="1">
        <f t="shared" si="151"/>
        <v>0</v>
      </c>
      <c r="N2415" s="1">
        <f t="shared" si="152"/>
        <v>0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-4.9999999999999998E-7</v>
      </c>
      <c r="F2419">
        <v>7520.0428220000003</v>
      </c>
      <c r="G2419">
        <v>0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-8.5585912874614981E-3</v>
      </c>
      <c r="N2419" s="1">
        <f t="shared" si="152"/>
        <v>0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>
        <v>0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0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0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>
        <v>0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0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-1.9999999999999999E-7</v>
      </c>
      <c r="F2447">
        <v>20209.7029</v>
      </c>
      <c r="G2447" s="1">
        <v>2.6299999999999998E-6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-6.1352686109535995E-3</v>
      </c>
      <c r="N2447" s="1">
        <f t="shared" si="156"/>
        <v>3.7748788017761763E-2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2.3532829098142201E-2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-1.5342955928753313E-3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0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-4.8999999999999997E-7</v>
      </c>
      <c r="F2463">
        <v>84044.407089999993</v>
      </c>
      <c r="G2463" s="1">
        <v>-4.1799999999999998E-6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-4.84366954114365E-3</v>
      </c>
      <c r="N2463" s="1">
        <f t="shared" si="156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>
        <v>0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0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0</v>
      </c>
      <c r="M2466" s="1">
        <f t="shared" si="155"/>
        <v>0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3.3488916754661996E-3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0</v>
      </c>
      <c r="M2474" s="1">
        <f t="shared" si="155"/>
        <v>6.5762781490876512E-2</v>
      </c>
      <c r="N2474" s="1">
        <f t="shared" si="156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4.0501379331724999E-3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0</v>
      </c>
      <c r="N2478" s="1">
        <f t="shared" si="156"/>
        <v>0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0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5.8218835604160004E-4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0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-3.9999999999999998E-7</v>
      </c>
      <c r="F2490">
        <v>26035.35039</v>
      </c>
      <c r="G2490" s="1">
        <v>6.9999999999999997E-7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-6.6608012472288E-3</v>
      </c>
      <c r="N2490" s="1">
        <f t="shared" si="156"/>
        <v>5.4539129478455997E-3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9.9999999999999995E-8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1.3412694130133999E-3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-9.9999999999999995E-8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-1.6127988861148999E-3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-9.9999999999999995E-8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-1.5288995111582E-3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3.9079301824875004E-3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-4.4075981360308502E-3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-0.40635723601527607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1.3118100811592093E-2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0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-1.9000000000000001E-7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-3.7217520925608497E-3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-3.9999999999999998E-7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-1.2759050605129198E-2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0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0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9.1094163926183996E-2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8.2786598479764E-5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3.1E-7</v>
      </c>
      <c r="F2538">
        <v>88130.35497</v>
      </c>
      <c r="G2538" s="1">
        <v>-4.1799999999999998E-6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1.2781431771743399E-3</v>
      </c>
      <c r="N2538" s="1">
        <f t="shared" si="16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1E-8</v>
      </c>
      <c r="F2539">
        <v>152458.09160000001</v>
      </c>
      <c r="G2539" s="1">
        <v>-1.2999999999999999E-5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2.7098652138154002E-5</v>
      </c>
      <c r="N2539" s="1">
        <f t="shared" si="160"/>
        <v>-1.64829416216478E-2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2.9999999999999999E-7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5.6200917295796994E-3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7.5076898259999999E-3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4.1553618173600006E-3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0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-1.8249346341807603E-3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2.078789210001783E-3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0</v>
      </c>
      <c r="M2551" s="1">
        <f t="shared" si="159"/>
        <v>0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>
        <v>0</v>
      </c>
      <c r="F2553">
        <v>69213.065170000002</v>
      </c>
      <c r="G2553" s="1">
        <v>-1.5099999999999999E-6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0</v>
      </c>
      <c r="N2553" s="1">
        <f t="shared" si="16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9.9999999999999995E-8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1.4632108880634999E-3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2.92E-6</v>
      </c>
      <c r="F2556">
        <v>168572.85560000001</v>
      </c>
      <c r="G2556" s="1">
        <v>3.6600000000000001E-6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2.3500298385686527E-2</v>
      </c>
      <c r="N2556" s="1">
        <f t="shared" si="16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1.849832419598741E-2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1.3599999999999999E-6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2024-10-24T12:11:28Z</dcterms:modified>
</cp:coreProperties>
</file>