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1llz\Documents\University\Year 5\Sem 2\Thesis\"/>
    </mc:Choice>
  </mc:AlternateContent>
  <xr:revisionPtr revIDLastSave="0" documentId="13_ncr:1_{A82428C7-DE64-4D80-BF2E-2998B2226052}" xr6:coauthVersionLast="47" xr6:coauthVersionMax="47" xr10:uidLastSave="{00000000-0000-0000-0000-000000000000}"/>
  <bookViews>
    <workbookView xWindow="-28920" yWindow="-2175" windowWidth="29040" windowHeight="15720" xr2:uid="{60E27733-E248-4690-A595-2C6F7FE1F03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W4" i="2"/>
  <c r="W5" i="2"/>
  <c r="W6" i="2"/>
  <c r="W7" i="2"/>
  <c r="Y7" i="2" s="1"/>
  <c r="W8" i="2"/>
  <c r="W9" i="2"/>
  <c r="W10" i="2"/>
  <c r="W11" i="2"/>
  <c r="W12" i="2"/>
  <c r="W13" i="2"/>
  <c r="W14" i="2"/>
  <c r="W15" i="2"/>
  <c r="W16" i="2"/>
  <c r="Y16" i="2" s="1"/>
  <c r="W17" i="2"/>
  <c r="W3" i="2"/>
  <c r="P53" i="3"/>
  <c r="P54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29" i="3"/>
  <c r="E3" i="3"/>
  <c r="F3" i="3"/>
  <c r="G3" i="3"/>
  <c r="H3" i="3"/>
  <c r="I3" i="3"/>
  <c r="J3" i="3"/>
  <c r="K3" i="3"/>
  <c r="E4" i="3"/>
  <c r="F4" i="3"/>
  <c r="G4" i="3"/>
  <c r="H4" i="3"/>
  <c r="I4" i="3"/>
  <c r="J4" i="3"/>
  <c r="K4" i="3"/>
  <c r="E5" i="3"/>
  <c r="F5" i="3"/>
  <c r="G5" i="3"/>
  <c r="H5" i="3"/>
  <c r="I5" i="3"/>
  <c r="J5" i="3"/>
  <c r="K5" i="3"/>
  <c r="E6" i="3"/>
  <c r="F6" i="3"/>
  <c r="G6" i="3"/>
  <c r="H6" i="3"/>
  <c r="I6" i="3"/>
  <c r="J6" i="3"/>
  <c r="K6" i="3"/>
  <c r="E7" i="3"/>
  <c r="F7" i="3"/>
  <c r="G7" i="3"/>
  <c r="H7" i="3"/>
  <c r="I7" i="3"/>
  <c r="J7" i="3"/>
  <c r="K7" i="3"/>
  <c r="E8" i="3"/>
  <c r="F8" i="3"/>
  <c r="G8" i="3"/>
  <c r="H8" i="3"/>
  <c r="I8" i="3"/>
  <c r="J8" i="3"/>
  <c r="K8" i="3"/>
  <c r="E9" i="3"/>
  <c r="F9" i="3"/>
  <c r="G9" i="3"/>
  <c r="H9" i="3"/>
  <c r="I9" i="3"/>
  <c r="J9" i="3"/>
  <c r="K9" i="3"/>
  <c r="E10" i="3"/>
  <c r="F10" i="3"/>
  <c r="G10" i="3"/>
  <c r="H10" i="3"/>
  <c r="I10" i="3"/>
  <c r="J10" i="3"/>
  <c r="K10" i="3"/>
  <c r="E11" i="3"/>
  <c r="F11" i="3"/>
  <c r="G11" i="3"/>
  <c r="H11" i="3"/>
  <c r="I11" i="3"/>
  <c r="J11" i="3"/>
  <c r="K11" i="3"/>
  <c r="E12" i="3"/>
  <c r="F12" i="3"/>
  <c r="G12" i="3"/>
  <c r="H12" i="3"/>
  <c r="I12" i="3"/>
  <c r="J12" i="3"/>
  <c r="K12" i="3"/>
  <c r="E13" i="3"/>
  <c r="F13" i="3"/>
  <c r="G13" i="3"/>
  <c r="H13" i="3"/>
  <c r="I13" i="3"/>
  <c r="J13" i="3"/>
  <c r="K13" i="3"/>
  <c r="E14" i="3"/>
  <c r="F14" i="3"/>
  <c r="G14" i="3"/>
  <c r="H14" i="3"/>
  <c r="I14" i="3"/>
  <c r="J14" i="3"/>
  <c r="K14" i="3"/>
  <c r="E15" i="3"/>
  <c r="F15" i="3"/>
  <c r="G15" i="3"/>
  <c r="H15" i="3"/>
  <c r="I15" i="3"/>
  <c r="J15" i="3"/>
  <c r="K15" i="3"/>
  <c r="E16" i="3"/>
  <c r="F16" i="3"/>
  <c r="G16" i="3"/>
  <c r="H16" i="3"/>
  <c r="I16" i="3"/>
  <c r="J16" i="3"/>
  <c r="K16" i="3"/>
  <c r="E17" i="3"/>
  <c r="F17" i="3"/>
  <c r="G17" i="3"/>
  <c r="H17" i="3"/>
  <c r="I17" i="3"/>
  <c r="J17" i="3"/>
  <c r="K17" i="3"/>
  <c r="E18" i="3"/>
  <c r="F18" i="3"/>
  <c r="G18" i="3"/>
  <c r="H18" i="3"/>
  <c r="I18" i="3"/>
  <c r="J18" i="3"/>
  <c r="K18" i="3"/>
  <c r="E19" i="3"/>
  <c r="F19" i="3"/>
  <c r="G19" i="3"/>
  <c r="H19" i="3"/>
  <c r="I19" i="3"/>
  <c r="J19" i="3"/>
  <c r="K19" i="3"/>
  <c r="E20" i="3"/>
  <c r="F20" i="3"/>
  <c r="G20" i="3"/>
  <c r="H20" i="3"/>
  <c r="I20" i="3"/>
  <c r="J20" i="3"/>
  <c r="K20" i="3"/>
  <c r="E21" i="3"/>
  <c r="F21" i="3"/>
  <c r="G21" i="3"/>
  <c r="H21" i="3"/>
  <c r="I21" i="3"/>
  <c r="J21" i="3"/>
  <c r="K21" i="3"/>
  <c r="E22" i="3"/>
  <c r="F22" i="3"/>
  <c r="G22" i="3"/>
  <c r="H22" i="3"/>
  <c r="I22" i="3"/>
  <c r="J22" i="3"/>
  <c r="K22" i="3"/>
  <c r="E23" i="3"/>
  <c r="F23" i="3"/>
  <c r="G23" i="3"/>
  <c r="H23" i="3"/>
  <c r="I23" i="3"/>
  <c r="J23" i="3"/>
  <c r="K23" i="3"/>
  <c r="E24" i="3"/>
  <c r="F24" i="3"/>
  <c r="G24" i="3"/>
  <c r="H24" i="3"/>
  <c r="I24" i="3"/>
  <c r="J24" i="3"/>
  <c r="K24" i="3"/>
  <c r="E25" i="3"/>
  <c r="F25" i="3"/>
  <c r="G25" i="3"/>
  <c r="H25" i="3"/>
  <c r="I25" i="3"/>
  <c r="J25" i="3"/>
  <c r="K25" i="3"/>
  <c r="E26" i="3"/>
  <c r="F26" i="3"/>
  <c r="G26" i="3"/>
  <c r="H26" i="3"/>
  <c r="I26" i="3"/>
  <c r="J26" i="3"/>
  <c r="K26" i="3"/>
  <c r="E27" i="3"/>
  <c r="F27" i="3"/>
  <c r="G27" i="3"/>
  <c r="H27" i="3"/>
  <c r="I27" i="3"/>
  <c r="J27" i="3"/>
  <c r="K27" i="3"/>
  <c r="F2" i="3"/>
  <c r="G2" i="3"/>
  <c r="H2" i="3"/>
  <c r="I2" i="3"/>
  <c r="J2" i="3"/>
  <c r="K2" i="3"/>
  <c r="E2" i="3"/>
  <c r="AJ14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3" i="2"/>
  <c r="AG17" i="2"/>
  <c r="AF17" i="2"/>
  <c r="AE17" i="2"/>
  <c r="AD17" i="2"/>
  <c r="AC17" i="2"/>
  <c r="AB17" i="2"/>
  <c r="AG16" i="2"/>
  <c r="AF16" i="2"/>
  <c r="AE16" i="2"/>
  <c r="AD16" i="2"/>
  <c r="AC16" i="2"/>
  <c r="AB16" i="2"/>
  <c r="AG15" i="2"/>
  <c r="AF15" i="2"/>
  <c r="AE15" i="2"/>
  <c r="AD15" i="2"/>
  <c r="AC15" i="2"/>
  <c r="AB15" i="2"/>
  <c r="AG14" i="2"/>
  <c r="AF14" i="2"/>
  <c r="AE14" i="2"/>
  <c r="AD14" i="2"/>
  <c r="AC14" i="2"/>
  <c r="AB14" i="2"/>
  <c r="AH14" i="2" s="1"/>
  <c r="AG13" i="2"/>
  <c r="AF13" i="2"/>
  <c r="AE13" i="2"/>
  <c r="AD13" i="2"/>
  <c r="AC13" i="2"/>
  <c r="AB13" i="2"/>
  <c r="AG12" i="2"/>
  <c r="AF12" i="2"/>
  <c r="AE12" i="2"/>
  <c r="AD12" i="2"/>
  <c r="AC12" i="2"/>
  <c r="AB12" i="2"/>
  <c r="AH12" i="2" s="1"/>
  <c r="AJ12" i="2" s="1"/>
  <c r="AG11" i="2"/>
  <c r="AF11" i="2"/>
  <c r="AE11" i="2"/>
  <c r="AD11" i="2"/>
  <c r="AC11" i="2"/>
  <c r="AB11" i="2"/>
  <c r="AG10" i="2"/>
  <c r="AF10" i="2"/>
  <c r="AE10" i="2"/>
  <c r="AD10" i="2"/>
  <c r="AC10" i="2"/>
  <c r="AB10" i="2"/>
  <c r="AG9" i="2"/>
  <c r="AF9" i="2"/>
  <c r="AE9" i="2"/>
  <c r="AD9" i="2"/>
  <c r="AC9" i="2"/>
  <c r="AB9" i="2"/>
  <c r="AG8" i="2"/>
  <c r="AF8" i="2"/>
  <c r="AE8" i="2"/>
  <c r="AD8" i="2"/>
  <c r="AC8" i="2"/>
  <c r="AB8" i="2"/>
  <c r="AG7" i="2"/>
  <c r="AF7" i="2"/>
  <c r="AE7" i="2"/>
  <c r="AD7" i="2"/>
  <c r="AC7" i="2"/>
  <c r="AB7" i="2"/>
  <c r="AG6" i="2"/>
  <c r="AF6" i="2"/>
  <c r="AE6" i="2"/>
  <c r="AD6" i="2"/>
  <c r="AC6" i="2"/>
  <c r="AB6" i="2"/>
  <c r="AG5" i="2"/>
  <c r="AF5" i="2"/>
  <c r="AE5" i="2"/>
  <c r="AD5" i="2"/>
  <c r="AC5" i="2"/>
  <c r="AB5" i="2"/>
  <c r="AG4" i="2"/>
  <c r="AF4" i="2"/>
  <c r="AE4" i="2"/>
  <c r="AD4" i="2"/>
  <c r="AC4" i="2"/>
  <c r="AB4" i="2"/>
  <c r="AG3" i="2"/>
  <c r="AF3" i="2"/>
  <c r="AE3" i="2"/>
  <c r="AD3" i="2"/>
  <c r="AC3" i="2"/>
  <c r="AB3" i="2"/>
  <c r="Z5" i="2"/>
  <c r="H17" i="2"/>
  <c r="U17" i="2"/>
  <c r="T15" i="2"/>
  <c r="T17" i="2"/>
  <c r="S17" i="2"/>
  <c r="R17" i="2"/>
  <c r="Q17" i="2"/>
  <c r="P17" i="2"/>
  <c r="U16" i="2"/>
  <c r="T16" i="2"/>
  <c r="S16" i="2"/>
  <c r="R16" i="2"/>
  <c r="Q16" i="2"/>
  <c r="P16" i="2"/>
  <c r="V16" i="2" s="1"/>
  <c r="U15" i="2"/>
  <c r="S15" i="2"/>
  <c r="R15" i="2"/>
  <c r="Q15" i="2"/>
  <c r="P15" i="2"/>
  <c r="U14" i="2"/>
  <c r="T14" i="2"/>
  <c r="S14" i="2"/>
  <c r="R14" i="2"/>
  <c r="Q14" i="2"/>
  <c r="P14" i="2"/>
  <c r="V14" i="2" s="1"/>
  <c r="U13" i="2"/>
  <c r="T13" i="2"/>
  <c r="S13" i="2"/>
  <c r="R13" i="2"/>
  <c r="Q13" i="2"/>
  <c r="P13" i="2"/>
  <c r="U12" i="2"/>
  <c r="T12" i="2"/>
  <c r="S12" i="2"/>
  <c r="R12" i="2"/>
  <c r="Q12" i="2"/>
  <c r="P12" i="2"/>
  <c r="U11" i="2"/>
  <c r="T11" i="2"/>
  <c r="S11" i="2"/>
  <c r="R11" i="2"/>
  <c r="Q11" i="2"/>
  <c r="P11" i="2"/>
  <c r="U10" i="2"/>
  <c r="T10" i="2"/>
  <c r="S10" i="2"/>
  <c r="R10" i="2"/>
  <c r="Q10" i="2"/>
  <c r="P10" i="2"/>
  <c r="U9" i="2"/>
  <c r="T9" i="2"/>
  <c r="S9" i="2"/>
  <c r="R9" i="2"/>
  <c r="Q9" i="2"/>
  <c r="P9" i="2"/>
  <c r="U8" i="2"/>
  <c r="T8" i="2"/>
  <c r="S8" i="2"/>
  <c r="R8" i="2"/>
  <c r="Q8" i="2"/>
  <c r="P8" i="2"/>
  <c r="U7" i="2"/>
  <c r="T7" i="2"/>
  <c r="S7" i="2"/>
  <c r="R7" i="2"/>
  <c r="Q7" i="2"/>
  <c r="P7" i="2"/>
  <c r="V7" i="2" s="1"/>
  <c r="U6" i="2"/>
  <c r="T6" i="2"/>
  <c r="S6" i="2"/>
  <c r="R6" i="2"/>
  <c r="Q6" i="2"/>
  <c r="P6" i="2"/>
  <c r="U5" i="2"/>
  <c r="T5" i="2"/>
  <c r="S5" i="2"/>
  <c r="R5" i="2"/>
  <c r="Q5" i="2"/>
  <c r="P5" i="2"/>
  <c r="V5" i="2" s="1"/>
  <c r="Y5" i="2" s="1"/>
  <c r="U4" i="2"/>
  <c r="T4" i="2"/>
  <c r="S4" i="2"/>
  <c r="R4" i="2"/>
  <c r="Q4" i="2"/>
  <c r="P4" i="2"/>
  <c r="U3" i="2"/>
  <c r="T3" i="2"/>
  <c r="S3" i="2"/>
  <c r="R3" i="2"/>
  <c r="Q3" i="2"/>
  <c r="P3" i="2"/>
  <c r="C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C4" i="2"/>
  <c r="D4" i="2"/>
  <c r="E4" i="2"/>
  <c r="F4" i="2"/>
  <c r="G4" i="2"/>
  <c r="H4" i="2"/>
  <c r="C5" i="2"/>
  <c r="D5" i="2"/>
  <c r="E5" i="2"/>
  <c r="F5" i="2"/>
  <c r="G5" i="2"/>
  <c r="H5" i="2"/>
  <c r="C6" i="2"/>
  <c r="D6" i="2"/>
  <c r="E6" i="2"/>
  <c r="F6" i="2"/>
  <c r="G6" i="2"/>
  <c r="H6" i="2"/>
  <c r="C7" i="2"/>
  <c r="D7" i="2"/>
  <c r="E7" i="2"/>
  <c r="F7" i="2"/>
  <c r="G7" i="2"/>
  <c r="H7" i="2"/>
  <c r="C8" i="2"/>
  <c r="D8" i="2"/>
  <c r="E8" i="2"/>
  <c r="F8" i="2"/>
  <c r="G8" i="2"/>
  <c r="H8" i="2"/>
  <c r="C9" i="2"/>
  <c r="D9" i="2"/>
  <c r="E9" i="2"/>
  <c r="F9" i="2"/>
  <c r="G9" i="2"/>
  <c r="H9" i="2"/>
  <c r="C10" i="2"/>
  <c r="D10" i="2"/>
  <c r="E10" i="2"/>
  <c r="F10" i="2"/>
  <c r="G10" i="2"/>
  <c r="H10" i="2"/>
  <c r="C11" i="2"/>
  <c r="D11" i="2"/>
  <c r="E11" i="2"/>
  <c r="F11" i="2"/>
  <c r="G11" i="2"/>
  <c r="H11" i="2"/>
  <c r="C12" i="2"/>
  <c r="D12" i="2"/>
  <c r="E12" i="2"/>
  <c r="F12" i="2"/>
  <c r="G12" i="2"/>
  <c r="H12" i="2"/>
  <c r="C13" i="2"/>
  <c r="D13" i="2"/>
  <c r="E13" i="2"/>
  <c r="F13" i="2"/>
  <c r="G13" i="2"/>
  <c r="H13" i="2"/>
  <c r="C14" i="2"/>
  <c r="D14" i="2"/>
  <c r="E14" i="2"/>
  <c r="F14" i="2"/>
  <c r="G14" i="2"/>
  <c r="H14" i="2"/>
  <c r="C15" i="2"/>
  <c r="D15" i="2"/>
  <c r="E15" i="2"/>
  <c r="F15" i="2"/>
  <c r="G15" i="2"/>
  <c r="H15" i="2"/>
  <c r="C16" i="2"/>
  <c r="D16" i="2"/>
  <c r="E16" i="2"/>
  <c r="F16" i="2"/>
  <c r="G16" i="2"/>
  <c r="H16" i="2"/>
  <c r="C17" i="2"/>
  <c r="D17" i="2"/>
  <c r="E17" i="2"/>
  <c r="F17" i="2"/>
  <c r="G17" i="2"/>
  <c r="D3" i="2"/>
  <c r="E3" i="2"/>
  <c r="F3" i="2"/>
  <c r="G3" i="2"/>
  <c r="H3" i="2"/>
  <c r="T62" i="1"/>
  <c r="Y54" i="1"/>
  <c r="J9" i="1"/>
  <c r="J10" i="1"/>
  <c r="K10" i="1" s="1"/>
  <c r="Y39" i="1" s="1"/>
  <c r="AB34" i="1"/>
  <c r="K27" i="1"/>
  <c r="K25" i="1"/>
  <c r="AA34" i="1"/>
  <c r="Z34" i="1"/>
  <c r="Z35" i="1"/>
  <c r="Z36" i="1"/>
  <c r="Z37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33" i="1"/>
  <c r="Y34" i="1"/>
  <c r="Y35" i="1"/>
  <c r="Y36" i="1"/>
  <c r="Y37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5" i="1"/>
  <c r="Y56" i="1"/>
  <c r="Y57" i="1"/>
  <c r="Y58" i="1"/>
  <c r="Y33" i="1"/>
  <c r="K33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2" i="1"/>
  <c r="R58" i="1"/>
  <c r="S54" i="1"/>
  <c r="T54" i="1"/>
  <c r="W54" i="1"/>
  <c r="K28" i="1"/>
  <c r="L28" i="1"/>
  <c r="L26" i="1"/>
  <c r="L24" i="1"/>
  <c r="L23" i="1"/>
  <c r="L52" i="1" s="1"/>
  <c r="L22" i="1"/>
  <c r="L21" i="1"/>
  <c r="L5" i="1"/>
  <c r="L6" i="1"/>
  <c r="L11" i="1"/>
  <c r="L12" i="1"/>
  <c r="L13" i="1"/>
  <c r="L4" i="1"/>
  <c r="R55" i="1"/>
  <c r="R56" i="1" s="1"/>
  <c r="R53" i="1"/>
  <c r="R54" i="1" s="1"/>
  <c r="S29" i="1"/>
  <c r="T29" i="1"/>
  <c r="U29" i="1"/>
  <c r="V29" i="1"/>
  <c r="W29" i="1"/>
  <c r="R29" i="1"/>
  <c r="S27" i="1"/>
  <c r="T27" i="1"/>
  <c r="U27" i="1"/>
  <c r="V27" i="1"/>
  <c r="W27" i="1"/>
  <c r="R27" i="1"/>
  <c r="S25" i="1"/>
  <c r="T25" i="1"/>
  <c r="U25" i="1"/>
  <c r="V25" i="1"/>
  <c r="W25" i="1"/>
  <c r="R25" i="1"/>
  <c r="J26" i="1"/>
  <c r="J27" i="1" s="1"/>
  <c r="L27" i="1" s="1"/>
  <c r="E25" i="1"/>
  <c r="F25" i="1"/>
  <c r="D25" i="1"/>
  <c r="J29" i="1"/>
  <c r="M29" i="1" s="1"/>
  <c r="D29" i="1"/>
  <c r="E29" i="1"/>
  <c r="F29" i="1"/>
  <c r="I29" i="1" s="1"/>
  <c r="G29" i="1"/>
  <c r="H29" i="1"/>
  <c r="R57" i="1"/>
  <c r="S57" i="1"/>
  <c r="T57" i="1"/>
  <c r="T63" i="1" s="1"/>
  <c r="U57" i="1"/>
  <c r="U63" i="1" s="1"/>
  <c r="V57" i="1"/>
  <c r="W57" i="1"/>
  <c r="S53" i="1"/>
  <c r="T53" i="1"/>
  <c r="U53" i="1"/>
  <c r="U61" i="1" s="1"/>
  <c r="V53" i="1"/>
  <c r="V61" i="1" s="1"/>
  <c r="W53" i="1"/>
  <c r="S55" i="1"/>
  <c r="T55" i="1"/>
  <c r="U55" i="1"/>
  <c r="V55" i="1"/>
  <c r="W55" i="1"/>
  <c r="J19" i="1"/>
  <c r="J28" i="1"/>
  <c r="K26" i="1"/>
  <c r="K24" i="1"/>
  <c r="X24" i="1" s="1"/>
  <c r="K23" i="1"/>
  <c r="K22" i="1"/>
  <c r="K51" i="1" s="1"/>
  <c r="J24" i="1"/>
  <c r="Z24" i="1" s="1"/>
  <c r="G28" i="1"/>
  <c r="H28" i="1"/>
  <c r="I28" i="1"/>
  <c r="G24" i="1"/>
  <c r="H24" i="1"/>
  <c r="I24" i="1"/>
  <c r="G26" i="1"/>
  <c r="H26" i="1"/>
  <c r="I26" i="1"/>
  <c r="R34" i="1"/>
  <c r="S34" i="1"/>
  <c r="T34" i="1"/>
  <c r="U34" i="1"/>
  <c r="V34" i="1"/>
  <c r="W34" i="1"/>
  <c r="R35" i="1"/>
  <c r="S35" i="1"/>
  <c r="T35" i="1"/>
  <c r="U35" i="1"/>
  <c r="V35" i="1"/>
  <c r="W35" i="1"/>
  <c r="R36" i="1"/>
  <c r="S36" i="1"/>
  <c r="T36" i="1"/>
  <c r="U36" i="1"/>
  <c r="V36" i="1"/>
  <c r="W36" i="1"/>
  <c r="R38" i="1"/>
  <c r="S38" i="1"/>
  <c r="T38" i="1"/>
  <c r="U38" i="1"/>
  <c r="V38" i="1"/>
  <c r="W38" i="1"/>
  <c r="R40" i="1"/>
  <c r="S40" i="1"/>
  <c r="T40" i="1"/>
  <c r="U40" i="1"/>
  <c r="V40" i="1"/>
  <c r="W40" i="1"/>
  <c r="R41" i="1"/>
  <c r="S41" i="1"/>
  <c r="T41" i="1"/>
  <c r="U41" i="1"/>
  <c r="V41" i="1"/>
  <c r="W41" i="1"/>
  <c r="R42" i="1"/>
  <c r="S42" i="1"/>
  <c r="T42" i="1"/>
  <c r="U42" i="1"/>
  <c r="V42" i="1"/>
  <c r="W42" i="1"/>
  <c r="R43" i="1"/>
  <c r="S43" i="1"/>
  <c r="T43" i="1"/>
  <c r="U43" i="1"/>
  <c r="V43" i="1"/>
  <c r="W43" i="1"/>
  <c r="R45" i="1"/>
  <c r="S45" i="1"/>
  <c r="T45" i="1"/>
  <c r="U45" i="1"/>
  <c r="V45" i="1"/>
  <c r="W45" i="1"/>
  <c r="R46" i="1"/>
  <c r="S46" i="1"/>
  <c r="T46" i="1"/>
  <c r="U46" i="1"/>
  <c r="V46" i="1"/>
  <c r="W46" i="1"/>
  <c r="R48" i="1"/>
  <c r="S48" i="1"/>
  <c r="T48" i="1"/>
  <c r="U48" i="1"/>
  <c r="V48" i="1"/>
  <c r="W48" i="1"/>
  <c r="R50" i="1"/>
  <c r="S50" i="1"/>
  <c r="T50" i="1"/>
  <c r="U50" i="1"/>
  <c r="V50" i="1"/>
  <c r="W50" i="1"/>
  <c r="R51" i="1"/>
  <c r="S51" i="1"/>
  <c r="T51" i="1"/>
  <c r="U51" i="1"/>
  <c r="V51" i="1"/>
  <c r="W51" i="1"/>
  <c r="R52" i="1"/>
  <c r="S52" i="1"/>
  <c r="T52" i="1"/>
  <c r="U52" i="1"/>
  <c r="V52" i="1"/>
  <c r="W52" i="1"/>
  <c r="S33" i="1"/>
  <c r="T33" i="1"/>
  <c r="U33" i="1"/>
  <c r="V33" i="1"/>
  <c r="W33" i="1"/>
  <c r="R33" i="1"/>
  <c r="Z7" i="2" l="1"/>
  <c r="AH3" i="2"/>
  <c r="AJ3" i="2" s="1"/>
  <c r="AH17" i="2"/>
  <c r="AJ17" i="2" s="1"/>
  <c r="AH8" i="2"/>
  <c r="AJ8" i="2" s="1"/>
  <c r="AH10" i="2"/>
  <c r="AJ10" i="2" s="1"/>
  <c r="AH15" i="2"/>
  <c r="AJ15" i="2" s="1"/>
  <c r="AH6" i="2"/>
  <c r="AJ6" i="2" s="1"/>
  <c r="V10" i="2"/>
  <c r="Z10" i="2" s="1"/>
  <c r="V12" i="2"/>
  <c r="Z12" i="2" s="1"/>
  <c r="V17" i="2"/>
  <c r="V3" i="2"/>
  <c r="Y12" i="2"/>
  <c r="V8" i="2"/>
  <c r="I15" i="2"/>
  <c r="L15" i="2" s="1"/>
  <c r="I5" i="2"/>
  <c r="M5" i="2" s="1"/>
  <c r="I10" i="2"/>
  <c r="L10" i="2" s="1"/>
  <c r="I14" i="2"/>
  <c r="L14" i="2" s="1"/>
  <c r="I17" i="2"/>
  <c r="L17" i="2" s="1"/>
  <c r="V62" i="1"/>
  <c r="T56" i="1"/>
  <c r="W56" i="1"/>
  <c r="U62" i="1"/>
  <c r="S56" i="1"/>
  <c r="V54" i="1"/>
  <c r="U54" i="1"/>
  <c r="T58" i="1"/>
  <c r="V56" i="1"/>
  <c r="U56" i="1"/>
  <c r="W58" i="1"/>
  <c r="V58" i="1"/>
  <c r="U58" i="1"/>
  <c r="S58" i="1"/>
  <c r="R61" i="1"/>
  <c r="X33" i="1"/>
  <c r="I9" i="2"/>
  <c r="L9" i="2" s="1"/>
  <c r="I4" i="2"/>
  <c r="L4" i="2" s="1"/>
  <c r="V11" i="2"/>
  <c r="L5" i="2"/>
  <c r="I13" i="2"/>
  <c r="L13" i="2" s="1"/>
  <c r="I6" i="2"/>
  <c r="L6" i="2" s="1"/>
  <c r="I8" i="2"/>
  <c r="M8" i="2" s="1"/>
  <c r="I12" i="2"/>
  <c r="L12" i="2" s="1"/>
  <c r="I16" i="2"/>
  <c r="I11" i="2"/>
  <c r="I3" i="2"/>
  <c r="M3" i="2" s="1"/>
  <c r="Y3" i="2"/>
  <c r="I7" i="2"/>
  <c r="L7" i="2" s="1"/>
  <c r="V9" i="2"/>
  <c r="Z9" i="2" s="1"/>
  <c r="Z3" i="2"/>
  <c r="AH7" i="2"/>
  <c r="AJ7" i="2" s="1"/>
  <c r="L16" i="2"/>
  <c r="M16" i="2"/>
  <c r="Z17" i="2"/>
  <c r="Y17" i="2"/>
  <c r="L11" i="2"/>
  <c r="M11" i="2"/>
  <c r="Y14" i="2"/>
  <c r="M14" i="2"/>
  <c r="V15" i="2"/>
  <c r="Y11" i="2"/>
  <c r="V6" i="2"/>
  <c r="Y10" i="2"/>
  <c r="AH4" i="2"/>
  <c r="AJ4" i="2" s="1"/>
  <c r="Z14" i="2"/>
  <c r="AH5" i="2"/>
  <c r="AJ5" i="2" s="1"/>
  <c r="M10" i="2"/>
  <c r="AH13" i="2"/>
  <c r="AJ13" i="2" s="1"/>
  <c r="AH9" i="2"/>
  <c r="AJ9" i="2" s="1"/>
  <c r="Z16" i="2"/>
  <c r="Z11" i="2"/>
  <c r="V13" i="2"/>
  <c r="AH11" i="2"/>
  <c r="AJ11" i="2" s="1"/>
  <c r="V4" i="2"/>
  <c r="AH16" i="2"/>
  <c r="AJ16" i="2" s="1"/>
  <c r="M17" i="2"/>
  <c r="S62" i="1"/>
  <c r="X51" i="1"/>
  <c r="X43" i="1"/>
  <c r="R62" i="1"/>
  <c r="X50" i="1"/>
  <c r="X52" i="1"/>
  <c r="W62" i="1"/>
  <c r="X42" i="1"/>
  <c r="W61" i="1"/>
  <c r="X57" i="1"/>
  <c r="X41" i="1"/>
  <c r="W63" i="1"/>
  <c r="X55" i="1"/>
  <c r="X53" i="1"/>
  <c r="X34" i="1"/>
  <c r="V63" i="1"/>
  <c r="X45" i="1"/>
  <c r="AA45" i="1" s="1"/>
  <c r="X38" i="1"/>
  <c r="X36" i="1"/>
  <c r="S61" i="1"/>
  <c r="X46" i="1"/>
  <c r="AA46" i="1" s="1"/>
  <c r="S63" i="1"/>
  <c r="X35" i="1"/>
  <c r="X48" i="1"/>
  <c r="AA48" i="1" s="1"/>
  <c r="K29" i="1"/>
  <c r="N29" i="1" s="1"/>
  <c r="X40" i="1"/>
  <c r="R63" i="1"/>
  <c r="N26" i="1"/>
  <c r="J25" i="1"/>
  <c r="L25" i="1" s="1"/>
  <c r="T61" i="1"/>
  <c r="L29" i="1"/>
  <c r="M24" i="1"/>
  <c r="AB24" i="1" s="1"/>
  <c r="X28" i="1"/>
  <c r="Y28" i="1"/>
  <c r="Y26" i="1"/>
  <c r="X26" i="1"/>
  <c r="AA24" i="1"/>
  <c r="Y24" i="1"/>
  <c r="M28" i="1"/>
  <c r="N28" i="1"/>
  <c r="M26" i="1"/>
  <c r="N24" i="1"/>
  <c r="H66" i="1" a="1"/>
  <c r="H66" i="1" s="1"/>
  <c r="H67" i="1" s="1"/>
  <c r="Z8" i="2" l="1"/>
  <c r="Y8" i="2"/>
  <c r="Y9" i="2"/>
  <c r="M9" i="2"/>
  <c r="M13" i="2"/>
  <c r="M4" i="2"/>
  <c r="L8" i="2"/>
  <c r="M6" i="2"/>
  <c r="M15" i="2"/>
  <c r="AA55" i="1"/>
  <c r="AB55" i="1"/>
  <c r="AA57" i="1"/>
  <c r="AB57" i="1"/>
  <c r="AB53" i="1"/>
  <c r="AA53" i="1"/>
  <c r="X58" i="1"/>
  <c r="AA52" i="1"/>
  <c r="AB52" i="1"/>
  <c r="X56" i="1"/>
  <c r="X54" i="1"/>
  <c r="AB50" i="1"/>
  <c r="AA50" i="1"/>
  <c r="AB51" i="1"/>
  <c r="AA51" i="1"/>
  <c r="AA33" i="1"/>
  <c r="AB33" i="1"/>
  <c r="AB36" i="1"/>
  <c r="AA36" i="1"/>
  <c r="AB35" i="1"/>
  <c r="AA35" i="1"/>
  <c r="AB43" i="1"/>
  <c r="AA43" i="1"/>
  <c r="AB42" i="1"/>
  <c r="AA42" i="1"/>
  <c r="AA40" i="1"/>
  <c r="AB40" i="1"/>
  <c r="AA41" i="1"/>
  <c r="AB41" i="1"/>
  <c r="M7" i="2"/>
  <c r="L3" i="2"/>
  <c r="M12" i="2"/>
  <c r="Z15" i="2"/>
  <c r="Y15" i="2"/>
  <c r="Z13" i="2"/>
  <c r="Y13" i="2"/>
  <c r="Y4" i="2"/>
  <c r="Z4" i="2"/>
  <c r="Y6" i="2"/>
  <c r="Z6" i="2"/>
  <c r="AC24" i="1"/>
  <c r="AD24" i="1" s="1"/>
  <c r="AB28" i="1"/>
  <c r="AC28" i="1"/>
  <c r="AB26" i="1"/>
  <c r="AC26" i="1"/>
  <c r="Z28" i="1"/>
  <c r="AA28" i="1"/>
  <c r="Z26" i="1"/>
  <c r="AA26" i="1"/>
  <c r="M67" i="1"/>
  <c r="L67" i="1"/>
  <c r="K67" i="1"/>
  <c r="J67" i="1"/>
  <c r="I67" i="1"/>
  <c r="AB54" i="1" l="1"/>
  <c r="AA54" i="1"/>
  <c r="AA56" i="1"/>
  <c r="AB56" i="1"/>
  <c r="AB58" i="1"/>
  <c r="AA58" i="1"/>
  <c r="AD26" i="1"/>
  <c r="AD28" i="1"/>
  <c r="AF53" i="1"/>
  <c r="AF55" i="1"/>
  <c r="AF57" i="1"/>
  <c r="L45" i="1"/>
  <c r="M45" i="1"/>
  <c r="L46" i="1"/>
  <c r="M46" i="1"/>
  <c r="L47" i="1"/>
  <c r="M47" i="1"/>
  <c r="L48" i="1"/>
  <c r="M48" i="1"/>
  <c r="L49" i="1"/>
  <c r="M49" i="1"/>
  <c r="S20" i="1" l="1"/>
  <c r="S49" i="1" s="1"/>
  <c r="T20" i="1"/>
  <c r="T49" i="1" s="1"/>
  <c r="U20" i="1"/>
  <c r="U49" i="1" s="1"/>
  <c r="V20" i="1"/>
  <c r="V49" i="1" s="1"/>
  <c r="W20" i="1"/>
  <c r="W49" i="1" s="1"/>
  <c r="R20" i="1"/>
  <c r="R49" i="1" s="1"/>
  <c r="X49" i="1" l="1"/>
  <c r="AA49" i="1" s="1"/>
  <c r="S18" i="1"/>
  <c r="S47" i="1" s="1"/>
  <c r="T18" i="1"/>
  <c r="T47" i="1" s="1"/>
  <c r="U18" i="1"/>
  <c r="U47" i="1" s="1"/>
  <c r="V18" i="1"/>
  <c r="V47" i="1" s="1"/>
  <c r="W18" i="1"/>
  <c r="W47" i="1" s="1"/>
  <c r="R18" i="1"/>
  <c r="R47" i="1" s="1"/>
  <c r="X47" i="1" l="1"/>
  <c r="AA47" i="1" s="1"/>
  <c r="S15" i="1"/>
  <c r="S44" i="1" s="1"/>
  <c r="T15" i="1"/>
  <c r="T44" i="1" s="1"/>
  <c r="U15" i="1"/>
  <c r="U44" i="1" s="1"/>
  <c r="V15" i="1"/>
  <c r="V44" i="1" s="1"/>
  <c r="W15" i="1"/>
  <c r="W44" i="1" s="1"/>
  <c r="R15" i="1"/>
  <c r="R44" i="1" s="1"/>
  <c r="X44" i="1" l="1"/>
  <c r="S10" i="1"/>
  <c r="S39" i="1" s="1"/>
  <c r="T10" i="1"/>
  <c r="T39" i="1" s="1"/>
  <c r="U10" i="1"/>
  <c r="U39" i="1" s="1"/>
  <c r="V10" i="1"/>
  <c r="V39" i="1" s="1"/>
  <c r="W10" i="1"/>
  <c r="W39" i="1" s="1"/>
  <c r="R10" i="1"/>
  <c r="R39" i="1" s="1"/>
  <c r="AA44" i="1" l="1"/>
  <c r="AB44" i="1"/>
  <c r="X39" i="1"/>
  <c r="AA39" i="1" s="1"/>
  <c r="R8" i="1"/>
  <c r="R37" i="1" s="1"/>
  <c r="S8" i="1"/>
  <c r="S37" i="1" s="1"/>
  <c r="T8" i="1"/>
  <c r="T37" i="1" s="1"/>
  <c r="U8" i="1"/>
  <c r="U37" i="1" s="1"/>
  <c r="V8" i="1"/>
  <c r="V37" i="1" s="1"/>
  <c r="W8" i="1"/>
  <c r="W37" i="1" s="1"/>
  <c r="X37" i="1" l="1"/>
  <c r="M22" i="1"/>
  <c r="M23" i="1"/>
  <c r="M52" i="1" s="1"/>
  <c r="M21" i="1"/>
  <c r="M5" i="1"/>
  <c r="M6" i="1"/>
  <c r="M11" i="1"/>
  <c r="M40" i="1" s="1"/>
  <c r="M12" i="1"/>
  <c r="M13" i="1"/>
  <c r="M4" i="1"/>
  <c r="L40" i="1"/>
  <c r="K11" i="1"/>
  <c r="K40" i="1" s="1"/>
  <c r="Y11" i="1"/>
  <c r="X11" i="1"/>
  <c r="I23" i="1"/>
  <c r="G23" i="1"/>
  <c r="H23" i="1"/>
  <c r="D20" i="1"/>
  <c r="G20" i="1" s="1"/>
  <c r="K21" i="1"/>
  <c r="K5" i="1"/>
  <c r="K6" i="1"/>
  <c r="K35" i="1" s="1"/>
  <c r="K12" i="1"/>
  <c r="K13" i="1"/>
  <c r="K4" i="1"/>
  <c r="I22" i="1"/>
  <c r="H22" i="1"/>
  <c r="G22" i="1"/>
  <c r="E10" i="1"/>
  <c r="H10" i="1" s="1"/>
  <c r="F10" i="1"/>
  <c r="I10" i="1" s="1"/>
  <c r="D10" i="1"/>
  <c r="G10" i="1" s="1"/>
  <c r="E8" i="1"/>
  <c r="H8" i="1" s="1"/>
  <c r="F8" i="1"/>
  <c r="I8" i="1" s="1"/>
  <c r="D8" i="1"/>
  <c r="G8" i="1" s="1"/>
  <c r="K17" i="1"/>
  <c r="K19" i="1"/>
  <c r="E20" i="1"/>
  <c r="H20" i="1" s="1"/>
  <c r="F20" i="1"/>
  <c r="I20" i="1" s="1"/>
  <c r="H19" i="1"/>
  <c r="I19" i="1"/>
  <c r="G19" i="1"/>
  <c r="D18" i="1"/>
  <c r="G18" i="1" s="1"/>
  <c r="D15" i="1"/>
  <c r="G15" i="1" s="1"/>
  <c r="H21" i="1"/>
  <c r="G21" i="1"/>
  <c r="G5" i="1"/>
  <c r="H5" i="1"/>
  <c r="G6" i="1"/>
  <c r="H6" i="1"/>
  <c r="G7" i="1"/>
  <c r="H7" i="1"/>
  <c r="G9" i="1"/>
  <c r="H9" i="1"/>
  <c r="G11" i="1"/>
  <c r="H11" i="1"/>
  <c r="G12" i="1"/>
  <c r="H12" i="1"/>
  <c r="G13" i="1"/>
  <c r="H13" i="1"/>
  <c r="G14" i="1"/>
  <c r="H14" i="1"/>
  <c r="G16" i="1"/>
  <c r="H16" i="1"/>
  <c r="G17" i="1"/>
  <c r="H17" i="1"/>
  <c r="G4" i="1"/>
  <c r="I21" i="1"/>
  <c r="E15" i="1"/>
  <c r="H15" i="1" s="1"/>
  <c r="F15" i="1"/>
  <c r="I15" i="1" s="1"/>
  <c r="E18" i="1"/>
  <c r="H18" i="1" s="1"/>
  <c r="F18" i="1"/>
  <c r="I18" i="1" s="1"/>
  <c r="J18" i="1"/>
  <c r="K16" i="1"/>
  <c r="I17" i="1"/>
  <c r="I16" i="1"/>
  <c r="J14" i="1"/>
  <c r="J7" i="1"/>
  <c r="I5" i="1"/>
  <c r="I6" i="1"/>
  <c r="I7" i="1"/>
  <c r="I9" i="1"/>
  <c r="I11" i="1"/>
  <c r="I12" i="1"/>
  <c r="I13" i="1"/>
  <c r="I14" i="1"/>
  <c r="I4" i="1"/>
  <c r="H4" i="1"/>
  <c r="AA37" i="1" l="1"/>
  <c r="AB37" i="1"/>
  <c r="K7" i="1"/>
  <c r="L7" i="1"/>
  <c r="K14" i="1"/>
  <c r="L14" i="1"/>
  <c r="M14" i="1"/>
  <c r="N6" i="1"/>
  <c r="Z11" i="1"/>
  <c r="AA11" i="1"/>
  <c r="L34" i="1"/>
  <c r="Z5" i="1"/>
  <c r="AA5" i="1"/>
  <c r="L51" i="1"/>
  <c r="Z22" i="1"/>
  <c r="AA22" i="1"/>
  <c r="X4" i="1"/>
  <c r="Y4" i="1"/>
  <c r="K41" i="1"/>
  <c r="X12" i="1"/>
  <c r="Y12" i="1"/>
  <c r="K36" i="1"/>
  <c r="X7" i="1"/>
  <c r="Y7" i="1"/>
  <c r="M43" i="1"/>
  <c r="AB14" i="1"/>
  <c r="AC14" i="1"/>
  <c r="M41" i="1"/>
  <c r="AC12" i="1"/>
  <c r="AB12" i="1"/>
  <c r="X23" i="1"/>
  <c r="Y23" i="1"/>
  <c r="L36" i="1"/>
  <c r="Z7" i="1"/>
  <c r="AA7" i="1"/>
  <c r="L35" i="1"/>
  <c r="AA6" i="1"/>
  <c r="Z6" i="1"/>
  <c r="L50" i="1"/>
  <c r="AA21" i="1"/>
  <c r="Z21" i="1"/>
  <c r="K42" i="1"/>
  <c r="Y13" i="1"/>
  <c r="X13" i="1"/>
  <c r="K34" i="1"/>
  <c r="X5" i="1"/>
  <c r="Y5" i="1"/>
  <c r="K43" i="1"/>
  <c r="Y14" i="1"/>
  <c r="X14" i="1"/>
  <c r="K50" i="1"/>
  <c r="X21" i="1"/>
  <c r="Y21" i="1"/>
  <c r="M7" i="1"/>
  <c r="M35" i="1"/>
  <c r="AC6" i="1"/>
  <c r="AB6" i="1"/>
  <c r="M34" i="1"/>
  <c r="AB5" i="1"/>
  <c r="AC5" i="1"/>
  <c r="L33" i="1"/>
  <c r="Z4" i="1"/>
  <c r="AA4" i="1"/>
  <c r="K48" i="1"/>
  <c r="X19" i="1"/>
  <c r="Y19" i="1"/>
  <c r="AC11" i="1"/>
  <c r="Z23" i="1"/>
  <c r="AA23" i="1"/>
  <c r="M33" i="1"/>
  <c r="AB4" i="1"/>
  <c r="AC4" i="1"/>
  <c r="X6" i="1"/>
  <c r="Y6" i="1"/>
  <c r="M42" i="1"/>
  <c r="AB13" i="1"/>
  <c r="AC13" i="1"/>
  <c r="X22" i="1"/>
  <c r="Y22" i="1"/>
  <c r="K45" i="1"/>
  <c r="Y16" i="1"/>
  <c r="X16" i="1"/>
  <c r="M50" i="1"/>
  <c r="AB21" i="1"/>
  <c r="AC21" i="1"/>
  <c r="AB23" i="1"/>
  <c r="AC23" i="1"/>
  <c r="M51" i="1"/>
  <c r="AB22" i="1"/>
  <c r="AC22" i="1"/>
  <c r="K46" i="1"/>
  <c r="X17" i="1"/>
  <c r="Y17" i="1"/>
  <c r="L42" i="1"/>
  <c r="Z13" i="1"/>
  <c r="AA13" i="1"/>
  <c r="L41" i="1"/>
  <c r="Z12" i="1"/>
  <c r="AA12" i="1"/>
  <c r="AB11" i="1"/>
  <c r="J8" i="1"/>
  <c r="L8" i="1" s="1"/>
  <c r="N7" i="1"/>
  <c r="N5" i="1"/>
  <c r="N16" i="1"/>
  <c r="N23" i="1"/>
  <c r="N22" i="1"/>
  <c r="N13" i="1"/>
  <c r="N12" i="1"/>
  <c r="N11" i="1"/>
  <c r="N17" i="1"/>
  <c r="N14" i="1"/>
  <c r="N21" i="1"/>
  <c r="N4" i="1"/>
  <c r="K20" i="1"/>
  <c r="J20" i="1"/>
  <c r="N19" i="1"/>
  <c r="L9" i="1"/>
  <c r="Z38" i="1" s="1"/>
  <c r="AB38" i="1" s="1"/>
  <c r="K18" i="1"/>
  <c r="J15" i="1"/>
  <c r="L15" i="1" s="1"/>
  <c r="AD11" i="1" l="1"/>
  <c r="AF40" i="1"/>
  <c r="AD23" i="1"/>
  <c r="AD6" i="1"/>
  <c r="AD21" i="1"/>
  <c r="AF50" i="1"/>
  <c r="AD17" i="1"/>
  <c r="AD12" i="1"/>
  <c r="K15" i="1"/>
  <c r="M15" i="1"/>
  <c r="AD5" i="1"/>
  <c r="N18" i="1"/>
  <c r="K47" i="1"/>
  <c r="X18" i="1"/>
  <c r="Y18" i="1"/>
  <c r="AF34" i="1"/>
  <c r="M9" i="1"/>
  <c r="AD22" i="1"/>
  <c r="AD13" i="1"/>
  <c r="AD4" i="1"/>
  <c r="N20" i="1"/>
  <c r="K49" i="1"/>
  <c r="X20" i="1"/>
  <c r="Y20" i="1"/>
  <c r="AF45" i="1"/>
  <c r="M36" i="1"/>
  <c r="AB7" i="1"/>
  <c r="AC7" i="1"/>
  <c r="L43" i="1"/>
  <c r="Z14" i="1"/>
  <c r="AA14" i="1"/>
  <c r="AD19" i="1"/>
  <c r="AF48" i="1"/>
  <c r="K8" i="1"/>
  <c r="M8" i="1"/>
  <c r="AF52" i="1"/>
  <c r="AD16" i="1"/>
  <c r="K9" i="1"/>
  <c r="Y38" i="1" s="1"/>
  <c r="AA38" i="1" s="1"/>
  <c r="L10" i="1"/>
  <c r="Z39" i="1" s="1"/>
  <c r="AB39" i="1" s="1"/>
  <c r="AC58" i="1" l="1"/>
  <c r="AC33" i="1"/>
  <c r="AD33" i="1" s="1"/>
  <c r="AC34" i="1"/>
  <c r="AD34" i="1" s="1"/>
  <c r="AI34" i="1" s="1"/>
  <c r="AC35" i="1"/>
  <c r="AD35" i="1" s="1"/>
  <c r="AC36" i="1"/>
  <c r="AD36" i="1" s="1"/>
  <c r="AC37" i="1"/>
  <c r="AC38" i="1"/>
  <c r="AC40" i="1"/>
  <c r="AD40" i="1" s="1"/>
  <c r="AI40" i="1" s="1"/>
  <c r="AC41" i="1"/>
  <c r="AD41" i="1" s="1"/>
  <c r="AI41" i="1" s="1"/>
  <c r="AC42" i="1"/>
  <c r="AD42" i="1" s="1"/>
  <c r="AC43" i="1"/>
  <c r="AD43" i="1" s="1"/>
  <c r="AE43" i="1" s="1"/>
  <c r="AC44" i="1"/>
  <c r="AC45" i="1"/>
  <c r="AD45" i="1" s="1"/>
  <c r="AI45" i="1" s="1"/>
  <c r="AC46" i="1"/>
  <c r="AD46" i="1" s="1"/>
  <c r="AI46" i="1" s="1"/>
  <c r="AC47" i="1"/>
  <c r="AD47" i="1" s="1"/>
  <c r="AC48" i="1"/>
  <c r="AD48" i="1" s="1"/>
  <c r="AI48" i="1" s="1"/>
  <c r="AC49" i="1"/>
  <c r="AD49" i="1" s="1"/>
  <c r="AC50" i="1"/>
  <c r="AD50" i="1" s="1"/>
  <c r="AC51" i="1"/>
  <c r="AD51" i="1" s="1"/>
  <c r="AC52" i="1"/>
  <c r="AD52" i="1" s="1"/>
  <c r="AI52" i="1" s="1"/>
  <c r="AC53" i="1"/>
  <c r="AD53" i="1" s="1"/>
  <c r="AC54" i="1"/>
  <c r="AC55" i="1"/>
  <c r="AD55" i="1" s="1"/>
  <c r="AC56" i="1"/>
  <c r="AC57" i="1"/>
  <c r="AD57" i="1" s="1"/>
  <c r="AC39" i="1"/>
  <c r="AF51" i="1"/>
  <c r="AF42" i="1"/>
  <c r="AF41" i="1"/>
  <c r="AF46" i="1"/>
  <c r="AF43" i="1"/>
  <c r="AF35" i="1"/>
  <c r="AF33" i="1"/>
  <c r="AD7" i="1"/>
  <c r="L38" i="1"/>
  <c r="Z9" i="1"/>
  <c r="AA9" i="1"/>
  <c r="AF49" i="1"/>
  <c r="N9" i="1"/>
  <c r="K38" i="1"/>
  <c r="Y9" i="1"/>
  <c r="X9" i="1"/>
  <c r="AD18" i="1"/>
  <c r="AF47" i="1"/>
  <c r="AD20" i="1"/>
  <c r="M38" i="1"/>
  <c r="AB9" i="1"/>
  <c r="AC9" i="1"/>
  <c r="M10" i="1"/>
  <c r="AD14" i="1"/>
  <c r="M44" i="1"/>
  <c r="AB15" i="1"/>
  <c r="AC15" i="1"/>
  <c r="M37" i="1"/>
  <c r="AB8" i="1"/>
  <c r="AC8" i="1"/>
  <c r="L44" i="1"/>
  <c r="Z15" i="1"/>
  <c r="AA15" i="1"/>
  <c r="L37" i="1"/>
  <c r="Z8" i="1"/>
  <c r="AA8" i="1"/>
  <c r="N15" i="1"/>
  <c r="K44" i="1"/>
  <c r="Y15" i="1"/>
  <c r="X15" i="1"/>
  <c r="N8" i="1"/>
  <c r="K37" i="1"/>
  <c r="X8" i="1"/>
  <c r="Y8" i="1"/>
  <c r="AI51" i="1" l="1"/>
  <c r="AE35" i="1"/>
  <c r="AE40" i="1"/>
  <c r="AE48" i="1"/>
  <c r="AE45" i="1"/>
  <c r="AE50" i="1"/>
  <c r="AI50" i="1"/>
  <c r="AE53" i="1"/>
  <c r="AI53" i="1"/>
  <c r="AE46" i="1"/>
  <c r="AI55" i="1"/>
  <c r="AE55" i="1"/>
  <c r="AE57" i="1"/>
  <c r="AI57" i="1"/>
  <c r="AE42" i="1"/>
  <c r="AE51" i="1"/>
  <c r="AI42" i="1"/>
  <c r="AI33" i="1"/>
  <c r="AI47" i="1"/>
  <c r="O22" i="1"/>
  <c r="O16" i="1"/>
  <c r="O23" i="1"/>
  <c r="O18" i="1"/>
  <c r="O6" i="1"/>
  <c r="AI49" i="1"/>
  <c r="AI43" i="1"/>
  <c r="AI35" i="1"/>
  <c r="AF36" i="1"/>
  <c r="AI36" i="1" s="1"/>
  <c r="AE49" i="1"/>
  <c r="AE47" i="1"/>
  <c r="AE34" i="1"/>
  <c r="AE33" i="1"/>
  <c r="AE52" i="1"/>
  <c r="AE41" i="1"/>
  <c r="M39" i="1"/>
  <c r="AC10" i="1"/>
  <c r="AB10" i="1"/>
  <c r="AD8" i="1"/>
  <c r="L39" i="1"/>
  <c r="Z10" i="1"/>
  <c r="AA10" i="1"/>
  <c r="N10" i="1"/>
  <c r="O15" i="1" s="1"/>
  <c r="K39" i="1"/>
  <c r="Y10" i="1"/>
  <c r="X10" i="1"/>
  <c r="AD15" i="1"/>
  <c r="AD9" i="1"/>
  <c r="O29" i="1" l="1"/>
  <c r="AD10" i="1"/>
  <c r="AG10" i="1" s="1"/>
  <c r="O10" i="1"/>
  <c r="O24" i="1"/>
  <c r="O21" i="1"/>
  <c r="O8" i="1"/>
  <c r="O12" i="1"/>
  <c r="O13" i="1"/>
  <c r="O20" i="1"/>
  <c r="O14" i="1"/>
  <c r="O26" i="1"/>
  <c r="O17" i="1"/>
  <c r="O7" i="1"/>
  <c r="O11" i="1"/>
  <c r="O19" i="1"/>
  <c r="O4" i="1"/>
  <c r="O5" i="1"/>
  <c r="O28" i="1"/>
  <c r="O9" i="1"/>
  <c r="AG15" i="1"/>
  <c r="AG5" i="1"/>
  <c r="AG9" i="1"/>
  <c r="AG11" i="1"/>
  <c r="AG12" i="1"/>
  <c r="AG14" i="1"/>
  <c r="AG20" i="1"/>
  <c r="AG22" i="1"/>
  <c r="AG24" i="1"/>
  <c r="AG17" i="1"/>
  <c r="AG28" i="1"/>
  <c r="AG13" i="1"/>
  <c r="AG16" i="1"/>
  <c r="AG23" i="1"/>
  <c r="AG4" i="1"/>
  <c r="AF38" i="1"/>
  <c r="AD38" i="1"/>
  <c r="AD37" i="1"/>
  <c r="AE36" i="1"/>
  <c r="AF44" i="1"/>
  <c r="AD44" i="1"/>
  <c r="AF37" i="1"/>
  <c r="AG7" i="1" l="1"/>
  <c r="AG21" i="1"/>
  <c r="AG6" i="1"/>
  <c r="AG19" i="1"/>
  <c r="AG8" i="1"/>
  <c r="AG26" i="1"/>
  <c r="AG18" i="1"/>
  <c r="AI38" i="1"/>
  <c r="AI44" i="1"/>
  <c r="AF39" i="1"/>
  <c r="AI37" i="1"/>
  <c r="AD39" i="1"/>
  <c r="AI39" i="1" s="1"/>
  <c r="AG39" i="1" s="1"/>
  <c r="AE37" i="1"/>
  <c r="AE38" i="1"/>
  <c r="AE44" i="1"/>
  <c r="AG33" i="1" l="1"/>
  <c r="AG37" i="1"/>
  <c r="AG41" i="1"/>
  <c r="AG42" i="1"/>
  <c r="AG51" i="1"/>
  <c r="AG48" i="1"/>
  <c r="AG34" i="1"/>
  <c r="AG36" i="1"/>
  <c r="AG35" i="1"/>
  <c r="AG46" i="1"/>
  <c r="AG49" i="1"/>
  <c r="AG47" i="1"/>
  <c r="AG45" i="1"/>
  <c r="AG55" i="1"/>
  <c r="AG52" i="1"/>
  <c r="AG40" i="1"/>
  <c r="AG43" i="1"/>
  <c r="AG53" i="1"/>
  <c r="AG57" i="1"/>
  <c r="AG50" i="1"/>
  <c r="AG44" i="1"/>
  <c r="AG38" i="1"/>
  <c r="AE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<sst xmlns="http://schemas.openxmlformats.org/spreadsheetml/2006/main" count="190" uniqueCount="76">
  <si>
    <t>60 Min APW</t>
  </si>
  <si>
    <t>45 Min APW</t>
  </si>
  <si>
    <t>30 Min APW</t>
  </si>
  <si>
    <t>KM Track</t>
  </si>
  <si>
    <t>Base</t>
  </si>
  <si>
    <t>Bradfield Vaucluse</t>
  </si>
  <si>
    <t>Bradfield Sydenham</t>
  </si>
  <si>
    <t>Bradfield Malabar</t>
  </si>
  <si>
    <t>Bradfield Sydenham &amp; Malabar</t>
  </si>
  <si>
    <t>Bradfield Full</t>
  </si>
  <si>
    <t>2056 Stage 1</t>
  </si>
  <si>
    <t>Net 30</t>
  </si>
  <si>
    <t>Net 45</t>
  </si>
  <si>
    <t>Net 60</t>
  </si>
  <si>
    <t>Cost $B</t>
  </si>
  <si>
    <t xml:space="preserve">Rank </t>
  </si>
  <si>
    <t>Light Rail Extension</t>
  </si>
  <si>
    <t>2056 Stage 1 and 2</t>
  </si>
  <si>
    <t>Light Rail with Oxford Street Rail</t>
  </si>
  <si>
    <t>Marginal Oxford Street</t>
  </si>
  <si>
    <t>Marginal Stage 2 Metro</t>
  </si>
  <si>
    <t>Mills Proposal</t>
  </si>
  <si>
    <t>Extensive Eastern Suburbs Lightrail</t>
  </si>
  <si>
    <t>Marginal Extensive Lightrail</t>
  </si>
  <si>
    <t>Avg Access/Cost</t>
  </si>
  <si>
    <t>Marginal Malabar</t>
  </si>
  <si>
    <t>Marginal Full</t>
  </si>
  <si>
    <t>Mills Proposal Metro</t>
  </si>
  <si>
    <t>Alternative 2056 Metro</t>
  </si>
  <si>
    <t>Accessibility Results</t>
  </si>
  <si>
    <t>Land Value Uplift Results</t>
  </si>
  <si>
    <t>30 Min Lin.</t>
  </si>
  <si>
    <t>45 Min Lin.</t>
  </si>
  <si>
    <t>60 Min Lin.</t>
  </si>
  <si>
    <t>30 Min Log</t>
  </si>
  <si>
    <t>45 Min Log</t>
  </si>
  <si>
    <t>60 Min Log</t>
  </si>
  <si>
    <t>BCR Lin</t>
  </si>
  <si>
    <t>BCR LOG</t>
  </si>
  <si>
    <t>BCR LIN Cheap</t>
  </si>
  <si>
    <t>BCR LOG Cheap</t>
  </si>
  <si>
    <t>BCR LIN Exp</t>
  </si>
  <si>
    <t>BCR LOG Exp</t>
  </si>
  <si>
    <t>BCR Average</t>
  </si>
  <si>
    <t>Cost $B Cheap</t>
  </si>
  <si>
    <t>-</t>
  </si>
  <si>
    <t>Scenario</t>
  </si>
  <si>
    <t>BCR Average Lin</t>
  </si>
  <si>
    <t>BCR Average Log</t>
  </si>
  <si>
    <t>Combination Proposal</t>
  </si>
  <si>
    <t>Combination Proposal Metro</t>
  </si>
  <si>
    <t>Cost Expensive</t>
  </si>
  <si>
    <t>DCR</t>
  </si>
  <si>
    <t>Alternative 2056 Metro + Coogeee</t>
  </si>
  <si>
    <t>Alternative 2056 Metro + Maroubra</t>
  </si>
  <si>
    <t>Alternative 2056 Metro + Coogee&amp;Metro</t>
  </si>
  <si>
    <t>Alternative 2056 Metro + Coogee</t>
  </si>
  <si>
    <t>Alternative 2056 Metro Maroubra + Coogee</t>
  </si>
  <si>
    <t>Avg LVA</t>
  </si>
  <si>
    <t>Alternative 2056 Metro Coogee</t>
  </si>
  <si>
    <t>Alternative 2056 Metro Maroubra</t>
  </si>
  <si>
    <t>Alternative 2056 Metro Coogee + Maroubra</t>
  </si>
  <si>
    <t>BCR Domestic</t>
  </si>
  <si>
    <t>BCR International</t>
  </si>
  <si>
    <t>Cost Domestic</t>
  </si>
  <si>
    <t>Cost International</t>
  </si>
  <si>
    <t>Rank</t>
  </si>
  <si>
    <t>Costs</t>
  </si>
  <si>
    <t>BCR</t>
  </si>
  <si>
    <t>AVG</t>
  </si>
  <si>
    <t>Int</t>
  </si>
  <si>
    <t>Extensive Lightrail</t>
  </si>
  <si>
    <t>Alternative Metro - Domestic Costs</t>
  </si>
  <si>
    <t>Alternative Metro - International Costs</t>
  </si>
  <si>
    <t>Combination - Domestic Costs</t>
  </si>
  <si>
    <t>Combination - International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</si>
</sst>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5" formatCode="_-&quot;$&quot;* #,##0.000_-;\-&quot;$&quot;* #,##0.000_-;_-&quot;$&quot;* &quot;-&quot;??_-;_-@_-"/>
    <numFmt numFmtId="173" formatCode="0.0000"/>
    <numFmt numFmtId="174" formatCode="0.0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Var(--jp-code-font-famil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4" fontId="0" fillId="0" borderId="1" xfId="1" applyNumberFormat="1" applyFont="1" applyBorder="1"/>
    <xf numFmtId="0" fontId="1" fillId="0" borderId="1" xfId="0" applyFont="1" applyBorder="1" applyAlignment="1">
      <alignment horizontal="right"/>
    </xf>
    <xf numFmtId="44" fontId="0" fillId="0" borderId="1" xfId="1" applyFont="1" applyBorder="1"/>
    <xf numFmtId="0" fontId="1" fillId="0" borderId="1" xfId="0" applyFont="1" applyBorder="1"/>
    <xf numFmtId="4" fontId="0" fillId="0" borderId="1" xfId="0" applyNumberFormat="1" applyBorder="1" applyAlignment="1">
      <alignment horizontal="center"/>
    </xf>
    <xf numFmtId="8" fontId="0" fillId="0" borderId="1" xfId="1" applyNumberFormat="1" applyFont="1" applyBorder="1"/>
    <xf numFmtId="8" fontId="0" fillId="0" borderId="0" xfId="0" applyNumberFormat="1"/>
    <xf numFmtId="0" fontId="3" fillId="0" borderId="0" xfId="0" applyFont="1" applyAlignment="1">
      <alignment horizontal="left" vertical="center"/>
    </xf>
    <xf numFmtId="44" fontId="0" fillId="0" borderId="0" xfId="1" applyFont="1"/>
    <xf numFmtId="4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4" fontId="0" fillId="0" borderId="0" xfId="1" applyFont="1" applyBorder="1"/>
    <xf numFmtId="8" fontId="0" fillId="0" borderId="1" xfId="0" applyNumberFormat="1" applyBorder="1"/>
    <xf numFmtId="165" fontId="0" fillId="0" borderId="1" xfId="1" applyNumberFormat="1" applyFont="1" applyBorder="1"/>
    <xf numFmtId="0" fontId="0" fillId="0" borderId="0" xfId="0" applyAlignment="1">
      <alignment horizontal="center"/>
    </xf>
    <xf numFmtId="2" fontId="0" fillId="0" borderId="0" xfId="0" applyNumberFormat="1"/>
    <xf numFmtId="173" fontId="0" fillId="0" borderId="0" xfId="0" applyNumberFormat="1"/>
    <xf numFmtId="174" fontId="0" fillId="0" borderId="0" xfId="0" applyNumberFormat="1"/>
    <xf numFmtId="44" fontId="0" fillId="0" borderId="0" xfId="0" applyNumberForma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CA904"/>
      <color rgb="FFF5EF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Sheet1!$S$80</c:f>
              <c:strCache>
                <c:ptCount val="1"/>
                <c:pt idx="0">
                  <c:v>Alternative Metro - Domestic Costs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Sheet1!$R$81:$R$95</c:f>
              <c:numCache>
                <c:formatCode>0%</c:formatCode>
                <c:ptCount val="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</c:numCache>
            </c:numRef>
          </c:cat>
          <c:val>
            <c:numRef>
              <c:f>Sheet1!$S$81:$S$95</c:f>
              <c:numCache>
                <c:formatCode>0.00</c:formatCode>
                <c:ptCount val="15"/>
                <c:pt idx="0">
                  <c:v>1.9939406770781025</c:v>
                </c:pt>
                <c:pt idx="1">
                  <c:v>1.8247486515965374</c:v>
                </c:pt>
                <c:pt idx="2">
                  <c:v>1.6713583480667233</c:v>
                </c:pt>
                <c:pt idx="3">
                  <c:v>1.5321614941258008</c:v>
                </c:pt>
                <c:pt idx="4">
                  <c:v>1.4057267383298888</c:v>
                </c:pt>
                <c:pt idx="5">
                  <c:v>1.2907787584486445</c:v>
                </c:pt>
                <c:pt idx="6">
                  <c:v>1.186180002468407</c:v>
                </c:pt>
                <c:pt idx="7">
                  <c:v>1.0909147100301717</c:v>
                </c:pt>
                <c:pt idx="8">
                  <c:v>1.0040749118605712</c:v>
                </c:pt>
                <c:pt idx="9">
                  <c:v>0.92484814716214281</c:v>
                </c:pt>
                <c:pt idx="10">
                  <c:v>0.85250667507452615</c:v>
                </c:pt>
                <c:pt idx="11">
                  <c:v>0.78639798717140319</c:v>
                </c:pt>
                <c:pt idx="12">
                  <c:v>0.72593645433255827</c:v>
                </c:pt>
                <c:pt idx="13">
                  <c:v>0.67059596390872933</c:v>
                </c:pt>
                <c:pt idx="14">
                  <c:v>0.61990342245276631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57-4F52-9A7E-8899631D7D55}"/>
            </c:ext>
          </c:extLst>
        </c:ser>
        <c:ser>
          <c:idx val="1"/>
          <c:order val="1"/>
          <c:tx>
            <c:strRef>
              <c:f>Sheet1!$T$80</c:f>
              <c:strCache>
                <c:ptCount val="1"/>
                <c:pt idx="0">
                  <c:v>Alternative Metro - International Costs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Sheet1!$R$81:$R$95</c:f>
              <c:numCache>
                <c:formatCode>0%</c:formatCode>
                <c:ptCount val="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</c:numCache>
            </c:numRef>
          </c:cat>
          <c:val>
            <c:numRef>
              <c:f>Sheet1!$T$81:$T$95</c:f>
              <c:numCache>
                <c:formatCode>0.00</c:formatCode>
                <c:ptCount val="15"/>
                <c:pt idx="0">
                  <c:v>3.7544136166502247</c:v>
                </c:pt>
                <c:pt idx="1">
                  <c:v>3.4358400243668972</c:v>
                </c:pt>
                <c:pt idx="2">
                  <c:v>3.1470196743661401</c:v>
                </c:pt>
                <c:pt idx="3">
                  <c:v>2.8849243322938336</c:v>
                </c:pt>
                <c:pt idx="4">
                  <c:v>2.6468588902097587</c:v>
                </c:pt>
                <c:pt idx="5">
                  <c:v>2.4304220293574166</c:v>
                </c:pt>
                <c:pt idx="6">
                  <c:v>2.2334718400908296</c:v>
                </c:pt>
                <c:pt idx="7">
                  <c:v>2.0540957356580765</c:v>
                </c:pt>
                <c:pt idx="8">
                  <c:v>1.8905840903703792</c:v>
                </c:pt>
                <c:pt idx="9">
                  <c:v>1.7414071125363131</c:v>
                </c:pt>
                <c:pt idx="10">
                  <c:v>1.6051945305991868</c:v>
                </c:pt>
                <c:pt idx="11">
                  <c:v>1.4807177290094458</c:v>
                </c:pt>
                <c:pt idx="12">
                  <c:v>1.3668740200249119</c:v>
                </c:pt>
                <c:pt idx="13">
                  <c:v>1.2626727801446012</c:v>
                </c:pt>
                <c:pt idx="14">
                  <c:v>1.1672232163272023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57-4F52-9A7E-8899631D7D55}"/>
            </c:ext>
          </c:extLst>
        </c:ser>
        <c:ser>
          <c:idx val="2"/>
          <c:order val="2"/>
          <c:tx>
            <c:strRef>
              <c:f>Sheet1!$U$80</c:f>
              <c:strCache>
                <c:ptCount val="1"/>
                <c:pt idx="0">
                  <c:v>Combination - Domestic Costs</c:v>
                </c:pt>
              </c:strCache>
            </c:strRef>
          </c:tx>
          <c:spPr>
            <a:ln w="28575" cap="rnd">
              <a:solidFill>
                <a:srgbClr val="FCA90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CA904"/>
              </a:solidFill>
              <a:ln w="9525">
                <a:solidFill>
                  <a:srgbClr val="FCA904"/>
                </a:solidFill>
              </a:ln>
              <a:effectLst/>
            </c:spPr>
          </c:marker>
          <c:cat>
            <c:numRef>
              <c:f>Sheet1!$R$81:$R$95</c:f>
              <c:numCache>
                <c:formatCode>0%</c:formatCode>
                <c:ptCount val="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</c:numCache>
            </c:numRef>
          </c:cat>
          <c:val>
            <c:numRef>
              <c:f>Sheet1!$U$81:$U$95</c:f>
              <c:numCache>
                <c:formatCode>0.00</c:formatCode>
                <c:ptCount val="15"/>
                <c:pt idx="0">
                  <c:v>1.6586560755149655</c:v>
                </c:pt>
                <c:pt idx="1">
                  <c:v>1.5179139841279166</c:v>
                </c:pt>
                <c:pt idx="2">
                  <c:v>1.390316527593934</c:v>
                </c:pt>
                <c:pt idx="3">
                  <c:v>1.2745258673522224</c:v>
                </c:pt>
                <c:pt idx="4">
                  <c:v>1.1693513361999466</c:v>
                </c:pt>
                <c:pt idx="5">
                  <c:v>1.0737320595634985</c:v>
                </c:pt>
                <c:pt idx="6">
                  <c:v>0.98672176678379375</c:v>
                </c:pt>
                <c:pt idx="7">
                  <c:v>0.90747549937731431</c:v>
                </c:pt>
                <c:pt idx="8">
                  <c:v>0.83523796468717859</c:v>
                </c:pt>
                <c:pt idx="9">
                  <c:v>0.76933331861565712</c:v>
                </c:pt>
                <c:pt idx="10">
                  <c:v>0.70915619119697537</c:v>
                </c:pt>
                <c:pt idx="11">
                  <c:v>0.65416379443443995</c:v>
                </c:pt>
                <c:pt idx="12">
                  <c:v>0.60386897376552495</c:v>
                </c:pt>
                <c:pt idx="13">
                  <c:v>0.55783408330029272</c:v>
                </c:pt>
                <c:pt idx="14">
                  <c:v>0.51566558107963512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57-4F52-9A7E-8899631D7D55}"/>
            </c:ext>
          </c:extLst>
        </c:ser>
        <c:ser>
          <c:idx val="3"/>
          <c:order val="3"/>
          <c:tx>
            <c:strRef>
              <c:f>Sheet1!$V$80</c:f>
              <c:strCache>
                <c:ptCount val="1"/>
                <c:pt idx="0">
                  <c:v>Combination - International Costs</c:v>
                </c:pt>
              </c:strCache>
            </c:strRef>
          </c:tx>
          <c:spPr>
            <a:ln w="28575" cap="rnd">
              <a:solidFill>
                <a:srgbClr val="F5EF0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EF03"/>
              </a:solidFill>
              <a:ln w="9525">
                <a:solidFill>
                  <a:srgbClr val="F5EF03"/>
                </a:solidFill>
              </a:ln>
              <a:effectLst/>
            </c:spPr>
          </c:marker>
          <c:cat>
            <c:numRef>
              <c:f>Sheet1!$R$81:$R$95</c:f>
              <c:numCache>
                <c:formatCode>0%</c:formatCode>
                <c:ptCount val="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</c:numCache>
            </c:numRef>
          </c:cat>
          <c:val>
            <c:numRef>
              <c:f>Sheet1!$V$81:$V$95</c:f>
              <c:numCache>
                <c:formatCode>0.00</c:formatCode>
                <c:ptCount val="15"/>
                <c:pt idx="0">
                  <c:v>3.1231024206690012</c:v>
                </c:pt>
                <c:pt idx="1">
                  <c:v>2.8580975334054122</c:v>
                </c:pt>
                <c:pt idx="2">
                  <c:v>2.6178428288556668</c:v>
                </c:pt>
                <c:pt idx="3">
                  <c:v>2.3998192755524439</c:v>
                </c:pt>
                <c:pt idx="4">
                  <c:v>2.2017849526549624</c:v>
                </c:pt>
                <c:pt idx="5">
                  <c:v>2.0217423273426633</c:v>
                </c:pt>
                <c:pt idx="6">
                  <c:v>1.8579096558112571</c:v>
                </c:pt>
                <c:pt idx="7">
                  <c:v>1.7086959561060189</c:v>
                </c:pt>
                <c:pt idx="8">
                  <c:v>1.5726790790787066</c:v>
                </c:pt>
                <c:pt idx="9">
                  <c:v>1.448586470178215</c:v>
                </c:pt>
                <c:pt idx="10">
                  <c:v>1.3352782713993683</c:v>
                </c:pt>
                <c:pt idx="11">
                  <c:v>1.2317324610395308</c:v>
                </c:pt>
                <c:pt idx="12">
                  <c:v>1.137031770223061</c:v>
                </c:pt>
                <c:pt idx="13">
                  <c:v>1.0503521505179561</c:v>
                </c:pt>
                <c:pt idx="14">
                  <c:v>0.97095259728602168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57-4F52-9A7E-8899631D7D55}"/>
            </c:ext>
          </c:extLst>
        </c:ser>
        <c:ser>
          <c:idx val="4"/>
          <c:order val="4"/>
          <c:tx>
            <c:strRef>
              <c:f>Sheet1!$W$80</c:f>
              <c:strCache>
                <c:ptCount val="1"/>
                <c:pt idx="0">
                  <c:v>Extensive Lightrail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Sheet1!$R$81:$R$95</c:f>
              <c:numCache>
                <c:formatCode>0%</c:formatCode>
                <c:ptCount val="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</c:numCache>
            </c:numRef>
          </c:cat>
          <c:val>
            <c:numRef>
              <c:f>Sheet1!$W$81:$W$95</c:f>
              <c:numCache>
                <c:formatCode>0.00</c:formatCode>
                <c:ptCount val="15"/>
                <c:pt idx="0">
                  <c:v>1.8009576346724414</c:v>
                </c:pt>
                <c:pt idx="1">
                  <c:v>1.6481408164392957</c:v>
                </c:pt>
                <c:pt idx="2">
                  <c:v>1.5095963545089863</c:v>
                </c:pt>
                <c:pt idx="3">
                  <c:v>1.3838716327511442</c:v>
                </c:pt>
                <c:pt idx="4">
                  <c:v>1.2696738327081321</c:v>
                </c:pt>
                <c:pt idx="5">
                  <c:v>1.1658510638880184</c:v>
                </c:pt>
                <c:pt idx="6">
                  <c:v>1.0713758719600943</c:v>
                </c:pt>
                <c:pt idx="7">
                  <c:v>0.9853308066739207</c:v>
                </c:pt>
                <c:pt idx="8">
                  <c:v>0.90689577633182672</c:v>
                </c:pt>
                <c:pt idx="9">
                  <c:v>0.83533695394844509</c:v>
                </c:pt>
                <c:pt idx="10">
                  <c:v>0.76999703287789834</c:v>
                </c:pt>
                <c:pt idx="11">
                  <c:v>0.71028665755631404</c:v>
                </c:pt>
                <c:pt idx="12">
                  <c:v>0.65567687882925563</c:v>
                </c:pt>
                <c:pt idx="13">
                  <c:v>0.60569250372670203</c:v>
                </c:pt>
                <c:pt idx="14">
                  <c:v>0.55990622703072257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57-4F52-9A7E-8899631D7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232991"/>
        <c:axId val="663219551"/>
      </c:lineChart>
      <c:catAx>
        <c:axId val="663232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Discount Rate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19551"/>
        <c:crosses val="autoZero"/>
        <c:auto val="1"/>
        <c:lblAlgn val="ctr"/>
        <c:lblOffset val="100"/>
        <c:noMultiLvlLbl val="0"/>
      </c:catAx>
      <c:valAx>
        <c:axId val="66321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Benefit Cost</a:t>
                </a:r>
                <a:r>
                  <a:rPr lang="en-AU" baseline="0"/>
                  <a:t> Ratio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3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466724</xdr:colOff>
      <xdr:row>98</xdr:row>
      <xdr:rowOff>128587</xdr:rowOff>
    </xdr:from>
    <xdr:to>
      <xdr:col>21</xdr:col>
      <xdr:colOff>647699</xdr:colOff>
      <xdr:row>129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58AB0-9AF1-89A8-15CA-F2C8EFB72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FE23-7D6C-409E-843F-3EB063F816AE}">
  <dimension ref="C2:AI95"/>
  <sheetViews>
    <sheetView tabSelected="1" zoomScaleNormal="100" workbookViewId="0">
      <selection activeCell="P7" sqref="P7"/>
    </sheetView>
  </sheetViews>
  <sheetFormatPr defaultRowHeight="15"/>
  <cols>
    <col min="3" max="3" width="37.28515625" bestFit="1" customWidth="1"/>
    <col min="4" max="6" width="11.140625" bestFit="1" customWidth="1"/>
    <col min="7" max="7" width="19" bestFit="1" customWidth="1"/>
    <col min="8" max="9" width="12.42578125" bestFit="1" customWidth="1"/>
    <col min="10" max="12" width="11.5703125" bestFit="1" customWidth="1"/>
    <col min="13" max="13" width="10.5703125" bestFit="1" customWidth="1"/>
    <col min="14" max="14" width="18.7109375" bestFit="1" customWidth="1"/>
    <col min="15" max="15" width="9.140625" customWidth="1"/>
    <col min="17" max="17" width="39.7109375" bestFit="1" customWidth="1"/>
    <col min="18" max="18" width="11.85546875" bestFit="1" customWidth="1"/>
    <col min="19" max="19" width="12.5703125" bestFit="1" customWidth="1"/>
    <col min="20" max="20" width="12" bestFit="1" customWidth="1"/>
    <col min="21" max="21" width="11.7109375" bestFit="1" customWidth="1"/>
    <col min="22" max="22" width="11.85546875" bestFit="1" customWidth="1"/>
    <col min="23" max="23" width="11.7109375" bestFit="1" customWidth="1"/>
    <col min="24" max="24" width="11.5703125" bestFit="1" customWidth="1"/>
    <col min="25" max="25" width="12.85546875" customWidth="1"/>
    <col min="26" max="26" width="14.85546875" bestFit="1" customWidth="1"/>
    <col min="27" max="27" width="15.5703125" bestFit="1" customWidth="1"/>
    <col min="28" max="28" width="15.140625" customWidth="1"/>
    <col min="29" max="29" width="12.85546875" bestFit="1" customWidth="1"/>
    <col min="30" max="30" width="16.85546875" customWidth="1"/>
    <col min="31" max="31" width="10.42578125" customWidth="1"/>
    <col min="32" max="32" width="15.7109375" bestFit="1" customWidth="1"/>
  </cols>
  <sheetData>
    <row r="2" spans="3:33">
      <c r="C2" s="14" t="s">
        <v>29</v>
      </c>
      <c r="D2" s="2" t="s">
        <v>2</v>
      </c>
      <c r="E2" s="2" t="s">
        <v>1</v>
      </c>
      <c r="F2" s="2" t="s">
        <v>0</v>
      </c>
      <c r="G2" s="2" t="s">
        <v>11</v>
      </c>
      <c r="H2" s="2" t="s">
        <v>12</v>
      </c>
      <c r="I2" s="2" t="s">
        <v>13</v>
      </c>
      <c r="J2" s="2" t="s">
        <v>3</v>
      </c>
      <c r="K2" s="2" t="s">
        <v>14</v>
      </c>
      <c r="L2" s="2" t="s">
        <v>44</v>
      </c>
      <c r="M2" s="2" t="s">
        <v>51</v>
      </c>
      <c r="N2" s="2" t="s">
        <v>24</v>
      </c>
      <c r="O2" s="2" t="s">
        <v>15</v>
      </c>
      <c r="Q2" s="14" t="s">
        <v>30</v>
      </c>
      <c r="R2" s="2" t="s">
        <v>31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2" t="s">
        <v>37</v>
      </c>
      <c r="Y2" s="2" t="s">
        <v>38</v>
      </c>
      <c r="Z2" s="2" t="s">
        <v>39</v>
      </c>
      <c r="AA2" s="2" t="s">
        <v>40</v>
      </c>
      <c r="AB2" s="2" t="s">
        <v>41</v>
      </c>
      <c r="AC2" s="2" t="s">
        <v>42</v>
      </c>
      <c r="AD2" s="2" t="s">
        <v>43</v>
      </c>
      <c r="AE2" s="2"/>
      <c r="AF2" s="2"/>
      <c r="AG2" s="2" t="s">
        <v>15</v>
      </c>
    </row>
    <row r="3" spans="3:33">
      <c r="C3" s="10" t="s">
        <v>4</v>
      </c>
      <c r="D3" s="3">
        <v>42229</v>
      </c>
      <c r="E3" s="3">
        <v>175828</v>
      </c>
      <c r="F3" s="3">
        <v>441170</v>
      </c>
      <c r="G3" s="1"/>
      <c r="H3" s="1"/>
      <c r="I3" s="1"/>
      <c r="J3" s="3"/>
      <c r="K3" s="3"/>
      <c r="L3" s="3"/>
      <c r="M3" s="3"/>
      <c r="N3" s="3"/>
      <c r="O3" s="1"/>
      <c r="Q3" s="10" t="s">
        <v>4</v>
      </c>
      <c r="R3" s="3">
        <v>42229</v>
      </c>
      <c r="S3" s="3">
        <v>175828</v>
      </c>
      <c r="T3" s="3">
        <v>441170</v>
      </c>
      <c r="U3" s="1"/>
      <c r="V3" s="1"/>
      <c r="W3" s="1"/>
      <c r="X3" s="3"/>
      <c r="Y3" s="3"/>
      <c r="Z3" s="3"/>
      <c r="AA3" s="3"/>
      <c r="AB3" s="3"/>
      <c r="AC3" s="3"/>
      <c r="AD3" s="3"/>
      <c r="AE3" s="3"/>
      <c r="AF3" s="3"/>
      <c r="AG3" s="1"/>
    </row>
    <row r="4" spans="3:33">
      <c r="C4" s="10" t="s">
        <v>5</v>
      </c>
      <c r="D4" s="3">
        <v>42583</v>
      </c>
      <c r="E4" s="3">
        <v>178426</v>
      </c>
      <c r="F4" s="3">
        <v>444122</v>
      </c>
      <c r="G4" s="3">
        <f>D4-$D$3</f>
        <v>354</v>
      </c>
      <c r="H4" s="3">
        <f>E4-$E$3</f>
        <v>2598</v>
      </c>
      <c r="I4" s="3">
        <f>F4-$F$3</f>
        <v>2952</v>
      </c>
      <c r="J4" s="4">
        <v>4.5</v>
      </c>
      <c r="K4" s="5">
        <f>J4*1.19</f>
        <v>5.3549999999999995</v>
      </c>
      <c r="L4" s="5">
        <f>J4*0.632</f>
        <v>2.8439999999999999</v>
      </c>
      <c r="M4" s="5">
        <f>J4*1.3</f>
        <v>5.8500000000000005</v>
      </c>
      <c r="N4" s="3">
        <f>AVERAGE(G4:I4)/K4</f>
        <v>367.50700280112051</v>
      </c>
      <c r="O4" s="2">
        <f t="shared" ref="O4:O24" si="0">RANK(N4,$N$4:$N$28)</f>
        <v>12</v>
      </c>
      <c r="Q4" s="10" t="s">
        <v>5</v>
      </c>
      <c r="R4" s="13">
        <v>4306.4229217249604</v>
      </c>
      <c r="S4" s="13">
        <v>14193.624355853301</v>
      </c>
      <c r="T4" s="13">
        <v>8548.3621119362306</v>
      </c>
      <c r="U4" s="13">
        <v>16251.917137472401</v>
      </c>
      <c r="V4" s="13">
        <v>39663.603587383004</v>
      </c>
      <c r="W4" s="13">
        <v>7849.0560768191299</v>
      </c>
      <c r="X4" s="4">
        <f t="shared" ref="X4:X10" si="1">AVERAGE(R4:T4)/(K4*1000)</f>
        <v>1.6836856140376282</v>
      </c>
      <c r="Y4" s="4">
        <f t="shared" ref="Y4:Y10" si="2">AVERAGE(U4:W4)/(K4*1000)</f>
        <v>3.9691613321926265</v>
      </c>
      <c r="Z4" s="4">
        <f t="shared" ref="Z4:Z10" si="3">AVERAGE(R4:T4)/(L4*1000)</f>
        <v>3.1702308238999639</v>
      </c>
      <c r="AA4" s="4">
        <f t="shared" ref="AA4:AA10" si="4">AVERAGE(U4:W4)/(L4*1000)</f>
        <v>7.473579090679153</v>
      </c>
      <c r="AB4" s="4">
        <f t="shared" ref="AB4:AB10" si="5">AVERAGE(R4:T4)/(M4*1000)</f>
        <v>1.5412199082344438</v>
      </c>
      <c r="AC4" s="4">
        <f t="shared" ref="AC4:AC10" si="6">AVERAGE(U4:W4)/(M4*1000)</f>
        <v>3.6333092194686341</v>
      </c>
      <c r="AD4" s="4">
        <f t="shared" ref="AD4:AD10" si="7">AVERAGE(X4:AC4)</f>
        <v>3.5785309980854074</v>
      </c>
      <c r="AE4" s="4"/>
      <c r="AF4" s="4"/>
      <c r="AG4" s="2">
        <f t="shared" ref="AG4:AG24" si="8">RANK(AD4,$AD$4:$AD$28)</f>
        <v>1</v>
      </c>
    </row>
    <row r="5" spans="3:33">
      <c r="C5" s="10" t="s">
        <v>6</v>
      </c>
      <c r="D5" s="3">
        <v>43468</v>
      </c>
      <c r="E5" s="3">
        <v>181495</v>
      </c>
      <c r="F5" s="3">
        <v>448502</v>
      </c>
      <c r="G5" s="3">
        <f t="shared" ref="G5:G17" si="9">D5-$D$3</f>
        <v>1239</v>
      </c>
      <c r="H5" s="3">
        <f t="shared" ref="H5:H17" si="10">E5-$E$3</f>
        <v>5667</v>
      </c>
      <c r="I5" s="3">
        <f t="shared" ref="I5:I14" si="11">F5-$F$3</f>
        <v>7332</v>
      </c>
      <c r="J5" s="4">
        <v>10.5</v>
      </c>
      <c r="K5" s="5">
        <f t="shared" ref="K5:K15" si="12">J5*1.19</f>
        <v>12.494999999999999</v>
      </c>
      <c r="L5" s="5">
        <f t="shared" ref="L5:L14" si="13">J5*0.632</f>
        <v>6.6360000000000001</v>
      </c>
      <c r="M5" s="5">
        <f t="shared" ref="M5:M15" si="14">J5*1.3</f>
        <v>13.65</v>
      </c>
      <c r="N5" s="3">
        <f t="shared" ref="N5:N19" si="15">AVERAGE(G5:I5)/K5</f>
        <v>379.83193277310926</v>
      </c>
      <c r="O5" s="2">
        <f t="shared" si="0"/>
        <v>11</v>
      </c>
      <c r="Q5" s="10" t="s">
        <v>6</v>
      </c>
      <c r="R5" s="13">
        <v>12362.5854310541</v>
      </c>
      <c r="S5" s="13">
        <v>23163.024266170702</v>
      </c>
      <c r="T5" s="13">
        <v>16072.9215331695</v>
      </c>
      <c r="U5" s="13">
        <v>5160.3245777782095</v>
      </c>
      <c r="V5" s="13">
        <v>6719.6265705487094</v>
      </c>
      <c r="W5" s="13">
        <v>3789.23583879238</v>
      </c>
      <c r="X5" s="4">
        <f t="shared" si="1"/>
        <v>1.376511437385469</v>
      </c>
      <c r="Y5" s="4">
        <f t="shared" si="2"/>
        <v>0.41801219119966115</v>
      </c>
      <c r="Z5" s="4">
        <f t="shared" si="3"/>
        <v>2.5918490672289685</v>
      </c>
      <c r="AA5" s="4">
        <f t="shared" si="4"/>
        <v>0.78707991697404556</v>
      </c>
      <c r="AB5" s="4">
        <f t="shared" si="5"/>
        <v>1.2600373926836217</v>
      </c>
      <c r="AC5" s="4">
        <f t="shared" si="6"/>
        <v>0.38264192886738213</v>
      </c>
      <c r="AD5" s="4">
        <f t="shared" si="7"/>
        <v>1.1360219890565249</v>
      </c>
      <c r="AE5" s="4"/>
      <c r="AF5" s="4"/>
      <c r="AG5" s="2">
        <f t="shared" si="8"/>
        <v>14</v>
      </c>
    </row>
    <row r="6" spans="3:33">
      <c r="C6" s="10" t="s">
        <v>7</v>
      </c>
      <c r="D6" s="3">
        <v>43288</v>
      </c>
      <c r="E6" s="3">
        <v>182143</v>
      </c>
      <c r="F6" s="3">
        <v>449317</v>
      </c>
      <c r="G6" s="3">
        <f t="shared" si="9"/>
        <v>1059</v>
      </c>
      <c r="H6" s="3">
        <f t="shared" si="10"/>
        <v>6315</v>
      </c>
      <c r="I6" s="3">
        <f t="shared" si="11"/>
        <v>8147</v>
      </c>
      <c r="J6" s="4">
        <v>11.1</v>
      </c>
      <c r="K6" s="5">
        <f t="shared" si="12"/>
        <v>13.209</v>
      </c>
      <c r="L6" s="5">
        <f t="shared" si="13"/>
        <v>7.0152000000000001</v>
      </c>
      <c r="M6" s="5">
        <f t="shared" si="14"/>
        <v>14.43</v>
      </c>
      <c r="N6" s="3">
        <f t="shared" si="15"/>
        <v>391.67739167739171</v>
      </c>
      <c r="O6" s="2">
        <f t="shared" si="0"/>
        <v>9</v>
      </c>
      <c r="Q6" s="10" t="s">
        <v>7</v>
      </c>
      <c r="R6" s="13">
        <v>14671.504211940301</v>
      </c>
      <c r="S6" s="13">
        <v>33767.454616014802</v>
      </c>
      <c r="T6" s="13">
        <v>23107.683018457999</v>
      </c>
      <c r="U6" s="13">
        <v>8617.5905773656414</v>
      </c>
      <c r="V6" s="13">
        <v>15046.5349168299</v>
      </c>
      <c r="W6" s="13">
        <v>6611.0443940878004</v>
      </c>
      <c r="X6" s="4">
        <f t="shared" si="1"/>
        <v>1.805502355626545</v>
      </c>
      <c r="Y6" s="4">
        <f t="shared" si="2"/>
        <v>0.7640035805961426</v>
      </c>
      <c r="Z6" s="4">
        <f t="shared" si="3"/>
        <v>3.3996009544233998</v>
      </c>
      <c r="AA6" s="4">
        <f t="shared" si="4"/>
        <v>1.4385510457427368</v>
      </c>
      <c r="AB6" s="4">
        <f t="shared" si="5"/>
        <v>1.6527290793812219</v>
      </c>
      <c r="AC6" s="4">
        <f t="shared" si="6"/>
        <v>0.69935712377646897</v>
      </c>
      <c r="AD6" s="4">
        <f t="shared" si="7"/>
        <v>1.6266240232577527</v>
      </c>
      <c r="AE6" s="4"/>
      <c r="AF6" s="4"/>
      <c r="AG6" s="2">
        <f t="shared" si="8"/>
        <v>11</v>
      </c>
    </row>
    <row r="7" spans="3:33">
      <c r="C7" s="10" t="s">
        <v>8</v>
      </c>
      <c r="D7" s="3">
        <v>43249</v>
      </c>
      <c r="E7" s="3">
        <v>181016</v>
      </c>
      <c r="F7" s="3">
        <v>448195.25901975494</v>
      </c>
      <c r="G7" s="3">
        <f t="shared" si="9"/>
        <v>1020</v>
      </c>
      <c r="H7" s="3">
        <f t="shared" si="10"/>
        <v>5188</v>
      </c>
      <c r="I7" s="3">
        <f t="shared" si="11"/>
        <v>7025.2590197549434</v>
      </c>
      <c r="J7" s="4">
        <f>J6+J5</f>
        <v>21.6</v>
      </c>
      <c r="K7" s="5">
        <f t="shared" si="12"/>
        <v>25.704000000000001</v>
      </c>
      <c r="L7" s="5">
        <f t="shared" si="13"/>
        <v>13.651200000000001</v>
      </c>
      <c r="M7" s="5">
        <f t="shared" si="14"/>
        <v>28.080000000000002</v>
      </c>
      <c r="N7" s="3">
        <f t="shared" si="15"/>
        <v>171.61089090874239</v>
      </c>
      <c r="O7" s="2">
        <f t="shared" si="0"/>
        <v>19</v>
      </c>
      <c r="Q7" s="10" t="s">
        <v>8</v>
      </c>
      <c r="R7" s="13">
        <v>17724.864822671003</v>
      </c>
      <c r="S7" s="13">
        <v>29281.699891403099</v>
      </c>
      <c r="T7" s="13">
        <v>19371.4745102497</v>
      </c>
      <c r="U7" s="13">
        <v>8487.6472735126608</v>
      </c>
      <c r="V7" s="13">
        <v>8868.1969018498985</v>
      </c>
      <c r="W7" s="13">
        <v>5116.1825014604601</v>
      </c>
      <c r="X7" s="4">
        <f t="shared" si="1"/>
        <v>0.86080038417268134</v>
      </c>
      <c r="Y7" s="4">
        <f t="shared" si="2"/>
        <v>0.2914206177614771</v>
      </c>
      <c r="Z7" s="4">
        <f t="shared" si="3"/>
        <v>1.6208108499453968</v>
      </c>
      <c r="AA7" s="4">
        <f t="shared" si="4"/>
        <v>0.54871920116480655</v>
      </c>
      <c r="AB7" s="4">
        <f t="shared" si="5"/>
        <v>0.78796342858883894</v>
      </c>
      <c r="AC7" s="4">
        <f t="shared" si="6"/>
        <v>0.26676195010473669</v>
      </c>
      <c r="AD7" s="4">
        <f t="shared" si="7"/>
        <v>0.7294127386229895</v>
      </c>
      <c r="AE7" s="4"/>
      <c r="AF7" s="4"/>
      <c r="AG7" s="2">
        <f t="shared" si="8"/>
        <v>19</v>
      </c>
    </row>
    <row r="8" spans="3:33">
      <c r="C8" s="7" t="s">
        <v>25</v>
      </c>
      <c r="D8" s="3">
        <f>D7-D5</f>
        <v>-219</v>
      </c>
      <c r="E8" s="3">
        <f t="shared" ref="E8:F8" si="16">E7-E5</f>
        <v>-479</v>
      </c>
      <c r="F8" s="3">
        <f t="shared" si="16"/>
        <v>-306.74098024505656</v>
      </c>
      <c r="G8" s="3">
        <f>D8</f>
        <v>-219</v>
      </c>
      <c r="H8" s="3">
        <f t="shared" ref="H8:I8" si="17">E8</f>
        <v>-479</v>
      </c>
      <c r="I8" s="3">
        <f t="shared" si="17"/>
        <v>-306.74098024505656</v>
      </c>
      <c r="J8" s="4">
        <f>J7-J5</f>
        <v>11.100000000000001</v>
      </c>
      <c r="K8" s="5">
        <f t="shared" si="12"/>
        <v>13.209000000000001</v>
      </c>
      <c r="L8" s="5">
        <f t="shared" si="13"/>
        <v>7.015200000000001</v>
      </c>
      <c r="M8" s="5">
        <f t="shared" si="14"/>
        <v>14.430000000000001</v>
      </c>
      <c r="N8" s="3">
        <f>AVERAGE(G8:I8)/K8</f>
        <v>-25.354959503496517</v>
      </c>
      <c r="O8" s="2">
        <f t="shared" si="0"/>
        <v>23</v>
      </c>
      <c r="Q8" s="7" t="s">
        <v>25</v>
      </c>
      <c r="R8" s="3">
        <f>R7-R5</f>
        <v>5362.279391616903</v>
      </c>
      <c r="S8" s="3">
        <f t="shared" ref="S8:W8" si="18">S7-S5</f>
        <v>6118.6756252323976</v>
      </c>
      <c r="T8" s="3">
        <f t="shared" si="18"/>
        <v>3298.5529770802004</v>
      </c>
      <c r="U8" s="3">
        <f t="shared" si="18"/>
        <v>3327.3226957344514</v>
      </c>
      <c r="V8" s="3">
        <f t="shared" si="18"/>
        <v>2148.5703313011891</v>
      </c>
      <c r="W8" s="3">
        <f t="shared" si="18"/>
        <v>1326.9466626680801</v>
      </c>
      <c r="X8" s="4">
        <f t="shared" si="1"/>
        <v>0.3729656041065309</v>
      </c>
      <c r="Y8" s="4">
        <f t="shared" si="2"/>
        <v>0.1716718320767083</v>
      </c>
      <c r="Z8" s="4">
        <f t="shared" si="3"/>
        <v>0.70226118494742362</v>
      </c>
      <c r="AA8" s="4">
        <f t="shared" si="4"/>
        <v>0.32324284837228301</v>
      </c>
      <c r="AB8" s="4">
        <f t="shared" si="5"/>
        <v>0.34140697606674753</v>
      </c>
      <c r="AC8" s="4">
        <f t="shared" si="6"/>
        <v>0.15714575397790989</v>
      </c>
      <c r="AD8" s="4">
        <f t="shared" si="7"/>
        <v>0.34478236659126721</v>
      </c>
      <c r="AE8" s="4"/>
      <c r="AF8" s="4"/>
      <c r="AG8" s="2">
        <f t="shared" si="8"/>
        <v>23</v>
      </c>
    </row>
    <row r="9" spans="3:33">
      <c r="C9" s="10" t="s">
        <v>9</v>
      </c>
      <c r="D9" s="3">
        <v>42938</v>
      </c>
      <c r="E9" s="3">
        <v>181332</v>
      </c>
      <c r="F9" s="3">
        <v>448770</v>
      </c>
      <c r="G9" s="3">
        <f t="shared" si="9"/>
        <v>709</v>
      </c>
      <c r="H9" s="3">
        <f t="shared" si="10"/>
        <v>5504</v>
      </c>
      <c r="I9" s="3">
        <f t="shared" si="11"/>
        <v>7600</v>
      </c>
      <c r="J9" s="4">
        <f>J6+J5+J4</f>
        <v>26.1</v>
      </c>
      <c r="K9" s="5">
        <f t="shared" si="12"/>
        <v>31.059000000000001</v>
      </c>
      <c r="L9" s="5">
        <f t="shared" si="13"/>
        <v>16.495200000000001</v>
      </c>
      <c r="M9" s="5">
        <f t="shared" si="14"/>
        <v>33.93</v>
      </c>
      <c r="N9" s="3">
        <f>AVERAGE(G9:I9)/K9</f>
        <v>148.24473850843017</v>
      </c>
      <c r="O9" s="2">
        <f t="shared" si="0"/>
        <v>21</v>
      </c>
      <c r="Q9" s="10" t="s">
        <v>9</v>
      </c>
      <c r="R9" s="13">
        <v>9457.2781746802684</v>
      </c>
      <c r="S9" s="13">
        <v>28202.394486310903</v>
      </c>
      <c r="T9" s="13">
        <v>21152.844318333598</v>
      </c>
      <c r="U9" s="13">
        <v>9220.2976822886394</v>
      </c>
      <c r="V9" s="13">
        <v>32304.405939441003</v>
      </c>
      <c r="W9" s="13">
        <v>10677.6823621782</v>
      </c>
      <c r="X9" s="4">
        <f t="shared" si="1"/>
        <v>0.63119135601408893</v>
      </c>
      <c r="Y9" s="4">
        <f t="shared" si="2"/>
        <v>0.56024969664088609</v>
      </c>
      <c r="Z9" s="4">
        <f t="shared" si="3"/>
        <v>1.1884773950265282</v>
      </c>
      <c r="AA9" s="4">
        <f t="shared" si="4"/>
        <v>1.0549005363966051</v>
      </c>
      <c r="AB9" s="4">
        <f t="shared" si="5"/>
        <v>0.5777828566590506</v>
      </c>
      <c r="AC9" s="4">
        <f t="shared" si="6"/>
        <v>0.51284395307896491</v>
      </c>
      <c r="AD9" s="4">
        <f t="shared" si="7"/>
        <v>0.75424096563602072</v>
      </c>
      <c r="AE9" s="4"/>
      <c r="AF9" s="4"/>
      <c r="AG9" s="2">
        <f t="shared" si="8"/>
        <v>18</v>
      </c>
    </row>
    <row r="10" spans="3:33">
      <c r="C10" s="7" t="s">
        <v>26</v>
      </c>
      <c r="D10" s="3">
        <f>D9-D7</f>
        <v>-311</v>
      </c>
      <c r="E10" s="3">
        <f t="shared" ref="E10:F10" si="19">E9-E7</f>
        <v>316</v>
      </c>
      <c r="F10" s="3">
        <f t="shared" si="19"/>
        <v>574.74098024505656</v>
      </c>
      <c r="G10" s="3">
        <f>D10</f>
        <v>-311</v>
      </c>
      <c r="H10" s="3">
        <f t="shared" ref="H10:I10" si="20">E10</f>
        <v>316</v>
      </c>
      <c r="I10" s="3">
        <f t="shared" si="20"/>
        <v>574.74098024505656</v>
      </c>
      <c r="J10" s="4">
        <f>J9-J7</f>
        <v>4.5</v>
      </c>
      <c r="K10" s="5">
        <f>J10*1.19</f>
        <v>5.3549999999999995</v>
      </c>
      <c r="L10" s="5">
        <f t="shared" si="13"/>
        <v>2.8439999999999999</v>
      </c>
      <c r="M10" s="5">
        <f t="shared" si="14"/>
        <v>5.8500000000000005</v>
      </c>
      <c r="N10" s="3">
        <f>AVERAGE(G10:I10)/K10</f>
        <v>36.087206986931633</v>
      </c>
      <c r="O10" s="2">
        <f t="shared" si="0"/>
        <v>22</v>
      </c>
      <c r="Q10" s="7" t="s">
        <v>26</v>
      </c>
      <c r="R10" s="3">
        <f>R9-R7</f>
        <v>-8267.5866479907345</v>
      </c>
      <c r="S10" s="3">
        <f t="shared" ref="S10:W10" si="21">S9-S7</f>
        <v>-1079.3054050921965</v>
      </c>
      <c r="T10" s="3">
        <f t="shared" si="21"/>
        <v>1781.3698080838985</v>
      </c>
      <c r="U10" s="3">
        <f t="shared" si="21"/>
        <v>732.65040877597858</v>
      </c>
      <c r="V10" s="3">
        <f t="shared" si="21"/>
        <v>23436.209037591107</v>
      </c>
      <c r="W10" s="3">
        <f t="shared" si="21"/>
        <v>5561.4998607177404</v>
      </c>
      <c r="X10" s="4">
        <f t="shared" si="1"/>
        <v>-0.47093197914715429</v>
      </c>
      <c r="Y10" s="4">
        <f t="shared" si="2"/>
        <v>1.8506292752620499</v>
      </c>
      <c r="Z10" s="4">
        <f t="shared" si="3"/>
        <v>-0.88672318858404031</v>
      </c>
      <c r="AA10" s="4">
        <f t="shared" si="4"/>
        <v>3.4845709455092386</v>
      </c>
      <c r="AB10" s="4">
        <f t="shared" si="5"/>
        <v>-0.43108388860393337</v>
      </c>
      <c r="AC10" s="4">
        <f t="shared" si="6"/>
        <v>1.6940375673552603</v>
      </c>
      <c r="AD10" s="4">
        <f t="shared" si="7"/>
        <v>0.87341645529857015</v>
      </c>
      <c r="AE10" s="4"/>
      <c r="AF10" s="4"/>
      <c r="AG10" s="2">
        <f t="shared" si="8"/>
        <v>16</v>
      </c>
    </row>
    <row r="11" spans="3:33">
      <c r="C11" s="10">
        <v>1974</v>
      </c>
      <c r="D11" s="3">
        <v>42726</v>
      </c>
      <c r="E11" s="3">
        <v>178109</v>
      </c>
      <c r="F11" s="3">
        <v>443829</v>
      </c>
      <c r="G11" s="3">
        <f t="shared" si="9"/>
        <v>497</v>
      </c>
      <c r="H11" s="3">
        <f t="shared" si="10"/>
        <v>2281</v>
      </c>
      <c r="I11" s="3">
        <f t="shared" si="11"/>
        <v>2659</v>
      </c>
      <c r="J11" s="4">
        <v>4.53</v>
      </c>
      <c r="K11" s="5">
        <f>J11*1.19</f>
        <v>5.3906999999999998</v>
      </c>
      <c r="L11" s="5">
        <f t="shared" si="13"/>
        <v>2.8629600000000002</v>
      </c>
      <c r="M11" s="5">
        <f t="shared" si="14"/>
        <v>5.8890000000000002</v>
      </c>
      <c r="N11" s="3">
        <f t="shared" si="15"/>
        <v>336.19628866999341</v>
      </c>
      <c r="O11" s="2">
        <f t="shared" si="0"/>
        <v>13</v>
      </c>
      <c r="Q11" s="10">
        <v>1974</v>
      </c>
      <c r="R11" s="13">
        <v>5742.2911204612601</v>
      </c>
      <c r="S11" s="13">
        <v>10835.1343001472</v>
      </c>
      <c r="T11" s="13">
        <v>6968.6141206984794</v>
      </c>
      <c r="U11" s="13">
        <v>3209.7953329112102</v>
      </c>
      <c r="V11" s="13">
        <v>3117.5192841961498</v>
      </c>
      <c r="W11" s="13">
        <v>1745.38260381545</v>
      </c>
      <c r="X11" s="4">
        <f>AVERAGE(R11:T11)/(K11*1000)</f>
        <v>1.4559667292007186</v>
      </c>
      <c r="Y11" s="4">
        <f>AVERAGE(U11:W11)/(K11*1000)</f>
        <v>0.49917433239485354</v>
      </c>
      <c r="Z11" s="4">
        <f>AVERAGE(R11:T11)/(L11*1000)</f>
        <v>2.7414563413747706</v>
      </c>
      <c r="AA11" s="4">
        <f>AVERAGE(U11:W11)/(L11*1000)</f>
        <v>0.93990103726246155</v>
      </c>
      <c r="AB11" s="4">
        <f>AVERAGE(R11:T11)/(M11*1000)</f>
        <v>1.3327695444221961</v>
      </c>
      <c r="AC11" s="4">
        <f>AVERAGE(U11:W11)/(M11*1000)</f>
        <v>0.45693650426913512</v>
      </c>
      <c r="AD11" s="4">
        <f>AVERAGE(X11:AC11)</f>
        <v>1.2377007481540225</v>
      </c>
      <c r="AE11" s="4"/>
      <c r="AF11" s="4"/>
      <c r="AG11" s="2">
        <f t="shared" si="8"/>
        <v>13</v>
      </c>
    </row>
    <row r="12" spans="3:33">
      <c r="C12" s="10">
        <v>2001</v>
      </c>
      <c r="D12" s="3">
        <v>42515</v>
      </c>
      <c r="E12" s="3">
        <v>177614</v>
      </c>
      <c r="F12" s="3">
        <v>443145</v>
      </c>
      <c r="G12" s="3">
        <f t="shared" si="9"/>
        <v>286</v>
      </c>
      <c r="H12" s="3">
        <f t="shared" si="10"/>
        <v>1786</v>
      </c>
      <c r="I12" s="3">
        <f t="shared" si="11"/>
        <v>1975</v>
      </c>
      <c r="J12" s="4">
        <v>2.7</v>
      </c>
      <c r="K12" s="5">
        <f t="shared" si="12"/>
        <v>3.2130000000000001</v>
      </c>
      <c r="L12" s="5">
        <f t="shared" si="13"/>
        <v>1.7064000000000001</v>
      </c>
      <c r="M12" s="5">
        <f t="shared" si="14"/>
        <v>3.5100000000000002</v>
      </c>
      <c r="N12" s="3">
        <f>AVERAGE(G12:I12)/K12</f>
        <v>419.85683162153748</v>
      </c>
      <c r="O12" s="2">
        <f t="shared" si="0"/>
        <v>6</v>
      </c>
      <c r="Q12" s="10">
        <v>2001</v>
      </c>
      <c r="R12" s="13">
        <v>3271.6911300485904</v>
      </c>
      <c r="S12" s="13">
        <v>7403.3091635000492</v>
      </c>
      <c r="T12" s="13">
        <v>4699.5994632545699</v>
      </c>
      <c r="U12" s="13">
        <v>6171.0079613223497</v>
      </c>
      <c r="V12" s="13">
        <v>10264.327441423598</v>
      </c>
      <c r="W12" s="13">
        <v>2603.5687918878002</v>
      </c>
      <c r="X12" s="4">
        <f>AVERAGE(R12:T12)/(K12*1000)</f>
        <v>1.5950409541242045</v>
      </c>
      <c r="Y12" s="4">
        <f>AVERAGE(U12:W12)/(K12*1000)</f>
        <v>1.9751949574264704</v>
      </c>
      <c r="Z12" s="4">
        <f>AVERAGE(R12:T12)/(L12*1000)</f>
        <v>3.0033207838731064</v>
      </c>
      <c r="AA12" s="4">
        <f>AVERAGE(U12:W12)/(L12*1000)</f>
        <v>3.7191170875593351</v>
      </c>
      <c r="AB12" s="4">
        <f>AVERAGE(R12:T12)/(M12*1000)</f>
        <v>1.4600759503136949</v>
      </c>
      <c r="AC12" s="4">
        <f>AVERAGE(U12:W12)/(M12*1000)</f>
        <v>1.8080630764134613</v>
      </c>
      <c r="AD12" s="4">
        <f>AVERAGE(X12:AC12)</f>
        <v>2.2601354682850454</v>
      </c>
      <c r="AE12" s="4"/>
      <c r="AF12" s="4"/>
      <c r="AG12" s="2">
        <f t="shared" si="8"/>
        <v>9</v>
      </c>
    </row>
    <row r="13" spans="3:33">
      <c r="C13" s="10" t="s">
        <v>10</v>
      </c>
      <c r="D13" s="3">
        <v>44755</v>
      </c>
      <c r="E13" s="3">
        <v>182509</v>
      </c>
      <c r="F13" s="3">
        <v>449850.31754680036</v>
      </c>
      <c r="G13" s="3">
        <f t="shared" si="9"/>
        <v>2526</v>
      </c>
      <c r="H13" s="3">
        <f t="shared" si="10"/>
        <v>6681</v>
      </c>
      <c r="I13" s="3">
        <f t="shared" si="11"/>
        <v>8680.317546800361</v>
      </c>
      <c r="J13" s="4">
        <v>15.5</v>
      </c>
      <c r="K13" s="5">
        <f t="shared" si="12"/>
        <v>18.445</v>
      </c>
      <c r="L13" s="5">
        <f t="shared" si="13"/>
        <v>9.7959999999999994</v>
      </c>
      <c r="M13" s="5">
        <f t="shared" si="14"/>
        <v>20.150000000000002</v>
      </c>
      <c r="N13" s="3">
        <f t="shared" si="15"/>
        <v>323.25503834463467</v>
      </c>
      <c r="O13" s="2">
        <f t="shared" si="0"/>
        <v>14</v>
      </c>
      <c r="Q13" s="10" t="s">
        <v>10</v>
      </c>
      <c r="R13" s="13">
        <v>34207.860209204104</v>
      </c>
      <c r="S13" s="13">
        <v>40288.477657112395</v>
      </c>
      <c r="T13" s="13">
        <v>27042.9952484442</v>
      </c>
      <c r="U13" s="13">
        <v>8891.7059807667101</v>
      </c>
      <c r="V13" s="13">
        <v>16811.083541600099</v>
      </c>
      <c r="W13" s="13">
        <v>6037.0874671133206</v>
      </c>
      <c r="X13" s="4">
        <f t="shared" ref="X13:X23" si="22">AVERAGE(R13:T13)/(K13*1000)</f>
        <v>1.8349929179499538</v>
      </c>
      <c r="Y13" s="4">
        <f t="shared" ref="Y13:Y23" si="23">AVERAGE(U13:W13)/(K13*1000)</f>
        <v>0.5735949577930809</v>
      </c>
      <c r="Z13" s="4">
        <f t="shared" ref="Z13:Z23" si="24">AVERAGE(R13:T13)/(L13*1000)</f>
        <v>3.4551290701905777</v>
      </c>
      <c r="AA13" s="4">
        <f t="shared" ref="AA13:AA23" si="25">AVERAGE(U13:W13)/(L13*1000)</f>
        <v>1.0800284806546934</v>
      </c>
      <c r="AB13" s="4">
        <f t="shared" ref="AB13:AB23" si="26">AVERAGE(R13:T13)/(M13*1000)</f>
        <v>1.6797242864311113</v>
      </c>
      <c r="AC13" s="4">
        <f t="shared" ref="AC13:AC23" si="27">AVERAGE(U13:W13)/(M13*1000)</f>
        <v>0.52505999982597396</v>
      </c>
      <c r="AD13" s="4">
        <f t="shared" ref="AD13:AD23" si="28">AVERAGE(X13:AC13)</f>
        <v>1.5247549521408985</v>
      </c>
      <c r="AE13" s="4"/>
      <c r="AF13" s="4"/>
      <c r="AG13" s="2">
        <f t="shared" si="8"/>
        <v>12</v>
      </c>
    </row>
    <row r="14" spans="3:33">
      <c r="C14" s="10" t="s">
        <v>17</v>
      </c>
      <c r="D14" s="3">
        <v>45121.8185160391</v>
      </c>
      <c r="E14" s="3">
        <v>184921.6905778987</v>
      </c>
      <c r="F14" s="3">
        <v>453131.31038236606</v>
      </c>
      <c r="G14" s="3">
        <f t="shared" si="9"/>
        <v>2892.8185160391004</v>
      </c>
      <c r="H14" s="3">
        <f t="shared" si="10"/>
        <v>9093.6905778986984</v>
      </c>
      <c r="I14" s="3">
        <f t="shared" si="11"/>
        <v>11961.310382366064</v>
      </c>
      <c r="J14" s="4">
        <f>J13+11.3</f>
        <v>26.8</v>
      </c>
      <c r="K14" s="5">
        <f t="shared" si="12"/>
        <v>31.891999999999999</v>
      </c>
      <c r="L14" s="5">
        <f t="shared" si="13"/>
        <v>16.9376</v>
      </c>
      <c r="M14" s="5">
        <f t="shared" si="14"/>
        <v>34.840000000000003</v>
      </c>
      <c r="N14" s="3">
        <f t="shared" si="15"/>
        <v>250.30121949395735</v>
      </c>
      <c r="O14" s="2">
        <f t="shared" si="0"/>
        <v>15</v>
      </c>
      <c r="Q14" s="10" t="s">
        <v>17</v>
      </c>
      <c r="R14" s="13">
        <v>39198.431383361196</v>
      </c>
      <c r="S14" s="13">
        <v>51750.444386789197</v>
      </c>
      <c r="T14" s="13">
        <v>35999.004349532697</v>
      </c>
      <c r="U14" s="13">
        <v>12564.212193136998</v>
      </c>
      <c r="V14" s="13">
        <v>21791.397056096601</v>
      </c>
      <c r="W14" s="13">
        <v>8141.20059593724</v>
      </c>
      <c r="X14" s="4">
        <f t="shared" si="22"/>
        <v>1.3268518763293105</v>
      </c>
      <c r="Y14" s="4">
        <f t="shared" si="23"/>
        <v>0.44417419044662027</v>
      </c>
      <c r="Z14" s="4">
        <f t="shared" si="24"/>
        <v>2.4983445139744926</v>
      </c>
      <c r="AA14" s="4">
        <f t="shared" si="25"/>
        <v>0.83634064340423764</v>
      </c>
      <c r="AB14" s="4">
        <f t="shared" si="26"/>
        <v>1.214579794486061</v>
      </c>
      <c r="AC14" s="4">
        <f t="shared" si="27"/>
        <v>0.40659022048575238</v>
      </c>
      <c r="AD14" s="4">
        <f t="shared" si="28"/>
        <v>1.1211468731877459</v>
      </c>
      <c r="AE14" s="4"/>
      <c r="AF14" s="4"/>
      <c r="AG14" s="2">
        <f t="shared" si="8"/>
        <v>15</v>
      </c>
    </row>
    <row r="15" spans="3:33">
      <c r="C15" s="6" t="s">
        <v>20</v>
      </c>
      <c r="D15" s="3">
        <f>D14-D13</f>
        <v>366.81851603910036</v>
      </c>
      <c r="E15" s="3">
        <f t="shared" ref="E15:J15" si="29">E14-E13</f>
        <v>2412.6905778986984</v>
      </c>
      <c r="F15" s="3">
        <f t="shared" si="29"/>
        <v>3280.992835565703</v>
      </c>
      <c r="G15" s="3">
        <f>D15</f>
        <v>366.81851603910036</v>
      </c>
      <c r="H15" s="3">
        <f t="shared" ref="H15:I15" si="30">E15</f>
        <v>2412.6905778986984</v>
      </c>
      <c r="I15" s="3">
        <f t="shared" si="30"/>
        <v>3280.992835565703</v>
      </c>
      <c r="J15" s="4">
        <f t="shared" si="29"/>
        <v>11.3</v>
      </c>
      <c r="K15" s="5">
        <f t="shared" si="12"/>
        <v>13.447000000000001</v>
      </c>
      <c r="L15" s="5">
        <f>J15*0.632</f>
        <v>7.1416000000000004</v>
      </c>
      <c r="M15" s="5">
        <f t="shared" si="14"/>
        <v>14.690000000000001</v>
      </c>
      <c r="N15" s="3">
        <f t="shared" si="15"/>
        <v>150.23182195541762</v>
      </c>
      <c r="O15" s="2">
        <f t="shared" si="0"/>
        <v>20</v>
      </c>
      <c r="Q15" s="6" t="s">
        <v>20</v>
      </c>
      <c r="R15" s="13">
        <f>R14-R13</f>
        <v>4990.5711741570922</v>
      </c>
      <c r="S15" s="13">
        <f t="shared" ref="S15:W15" si="31">S14-S13</f>
        <v>11461.966729676802</v>
      </c>
      <c r="T15" s="13">
        <f t="shared" si="31"/>
        <v>8956.0091010884971</v>
      </c>
      <c r="U15" s="13">
        <f t="shared" si="31"/>
        <v>3672.5062123702883</v>
      </c>
      <c r="V15" s="13">
        <f t="shared" si="31"/>
        <v>4980.3135144965017</v>
      </c>
      <c r="W15" s="13">
        <f t="shared" si="31"/>
        <v>2104.1131288239194</v>
      </c>
      <c r="X15" s="4">
        <f t="shared" si="22"/>
        <v>0.62984425286736545</v>
      </c>
      <c r="Y15" s="4">
        <f t="shared" si="23"/>
        <v>0.2666501290421831</v>
      </c>
      <c r="Z15" s="4">
        <f t="shared" si="24"/>
        <v>1.1859409191648178</v>
      </c>
      <c r="AA15" s="4">
        <f t="shared" si="25"/>
        <v>0.50207856575980681</v>
      </c>
      <c r="AB15" s="4">
        <f t="shared" si="26"/>
        <v>0.57654973916320373</v>
      </c>
      <c r="AC15" s="4">
        <f t="shared" si="27"/>
        <v>0.24408742581553683</v>
      </c>
      <c r="AD15" s="4">
        <f t="shared" si="28"/>
        <v>0.56752517196881902</v>
      </c>
      <c r="AE15" s="4"/>
      <c r="AF15" s="4"/>
      <c r="AG15" s="2">
        <f t="shared" si="8"/>
        <v>21</v>
      </c>
    </row>
    <row r="16" spans="3:33">
      <c r="C16" s="10" t="s">
        <v>16</v>
      </c>
      <c r="D16" s="3">
        <v>42253.30549875064</v>
      </c>
      <c r="E16" s="3">
        <v>176295.35502428113</v>
      </c>
      <c r="F16" s="3">
        <v>442053.3992106918</v>
      </c>
      <c r="G16" s="3">
        <f t="shared" si="9"/>
        <v>24.305498750640254</v>
      </c>
      <c r="H16" s="3">
        <f t="shared" si="10"/>
        <v>467.3550242811325</v>
      </c>
      <c r="I16" s="3">
        <f t="shared" ref="I16:I17" si="32">F16-F$3</f>
        <v>883.39921069180127</v>
      </c>
      <c r="J16" s="4">
        <v>10</v>
      </c>
      <c r="K16" s="8">
        <f>J16*0.25</f>
        <v>2.5</v>
      </c>
      <c r="L16" s="8"/>
      <c r="M16" s="8"/>
      <c r="N16" s="3">
        <f t="shared" si="15"/>
        <v>183.34129782980989</v>
      </c>
      <c r="O16" s="2">
        <f t="shared" si="0"/>
        <v>18</v>
      </c>
      <c r="Q16" s="10" t="s">
        <v>16</v>
      </c>
      <c r="R16" s="13">
        <v>320.04394373791098</v>
      </c>
      <c r="S16" s="13">
        <v>1973.43981399944</v>
      </c>
      <c r="T16" s="13">
        <v>2336.2280098132201</v>
      </c>
      <c r="U16" s="13">
        <v>442.98120689158799</v>
      </c>
      <c r="V16" s="13">
        <v>1089.5878038749199</v>
      </c>
      <c r="W16" s="13">
        <v>737.57402869638895</v>
      </c>
      <c r="X16" s="4">
        <f t="shared" si="22"/>
        <v>0.61729490234007611</v>
      </c>
      <c r="Y16" s="4">
        <f t="shared" si="23"/>
        <v>0.30268573859505293</v>
      </c>
      <c r="Z16" s="15" t="s">
        <v>45</v>
      </c>
      <c r="AA16" s="15" t="s">
        <v>45</v>
      </c>
      <c r="AB16" s="15" t="s">
        <v>45</v>
      </c>
      <c r="AC16" s="15" t="s">
        <v>45</v>
      </c>
      <c r="AD16" s="4">
        <f>AVERAGE(X16:Y16)</f>
        <v>0.4599903204675645</v>
      </c>
      <c r="AE16" s="4"/>
      <c r="AF16" s="4"/>
      <c r="AG16" s="2">
        <f t="shared" si="8"/>
        <v>22</v>
      </c>
    </row>
    <row r="17" spans="3:33">
      <c r="C17" s="10" t="s">
        <v>18</v>
      </c>
      <c r="D17" s="3">
        <v>42458.684941866108</v>
      </c>
      <c r="E17" s="3">
        <v>177020.41741354938</v>
      </c>
      <c r="F17" s="3">
        <v>442606.46401005448</v>
      </c>
      <c r="G17" s="3">
        <f t="shared" si="9"/>
        <v>229.68494186610769</v>
      </c>
      <c r="H17" s="3">
        <f t="shared" si="10"/>
        <v>1192.4174135493813</v>
      </c>
      <c r="I17" s="3">
        <f t="shared" si="32"/>
        <v>1436.4640100544784</v>
      </c>
      <c r="J17" s="4">
        <v>18.8</v>
      </c>
      <c r="K17" s="8">
        <f>J17*0.25</f>
        <v>4.7</v>
      </c>
      <c r="L17" s="8"/>
      <c r="M17" s="8"/>
      <c r="N17" s="3">
        <f t="shared" si="15"/>
        <v>202.73520322482037</v>
      </c>
      <c r="O17" s="2">
        <f t="shared" si="0"/>
        <v>17</v>
      </c>
      <c r="Q17" s="10" t="s">
        <v>18</v>
      </c>
      <c r="R17" s="13">
        <v>2338.5019121553</v>
      </c>
      <c r="S17" s="13">
        <v>5091.2032713707704</v>
      </c>
      <c r="T17" s="13">
        <v>3684.8743663221899</v>
      </c>
      <c r="U17" s="13">
        <v>1466.9748542868699</v>
      </c>
      <c r="V17" s="13">
        <v>3731.13036992668</v>
      </c>
      <c r="W17" s="13">
        <v>1364.0093828310798</v>
      </c>
      <c r="X17" s="4">
        <f t="shared" si="22"/>
        <v>0.78826805318072768</v>
      </c>
      <c r="Y17" s="4">
        <f t="shared" si="23"/>
        <v>0.46539819908117941</v>
      </c>
      <c r="Z17" s="15" t="s">
        <v>45</v>
      </c>
      <c r="AA17" s="15" t="s">
        <v>45</v>
      </c>
      <c r="AB17" s="15" t="s">
        <v>45</v>
      </c>
      <c r="AC17" s="15" t="s">
        <v>45</v>
      </c>
      <c r="AD17" s="4">
        <f t="shared" ref="AD17:AD20" si="33">AVERAGE(X17:Y17)</f>
        <v>0.62683312613095354</v>
      </c>
      <c r="AE17" s="4"/>
      <c r="AF17" s="4"/>
      <c r="AG17" s="2">
        <f t="shared" si="8"/>
        <v>20</v>
      </c>
    </row>
    <row r="18" spans="3:33">
      <c r="C18" s="7" t="s">
        <v>19</v>
      </c>
      <c r="D18" s="3">
        <f>D17-D16</f>
        <v>205.37944311546744</v>
      </c>
      <c r="E18" s="3">
        <f t="shared" ref="E18:J18" si="34">E17-E16</f>
        <v>725.06238926824881</v>
      </c>
      <c r="F18" s="3">
        <f t="shared" si="34"/>
        <v>553.06479936267715</v>
      </c>
      <c r="G18" s="3">
        <f>D18</f>
        <v>205.37944311546744</v>
      </c>
      <c r="H18" s="3">
        <f t="shared" ref="H18:I18" si="35">E18</f>
        <v>725.06238926824881</v>
      </c>
      <c r="I18" s="3">
        <f t="shared" si="35"/>
        <v>553.06479936267715</v>
      </c>
      <c r="J18" s="4">
        <f t="shared" si="34"/>
        <v>8.8000000000000007</v>
      </c>
      <c r="K18" s="9">
        <f>K17-K16</f>
        <v>2.2000000000000002</v>
      </c>
      <c r="L18" s="9"/>
      <c r="M18" s="9"/>
      <c r="N18" s="3">
        <f t="shared" si="15"/>
        <v>224.77373208278686</v>
      </c>
      <c r="O18" s="2">
        <f t="shared" si="0"/>
        <v>16</v>
      </c>
      <c r="Q18" s="7" t="s">
        <v>19</v>
      </c>
      <c r="R18" s="13">
        <f>R17-R16</f>
        <v>2018.4579684173891</v>
      </c>
      <c r="S18" s="13">
        <f t="shared" ref="S18:W18" si="36">S17-S16</f>
        <v>3117.7634573713303</v>
      </c>
      <c r="T18" s="13">
        <f t="shared" si="36"/>
        <v>1348.6463565089698</v>
      </c>
      <c r="U18" s="13">
        <f t="shared" si="36"/>
        <v>1023.9936473952819</v>
      </c>
      <c r="V18" s="13">
        <f t="shared" si="36"/>
        <v>2641.5425660517603</v>
      </c>
      <c r="W18" s="13">
        <f t="shared" si="36"/>
        <v>626.4353541346909</v>
      </c>
      <c r="X18" s="4">
        <f t="shared" si="22"/>
        <v>0.98255572459055884</v>
      </c>
      <c r="Y18" s="4">
        <f t="shared" si="23"/>
        <v>0.65029872236086872</v>
      </c>
      <c r="Z18" s="15" t="s">
        <v>45</v>
      </c>
      <c r="AA18" s="15" t="s">
        <v>45</v>
      </c>
      <c r="AB18" s="15" t="s">
        <v>45</v>
      </c>
      <c r="AC18" s="15" t="s">
        <v>45</v>
      </c>
      <c r="AD18" s="4">
        <f t="shared" si="33"/>
        <v>0.81642722347571373</v>
      </c>
      <c r="AE18" s="4"/>
      <c r="AF18" s="4"/>
      <c r="AG18" s="2">
        <f t="shared" si="8"/>
        <v>17</v>
      </c>
    </row>
    <row r="19" spans="3:33">
      <c r="C19" s="12" t="s">
        <v>22</v>
      </c>
      <c r="D19" s="3">
        <v>46954.926823352776</v>
      </c>
      <c r="E19" s="3">
        <v>183765.38543085352</v>
      </c>
      <c r="F19" s="3">
        <v>449459.53301365511</v>
      </c>
      <c r="G19" s="3">
        <f>D19-D3</f>
        <v>4725.9268233527764</v>
      </c>
      <c r="H19" s="3">
        <f t="shared" ref="H19:I19" si="37">E19-E3</f>
        <v>7937.3854308535228</v>
      </c>
      <c r="I19" s="3">
        <f t="shared" si="37"/>
        <v>8289.5330136551056</v>
      </c>
      <c r="J19" s="4">
        <f>11.57+J17+7.59+3.31+1.16+3.72+1.14+15.37+5.03</f>
        <v>67.69</v>
      </c>
      <c r="K19" s="9">
        <f>J19*0.25</f>
        <v>16.922499999999999</v>
      </c>
      <c r="L19" s="9"/>
      <c r="M19" s="9"/>
      <c r="N19" s="3">
        <f t="shared" si="15"/>
        <v>412.72162836187334</v>
      </c>
      <c r="O19" s="2">
        <f t="shared" si="0"/>
        <v>7</v>
      </c>
      <c r="Q19" s="12" t="s">
        <v>22</v>
      </c>
      <c r="R19" s="13">
        <v>60395.952933977402</v>
      </c>
      <c r="S19" s="13">
        <v>45544.600068992404</v>
      </c>
      <c r="T19" s="13">
        <v>27860.1801686871</v>
      </c>
      <c r="U19" s="13">
        <v>30907.971940697</v>
      </c>
      <c r="V19" s="13">
        <v>24416.747476375</v>
      </c>
      <c r="W19" s="13">
        <v>10866.091680358701</v>
      </c>
      <c r="X19" s="4">
        <f t="shared" si="22"/>
        <v>2.6355588353111128</v>
      </c>
      <c r="Y19" s="4">
        <f t="shared" si="23"/>
        <v>1.3038028482283095</v>
      </c>
      <c r="Z19" s="15" t="s">
        <v>45</v>
      </c>
      <c r="AA19" s="15" t="s">
        <v>45</v>
      </c>
      <c r="AB19" s="15" t="s">
        <v>45</v>
      </c>
      <c r="AC19" s="15" t="s">
        <v>45</v>
      </c>
      <c r="AD19" s="4">
        <f t="shared" si="33"/>
        <v>1.9696808417697111</v>
      </c>
      <c r="AE19" s="4"/>
      <c r="AF19" s="4"/>
      <c r="AG19" s="2">
        <f t="shared" si="8"/>
        <v>10</v>
      </c>
    </row>
    <row r="20" spans="3:33">
      <c r="C20" s="7" t="s">
        <v>23</v>
      </c>
      <c r="D20" s="3">
        <f>D19-D17</f>
        <v>4496.2418814866687</v>
      </c>
      <c r="E20" s="3">
        <f t="shared" ref="E20:F20" si="38">E19-E17</f>
        <v>6744.9680173041415</v>
      </c>
      <c r="F20" s="3">
        <f t="shared" si="38"/>
        <v>6853.0690036006272</v>
      </c>
      <c r="G20" s="3">
        <f>D20</f>
        <v>4496.2418814866687</v>
      </c>
      <c r="H20" s="3">
        <f t="shared" ref="H20" si="39">E20</f>
        <v>6744.9680173041415</v>
      </c>
      <c r="I20" s="3">
        <f>F20</f>
        <v>6853.0690036006272</v>
      </c>
      <c r="J20" s="4">
        <f>J19-J17</f>
        <v>48.89</v>
      </c>
      <c r="K20" s="9">
        <f>K19-K17</f>
        <v>12.2225</v>
      </c>
      <c r="L20" s="9"/>
      <c r="M20" s="9"/>
      <c r="N20" s="3">
        <f>AVERAGE(G20:I20)/K20</f>
        <v>493.46911849434616</v>
      </c>
      <c r="O20" s="2">
        <f t="shared" si="0"/>
        <v>5</v>
      </c>
      <c r="Q20" s="7" t="s">
        <v>23</v>
      </c>
      <c r="R20" s="13">
        <f>R19-R17</f>
        <v>58057.451021822104</v>
      </c>
      <c r="S20" s="13">
        <f t="shared" ref="S20:W20" si="40">S19-S17</f>
        <v>40453.396797621637</v>
      </c>
      <c r="T20" s="13">
        <f t="shared" si="40"/>
        <v>24175.30580236491</v>
      </c>
      <c r="U20" s="13">
        <f t="shared" si="40"/>
        <v>29440.997086410131</v>
      </c>
      <c r="V20" s="13">
        <f t="shared" si="40"/>
        <v>20685.617106448321</v>
      </c>
      <c r="W20" s="13">
        <f t="shared" si="40"/>
        <v>9502.0822975276205</v>
      </c>
      <c r="X20" s="4">
        <f t="shared" si="22"/>
        <v>3.3459099644592252</v>
      </c>
      <c r="Y20" s="4">
        <f t="shared" si="23"/>
        <v>1.6262002179146677</v>
      </c>
      <c r="Z20" s="15" t="s">
        <v>45</v>
      </c>
      <c r="AA20" s="15" t="s">
        <v>45</v>
      </c>
      <c r="AB20" s="15" t="s">
        <v>45</v>
      </c>
      <c r="AC20" s="15" t="s">
        <v>45</v>
      </c>
      <c r="AD20" s="4">
        <f t="shared" si="33"/>
        <v>2.4860550911869463</v>
      </c>
      <c r="AE20" s="4"/>
      <c r="AF20" s="4"/>
      <c r="AG20" s="2">
        <f t="shared" si="8"/>
        <v>4</v>
      </c>
    </row>
    <row r="21" spans="3:33">
      <c r="C21" s="10" t="s">
        <v>21</v>
      </c>
      <c r="D21" s="21">
        <v>43336</v>
      </c>
      <c r="E21" s="21">
        <v>182521.86201180244</v>
      </c>
      <c r="F21" s="21">
        <v>449840.6094023544</v>
      </c>
      <c r="G21" s="3">
        <f>D21-$D$3</f>
        <v>1107</v>
      </c>
      <c r="H21" s="3">
        <f>E21-$E$3</f>
        <v>6693.862011802441</v>
      </c>
      <c r="I21" s="3">
        <f>F21-F3</f>
        <v>8670.6094023543992</v>
      </c>
      <c r="J21" s="1">
        <v>8.9700000000000006</v>
      </c>
      <c r="K21" s="11">
        <f>J21*1.19</f>
        <v>10.674300000000001</v>
      </c>
      <c r="L21" s="11">
        <f>J21*0.632</f>
        <v>5.6690400000000007</v>
      </c>
      <c r="M21" s="11">
        <f>J21*1.3</f>
        <v>11.661000000000001</v>
      </c>
      <c r="N21" s="3">
        <f>AVERAGE(G21:I21)/K21</f>
        <v>514.365388960926</v>
      </c>
      <c r="O21" s="2">
        <f t="shared" si="0"/>
        <v>3</v>
      </c>
      <c r="Q21" s="10" t="s">
        <v>21</v>
      </c>
      <c r="R21" s="13">
        <v>13740.942216620901</v>
      </c>
      <c r="S21" s="13">
        <v>36311.042955697703</v>
      </c>
      <c r="T21" s="13">
        <v>25220.706052217603</v>
      </c>
      <c r="U21" s="13">
        <v>17468.359196142603</v>
      </c>
      <c r="V21" s="13">
        <v>16311.380514964001</v>
      </c>
      <c r="W21" s="13">
        <v>7129.7066733417996</v>
      </c>
      <c r="X21" s="4">
        <f t="shared" si="22"/>
        <v>2.3505894601843118</v>
      </c>
      <c r="Y21" s="4">
        <f t="shared" si="23"/>
        <v>1.277505984294002</v>
      </c>
      <c r="Z21" s="4">
        <f t="shared" si="24"/>
        <v>4.4259516734483082</v>
      </c>
      <c r="AA21" s="4">
        <f t="shared" si="25"/>
        <v>2.4054305716928202</v>
      </c>
      <c r="AB21" s="4">
        <f t="shared" si="26"/>
        <v>2.1516934289379468</v>
      </c>
      <c r="AC21" s="4">
        <f t="shared" si="27"/>
        <v>1.1694093240845094</v>
      </c>
      <c r="AD21" s="4">
        <f t="shared" si="28"/>
        <v>2.2967634071069831</v>
      </c>
      <c r="AE21" s="4"/>
      <c r="AF21" s="4"/>
      <c r="AG21" s="2">
        <f t="shared" si="8"/>
        <v>8</v>
      </c>
    </row>
    <row r="22" spans="3:33">
      <c r="C22" s="10" t="s">
        <v>27</v>
      </c>
      <c r="D22" s="3">
        <v>43719</v>
      </c>
      <c r="E22" s="3">
        <v>183170</v>
      </c>
      <c r="F22" s="3">
        <v>449184.50256943272</v>
      </c>
      <c r="G22" s="3">
        <f>D22-$D$3</f>
        <v>1490</v>
      </c>
      <c r="H22" s="3">
        <f>E22-$E$3</f>
        <v>7342</v>
      </c>
      <c r="I22" s="3">
        <f>F22-F3</f>
        <v>8014.5025694327196</v>
      </c>
      <c r="J22" s="1">
        <v>8.9700000000000006</v>
      </c>
      <c r="K22" s="11">
        <f>J22*1.19+0.08*6.83</f>
        <v>11.220700000000001</v>
      </c>
      <c r="L22" s="11">
        <f>J22*0.632+0.08*6.83</f>
        <v>6.215440000000001</v>
      </c>
      <c r="M22" s="11">
        <f>J22*1.3+0.08*6.83</f>
        <v>12.207400000000002</v>
      </c>
      <c r="N22" s="3">
        <f>AVERAGE(G22:I22)/K22</f>
        <v>500.45904947798027</v>
      </c>
      <c r="O22" s="2">
        <f t="shared" si="0"/>
        <v>4</v>
      </c>
      <c r="Q22" s="10" t="s">
        <v>27</v>
      </c>
      <c r="R22" s="13">
        <v>18425.4252192528</v>
      </c>
      <c r="S22" s="13">
        <v>38021.8103716244</v>
      </c>
      <c r="T22" s="13">
        <v>22749.714666640997</v>
      </c>
      <c r="U22" s="13">
        <v>18501.995411877499</v>
      </c>
      <c r="V22" s="13">
        <v>26023.516598543203</v>
      </c>
      <c r="W22" s="13">
        <v>8811.6447330321698</v>
      </c>
      <c r="X22" s="4">
        <f t="shared" si="22"/>
        <v>2.3527037902423849</v>
      </c>
      <c r="Y22" s="4">
        <f t="shared" si="23"/>
        <v>1.584486907930666</v>
      </c>
      <c r="Z22" s="4">
        <f t="shared" si="24"/>
        <v>4.2473233462430224</v>
      </c>
      <c r="AA22" s="4">
        <f t="shared" si="25"/>
        <v>2.8604655901782694</v>
      </c>
      <c r="AB22" s="4">
        <f t="shared" si="26"/>
        <v>2.1625393957085643</v>
      </c>
      <c r="AC22" s="4">
        <f t="shared" si="27"/>
        <v>1.456415964727757</v>
      </c>
      <c r="AD22" s="4">
        <f t="shared" si="28"/>
        <v>2.4439891658384436</v>
      </c>
      <c r="AE22" s="4"/>
      <c r="AF22" s="4"/>
      <c r="AG22" s="2">
        <f t="shared" si="8"/>
        <v>6</v>
      </c>
    </row>
    <row r="23" spans="3:33">
      <c r="C23" s="10" t="s">
        <v>28</v>
      </c>
      <c r="D23" s="3">
        <v>46138.936761177138</v>
      </c>
      <c r="E23" s="3">
        <v>185488</v>
      </c>
      <c r="F23" s="3">
        <v>453575</v>
      </c>
      <c r="G23" s="3">
        <f>D23-$D$3</f>
        <v>3909.9367611771377</v>
      </c>
      <c r="H23" s="3">
        <f>E23-$E$3</f>
        <v>9660</v>
      </c>
      <c r="I23" s="3">
        <f>F23-F3</f>
        <v>12405</v>
      </c>
      <c r="J23" s="1">
        <v>12.2</v>
      </c>
      <c r="K23" s="11">
        <f>J23*1.19</f>
        <v>14.517999999999999</v>
      </c>
      <c r="L23" s="11">
        <f>J23*0.632</f>
        <v>7.7103999999999999</v>
      </c>
      <c r="M23" s="11">
        <f t="shared" ref="M23" si="41">J23*1.3</f>
        <v>15.86</v>
      </c>
      <c r="N23" s="3">
        <f>AVERAGE(G23:I23)/K23</f>
        <v>596.3846434581701</v>
      </c>
      <c r="O23" s="2">
        <f t="shared" si="0"/>
        <v>1</v>
      </c>
      <c r="Q23" s="10" t="s">
        <v>28</v>
      </c>
      <c r="R23" s="13">
        <v>48766.591835722997</v>
      </c>
      <c r="S23" s="13">
        <v>53315.930858391504</v>
      </c>
      <c r="T23" s="13">
        <v>35500.4929297833</v>
      </c>
      <c r="U23" s="13">
        <v>26691.732541672402</v>
      </c>
      <c r="V23" s="13">
        <v>17955.283862461398</v>
      </c>
      <c r="W23" s="13">
        <v>7730.1773977206403</v>
      </c>
      <c r="X23" s="4">
        <f t="shared" si="22"/>
        <v>3.1589065441497413</v>
      </c>
      <c r="Y23" s="4">
        <f t="shared" si="23"/>
        <v>1.202580562103468</v>
      </c>
      <c r="Z23" s="4">
        <f t="shared" si="24"/>
        <v>5.9479411195224552</v>
      </c>
      <c r="AA23" s="4">
        <f t="shared" si="25"/>
        <v>2.2643526406695043</v>
      </c>
      <c r="AB23" s="4">
        <f t="shared" si="26"/>
        <v>2.8916144519524551</v>
      </c>
      <c r="AC23" s="4">
        <f t="shared" si="27"/>
        <v>1.1008237453100975</v>
      </c>
      <c r="AD23" s="4">
        <f t="shared" si="28"/>
        <v>2.7610365106179535</v>
      </c>
      <c r="AE23" s="4"/>
      <c r="AF23" s="4"/>
      <c r="AG23" s="2">
        <f t="shared" si="8"/>
        <v>2</v>
      </c>
    </row>
    <row r="24" spans="3:33">
      <c r="C24" s="10" t="s">
        <v>53</v>
      </c>
      <c r="D24" s="3">
        <v>46182</v>
      </c>
      <c r="E24" s="3">
        <v>185789</v>
      </c>
      <c r="F24" s="3">
        <v>453801</v>
      </c>
      <c r="G24" s="3">
        <f t="shared" ref="G24:G26" si="42">D24-$D$3</f>
        <v>3953</v>
      </c>
      <c r="H24" s="3">
        <f t="shared" ref="H24:H26" si="43">E24-$E$3</f>
        <v>9961</v>
      </c>
      <c r="I24" s="3">
        <f t="shared" ref="I24" si="44">F24-F4</f>
        <v>9679</v>
      </c>
      <c r="J24" s="1">
        <f>12.2+2.36</f>
        <v>14.559999999999999</v>
      </c>
      <c r="K24" s="11">
        <f>12.2*1.19+2.36*0.25</f>
        <v>15.107999999999999</v>
      </c>
      <c r="L24" s="11">
        <f>12.2*0.632+2.36*0.25</f>
        <v>8.3003999999999998</v>
      </c>
      <c r="M24" s="11">
        <f t="shared" ref="M24:M26" si="45">J24*1.3</f>
        <v>18.927999999999997</v>
      </c>
      <c r="N24" s="3">
        <f t="shared" ref="N24" si="46">AVERAGE(G24:I24)/K24</f>
        <v>520.54099373400413</v>
      </c>
      <c r="O24" s="2">
        <f t="shared" si="0"/>
        <v>2</v>
      </c>
      <c r="Q24" s="10" t="s">
        <v>56</v>
      </c>
      <c r="R24" s="13">
        <v>49304.389848908599</v>
      </c>
      <c r="S24" s="13">
        <v>54498.236818980105</v>
      </c>
      <c r="T24" s="13">
        <v>35917.826746004801</v>
      </c>
      <c r="U24" s="13">
        <v>27267.579286005701</v>
      </c>
      <c r="V24" s="13">
        <v>18810.503909089697</v>
      </c>
      <c r="W24" s="13">
        <v>7873.0551031770492</v>
      </c>
      <c r="X24" s="4">
        <f t="shared" ref="X24:X28" si="47">AVERAGE(R24:T24)/(K24*1000)</f>
        <v>3.0827034995563829</v>
      </c>
      <c r="Y24" s="4">
        <f t="shared" ref="Y24:Y28" si="48">AVERAGE(U24:W24)/(K24*1000)</f>
        <v>1.1903437096962417</v>
      </c>
      <c r="Z24" s="4">
        <f t="shared" ref="Z24:Z28" si="49">AVERAGE(R24:T24)/(L24*1000)</f>
        <v>5.6109927800223884</v>
      </c>
      <c r="AA24" s="4">
        <f t="shared" ref="AA24:AA28" si="50">AVERAGE(U24:W24)/(L24*1000)</f>
        <v>2.1666079666149609</v>
      </c>
      <c r="AB24" s="4">
        <f t="shared" ref="AB24:AB28" si="51">AVERAGE(R24:T24)/(M24*1000)</f>
        <v>2.4605602531328108</v>
      </c>
      <c r="AC24" s="4">
        <f t="shared" ref="AC24:AC28" si="52">AVERAGE(U24:W24)/(M24*1000)</f>
        <v>0.95011162120090986</v>
      </c>
      <c r="AD24" s="4">
        <f t="shared" ref="AD24:AD28" si="53">AVERAGE(X24:AC24)</f>
        <v>2.5768866383706159</v>
      </c>
      <c r="AE24" s="4"/>
      <c r="AF24" s="4"/>
      <c r="AG24" s="2">
        <f t="shared" si="8"/>
        <v>3</v>
      </c>
    </row>
    <row r="25" spans="3:33">
      <c r="C25" s="10"/>
      <c r="D25" s="3">
        <f>D24-D23</f>
        <v>43.063238822862331</v>
      </c>
      <c r="E25" s="3">
        <f t="shared" ref="E25:F25" si="54">E24-E23</f>
        <v>301</v>
      </c>
      <c r="F25" s="3">
        <f t="shared" si="54"/>
        <v>226</v>
      </c>
      <c r="G25" s="3"/>
      <c r="H25" s="3"/>
      <c r="I25" s="3"/>
      <c r="J25" s="1">
        <f>J24-J23</f>
        <v>2.3599999999999994</v>
      </c>
      <c r="K25" s="11">
        <f>J25*0.25</f>
        <v>0.58999999999999986</v>
      </c>
      <c r="L25" s="11">
        <f>J25*0.25</f>
        <v>0.58999999999999986</v>
      </c>
      <c r="M25" s="11"/>
      <c r="N25" s="3"/>
      <c r="O25" s="2"/>
      <c r="Q25" s="10"/>
      <c r="R25" s="13">
        <f>R24-R23</f>
        <v>537.79801318560203</v>
      </c>
      <c r="S25" s="13">
        <f t="shared" ref="S25:W25" si="55">S24-S23</f>
        <v>1182.305960588601</v>
      </c>
      <c r="T25" s="13">
        <f t="shared" si="55"/>
        <v>417.33381622150046</v>
      </c>
      <c r="U25" s="13">
        <f t="shared" si="55"/>
        <v>575.84674433329928</v>
      </c>
      <c r="V25" s="13">
        <f t="shared" si="55"/>
        <v>855.22004662829931</v>
      </c>
      <c r="W25" s="13">
        <f t="shared" si="55"/>
        <v>142.87770545640888</v>
      </c>
      <c r="X25" s="4"/>
      <c r="Y25" s="4"/>
      <c r="Z25" s="4"/>
      <c r="AA25" s="4"/>
      <c r="AB25" s="4"/>
      <c r="AC25" s="4"/>
      <c r="AD25" s="4"/>
      <c r="AE25" s="4"/>
      <c r="AF25" s="4"/>
      <c r="AG25" s="2"/>
    </row>
    <row r="26" spans="3:33">
      <c r="C26" s="10" t="s">
        <v>54</v>
      </c>
      <c r="D26" s="3">
        <v>46186</v>
      </c>
      <c r="E26" s="3">
        <v>185848</v>
      </c>
      <c r="F26" s="3">
        <v>453859</v>
      </c>
      <c r="G26" s="3">
        <f t="shared" si="42"/>
        <v>3957</v>
      </c>
      <c r="H26" s="3">
        <f t="shared" si="43"/>
        <v>10020</v>
      </c>
      <c r="I26" s="3">
        <f>F26-F5</f>
        <v>5357</v>
      </c>
      <c r="J26" s="1">
        <f>12.2+4.74</f>
        <v>16.939999999999998</v>
      </c>
      <c r="K26" s="11">
        <f>12.2*1.19+4.74*0.25</f>
        <v>15.702999999999999</v>
      </c>
      <c r="L26" s="11">
        <f>12.2*0.632+4.74*0.25</f>
        <v>8.8954000000000004</v>
      </c>
      <c r="M26" s="11">
        <f t="shared" si="45"/>
        <v>22.021999999999998</v>
      </c>
      <c r="N26" s="3">
        <f>AVERAGE(G26:I26)/K26</f>
        <v>410.40990044365196</v>
      </c>
      <c r="O26" s="2">
        <f>RANK(N26,$N$4:$N$28)</f>
        <v>8</v>
      </c>
      <c r="Q26" s="10" t="s">
        <v>54</v>
      </c>
      <c r="R26" s="13">
        <v>49822.341223845804</v>
      </c>
      <c r="S26" s="13">
        <v>57243.684980747297</v>
      </c>
      <c r="T26" s="13">
        <v>36784.9807454849</v>
      </c>
      <c r="U26" s="13">
        <v>27830.973913300997</v>
      </c>
      <c r="V26" s="13">
        <v>20207.118809752898</v>
      </c>
      <c r="W26" s="13">
        <v>7966.2839815453999</v>
      </c>
      <c r="X26" s="4">
        <f t="shared" si="47"/>
        <v>3.0535780201251992</v>
      </c>
      <c r="Y26" s="4">
        <f t="shared" si="48"/>
        <v>1.1888254198688</v>
      </c>
      <c r="Z26" s="4">
        <f t="shared" si="49"/>
        <v>5.3904642455680474</v>
      </c>
      <c r="AA26" s="4">
        <f t="shared" si="50"/>
        <v>2.0986268822312391</v>
      </c>
      <c r="AB26" s="4">
        <f t="shared" si="51"/>
        <v>2.1773833280367816</v>
      </c>
      <c r="AC26" s="4">
        <f t="shared" si="52"/>
        <v>0.84770345873216624</v>
      </c>
      <c r="AD26" s="4">
        <f t="shared" si="53"/>
        <v>2.459430225760372</v>
      </c>
      <c r="AE26" s="4"/>
      <c r="AF26" s="4"/>
      <c r="AG26" s="2">
        <f>RANK(AD26,$AD$4:$AD$28)</f>
        <v>5</v>
      </c>
    </row>
    <row r="27" spans="3:33">
      <c r="C27" s="10"/>
      <c r="D27" s="3"/>
      <c r="E27" s="3"/>
      <c r="F27" s="3"/>
      <c r="G27" s="3"/>
      <c r="H27" s="3"/>
      <c r="I27" s="3"/>
      <c r="J27" s="1">
        <f>J26-J23</f>
        <v>4.7399999999999984</v>
      </c>
      <c r="K27" s="11">
        <f>J27*0.25</f>
        <v>1.1849999999999996</v>
      </c>
      <c r="L27" s="11">
        <f>J27*0.25</f>
        <v>1.1849999999999996</v>
      </c>
      <c r="M27" s="11"/>
      <c r="N27" s="3"/>
      <c r="O27" s="2"/>
      <c r="Q27" s="10"/>
      <c r="R27" s="13">
        <f>R26-R23</f>
        <v>1055.7493881228074</v>
      </c>
      <c r="S27" s="13">
        <f t="shared" ref="S27:W27" si="56">S26-S23</f>
        <v>3927.7541223557928</v>
      </c>
      <c r="T27" s="13">
        <f t="shared" si="56"/>
        <v>1284.4878157015992</v>
      </c>
      <c r="U27" s="13">
        <f t="shared" si="56"/>
        <v>1139.2413716285955</v>
      </c>
      <c r="V27" s="13">
        <f t="shared" si="56"/>
        <v>2251.8349472914997</v>
      </c>
      <c r="W27" s="13">
        <f t="shared" si="56"/>
        <v>236.10658382475958</v>
      </c>
      <c r="X27" s="4"/>
      <c r="Y27" s="4"/>
      <c r="Z27" s="4"/>
      <c r="AA27" s="4"/>
      <c r="AB27" s="4"/>
      <c r="AC27" s="4"/>
      <c r="AD27" s="4"/>
      <c r="AE27" s="4"/>
      <c r="AF27" s="4"/>
      <c r="AG27" s="2"/>
    </row>
    <row r="28" spans="3:33">
      <c r="C28" s="10" t="s">
        <v>55</v>
      </c>
      <c r="D28" s="3">
        <v>46230</v>
      </c>
      <c r="E28" s="3">
        <v>186154</v>
      </c>
      <c r="F28" s="3">
        <v>454094</v>
      </c>
      <c r="G28" s="3">
        <f t="shared" ref="G28" si="57">D28-$D$3</f>
        <v>4001</v>
      </c>
      <c r="H28" s="3">
        <f t="shared" ref="H28" si="58">E28-$E$3</f>
        <v>10326</v>
      </c>
      <c r="I28" s="3">
        <f t="shared" ref="I28" si="59">F28-F6</f>
        <v>4777</v>
      </c>
      <c r="J28" s="1">
        <f>12.2+4.74+2.36</f>
        <v>19.299999999999997</v>
      </c>
      <c r="K28" s="11">
        <f>12.2*1.19+4.74*0.25+2.36*0.25</f>
        <v>16.292999999999999</v>
      </c>
      <c r="L28" s="11">
        <f>12.2*0.632+4.74*0.25+2.36*0.25</f>
        <v>9.4854000000000003</v>
      </c>
      <c r="M28" s="11">
        <f t="shared" ref="M28" si="60">J28*1.3</f>
        <v>25.089999999999996</v>
      </c>
      <c r="N28" s="3">
        <f t="shared" ref="N28" si="61">AVERAGE(G28:I28)/K28</f>
        <v>390.84269318112075</v>
      </c>
      <c r="O28" s="2">
        <f>RANK(N28,$N$4:$N$28)</f>
        <v>10</v>
      </c>
      <c r="Q28" s="10" t="s">
        <v>57</v>
      </c>
      <c r="R28" s="13">
        <v>50350.959093890997</v>
      </c>
      <c r="S28" s="13">
        <v>58438.356353713498</v>
      </c>
      <c r="T28" s="13">
        <v>37214.191568521899</v>
      </c>
      <c r="U28" s="13">
        <v>28398.7437642308</v>
      </c>
      <c r="V28" s="13">
        <v>21073.708049795103</v>
      </c>
      <c r="W28" s="13">
        <v>8113.9177484840402</v>
      </c>
      <c r="X28" s="4">
        <f t="shared" si="47"/>
        <v>2.9870395674241776</v>
      </c>
      <c r="Y28" s="4">
        <f t="shared" si="48"/>
        <v>1.1781413196364481</v>
      </c>
      <c r="Z28" s="4">
        <f t="shared" si="49"/>
        <v>5.1308153237651686</v>
      </c>
      <c r="AA28" s="4">
        <f t="shared" si="50"/>
        <v>2.0236844540911978</v>
      </c>
      <c r="AB28" s="4">
        <f t="shared" si="51"/>
        <v>1.9397303974508624</v>
      </c>
      <c r="AC28" s="4">
        <f t="shared" si="52"/>
        <v>0.76506403032429848</v>
      </c>
      <c r="AD28" s="4">
        <f t="shared" si="53"/>
        <v>2.3374125154486922</v>
      </c>
      <c r="AE28" s="4"/>
      <c r="AF28" s="4"/>
      <c r="AG28" s="2">
        <f>RANK(AD28,$AD$4:$AD$28)</f>
        <v>7</v>
      </c>
    </row>
    <row r="29" spans="3:33">
      <c r="C29" s="10" t="s">
        <v>55</v>
      </c>
      <c r="D29" s="3">
        <f>D28-D23</f>
        <v>91.063238822862331</v>
      </c>
      <c r="E29" s="3">
        <f t="shared" ref="E29:F29" si="62">E28-E23</f>
        <v>666</v>
      </c>
      <c r="F29" s="3">
        <f t="shared" si="62"/>
        <v>519</v>
      </c>
      <c r="G29" s="3">
        <f t="shared" ref="G29" si="63">D29-$D$3</f>
        <v>-42137.936761177138</v>
      </c>
      <c r="H29" s="3">
        <f t="shared" ref="H29" si="64">E29-$E$3</f>
        <v>-175162</v>
      </c>
      <c r="I29" s="3">
        <f t="shared" ref="I29" si="65">F29-F7</f>
        <v>-447676.25901975494</v>
      </c>
      <c r="J29" s="1">
        <f>J28-J23</f>
        <v>7.0999999999999979</v>
      </c>
      <c r="K29" s="11">
        <f>J29*0.25</f>
        <v>1.7749999999999995</v>
      </c>
      <c r="L29" s="11">
        <f>J29*0.25</f>
        <v>1.7749999999999995</v>
      </c>
      <c r="M29" s="11">
        <f t="shared" ref="M29" si="66">J29*1.3</f>
        <v>9.2299999999999969</v>
      </c>
      <c r="N29" s="3">
        <f t="shared" ref="N29" si="67">AVERAGE(G29:I29)/K29</f>
        <v>-124878.15883209997</v>
      </c>
      <c r="O29" s="2" t="e">
        <f>RANK(N29,$N$4:$N$28)</f>
        <v>#N/A</v>
      </c>
      <c r="Q29" s="22"/>
      <c r="R29" s="24">
        <f>R28-R23</f>
        <v>1584.3672581680003</v>
      </c>
      <c r="S29" s="24">
        <f t="shared" ref="S29:W29" si="68">S28-S23</f>
        <v>5122.4254953219934</v>
      </c>
      <c r="T29" s="24">
        <f t="shared" si="68"/>
        <v>1713.6986387385987</v>
      </c>
      <c r="U29" s="24">
        <f t="shared" si="68"/>
        <v>1707.011222558398</v>
      </c>
      <c r="V29" s="24">
        <f t="shared" si="68"/>
        <v>3118.424187333705</v>
      </c>
      <c r="W29" s="24">
        <f t="shared" si="68"/>
        <v>383.74035076339987</v>
      </c>
      <c r="X29" s="20"/>
      <c r="Y29" s="20"/>
      <c r="Z29" s="20"/>
      <c r="AA29" s="20"/>
      <c r="AB29" s="20"/>
      <c r="AC29" s="20"/>
      <c r="AD29" s="20"/>
      <c r="AE29" s="20"/>
      <c r="AF29" s="20"/>
      <c r="AG29" s="23"/>
    </row>
    <row r="31" spans="3:33">
      <c r="Q31" s="14" t="s">
        <v>46</v>
      </c>
      <c r="R31" s="2" t="s">
        <v>31</v>
      </c>
      <c r="S31" s="2" t="s">
        <v>32</v>
      </c>
      <c r="T31" s="2" t="s">
        <v>33</v>
      </c>
      <c r="U31" s="2" t="s">
        <v>34</v>
      </c>
      <c r="V31" s="2" t="s">
        <v>35</v>
      </c>
      <c r="W31" s="2" t="s">
        <v>36</v>
      </c>
      <c r="X31" s="2" t="s">
        <v>58</v>
      </c>
      <c r="Y31" s="2" t="s">
        <v>64</v>
      </c>
      <c r="Z31" s="2" t="s">
        <v>65</v>
      </c>
      <c r="AA31" s="2" t="s">
        <v>62</v>
      </c>
      <c r="AB31" s="2" t="s">
        <v>63</v>
      </c>
      <c r="AC31" s="2" t="s">
        <v>66</v>
      </c>
      <c r="AD31" s="2" t="s">
        <v>48</v>
      </c>
      <c r="AE31" s="1"/>
      <c r="AF31" s="2" t="s">
        <v>47</v>
      </c>
      <c r="AG31" s="2" t="s">
        <v>15</v>
      </c>
    </row>
    <row r="32" spans="3:33">
      <c r="Q32" s="10" t="s">
        <v>4</v>
      </c>
      <c r="R32" s="3">
        <v>42229</v>
      </c>
      <c r="S32" s="3">
        <v>175828</v>
      </c>
      <c r="T32" s="3">
        <v>441170</v>
      </c>
      <c r="U32" s="1"/>
      <c r="V32" s="1"/>
      <c r="W32" s="1"/>
      <c r="X32" s="3"/>
      <c r="Y32" s="3"/>
      <c r="Z32" s="3"/>
      <c r="AA32" s="3"/>
      <c r="AB32" s="3"/>
      <c r="AC32" s="3"/>
      <c r="AD32" s="3"/>
      <c r="AE32" s="3"/>
      <c r="AF32" s="3"/>
      <c r="AG32" s="1"/>
    </row>
    <row r="33" spans="11:35">
      <c r="K33" s="17">
        <f>PV(0.07,8,0,-K4,0)</f>
        <v>3.1166587549457807</v>
      </c>
      <c r="L33" s="17">
        <f t="shared" ref="L33:M33" si="69">PV(0.07,8,0,-L4,0)</f>
        <v>1.6552338933829693</v>
      </c>
      <c r="M33" s="17">
        <f t="shared" si="69"/>
        <v>3.404753261705475</v>
      </c>
      <c r="O33" t="s">
        <v>52</v>
      </c>
      <c r="Q33" s="10" t="s">
        <v>5</v>
      </c>
      <c r="R33" s="16">
        <f>PV($O$34,17,0,-R4,0)</f>
        <v>1363.3032115257517</v>
      </c>
      <c r="S33" s="16">
        <f t="shared" ref="S33:W33" si="70">PV($O$34,17,0,-S4,0)</f>
        <v>4493.3379789308065</v>
      </c>
      <c r="T33" s="16">
        <f t="shared" si="70"/>
        <v>2706.1925250527056</v>
      </c>
      <c r="U33" s="16">
        <f t="shared" si="70"/>
        <v>5144.9407616685512</v>
      </c>
      <c r="V33" s="16">
        <f t="shared" si="70"/>
        <v>12556.481129285867</v>
      </c>
      <c r="W33" s="16">
        <f t="shared" si="70"/>
        <v>2484.8101432376357</v>
      </c>
      <c r="X33" s="13">
        <f>AVERAGE(R33:W33)</f>
        <v>4791.510958283553</v>
      </c>
      <c r="Y33" s="26">
        <f>PV($O$34,8,0,-K4,0)</f>
        <v>3.1166587549457807</v>
      </c>
      <c r="Z33" s="26">
        <f>PV($O$34,8,0,-L4,0)</f>
        <v>1.6552338933829693</v>
      </c>
      <c r="AA33" s="4">
        <f>($X33/1000)/Y33</f>
        <v>1.5373870978591972</v>
      </c>
      <c r="AB33" s="4">
        <f>($X33/1000)/Z33</f>
        <v>2.8947636810956401</v>
      </c>
      <c r="AC33" s="3">
        <f>RANK(AA33,($AA$33:$AA$36,$AA$38,$AA$40:$AA$43,$AA$45:$AA$46,$AA$48,$AA$50:$AA$53,$AA$55,$AA$57),0)</f>
        <v>1</v>
      </c>
      <c r="AD33" s="4">
        <f>AVERAGE(Y33,AC33)</f>
        <v>2.0583293774728904</v>
      </c>
      <c r="AE33" s="4">
        <f>AF33-AD33</f>
        <v>2395.1445316048512</v>
      </c>
      <c r="AF33" s="4">
        <f>AVERAGE(X33,AB33)</f>
        <v>2397.2028609823242</v>
      </c>
      <c r="AG33" s="2" t="e">
        <f t="shared" ref="AG33:AG53" si="71">RANK(AI33,$AI$33:$AI$57)</f>
        <v>#N/A</v>
      </c>
      <c r="AI33" s="20">
        <f>AVERAGE(AD33,AF33)</f>
        <v>1199.6305951798986</v>
      </c>
    </row>
    <row r="34" spans="11:35">
      <c r="K34" s="17">
        <f t="shared" ref="K34:M34" si="72">PV(0.07,8,0,-K5,0)</f>
        <v>7.2722037615401547</v>
      </c>
      <c r="L34" s="17">
        <f t="shared" si="72"/>
        <v>3.8622124178935953</v>
      </c>
      <c r="M34" s="17">
        <f t="shared" si="72"/>
        <v>7.9444242773127751</v>
      </c>
      <c r="O34">
        <v>7.0000000000000007E-2</v>
      </c>
      <c r="Q34" s="10" t="s">
        <v>6</v>
      </c>
      <c r="R34" s="16">
        <f t="shared" ref="R34:W34" si="73">PV($O$34,17,0,-R5,0)</f>
        <v>3913.6779473964402</v>
      </c>
      <c r="S34" s="16">
        <f t="shared" si="73"/>
        <v>7332.8202883683825</v>
      </c>
      <c r="T34" s="16">
        <f t="shared" si="73"/>
        <v>5088.2753373406049</v>
      </c>
      <c r="U34" s="16">
        <f t="shared" si="73"/>
        <v>1633.6266078071033</v>
      </c>
      <c r="V34" s="16">
        <f t="shared" si="73"/>
        <v>2127.2616857178964</v>
      </c>
      <c r="W34" s="16">
        <f t="shared" si="73"/>
        <v>1199.5750259904589</v>
      </c>
      <c r="X34" s="13">
        <f t="shared" ref="X34:X57" si="74">AVERAGE(R34:W34)</f>
        <v>3549.206148770148</v>
      </c>
      <c r="Y34" s="26">
        <f t="shared" ref="Y34:Y58" si="75">PV($O$34,8,0,-K5,0)</f>
        <v>7.2722037615401547</v>
      </c>
      <c r="Z34" s="26">
        <f t="shared" ref="Z34:Z58" si="76">PV($O$34,8,0,-L5,0)</f>
        <v>3.8622124178935953</v>
      </c>
      <c r="AA34" s="4">
        <f t="shared" ref="AA34:AA58" si="77">(X34/1000)/Y34</f>
        <v>0.48805097672599784</v>
      </c>
      <c r="AB34" s="4">
        <f t="shared" ref="AB34:AB58" si="78">($X34/1000)/Z34</f>
        <v>0.91895674415179962</v>
      </c>
      <c r="AC34" s="3">
        <f>RANK(AA34,($AA$33:$AA$36,$AA$38,$AA$40:$AA$43,$AA$45:$AA$46,$AA$48,$AA$50:$AA$53,$AA$55,$AA$57),0)</f>
        <v>13</v>
      </c>
      <c r="AD34" s="4">
        <f t="shared" ref="AD34:AD52" si="79">AVERAGE(Y34,AC34)</f>
        <v>10.136101880770077</v>
      </c>
      <c r="AE34" s="4">
        <f t="shared" ref="AE34:AE52" si="80">AF34-AD34</f>
        <v>1764.9264508763797</v>
      </c>
      <c r="AF34" s="4">
        <f t="shared" ref="AF34:AF52" si="81">AVERAGE(X34,AB34)</f>
        <v>1775.0625527571499</v>
      </c>
      <c r="AG34" s="2" t="e">
        <f t="shared" si="71"/>
        <v>#N/A</v>
      </c>
      <c r="AI34" s="20">
        <f t="shared" ref="AI34:AI57" si="82">AVERAGE(AD34,AF34)</f>
        <v>892.59932731896004</v>
      </c>
    </row>
    <row r="35" spans="11:35">
      <c r="K35" s="17">
        <f>PV(0.07,8,0,-K6,0)</f>
        <v>7.6877582621995924</v>
      </c>
      <c r="L35" s="17">
        <f t="shared" ref="L35:M35" si="83">PV(0.07,8,0,-L6,0)</f>
        <v>4.0829102703446578</v>
      </c>
      <c r="M35" s="17">
        <f t="shared" si="83"/>
        <v>8.3983913788735052</v>
      </c>
      <c r="Q35" s="10" t="s">
        <v>7</v>
      </c>
      <c r="R35" s="16">
        <f t="shared" ref="R35:W35" si="84">PV($O$34,17,0,-R6,0)</f>
        <v>4644.6225030866253</v>
      </c>
      <c r="S35" s="16">
        <f t="shared" si="84"/>
        <v>10689.91136258939</v>
      </c>
      <c r="T35" s="16">
        <f t="shared" si="84"/>
        <v>7315.3006666062101</v>
      </c>
      <c r="U35" s="16">
        <f t="shared" si="84"/>
        <v>2728.1084842987871</v>
      </c>
      <c r="V35" s="16">
        <f t="shared" si="84"/>
        <v>4763.3476198923763</v>
      </c>
      <c r="W35" s="16">
        <f t="shared" si="84"/>
        <v>2092.887349389518</v>
      </c>
      <c r="X35" s="13">
        <f t="shared" si="74"/>
        <v>5372.3629976438178</v>
      </c>
      <c r="Y35" s="26">
        <f t="shared" si="75"/>
        <v>7.6877582621995924</v>
      </c>
      <c r="Z35" s="26">
        <f t="shared" si="76"/>
        <v>4.0829102703446578</v>
      </c>
      <c r="AA35" s="4">
        <f t="shared" si="77"/>
        <v>0.69882049024089599</v>
      </c>
      <c r="AB35" s="4">
        <f t="shared" si="78"/>
        <v>1.3158170623206744</v>
      </c>
      <c r="AC35" s="3">
        <f>RANK(AA35,($AA$33:$AA$36,$AA$38,$AA$40:$AA$43,$AA$45:$AA$46,$AA$48,$AA$50:$AA$53,$AA$55,$AA$57),0)</f>
        <v>10</v>
      </c>
      <c r="AD35" s="4">
        <f t="shared" si="79"/>
        <v>8.8438791310997971</v>
      </c>
      <c r="AE35" s="4">
        <f t="shared" si="80"/>
        <v>2677.9955282219698</v>
      </c>
      <c r="AF35" s="4">
        <f t="shared" si="81"/>
        <v>2686.8394073530694</v>
      </c>
      <c r="AG35" s="2" t="e">
        <f t="shared" si="71"/>
        <v>#N/A</v>
      </c>
      <c r="AI35" s="20">
        <f t="shared" si="82"/>
        <v>1347.8416432420845</v>
      </c>
    </row>
    <row r="36" spans="11:35">
      <c r="K36" s="17">
        <f t="shared" ref="K36:M36" si="85">PV(0.07,8,0,-K7,0)</f>
        <v>14.959962023739749</v>
      </c>
      <c r="L36" s="17">
        <f t="shared" si="85"/>
        <v>7.9451226882382535</v>
      </c>
      <c r="M36" s="17">
        <f t="shared" si="85"/>
        <v>16.342815656186282</v>
      </c>
      <c r="Q36" s="10" t="s">
        <v>8</v>
      </c>
      <c r="R36" s="16">
        <f t="shared" ref="R36:W36" si="86">PV($O$34,17,0,-R7,0)</f>
        <v>5611.2382772958208</v>
      </c>
      <c r="S36" s="16">
        <f t="shared" si="86"/>
        <v>9269.8362948739359</v>
      </c>
      <c r="T36" s="16">
        <f t="shared" si="86"/>
        <v>6132.5127354733459</v>
      </c>
      <c r="U36" s="16">
        <f t="shared" si="86"/>
        <v>2686.9717620866372</v>
      </c>
      <c r="V36" s="16">
        <f t="shared" si="86"/>
        <v>2807.4440287188418</v>
      </c>
      <c r="W36" s="16">
        <f t="shared" si="86"/>
        <v>1619.6523569029916</v>
      </c>
      <c r="X36" s="13">
        <f t="shared" si="74"/>
        <v>4687.9425758919288</v>
      </c>
      <c r="Y36" s="26">
        <f t="shared" si="75"/>
        <v>14.959962023739749</v>
      </c>
      <c r="Z36" s="26">
        <f t="shared" si="76"/>
        <v>7.9451226882382535</v>
      </c>
      <c r="AA36" s="4">
        <f t="shared" si="77"/>
        <v>0.31336594093305181</v>
      </c>
      <c r="AB36" s="4">
        <f t="shared" si="78"/>
        <v>0.59004030017457543</v>
      </c>
      <c r="AC36" s="3">
        <f>RANK(AA36,($AA$33:$AA$36,$AA$38,$AA$40:$AA$43,$AA$45:$AA$46,$AA$48,$AA$50:$AA$53,$AA$55,$AA$57),0)</f>
        <v>17</v>
      </c>
      <c r="AD36" s="4">
        <f t="shared" si="79"/>
        <v>15.979981011869874</v>
      </c>
      <c r="AE36" s="4">
        <f t="shared" si="80"/>
        <v>2328.2863270841817</v>
      </c>
      <c r="AF36" s="4">
        <f t="shared" si="81"/>
        <v>2344.2663080960515</v>
      </c>
      <c r="AG36" s="2" t="e">
        <f t="shared" si="71"/>
        <v>#N/A</v>
      </c>
      <c r="AI36" s="20">
        <f t="shared" si="82"/>
        <v>1180.1231445539606</v>
      </c>
    </row>
    <row r="37" spans="11:35">
      <c r="K37" s="17">
        <f t="shared" ref="K37:M37" si="87">PV(0.07,8,0,-K8,0)</f>
        <v>7.6877582621995932</v>
      </c>
      <c r="L37" s="17">
        <f t="shared" si="87"/>
        <v>4.0829102703446578</v>
      </c>
      <c r="M37" s="17">
        <f t="shared" si="87"/>
        <v>8.3983913788735052</v>
      </c>
      <c r="Q37" s="7" t="s">
        <v>25</v>
      </c>
      <c r="R37" s="16">
        <f t="shared" ref="R37:W37" si="88">PV($O$34,17,0,-R8,0)</f>
        <v>1697.5603298993806</v>
      </c>
      <c r="S37" s="16">
        <f t="shared" si="88"/>
        <v>1937.0160065055543</v>
      </c>
      <c r="T37" s="16">
        <f t="shared" si="88"/>
        <v>1044.2373981327403</v>
      </c>
      <c r="U37" s="16">
        <f t="shared" si="88"/>
        <v>1053.3451542795337</v>
      </c>
      <c r="V37" s="16">
        <f t="shared" si="88"/>
        <v>680.18234300094514</v>
      </c>
      <c r="W37" s="16">
        <f t="shared" si="88"/>
        <v>420.07733091253266</v>
      </c>
      <c r="X37" s="13">
        <f t="shared" si="74"/>
        <v>1138.7364271217812</v>
      </c>
      <c r="Y37" s="26">
        <f t="shared" si="75"/>
        <v>7.6877582621995932</v>
      </c>
      <c r="Z37" s="26">
        <f t="shared" si="76"/>
        <v>4.0829102703446578</v>
      </c>
      <c r="AA37" s="4">
        <f>(X37/1000)/Y37</f>
        <v>0.14812333950729223</v>
      </c>
      <c r="AB37" s="4">
        <f t="shared" si="78"/>
        <v>0.27890312343936352</v>
      </c>
      <c r="AC37" s="3" t="e">
        <f>RANK(AA37,($AA$33:$AA$36,$AA$38,$AA$40:$AA$43,$AA$45:$AA$46,$AA$48,$AA$50:$AA$53,$AA$55,$AA$57),0)</f>
        <v>#N/A</v>
      </c>
      <c r="AD37" s="4" t="e">
        <f t="shared" si="79"/>
        <v>#N/A</v>
      </c>
      <c r="AE37" s="4" t="e">
        <f t="shared" si="80"/>
        <v>#N/A</v>
      </c>
      <c r="AF37" s="4">
        <f t="shared" si="81"/>
        <v>569.50766512261032</v>
      </c>
      <c r="AG37" s="2" t="e">
        <f t="shared" si="71"/>
        <v>#N/A</v>
      </c>
      <c r="AI37" s="20" t="e">
        <f t="shared" si="82"/>
        <v>#N/A</v>
      </c>
    </row>
    <row r="38" spans="11:35">
      <c r="K38" s="17">
        <f t="shared" ref="K38:M38" si="89">PV(0.07,8,0,-K9,0)</f>
        <v>18.07662077868553</v>
      </c>
      <c r="L38" s="17">
        <f t="shared" si="89"/>
        <v>9.600356581621222</v>
      </c>
      <c r="M38" s="17">
        <f t="shared" si="89"/>
        <v>19.747568917891755</v>
      </c>
      <c r="Q38" s="10" t="s">
        <v>9</v>
      </c>
      <c r="R38" s="16">
        <f t="shared" ref="R38:W38" si="90">PV($O$34,17,0,-R9,0)</f>
        <v>2993.9320735989381</v>
      </c>
      <c r="S38" s="16">
        <f t="shared" si="90"/>
        <v>8928.1558441322559</v>
      </c>
      <c r="T38" s="16">
        <f t="shared" si="90"/>
        <v>6696.4487966586748</v>
      </c>
      <c r="U38" s="16">
        <f t="shared" si="90"/>
        <v>2918.9101186681737</v>
      </c>
      <c r="V38" s="16">
        <f t="shared" si="90"/>
        <v>10226.747619583715</v>
      </c>
      <c r="W38" s="16">
        <f t="shared" si="90"/>
        <v>3380.2807853759437</v>
      </c>
      <c r="X38" s="13">
        <f t="shared" si="74"/>
        <v>5857.4125396696172</v>
      </c>
      <c r="Y38" s="26">
        <f t="shared" si="75"/>
        <v>18.07662077868553</v>
      </c>
      <c r="Z38" s="26">
        <f t="shared" si="76"/>
        <v>9.600356581621222</v>
      </c>
      <c r="AA38" s="4">
        <f t="shared" si="77"/>
        <v>0.32403249541950885</v>
      </c>
      <c r="AB38" s="4">
        <f t="shared" si="78"/>
        <v>0.61012447713483475</v>
      </c>
      <c r="AC38" s="3">
        <f>RANK(AA38,($AA$33:$AA$36,$AA$38,$AA$40:$AA$43,$AA$45:$AA$46,$AA$48,$AA$50:$AA$53,$AA$55,$AA$57),0)</f>
        <v>16</v>
      </c>
      <c r="AD38" s="4">
        <f t="shared" si="79"/>
        <v>17.038310389342765</v>
      </c>
      <c r="AE38" s="4">
        <f t="shared" si="80"/>
        <v>2911.9730216840335</v>
      </c>
      <c r="AF38" s="4">
        <f t="shared" si="81"/>
        <v>2929.0113320733763</v>
      </c>
      <c r="AG38" s="2" t="e">
        <f t="shared" si="71"/>
        <v>#N/A</v>
      </c>
      <c r="AI38" s="20">
        <f t="shared" si="82"/>
        <v>1473.0248212313595</v>
      </c>
    </row>
    <row r="39" spans="11:35">
      <c r="K39" s="17">
        <f t="shared" ref="K39:M39" si="91">PV(0.07,8,0,-K10,0)</f>
        <v>3.1166587549457807</v>
      </c>
      <c r="L39" s="17">
        <f t="shared" si="91"/>
        <v>1.6552338933829693</v>
      </c>
      <c r="M39" s="17">
        <f t="shared" si="91"/>
        <v>3.404753261705475</v>
      </c>
      <c r="Q39" s="7" t="s">
        <v>26</v>
      </c>
      <c r="R39" s="16">
        <f t="shared" ref="R39:W39" si="92">PV($O$34,17,0,-R10,0)</f>
        <v>-2617.3062036968822</v>
      </c>
      <c r="S39" s="16">
        <f t="shared" si="92"/>
        <v>-341.68045074168157</v>
      </c>
      <c r="T39" s="16">
        <f t="shared" si="92"/>
        <v>563.93606118532909</v>
      </c>
      <c r="U39" s="16">
        <f t="shared" si="92"/>
        <v>231.93835658153657</v>
      </c>
      <c r="V39" s="16">
        <f t="shared" si="92"/>
        <v>7419.3035908648744</v>
      </c>
      <c r="W39" s="16">
        <f t="shared" si="92"/>
        <v>1760.6284284729522</v>
      </c>
      <c r="X39" s="13">
        <f t="shared" si="74"/>
        <v>1169.4699637776882</v>
      </c>
      <c r="Y39" s="26">
        <f>PV($O$34,8,0,-K10,0)</f>
        <v>3.1166587549457807</v>
      </c>
      <c r="Z39" s="26">
        <f t="shared" si="76"/>
        <v>1.6552338933829693</v>
      </c>
      <c r="AA39" s="4">
        <f t="shared" si="77"/>
        <v>0.3752319569545024</v>
      </c>
      <c r="AB39" s="4">
        <f t="shared" si="78"/>
        <v>0.70652852654407883</v>
      </c>
      <c r="AC39" s="3" t="e">
        <f>RANK(AA39,($AA$33:$AA$36,$AA$38,$AA$40:$AA$43,$AA$45:$AA$46,$AA$48,$AA$50:$AA$53,$AA$55,$AA$57),0)</f>
        <v>#N/A</v>
      </c>
      <c r="AD39" s="4" t="e">
        <f t="shared" si="79"/>
        <v>#N/A</v>
      </c>
      <c r="AE39" s="4" t="e">
        <f t="shared" si="80"/>
        <v>#N/A</v>
      </c>
      <c r="AF39" s="4">
        <f t="shared" si="81"/>
        <v>585.0882461521162</v>
      </c>
      <c r="AG39" s="2" t="e">
        <f t="shared" si="71"/>
        <v>#N/A</v>
      </c>
      <c r="AI39" s="20" t="e">
        <f t="shared" si="82"/>
        <v>#N/A</v>
      </c>
    </row>
    <row r="40" spans="11:35">
      <c r="K40" s="17">
        <f t="shared" ref="K40:M40" si="93">PV(0.07,8,0,-K11,0)</f>
        <v>3.1374364799787524</v>
      </c>
      <c r="L40" s="17">
        <f t="shared" si="93"/>
        <v>1.6662687860055225</v>
      </c>
      <c r="M40" s="17">
        <f t="shared" si="93"/>
        <v>3.4274516167835114</v>
      </c>
      <c r="Q40" s="10">
        <v>1974</v>
      </c>
      <c r="R40" s="16">
        <f t="shared" ref="R40:W40" si="94">PV($O$34,17,0,-R11,0)</f>
        <v>1817.8623113274955</v>
      </c>
      <c r="S40" s="16">
        <f t="shared" si="94"/>
        <v>3430.1260366658726</v>
      </c>
      <c r="T40" s="16">
        <f t="shared" si="94"/>
        <v>2206.084767639712</v>
      </c>
      <c r="U40" s="16">
        <f t="shared" si="94"/>
        <v>1016.1390010309119</v>
      </c>
      <c r="V40" s="16">
        <f t="shared" si="94"/>
        <v>986.92676715450511</v>
      </c>
      <c r="W40" s="16">
        <f t="shared" si="94"/>
        <v>552.54343392953751</v>
      </c>
      <c r="X40" s="13">
        <f t="shared" si="74"/>
        <v>1668.280386291339</v>
      </c>
      <c r="Y40" s="26">
        <f t="shared" si="75"/>
        <v>3.1374364799787524</v>
      </c>
      <c r="Z40" s="26">
        <f t="shared" si="76"/>
        <v>1.6662687860055225</v>
      </c>
      <c r="AA40" s="4">
        <f t="shared" si="77"/>
        <v>0.53173359745681203</v>
      </c>
      <c r="AB40" s="4">
        <f t="shared" si="78"/>
        <v>1.0012072483759591</v>
      </c>
      <c r="AC40" s="3">
        <f>RANK(AA40,($AA$33:$AA$36,$AA$38,$AA$40:$AA$43,$AA$45:$AA$46,$AA$48,$AA$50:$AA$53,$AA$55,$AA$57),0)</f>
        <v>12</v>
      </c>
      <c r="AD40" s="4">
        <f t="shared" si="79"/>
        <v>7.5687182399893764</v>
      </c>
      <c r="AE40" s="4">
        <f t="shared" si="80"/>
        <v>827.07207852986812</v>
      </c>
      <c r="AF40" s="4">
        <f t="shared" si="81"/>
        <v>834.6407967698575</v>
      </c>
      <c r="AG40" s="2" t="e">
        <f t="shared" si="71"/>
        <v>#N/A</v>
      </c>
      <c r="AI40" s="20">
        <f t="shared" si="82"/>
        <v>421.10475750492344</v>
      </c>
    </row>
    <row r="41" spans="11:35">
      <c r="K41" s="17">
        <f t="shared" ref="K41:M41" si="95">PV(0.07,8,0,-K12,0)</f>
        <v>1.8699952529674686</v>
      </c>
      <c r="L41" s="17">
        <f t="shared" si="95"/>
        <v>0.99314033602978169</v>
      </c>
      <c r="M41" s="17">
        <f t="shared" si="95"/>
        <v>2.0428519570232853</v>
      </c>
      <c r="Q41" s="10">
        <v>2001</v>
      </c>
      <c r="R41" s="16">
        <f t="shared" ref="R41:W41" si="96">PV($O$34,17,0,-R12,0)</f>
        <v>1035.7336252819682</v>
      </c>
      <c r="S41" s="16">
        <f t="shared" si="96"/>
        <v>2343.6980858523893</v>
      </c>
      <c r="T41" s="16">
        <f t="shared" si="96"/>
        <v>1487.7728355052748</v>
      </c>
      <c r="U41" s="16">
        <f t="shared" si="96"/>
        <v>1953.583083904794</v>
      </c>
      <c r="V41" s="16">
        <f t="shared" si="96"/>
        <v>3249.4232032927152</v>
      </c>
      <c r="W41" s="16">
        <f t="shared" si="96"/>
        <v>824.22320332326001</v>
      </c>
      <c r="X41" s="13">
        <f t="shared" si="74"/>
        <v>1815.7390061934002</v>
      </c>
      <c r="Y41" s="26">
        <f t="shared" si="75"/>
        <v>1.8699952529674686</v>
      </c>
      <c r="Z41" s="26">
        <f t="shared" si="76"/>
        <v>0.99314033602978169</v>
      </c>
      <c r="AA41" s="4">
        <f t="shared" si="77"/>
        <v>0.97098589063904306</v>
      </c>
      <c r="AB41" s="4">
        <f t="shared" si="78"/>
        <v>1.8282803953488311</v>
      </c>
      <c r="AC41" s="3">
        <f>RANK(AA41,($AA$33:$AA$36,$AA$38,$AA$40:$AA$43,$AA$45:$AA$46,$AA$48,$AA$50:$AA$53,$AA$55,$AA$57),0)</f>
        <v>9</v>
      </c>
      <c r="AD41" s="4">
        <f t="shared" si="79"/>
        <v>5.4349976264837343</v>
      </c>
      <c r="AE41" s="4">
        <f t="shared" si="80"/>
        <v>903.34864566789076</v>
      </c>
      <c r="AF41" s="4">
        <f t="shared" si="81"/>
        <v>908.78364329437454</v>
      </c>
      <c r="AG41" s="2" t="e">
        <f t="shared" si="71"/>
        <v>#N/A</v>
      </c>
      <c r="AI41" s="20">
        <f t="shared" si="82"/>
        <v>457.10932046042916</v>
      </c>
    </row>
    <row r="42" spans="11:35">
      <c r="K42" s="17">
        <f t="shared" ref="K42:M42" si="97">PV(0.07,8,0,-K13,0)</f>
        <v>10.735157933702133</v>
      </c>
      <c r="L42" s="17">
        <f t="shared" si="97"/>
        <v>5.7013611883191162</v>
      </c>
      <c r="M42" s="17">
        <f t="shared" si="97"/>
        <v>11.727483456985526</v>
      </c>
      <c r="Q42" s="10" t="s">
        <v>10</v>
      </c>
      <c r="R42" s="16">
        <f t="shared" ref="R42:W42" si="98">PV($O$34,17,0,-R13,0)</f>
        <v>10829.332494810276</v>
      </c>
      <c r="S42" s="16">
        <f t="shared" si="98"/>
        <v>12754.300257027277</v>
      </c>
      <c r="T42" s="16">
        <f t="shared" si="98"/>
        <v>8561.119737100049</v>
      </c>
      <c r="U42" s="16">
        <f t="shared" si="98"/>
        <v>2814.8864010473039</v>
      </c>
      <c r="V42" s="16">
        <f t="shared" si="98"/>
        <v>5321.9585252232855</v>
      </c>
      <c r="W42" s="16">
        <f t="shared" si="98"/>
        <v>1911.1872850799182</v>
      </c>
      <c r="X42" s="13">
        <f t="shared" si="74"/>
        <v>7032.1307833813516</v>
      </c>
      <c r="Y42" s="26">
        <f t="shared" si="75"/>
        <v>10.735157933702133</v>
      </c>
      <c r="Z42" s="26">
        <f t="shared" si="76"/>
        <v>5.7013611883191162</v>
      </c>
      <c r="AA42" s="4">
        <f t="shared" si="77"/>
        <v>0.65505610879785592</v>
      </c>
      <c r="AB42" s="4">
        <f t="shared" si="78"/>
        <v>1.2334126099200136</v>
      </c>
      <c r="AC42" s="3">
        <f>RANK(AA42,($AA$33:$AA$36,$AA$38,$AA$40:$AA$43,$AA$45:$AA$46,$AA$48,$AA$50:$AA$53,$AA$55,$AA$57),0)</f>
        <v>11</v>
      </c>
      <c r="AD42" s="4">
        <f t="shared" si="79"/>
        <v>10.867578966851067</v>
      </c>
      <c r="AE42" s="4">
        <f t="shared" si="80"/>
        <v>3505.8145190287851</v>
      </c>
      <c r="AF42" s="4">
        <f t="shared" si="81"/>
        <v>3516.682097995636</v>
      </c>
      <c r="AG42" s="2" t="e">
        <f t="shared" si="71"/>
        <v>#N/A</v>
      </c>
      <c r="AI42" s="20">
        <f t="shared" si="82"/>
        <v>1763.7748384812435</v>
      </c>
    </row>
    <row r="43" spans="11:35">
      <c r="K43" s="17">
        <f t="shared" ref="K43:M43" si="99">PV(0.07,8,0,-K14,0)</f>
        <v>18.561434362788205</v>
      </c>
      <c r="L43" s="17">
        <f t="shared" si="99"/>
        <v>9.8578374094807941</v>
      </c>
      <c r="M43" s="17">
        <f t="shared" si="99"/>
        <v>20.27719720304594</v>
      </c>
      <c r="Q43" s="10" t="s">
        <v>17</v>
      </c>
      <c r="R43" s="16">
        <f t="shared" ref="R43:W43" si="100">PV($O$34,17,0,-R14,0)</f>
        <v>12409.219522336816</v>
      </c>
      <c r="S43" s="16">
        <f t="shared" si="100"/>
        <v>16382.865387994621</v>
      </c>
      <c r="T43" s="16">
        <f t="shared" si="100"/>
        <v>11396.362859268163</v>
      </c>
      <c r="U43" s="16">
        <f t="shared" si="100"/>
        <v>3977.5078167040861</v>
      </c>
      <c r="V43" s="16">
        <f t="shared" si="100"/>
        <v>6898.5982403951857</v>
      </c>
      <c r="W43" s="16">
        <f t="shared" si="100"/>
        <v>2577.2956163048821</v>
      </c>
      <c r="X43" s="13">
        <f t="shared" si="74"/>
        <v>8940.3082405006262</v>
      </c>
      <c r="Y43" s="26">
        <f t="shared" si="75"/>
        <v>18.561434362788205</v>
      </c>
      <c r="Z43" s="26">
        <f t="shared" si="76"/>
        <v>9.8578374094807941</v>
      </c>
      <c r="AA43" s="4">
        <f t="shared" si="77"/>
        <v>0.48166041835775764</v>
      </c>
      <c r="AB43" s="4">
        <f t="shared" si="78"/>
        <v>0.90692388899641085</v>
      </c>
      <c r="AC43" s="3">
        <f>RANK(AA43,($AA$33:$AA$36,$AA$38,$AA$40:$AA$43,$AA$45:$AA$46,$AA$48,$AA$50:$AA$53,$AA$55,$AA$57),0)</f>
        <v>14</v>
      </c>
      <c r="AD43" s="4">
        <f t="shared" si="79"/>
        <v>16.280717181394103</v>
      </c>
      <c r="AE43" s="4">
        <f t="shared" si="80"/>
        <v>4454.3268650134178</v>
      </c>
      <c r="AF43" s="4">
        <f t="shared" si="81"/>
        <v>4470.6075821948116</v>
      </c>
      <c r="AG43" s="2" t="e">
        <f t="shared" si="71"/>
        <v>#N/A</v>
      </c>
      <c r="AI43" s="20">
        <f t="shared" si="82"/>
        <v>2243.4441496881027</v>
      </c>
    </row>
    <row r="44" spans="11:35">
      <c r="K44" s="17">
        <f t="shared" ref="K44:M44" si="101">PV(0.07,8,0,-K15,0)</f>
        <v>7.8262764290860725</v>
      </c>
      <c r="L44" s="17">
        <f t="shared" si="101"/>
        <v>4.1564762211616788</v>
      </c>
      <c r="M44" s="17">
        <f t="shared" si="101"/>
        <v>8.5497137460604158</v>
      </c>
      <c r="Q44" s="6" t="s">
        <v>20</v>
      </c>
      <c r="R44" s="16">
        <f t="shared" ref="R44:W44" si="102">PV($O$34,17,0,-R15,0)</f>
        <v>1579.8870275265399</v>
      </c>
      <c r="S44" s="16">
        <f t="shared" si="102"/>
        <v>3628.5651309673435</v>
      </c>
      <c r="T44" s="16">
        <f t="shared" si="102"/>
        <v>2835.243122168114</v>
      </c>
      <c r="U44" s="16">
        <f t="shared" si="102"/>
        <v>1162.6214156567819</v>
      </c>
      <c r="V44" s="16">
        <f t="shared" si="102"/>
        <v>1576.6397151719002</v>
      </c>
      <c r="W44" s="16">
        <f t="shared" si="102"/>
        <v>666.10833122496399</v>
      </c>
      <c r="X44" s="13">
        <f t="shared" si="74"/>
        <v>1908.1774571192739</v>
      </c>
      <c r="Y44" s="26">
        <f t="shared" si="75"/>
        <v>7.8262764290860725</v>
      </c>
      <c r="Z44" s="26">
        <f t="shared" si="76"/>
        <v>4.1564762211616788</v>
      </c>
      <c r="AA44" s="4">
        <f t="shared" si="77"/>
        <v>0.24381677217886163</v>
      </c>
      <c r="AB44" s="4">
        <f t="shared" si="78"/>
        <v>0.45908537799500848</v>
      </c>
      <c r="AC44" s="3" t="e">
        <f>RANK(AA44,($AA$33:$AA$36,$AA$38,$AA$40:$AA$43,$AA$45:$AA$46,$AA$48,$AA$50:$AA$53,$AA$55,$AA$57),0)</f>
        <v>#N/A</v>
      </c>
      <c r="AD44" s="4" t="e">
        <f t="shared" si="79"/>
        <v>#N/A</v>
      </c>
      <c r="AE44" s="4" t="e">
        <f t="shared" si="80"/>
        <v>#N/A</v>
      </c>
      <c r="AF44" s="4">
        <f t="shared" si="81"/>
        <v>954.31827124863446</v>
      </c>
      <c r="AG44" s="2" t="e">
        <f t="shared" si="71"/>
        <v>#N/A</v>
      </c>
      <c r="AI44" s="20" t="e">
        <f t="shared" si="82"/>
        <v>#N/A</v>
      </c>
    </row>
    <row r="45" spans="11:35">
      <c r="K45" s="17">
        <f t="shared" ref="K45:M45" si="103">PV(0.07,8,0,-K16,0)</f>
        <v>1.4550227614125961</v>
      </c>
      <c r="L45" s="17">
        <f t="shared" si="103"/>
        <v>0</v>
      </c>
      <c r="M45" s="17">
        <f t="shared" si="103"/>
        <v>0</v>
      </c>
      <c r="Q45" s="10" t="s">
        <v>16</v>
      </c>
      <c r="R45" s="16">
        <f t="shared" ref="R45:W45" si="104">PV($O$34,17,0,-R16,0)</f>
        <v>101.31771641055913</v>
      </c>
      <c r="S45" s="16">
        <f t="shared" si="104"/>
        <v>624.74050623447965</v>
      </c>
      <c r="T45" s="16">
        <f t="shared" si="104"/>
        <v>739.58995819180132</v>
      </c>
      <c r="U45" s="16">
        <f t="shared" si="104"/>
        <v>140.23650555876034</v>
      </c>
      <c r="V45" s="16">
        <f t="shared" si="104"/>
        <v>344.93559486883117</v>
      </c>
      <c r="W45" s="16">
        <f t="shared" si="104"/>
        <v>233.49704855671743</v>
      </c>
      <c r="X45" s="13">
        <f t="shared" si="74"/>
        <v>364.05288830352487</v>
      </c>
      <c r="Y45" s="26">
        <f t="shared" si="75"/>
        <v>1.4550227614125961</v>
      </c>
      <c r="Z45" s="26">
        <f t="shared" si="76"/>
        <v>0</v>
      </c>
      <c r="AA45" s="4">
        <f t="shared" si="77"/>
        <v>0.25020425656440409</v>
      </c>
      <c r="AB45" s="4"/>
      <c r="AC45" s="3">
        <f>RANK(AA45,($AA$33:$AA$36,$AA$38,$AA$40:$AA$43,$AA$45:$AA$46,$AA$48,$AA$50:$AA$53,$AA$55,$AA$57),0)</f>
        <v>18</v>
      </c>
      <c r="AD45" s="4">
        <f t="shared" si="79"/>
        <v>9.7275113807062983</v>
      </c>
      <c r="AE45" s="4">
        <f>AF45-AD45</f>
        <v>354.32537692281858</v>
      </c>
      <c r="AF45" s="4">
        <f t="shared" si="81"/>
        <v>364.05288830352487</v>
      </c>
      <c r="AG45" s="2" t="e">
        <f t="shared" si="71"/>
        <v>#N/A</v>
      </c>
      <c r="AI45" s="20">
        <f t="shared" si="82"/>
        <v>186.89019984211558</v>
      </c>
    </row>
    <row r="46" spans="11:35">
      <c r="K46" s="17">
        <f t="shared" ref="K46:M46" si="105">PV(0.07,8,0,-K17,0)</f>
        <v>2.7354427914556809</v>
      </c>
      <c r="L46" s="17">
        <f t="shared" si="105"/>
        <v>0</v>
      </c>
      <c r="M46" s="17">
        <f t="shared" si="105"/>
        <v>0</v>
      </c>
      <c r="Q46" s="10" t="s">
        <v>18</v>
      </c>
      <c r="R46" s="16">
        <f t="shared" ref="R46:W46" si="106">PV($O$34,17,0,-R17,0)</f>
        <v>740.30981743972018</v>
      </c>
      <c r="S46" s="16">
        <f t="shared" si="106"/>
        <v>1611.7445723630854</v>
      </c>
      <c r="T46" s="16">
        <f t="shared" si="106"/>
        <v>1166.5368564552714</v>
      </c>
      <c r="U46" s="16">
        <f t="shared" si="106"/>
        <v>464.40667032204266</v>
      </c>
      <c r="V46" s="16">
        <f t="shared" si="106"/>
        <v>1181.1803226016686</v>
      </c>
      <c r="W46" s="16">
        <f t="shared" si="106"/>
        <v>431.8104389570762</v>
      </c>
      <c r="X46" s="13">
        <f t="shared" si="74"/>
        <v>932.66477968981087</v>
      </c>
      <c r="Y46" s="26">
        <f t="shared" si="75"/>
        <v>2.7354427914556809</v>
      </c>
      <c r="Z46" s="26">
        <f t="shared" si="76"/>
        <v>0</v>
      </c>
      <c r="AA46" s="4">
        <f t="shared" si="77"/>
        <v>0.34095568827213096</v>
      </c>
      <c r="AB46" s="4"/>
      <c r="AC46" s="3">
        <f>RANK(AA46,($AA$33:$AA$36,$AA$38,$AA$40:$AA$43,$AA$45:$AA$46,$AA$48,$AA$50:$AA$53,$AA$55,$AA$57),0)</f>
        <v>15</v>
      </c>
      <c r="AD46" s="4">
        <f t="shared" si="79"/>
        <v>8.8677213957278411</v>
      </c>
      <c r="AE46" s="4">
        <f t="shared" si="80"/>
        <v>923.79705829408306</v>
      </c>
      <c r="AF46" s="4">
        <f t="shared" si="81"/>
        <v>932.66477968981087</v>
      </c>
      <c r="AG46" s="2" t="e">
        <f t="shared" si="71"/>
        <v>#N/A</v>
      </c>
      <c r="AI46" s="20">
        <f t="shared" si="82"/>
        <v>470.76625054276934</v>
      </c>
    </row>
    <row r="47" spans="11:35">
      <c r="K47" s="17">
        <f t="shared" ref="K47:M47" si="107">PV(0.07,8,0,-K18,0)</f>
        <v>1.2804200300430846</v>
      </c>
      <c r="L47" s="17">
        <f t="shared" si="107"/>
        <v>0</v>
      </c>
      <c r="M47" s="17">
        <f t="shared" si="107"/>
        <v>0</v>
      </c>
      <c r="Q47" s="7" t="s">
        <v>19</v>
      </c>
      <c r="R47" s="16">
        <f t="shared" ref="R47:W47" si="108">PV($O$34,17,0,-R18,0)</f>
        <v>638.99210102916106</v>
      </c>
      <c r="S47" s="16">
        <f t="shared" si="108"/>
        <v>987.00406612860559</v>
      </c>
      <c r="T47" s="16">
        <f t="shared" si="108"/>
        <v>426.94689826347013</v>
      </c>
      <c r="U47" s="16">
        <f t="shared" si="108"/>
        <v>324.17016476328229</v>
      </c>
      <c r="V47" s="16">
        <f t="shared" si="108"/>
        <v>836.24472773283742</v>
      </c>
      <c r="W47" s="16">
        <f t="shared" si="108"/>
        <v>198.31339040035877</v>
      </c>
      <c r="X47" s="13">
        <f t="shared" si="74"/>
        <v>568.61189138628595</v>
      </c>
      <c r="Y47" s="26">
        <f t="shared" si="75"/>
        <v>1.2804200300430846</v>
      </c>
      <c r="Z47" s="26">
        <f t="shared" si="76"/>
        <v>0</v>
      </c>
      <c r="AA47" s="4">
        <f t="shared" si="77"/>
        <v>0.44408231521272973</v>
      </c>
      <c r="AB47" s="4"/>
      <c r="AC47" s="3" t="e">
        <f>RANK(AA47,($AA$33:$AA$36,$AA$38,$AA$40:$AA$43,$AA$45:$AA$46,$AA$48,$AA$50:$AA$53,$AA$55,$AA$57),0)</f>
        <v>#N/A</v>
      </c>
      <c r="AD47" s="4" t="e">
        <f t="shared" si="79"/>
        <v>#N/A</v>
      </c>
      <c r="AE47" s="4" t="e">
        <f t="shared" si="80"/>
        <v>#N/A</v>
      </c>
      <c r="AF47" s="4">
        <f t="shared" si="81"/>
        <v>568.61189138628595</v>
      </c>
      <c r="AG47" s="2" t="e">
        <f t="shared" si="71"/>
        <v>#N/A</v>
      </c>
      <c r="AI47" s="20" t="e">
        <f t="shared" si="82"/>
        <v>#N/A</v>
      </c>
    </row>
    <row r="48" spans="11:35">
      <c r="K48" s="17">
        <f t="shared" ref="K48:M48" si="109">PV(0.07,8,0,-K19,0)</f>
        <v>9.8490490720018631</v>
      </c>
      <c r="L48" s="17">
        <f t="shared" si="109"/>
        <v>0</v>
      </c>
      <c r="M48" s="17">
        <f t="shared" si="109"/>
        <v>0</v>
      </c>
      <c r="Q48" s="12" t="s">
        <v>22</v>
      </c>
      <c r="R48" s="16">
        <f t="shared" ref="R48:W48" si="110">PV($O$34,17,0,-R19,0)</f>
        <v>19119.811986572982</v>
      </c>
      <c r="S48" s="16">
        <f t="shared" si="110"/>
        <v>14418.25400577294</v>
      </c>
      <c r="T48" s="16">
        <f t="shared" si="110"/>
        <v>8819.8195551224089</v>
      </c>
      <c r="U48" s="16">
        <f t="shared" si="110"/>
        <v>9784.6723776079725</v>
      </c>
      <c r="V48" s="16">
        <f t="shared" si="110"/>
        <v>7729.7169494495156</v>
      </c>
      <c r="W48" s="16">
        <f t="shared" si="110"/>
        <v>3439.9263504366941</v>
      </c>
      <c r="X48" s="13">
        <f t="shared" si="74"/>
        <v>10552.033537493755</v>
      </c>
      <c r="Y48" s="26">
        <f t="shared" si="75"/>
        <v>9.8490490720018631</v>
      </c>
      <c r="Z48" s="26">
        <f t="shared" si="76"/>
        <v>0</v>
      </c>
      <c r="AA48" s="4">
        <f t="shared" si="77"/>
        <v>1.0713758719600943</v>
      </c>
      <c r="AB48" s="4"/>
      <c r="AC48" s="3">
        <f>RANK(AA48,($AA$33:$AA$36,$AA$38,$AA$40:$AA$43,$AA$45:$AA$46,$AA$48,$AA$50:$AA$53,$AA$55,$AA$57),0)</f>
        <v>6</v>
      </c>
      <c r="AD48" s="4">
        <f t="shared" si="79"/>
        <v>7.9245245360009315</v>
      </c>
      <c r="AE48" s="4">
        <f t="shared" si="80"/>
        <v>10544.109012957753</v>
      </c>
      <c r="AF48" s="4">
        <f t="shared" si="81"/>
        <v>10552.033537493755</v>
      </c>
      <c r="AG48" s="2" t="e">
        <f t="shared" si="71"/>
        <v>#N/A</v>
      </c>
      <c r="AI48" s="20">
        <f t="shared" si="82"/>
        <v>5279.9790310148783</v>
      </c>
    </row>
    <row r="49" spans="11:35">
      <c r="K49" s="17">
        <f t="shared" ref="K49:M49" si="111">PV(0.07,8,0,-K20,0)</f>
        <v>7.1136062805461826</v>
      </c>
      <c r="L49" s="17">
        <f t="shared" si="111"/>
        <v>0</v>
      </c>
      <c r="M49" s="17">
        <f t="shared" si="111"/>
        <v>0</v>
      </c>
      <c r="Q49" s="7" t="s">
        <v>23</v>
      </c>
      <c r="R49" s="16">
        <f t="shared" ref="R49:W49" si="112">PV($O$34,17,0,-R20,0)</f>
        <v>18379.502169133262</v>
      </c>
      <c r="S49" s="16">
        <f t="shared" si="112"/>
        <v>12806.509433409856</v>
      </c>
      <c r="T49" s="16">
        <f t="shared" si="112"/>
        <v>7653.2826986671371</v>
      </c>
      <c r="U49" s="16">
        <f t="shared" si="112"/>
        <v>9320.2657072859292</v>
      </c>
      <c r="V49" s="16">
        <f t="shared" si="112"/>
        <v>6548.5366268478474</v>
      </c>
      <c r="W49" s="16">
        <f t="shared" si="112"/>
        <v>3008.1159114796178</v>
      </c>
      <c r="X49" s="13">
        <f t="shared" si="74"/>
        <v>9619.3687578039408</v>
      </c>
      <c r="Y49" s="26">
        <f t="shared" si="75"/>
        <v>7.1136062805461826</v>
      </c>
      <c r="Z49" s="26">
        <f t="shared" si="76"/>
        <v>0</v>
      </c>
      <c r="AA49" s="4">
        <f t="shared" si="77"/>
        <v>1.3522492500196912</v>
      </c>
      <c r="AB49" s="4"/>
      <c r="AC49" s="3" t="e">
        <f>RANK(AA49,($AA$33:$AA$36,$AA$38,$AA$40:$AA$43,$AA$45:$AA$46,$AA$48,$AA$50:$AA$53,$AA$55,$AA$57),0)</f>
        <v>#N/A</v>
      </c>
      <c r="AD49" s="4" t="e">
        <f t="shared" si="79"/>
        <v>#N/A</v>
      </c>
      <c r="AE49" s="4" t="e">
        <f t="shared" si="80"/>
        <v>#N/A</v>
      </c>
      <c r="AF49" s="4">
        <f t="shared" si="81"/>
        <v>9619.3687578039408</v>
      </c>
      <c r="AG49" s="2" t="e">
        <f t="shared" si="71"/>
        <v>#N/A</v>
      </c>
      <c r="AI49" s="20" t="e">
        <f t="shared" si="82"/>
        <v>#N/A</v>
      </c>
    </row>
    <row r="50" spans="11:35">
      <c r="K50" s="17">
        <f t="shared" ref="K50:M50" si="113">PV(0.07,8,0,-K21,0)</f>
        <v>6.2125397848585902</v>
      </c>
      <c r="L50" s="17">
        <f t="shared" si="113"/>
        <v>3.2994328941433859</v>
      </c>
      <c r="M50" s="17">
        <f t="shared" si="113"/>
        <v>6.7868081683329144</v>
      </c>
      <c r="Q50" s="10" t="s">
        <v>49</v>
      </c>
      <c r="R50" s="16">
        <f t="shared" ref="R50:W50" si="114">PV($O$34,17,0,-R21,0)</f>
        <v>4350.0304066293202</v>
      </c>
      <c r="S50" s="16">
        <f t="shared" si="114"/>
        <v>11495.146290816121</v>
      </c>
      <c r="T50" s="16">
        <f t="shared" si="114"/>
        <v>7984.2296455552814</v>
      </c>
      <c r="U50" s="16">
        <f t="shared" si="114"/>
        <v>5530.0351649269778</v>
      </c>
      <c r="V50" s="16">
        <f t="shared" si="114"/>
        <v>5163.7653441528919</v>
      </c>
      <c r="W50" s="16">
        <f t="shared" si="114"/>
        <v>2257.0825443010785</v>
      </c>
      <c r="X50" s="13">
        <f t="shared" si="74"/>
        <v>6130.048232730278</v>
      </c>
      <c r="Y50" s="26">
        <f t="shared" si="75"/>
        <v>6.2125397848585902</v>
      </c>
      <c r="Z50" s="26">
        <f t="shared" si="76"/>
        <v>3.2994328941433859</v>
      </c>
      <c r="AA50" s="4">
        <f t="shared" si="77"/>
        <v>0.98672176678379375</v>
      </c>
      <c r="AB50" s="4">
        <f t="shared" si="78"/>
        <v>1.8579096558112571</v>
      </c>
      <c r="AC50" s="3">
        <f>RANK(AA50,($AA$33:$AA$36,$AA$38,$AA$40:$AA$43,$AA$45:$AA$46,$AA$48,$AA$50:$AA$53,$AA$55,$AA$57),0)</f>
        <v>8</v>
      </c>
      <c r="AD50" s="4">
        <f t="shared" si="79"/>
        <v>7.1062698924292951</v>
      </c>
      <c r="AE50" s="4">
        <f t="shared" si="80"/>
        <v>3058.8468013006154</v>
      </c>
      <c r="AF50" s="4">
        <f t="shared" si="81"/>
        <v>3065.9530711930447</v>
      </c>
      <c r="AG50" s="2" t="e">
        <f t="shared" si="71"/>
        <v>#N/A</v>
      </c>
      <c r="AI50" s="20">
        <f t="shared" si="82"/>
        <v>1536.529670542737</v>
      </c>
    </row>
    <row r="51" spans="11:35">
      <c r="K51" s="17">
        <f>PV(0.07,8,0,-K22,0)</f>
        <v>6.5305495595929273</v>
      </c>
      <c r="L51" s="17">
        <f t="shared" ref="L51:M51" si="115">PV(0.07,8,0,-L22,0)</f>
        <v>3.617442668877723</v>
      </c>
      <c r="M51" s="17">
        <f t="shared" si="115"/>
        <v>7.1048179430672516</v>
      </c>
      <c r="Q51" s="10" t="s">
        <v>50</v>
      </c>
      <c r="R51" s="16">
        <f t="shared" ref="R51:W51" si="116">PV($O$34,17,0,-R22,0)</f>
        <v>5833.0177578269986</v>
      </c>
      <c r="S51" s="16">
        <f t="shared" si="116"/>
        <v>12036.731442738976</v>
      </c>
      <c r="T51" s="16">
        <f t="shared" si="116"/>
        <v>7201.977053824301</v>
      </c>
      <c r="U51" s="16">
        <f t="shared" si="116"/>
        <v>5857.2579198848816</v>
      </c>
      <c r="V51" s="16">
        <f t="shared" si="116"/>
        <v>8238.3789049164679</v>
      </c>
      <c r="W51" s="16">
        <f t="shared" si="116"/>
        <v>2789.5410603459459</v>
      </c>
      <c r="X51" s="13">
        <f t="shared" si="74"/>
        <v>6992.8173565895959</v>
      </c>
      <c r="Y51" s="26">
        <f t="shared" si="75"/>
        <v>6.5305495595929273</v>
      </c>
      <c r="Z51" s="26">
        <f t="shared" si="76"/>
        <v>3.617442668877723</v>
      </c>
      <c r="AA51" s="4">
        <f t="shared" si="77"/>
        <v>1.0707854358623814</v>
      </c>
      <c r="AB51" s="4">
        <f t="shared" si="78"/>
        <v>1.9330831188429174</v>
      </c>
      <c r="AC51" s="3">
        <f>RANK(AA51,($AA$33:$AA$36,$AA$38,$AA$40:$AA$43,$AA$45:$AA$46,$AA$48,$AA$50:$AA$53,$AA$55,$AA$57),0)</f>
        <v>7</v>
      </c>
      <c r="AD51" s="4">
        <f t="shared" si="79"/>
        <v>6.7652747797964636</v>
      </c>
      <c r="AE51" s="4">
        <f t="shared" si="80"/>
        <v>3490.6099450744227</v>
      </c>
      <c r="AF51" s="4">
        <f t="shared" si="81"/>
        <v>3497.3752198542193</v>
      </c>
      <c r="AG51" s="2" t="e">
        <f t="shared" si="71"/>
        <v>#N/A</v>
      </c>
      <c r="AI51" s="20">
        <f t="shared" si="82"/>
        <v>1752.0702473170079</v>
      </c>
    </row>
    <row r="52" spans="11:35">
      <c r="K52" s="17">
        <f>PV(0.07,8,0,-K23,0)</f>
        <v>8.4496081800752272</v>
      </c>
      <c r="L52" s="17">
        <f>PV(0.07,8,0,-L23,0)</f>
        <v>4.487522999838272</v>
      </c>
      <c r="M52" s="17">
        <f>PV(0.07,8,0,-M23,0)</f>
        <v>9.23066439840151</v>
      </c>
      <c r="Q52" s="10" t="s">
        <v>28</v>
      </c>
      <c r="R52" s="16">
        <f t="shared" ref="R52:W52" si="117">PV($O$34,17,0,-R23,0)</f>
        <v>15438.254085406059</v>
      </c>
      <c r="S52" s="16">
        <f t="shared" si="117"/>
        <v>16878.458313521933</v>
      </c>
      <c r="T52" s="16">
        <f t="shared" si="117"/>
        <v>11238.546910421601</v>
      </c>
      <c r="U52" s="16">
        <f t="shared" si="117"/>
        <v>8449.9189598109951</v>
      </c>
      <c r="V52" s="16">
        <f t="shared" si="117"/>
        <v>5684.1830443687904</v>
      </c>
      <c r="W52" s="16">
        <f t="shared" si="117"/>
        <v>2447.1761978628529</v>
      </c>
      <c r="X52" s="13">
        <f t="shared" si="74"/>
        <v>10022.756251898705</v>
      </c>
      <c r="Y52" s="26">
        <f t="shared" si="75"/>
        <v>8.4496081800752272</v>
      </c>
      <c r="Z52" s="26">
        <f t="shared" si="76"/>
        <v>4.487522999838272</v>
      </c>
      <c r="AA52" s="4">
        <f t="shared" si="77"/>
        <v>1.186180002468407</v>
      </c>
      <c r="AB52" s="4">
        <f t="shared" si="78"/>
        <v>2.2334718400908296</v>
      </c>
      <c r="AC52" s="3">
        <f>RANK(AA52,($AA$33:$AA$36,$AA$38,$AA$40:$AA$43,$AA$45:$AA$46,$AA$48,$AA$50:$AA$53,$AA$55,$AA$57),0)</f>
        <v>2</v>
      </c>
      <c r="AD52" s="4">
        <f t="shared" si="79"/>
        <v>5.2248040900376136</v>
      </c>
      <c r="AE52" s="4">
        <f t="shared" si="80"/>
        <v>5007.2700577793603</v>
      </c>
      <c r="AF52" s="4">
        <f t="shared" si="81"/>
        <v>5012.4948618693979</v>
      </c>
      <c r="AG52" s="2" t="e">
        <f t="shared" si="71"/>
        <v>#N/A</v>
      </c>
      <c r="AI52" s="20">
        <f t="shared" si="82"/>
        <v>2508.8598329797178</v>
      </c>
    </row>
    <row r="53" spans="11:35">
      <c r="K53" s="17">
        <f t="shared" ref="K53:M53" si="118">PV(0.07,8,0,-K24,0)</f>
        <v>8.7929935517685998</v>
      </c>
      <c r="L53" s="17">
        <f t="shared" si="118"/>
        <v>4.8309083715316445</v>
      </c>
      <c r="M53" s="17">
        <f t="shared" si="118"/>
        <v>11.016268331207046</v>
      </c>
      <c r="Q53" s="10" t="s">
        <v>59</v>
      </c>
      <c r="R53" s="16">
        <f t="shared" ref="R53:W53" si="119">PV($O$34,17,0,-R24,0)</f>
        <v>15608.5071636231</v>
      </c>
      <c r="S53" s="16">
        <f t="shared" si="119"/>
        <v>17252.746102337351</v>
      </c>
      <c r="T53" s="16">
        <f t="shared" si="119"/>
        <v>11370.664108911982</v>
      </c>
      <c r="U53" s="16">
        <f t="shared" si="119"/>
        <v>8632.2172918990509</v>
      </c>
      <c r="V53" s="16">
        <f t="shared" si="119"/>
        <v>5954.9238093428321</v>
      </c>
      <c r="W53" s="16">
        <f t="shared" si="119"/>
        <v>2492.4076203786262</v>
      </c>
      <c r="X53" s="13">
        <f t="shared" si="74"/>
        <v>10218.577682748823</v>
      </c>
      <c r="Y53" s="26">
        <f t="shared" si="75"/>
        <v>8.7929935517685998</v>
      </c>
      <c r="Z53" s="26">
        <f t="shared" si="76"/>
        <v>4.8309083715316445</v>
      </c>
      <c r="AA53" s="4">
        <f t="shared" si="77"/>
        <v>1.1621272803837648</v>
      </c>
      <c r="AB53" s="4">
        <f t="shared" si="78"/>
        <v>2.1152497412218589</v>
      </c>
      <c r="AC53" s="3">
        <f>RANK(AA53,($AA$33:$AA$36,$AA$38,$AA$40:$AA$43,$AA$45:$AA$46,$AA$48,$AA$50:$AA$53,$AA$55,$AA$57),0)</f>
        <v>3</v>
      </c>
      <c r="AD53" s="4">
        <f t="shared" ref="AD53:AD55" si="120">AVERAGE(Y53,AC53)</f>
        <v>5.8964967758842999</v>
      </c>
      <c r="AE53" s="4">
        <f t="shared" ref="AE53:AE55" si="121">AF53-AD53</f>
        <v>5104.4499694691385</v>
      </c>
      <c r="AF53" s="4">
        <f t="shared" ref="AF53:AF55" si="122">AVERAGE(X53,AB53)</f>
        <v>5110.3464662450224</v>
      </c>
      <c r="AG53" s="2" t="e">
        <f t="shared" si="71"/>
        <v>#N/A</v>
      </c>
      <c r="AI53" s="20">
        <f t="shared" si="82"/>
        <v>2558.1214815104531</v>
      </c>
    </row>
    <row r="54" spans="11:35">
      <c r="K54" s="17">
        <f t="shared" ref="K54:M54" si="123">PV(0.07,8,0,-K25,0)</f>
        <v>0.34338537169337258</v>
      </c>
      <c r="L54" s="17">
        <f t="shared" si="123"/>
        <v>0.34338537169337258</v>
      </c>
      <c r="M54" s="17">
        <f t="shared" si="123"/>
        <v>0</v>
      </c>
      <c r="Q54" s="10"/>
      <c r="R54" s="16">
        <f>R53-R52</f>
        <v>170.25307821704155</v>
      </c>
      <c r="S54" s="16">
        <f t="shared" ref="S54:X54" si="124">S53-S52</f>
        <v>374.28778881541803</v>
      </c>
      <c r="T54" s="16">
        <f t="shared" si="124"/>
        <v>132.11719849038127</v>
      </c>
      <c r="U54" s="16">
        <f t="shared" si="124"/>
        <v>182.29833208805576</v>
      </c>
      <c r="V54" s="16">
        <f t="shared" si="124"/>
        <v>270.74076497404167</v>
      </c>
      <c r="W54" s="16">
        <f t="shared" si="124"/>
        <v>45.231422515773374</v>
      </c>
      <c r="X54" s="13">
        <f t="shared" si="124"/>
        <v>195.82143085011739</v>
      </c>
      <c r="Y54" s="26">
        <f>PV($O$34,8,0,-K25,0)</f>
        <v>0.34338537169337258</v>
      </c>
      <c r="Z54" s="26">
        <f t="shared" si="76"/>
        <v>0.34338537169337258</v>
      </c>
      <c r="AA54" s="4">
        <f t="shared" si="77"/>
        <v>0.57026724779929461</v>
      </c>
      <c r="AB54" s="4">
        <f t="shared" si="78"/>
        <v>0.57026724779929461</v>
      </c>
      <c r="AC54" s="3" t="e">
        <f>RANK(AA54,($AA$33:$AA$36,$AA$38,$AA$40:$AA$43,$AA$45:$AA$46,$AA$48,$AA$50:$AA$53,$AA$55,$AA$57),0)</f>
        <v>#N/A</v>
      </c>
      <c r="AD54" s="4"/>
      <c r="AE54" s="4"/>
      <c r="AF54" s="4"/>
      <c r="AG54" s="2"/>
      <c r="AI54" s="20"/>
    </row>
    <row r="55" spans="11:35">
      <c r="K55" s="17">
        <f t="shared" ref="K55:M55" si="125">PV(0.07,8,0,-K26,0)</f>
        <v>9.1392889689847987</v>
      </c>
      <c r="L55" s="17">
        <f t="shared" si="125"/>
        <v>5.1772037887478435</v>
      </c>
      <c r="M55" s="17">
        <f t="shared" si="125"/>
        <v>12.817004500731276</v>
      </c>
      <c r="Q55" s="10" t="s">
        <v>60</v>
      </c>
      <c r="R55" s="16">
        <f t="shared" ref="R55:W55" si="126">PV($O$34,17,0,-R26,0)</f>
        <v>15772.477304433893</v>
      </c>
      <c r="S55" s="16">
        <f t="shared" si="126"/>
        <v>18121.884680699612</v>
      </c>
      <c r="T55" s="16">
        <f t="shared" si="126"/>
        <v>11645.18285773591</v>
      </c>
      <c r="U55" s="16">
        <f t="shared" si="126"/>
        <v>8810.5736026258146</v>
      </c>
      <c r="V55" s="16">
        <f t="shared" si="126"/>
        <v>6397.0563202333788</v>
      </c>
      <c r="W55" s="16">
        <f t="shared" si="126"/>
        <v>2521.9214957217396</v>
      </c>
      <c r="X55" s="13">
        <f t="shared" si="74"/>
        <v>10544.849376908393</v>
      </c>
      <c r="Y55" s="26">
        <f t="shared" si="75"/>
        <v>9.1392889689847987</v>
      </c>
      <c r="Z55" s="26">
        <f t="shared" si="76"/>
        <v>5.1772037887478435</v>
      </c>
      <c r="AA55" s="4">
        <f t="shared" si="77"/>
        <v>1.1537931903339</v>
      </c>
      <c r="AB55" s="4">
        <f t="shared" si="78"/>
        <v>2.0367846828488019</v>
      </c>
      <c r="AC55" s="3">
        <f>RANK(AA55,($AA$33:$AA$36,$AA$38,$AA$40:$AA$43,$AA$45:$AA$46,$AA$48,$AA$50:$AA$53,$AA$55,$AA$57),0)</f>
        <v>4</v>
      </c>
      <c r="AD55" s="4">
        <f t="shared" si="120"/>
        <v>6.5696444844923994</v>
      </c>
      <c r="AE55" s="4">
        <f t="shared" si="121"/>
        <v>5266.873436311128</v>
      </c>
      <c r="AF55" s="4">
        <f t="shared" si="122"/>
        <v>5273.4430807956205</v>
      </c>
      <c r="AG55" s="2" t="e">
        <f>RANK(AI55,$AI$33:$AI$57)</f>
        <v>#N/A</v>
      </c>
      <c r="AI55" s="20">
        <f t="shared" si="82"/>
        <v>2640.0063626400565</v>
      </c>
    </row>
    <row r="56" spans="11:35">
      <c r="K56" s="17">
        <f t="shared" ref="K56:M56" si="127">PV(0.07,8,0,-K27,0)</f>
        <v>0.6896807889095703</v>
      </c>
      <c r="L56" s="17">
        <f t="shared" si="127"/>
        <v>0.6896807889095703</v>
      </c>
      <c r="M56" s="17">
        <f t="shared" si="127"/>
        <v>0</v>
      </c>
      <c r="Q56" s="10"/>
      <c r="R56" s="16">
        <f>R55-R52</f>
        <v>334.22321902783369</v>
      </c>
      <c r="S56" s="16">
        <f t="shared" ref="S56:X56" si="128">S55-S52</f>
        <v>1243.4263671776789</v>
      </c>
      <c r="T56" s="16">
        <f t="shared" si="128"/>
        <v>406.63594731430931</v>
      </c>
      <c r="U56" s="16">
        <f t="shared" si="128"/>
        <v>360.65464281481945</v>
      </c>
      <c r="V56" s="16">
        <f t="shared" si="128"/>
        <v>712.87327586458832</v>
      </c>
      <c r="W56" s="16">
        <f t="shared" si="128"/>
        <v>74.745297858886715</v>
      </c>
      <c r="X56" s="13">
        <f t="shared" si="128"/>
        <v>522.09312500968736</v>
      </c>
      <c r="Y56" s="26">
        <f t="shared" si="75"/>
        <v>0.6896807889095703</v>
      </c>
      <c r="Z56" s="26">
        <f t="shared" si="76"/>
        <v>0.6896807889095703</v>
      </c>
      <c r="AA56" s="4">
        <f t="shared" si="77"/>
        <v>0.75700691306067869</v>
      </c>
      <c r="AB56" s="4">
        <f t="shared" si="78"/>
        <v>0.75700691306067869</v>
      </c>
      <c r="AC56" s="3" t="e">
        <f>RANK(AA56,($AA$33:$AA$36,$AA$38,$AA$40:$AA$43,$AA$45:$AA$46,$AA$48,$AA$50:$AA$53,$AA$55,$AA$57),0)</f>
        <v>#N/A</v>
      </c>
      <c r="AD56" s="4"/>
      <c r="AE56" s="4"/>
      <c r="AF56" s="4"/>
      <c r="AG56" s="2"/>
      <c r="AI56" s="20"/>
    </row>
    <row r="57" spans="11:35">
      <c r="K57" s="17">
        <f t="shared" ref="K57:M57" si="129">PV(0.07,8,0,-K28,0)</f>
        <v>9.4826743406781713</v>
      </c>
      <c r="L57" s="17">
        <f t="shared" si="129"/>
        <v>5.5205891604412161</v>
      </c>
      <c r="M57" s="17">
        <f t="shared" si="129"/>
        <v>14.602608433536812</v>
      </c>
      <c r="Q57" s="10" t="s">
        <v>61</v>
      </c>
      <c r="R57" s="16">
        <f t="shared" ref="R57:W57" si="130">PV($O$34,17,0,-R28,0)</f>
        <v>15939.824184431887</v>
      </c>
      <c r="S57" s="16">
        <f t="shared" si="130"/>
        <v>18500.087042401308</v>
      </c>
      <c r="T57" s="16">
        <f t="shared" si="130"/>
        <v>11781.060012419448</v>
      </c>
      <c r="U57" s="16">
        <f t="shared" si="130"/>
        <v>8990.3149971078146</v>
      </c>
      <c r="V57" s="16">
        <f t="shared" si="130"/>
        <v>6671.3962806824966</v>
      </c>
      <c r="W57" s="16">
        <f t="shared" si="130"/>
        <v>2568.65856550226</v>
      </c>
      <c r="X57" s="13">
        <f t="shared" si="74"/>
        <v>10741.890180424201</v>
      </c>
      <c r="Y57" s="26">
        <f t="shared" si="75"/>
        <v>9.4826743406781713</v>
      </c>
      <c r="Z57" s="26">
        <f t="shared" si="76"/>
        <v>5.5205891604412161</v>
      </c>
      <c r="AA57" s="4">
        <f t="shared" si="77"/>
        <v>1.1327912142194241</v>
      </c>
      <c r="AB57" s="4">
        <f t="shared" si="78"/>
        <v>1.9457869202434346</v>
      </c>
      <c r="AC57" s="3">
        <f>RANK(AA57,($AA$33:$AA$36,$AA$38,$AA$40:$AA$43,$AA$45:$AA$46,$AA$48,$AA$50:$AA$53,$AA$55,$AA$57),0)</f>
        <v>5</v>
      </c>
      <c r="AD57" s="4">
        <f t="shared" ref="AD57" si="131">AVERAGE(Y57,AC57)</f>
        <v>7.2413371703390856</v>
      </c>
      <c r="AE57" s="4">
        <f t="shared" ref="AE57" si="132">AF57-AD57</f>
        <v>5364.6766465018836</v>
      </c>
      <c r="AF57" s="4">
        <f t="shared" ref="AF57" si="133">AVERAGE(X57,AB57)</f>
        <v>5371.9179836722224</v>
      </c>
      <c r="AG57" s="2" t="e">
        <f>RANK(AI57,$AI$33:$AI$57)</f>
        <v>#N/A</v>
      </c>
      <c r="AI57" s="20">
        <f t="shared" si="82"/>
        <v>2689.5796604212806</v>
      </c>
    </row>
    <row r="58" spans="11:35">
      <c r="K58" s="17">
        <f t="shared" ref="K58:M58" si="134">PV(0.07,8,0,-K29,0)</f>
        <v>1.033066160602943</v>
      </c>
      <c r="L58" s="17">
        <f t="shared" si="134"/>
        <v>1.033066160602943</v>
      </c>
      <c r="M58" s="17">
        <f t="shared" si="134"/>
        <v>5.3719440351353027</v>
      </c>
      <c r="Q58" s="1"/>
      <c r="R58" s="25">
        <f>R57-R52</f>
        <v>501.57009902582831</v>
      </c>
      <c r="S58" s="25">
        <f t="shared" ref="S58:X58" si="135">S57-S52</f>
        <v>1621.6287288793756</v>
      </c>
      <c r="T58" s="25">
        <f t="shared" si="135"/>
        <v>542.51310199784712</v>
      </c>
      <c r="U58" s="25">
        <f t="shared" si="135"/>
        <v>540.39603729681949</v>
      </c>
      <c r="V58" s="25">
        <f t="shared" si="135"/>
        <v>987.21323631370615</v>
      </c>
      <c r="W58" s="25">
        <f t="shared" si="135"/>
        <v>121.48236763940713</v>
      </c>
      <c r="X58" s="13">
        <f t="shared" si="135"/>
        <v>719.13392852549623</v>
      </c>
      <c r="Y58" s="26">
        <f t="shared" si="75"/>
        <v>1.033066160602943</v>
      </c>
      <c r="Z58" s="26">
        <f t="shared" si="76"/>
        <v>1.033066160602943</v>
      </c>
      <c r="AA58" s="4">
        <f t="shared" si="77"/>
        <v>0.69611604362858803</v>
      </c>
      <c r="AB58" s="4">
        <f t="shared" si="78"/>
        <v>0.69611604362858803</v>
      </c>
      <c r="AC58" s="3" t="e">
        <f>RANK(AA58,($AA$33:$AA$36,$AA$38,$AA$40:$AA$43,$AA$45:$AA$46,$AA$48,$AA$50:$AA$53,$AA$55,$AA$57),0)</f>
        <v>#N/A</v>
      </c>
      <c r="AD58" s="1"/>
      <c r="AE58" s="1"/>
      <c r="AF58" s="1"/>
      <c r="AG58" s="1"/>
    </row>
    <row r="61" spans="11:35">
      <c r="R61" s="17">
        <f>R53-R$52</f>
        <v>170.25307821704155</v>
      </c>
      <c r="S61" s="17">
        <f t="shared" ref="S61:W61" si="136">S53-S$52</f>
        <v>374.28778881541803</v>
      </c>
      <c r="T61" s="17">
        <f t="shared" si="136"/>
        <v>132.11719849038127</v>
      </c>
      <c r="U61" s="17">
        <f t="shared" si="136"/>
        <v>182.29833208805576</v>
      </c>
      <c r="V61" s="17">
        <f t="shared" si="136"/>
        <v>270.74076497404167</v>
      </c>
      <c r="W61" s="17">
        <f t="shared" si="136"/>
        <v>45.231422515773374</v>
      </c>
    </row>
    <row r="62" spans="11:35">
      <c r="R62" s="17">
        <f t="shared" ref="R62:W62" si="137">R55-R$52</f>
        <v>334.22321902783369</v>
      </c>
      <c r="S62" s="17">
        <f t="shared" si="137"/>
        <v>1243.4263671776789</v>
      </c>
      <c r="T62" s="17">
        <f t="shared" si="137"/>
        <v>406.63594731430931</v>
      </c>
      <c r="U62" s="17">
        <f t="shared" si="137"/>
        <v>360.65464281481945</v>
      </c>
      <c r="V62" s="17">
        <f t="shared" si="137"/>
        <v>712.87327586458832</v>
      </c>
      <c r="W62" s="17">
        <f t="shared" si="137"/>
        <v>74.745297858886715</v>
      </c>
    </row>
    <row r="63" spans="11:35">
      <c r="R63" s="17">
        <f t="shared" ref="R63:W63" si="138">R57-R$52</f>
        <v>501.57009902582831</v>
      </c>
      <c r="S63" s="17">
        <f t="shared" si="138"/>
        <v>1621.6287288793756</v>
      </c>
      <c r="T63" s="17">
        <f t="shared" si="138"/>
        <v>542.51310199784712</v>
      </c>
      <c r="U63" s="17">
        <f t="shared" si="138"/>
        <v>540.39603729681949</v>
      </c>
      <c r="V63" s="17">
        <f t="shared" si="138"/>
        <v>987.21323631370615</v>
      </c>
      <c r="W63" s="17">
        <f t="shared" si="138"/>
        <v>121.48236763940713</v>
      </c>
    </row>
    <row r="65" spans="7:24">
      <c r="R65" s="17"/>
      <c r="S65" s="17"/>
      <c r="T65" s="17"/>
      <c r="U65" s="17"/>
      <c r="V65" s="17"/>
      <c r="W65" s="17"/>
      <c r="X65" s="17"/>
    </row>
    <row r="66" spans="7:24">
      <c r="G66" s="18">
        <v>49822341223.845802</v>
      </c>
      <c r="H66" cm="1">
        <f t="array" ref="H66:M66">TRANSPOSE(G66:G71)</f>
        <v>49822341223.845802</v>
      </c>
      <c r="I66">
        <v>57243684980.747299</v>
      </c>
      <c r="J66">
        <v>36784980745.484901</v>
      </c>
      <c r="K66">
        <v>27830973913.300999</v>
      </c>
      <c r="L66">
        <v>20207118809.752899</v>
      </c>
      <c r="M66">
        <v>7966283981.5453997</v>
      </c>
      <c r="R66" s="17"/>
      <c r="S66" s="17"/>
      <c r="T66" s="17"/>
      <c r="U66" s="17"/>
      <c r="V66" s="17"/>
      <c r="W66" s="17"/>
      <c r="X66" s="17"/>
    </row>
    <row r="67" spans="7:24">
      <c r="G67" s="18">
        <v>57243684980.747299</v>
      </c>
      <c r="H67" s="19">
        <f>H66/1000000</f>
        <v>49822.341223845804</v>
      </c>
      <c r="I67" s="19">
        <f t="shared" ref="I67:M67" si="139">I66/1000000</f>
        <v>57243.684980747297</v>
      </c>
      <c r="J67" s="19">
        <f t="shared" si="139"/>
        <v>36784.9807454849</v>
      </c>
      <c r="K67" s="19">
        <f t="shared" si="139"/>
        <v>27830.973913300997</v>
      </c>
      <c r="L67" s="19">
        <f t="shared" si="139"/>
        <v>20207.118809752898</v>
      </c>
      <c r="M67" s="19">
        <f t="shared" si="139"/>
        <v>7966.2839815453999</v>
      </c>
      <c r="R67" s="17"/>
      <c r="S67" s="17"/>
      <c r="T67" s="17"/>
      <c r="U67" s="17"/>
      <c r="V67" s="17"/>
      <c r="W67" s="17"/>
      <c r="X67" s="17"/>
    </row>
    <row r="68" spans="7:24">
      <c r="G68" s="18">
        <v>36784980745.484901</v>
      </c>
      <c r="R68" s="17"/>
      <c r="S68" s="17"/>
      <c r="T68" s="17"/>
      <c r="U68" s="17"/>
      <c r="V68" s="17"/>
      <c r="W68" s="17"/>
      <c r="X68" s="17"/>
    </row>
    <row r="69" spans="7:24">
      <c r="G69" s="18">
        <v>27830973913.300999</v>
      </c>
      <c r="R69" s="17"/>
      <c r="S69" s="17"/>
      <c r="T69" s="17"/>
      <c r="U69" s="17"/>
      <c r="V69" s="17"/>
      <c r="W69" s="17"/>
      <c r="X69" s="17"/>
    </row>
    <row r="70" spans="7:24">
      <c r="G70" s="18">
        <v>20207118809.752899</v>
      </c>
      <c r="R70" s="17"/>
      <c r="S70" s="17"/>
      <c r="T70" s="17"/>
      <c r="U70" s="17"/>
      <c r="V70" s="17"/>
      <c r="W70" s="17"/>
      <c r="X70" s="17"/>
    </row>
    <row r="71" spans="7:24">
      <c r="G71" s="18">
        <v>7966283981.5453997</v>
      </c>
      <c r="R71" s="17"/>
      <c r="S71" s="17"/>
      <c r="T71" s="17"/>
      <c r="U71" s="17"/>
      <c r="V71" s="17"/>
      <c r="W71" s="17"/>
      <c r="X71" s="17"/>
    </row>
    <row r="72" spans="7:24">
      <c r="R72" s="17"/>
      <c r="S72" s="17"/>
      <c r="T72" s="17"/>
      <c r="U72" s="17"/>
      <c r="V72" s="17"/>
      <c r="W72" s="17"/>
      <c r="X72" s="17"/>
    </row>
    <row r="73" spans="7:24">
      <c r="R73" s="17"/>
      <c r="S73" s="17"/>
      <c r="T73" s="17"/>
      <c r="U73" s="17"/>
      <c r="V73" s="17"/>
      <c r="W73" s="17"/>
      <c r="X73" s="17"/>
    </row>
    <row r="74" spans="7:24">
      <c r="R74" s="17"/>
      <c r="S74" s="17"/>
      <c r="T74" s="17"/>
      <c r="U74" s="17"/>
      <c r="V74" s="17"/>
      <c r="W74" s="17"/>
      <c r="X74" s="17"/>
    </row>
    <row r="75" spans="7:24">
      <c r="R75" s="17"/>
      <c r="S75" s="17"/>
      <c r="T75" s="17"/>
      <c r="U75" s="17"/>
      <c r="V75" s="17"/>
      <c r="W75" s="17"/>
      <c r="X75" s="17"/>
    </row>
    <row r="76" spans="7:24">
      <c r="R76" s="17"/>
      <c r="S76" s="17"/>
      <c r="T76" s="17"/>
      <c r="U76" s="17"/>
      <c r="V76" s="17"/>
      <c r="W76" s="17"/>
      <c r="X76" s="17"/>
    </row>
    <row r="77" spans="7:24">
      <c r="R77" s="17"/>
      <c r="S77" s="17"/>
      <c r="T77" s="17"/>
      <c r="U77" s="17"/>
      <c r="V77" s="17"/>
      <c r="W77" s="17"/>
      <c r="X77" s="17"/>
    </row>
    <row r="78" spans="7:24">
      <c r="R78" s="17"/>
      <c r="S78" s="17"/>
      <c r="T78" s="17"/>
      <c r="U78" s="17"/>
      <c r="V78" s="17"/>
      <c r="W78" s="17"/>
      <c r="X78" s="17"/>
    </row>
    <row r="79" spans="7:24">
      <c r="R79" s="17"/>
      <c r="S79" s="17"/>
      <c r="T79" s="17"/>
      <c r="U79" s="17"/>
      <c r="V79" s="17"/>
      <c r="W79" s="17"/>
      <c r="X79" s="17"/>
    </row>
    <row r="80" spans="7:24">
      <c r="R80" s="27" t="s">
        <v>52</v>
      </c>
      <c r="S80" t="s">
        <v>72</v>
      </c>
      <c r="T80" t="s">
        <v>73</v>
      </c>
      <c r="U80" t="s">
        <v>74</v>
      </c>
      <c r="V80" t="s">
        <v>75</v>
      </c>
      <c r="W80" t="s">
        <v>71</v>
      </c>
    </row>
    <row r="81" spans="18:23">
      <c r="R81" s="32">
        <v>0.01</v>
      </c>
      <c r="S81" s="28">
        <v>1.9939406770781025</v>
      </c>
      <c r="T81" s="28">
        <v>3.7544136166502247</v>
      </c>
      <c r="U81" s="28">
        <v>1.6586560755149655</v>
      </c>
      <c r="V81" s="28">
        <v>3.1231024206690012</v>
      </c>
      <c r="W81" s="28">
        <v>1.8009576346724414</v>
      </c>
    </row>
    <row r="82" spans="18:23">
      <c r="R82" s="32">
        <v>0.02</v>
      </c>
      <c r="S82" s="28">
        <v>1.8247486515965374</v>
      </c>
      <c r="T82" s="28">
        <v>3.4358400243668972</v>
      </c>
      <c r="U82" s="28">
        <v>1.5179139841279166</v>
      </c>
      <c r="V82" s="28">
        <v>2.8580975334054122</v>
      </c>
      <c r="W82" s="28">
        <v>1.6481408164392957</v>
      </c>
    </row>
    <row r="83" spans="18:23">
      <c r="R83" s="32">
        <v>0.03</v>
      </c>
      <c r="S83" s="28">
        <v>1.6713583480667233</v>
      </c>
      <c r="T83" s="28">
        <v>3.1470196743661401</v>
      </c>
      <c r="U83" s="28">
        <v>1.390316527593934</v>
      </c>
      <c r="V83" s="28">
        <v>2.6178428288556668</v>
      </c>
      <c r="W83" s="28">
        <v>1.5095963545089863</v>
      </c>
    </row>
    <row r="84" spans="18:23">
      <c r="R84" s="32">
        <v>0.04</v>
      </c>
      <c r="S84" s="28">
        <v>1.5321614941258008</v>
      </c>
      <c r="T84" s="28">
        <v>2.8849243322938336</v>
      </c>
      <c r="U84" s="28">
        <v>1.2745258673522224</v>
      </c>
      <c r="V84" s="28">
        <v>2.3998192755524439</v>
      </c>
      <c r="W84" s="28">
        <v>1.3838716327511442</v>
      </c>
    </row>
    <row r="85" spans="18:23">
      <c r="R85" s="32">
        <v>0.05</v>
      </c>
      <c r="S85" s="28">
        <v>1.4057267383298888</v>
      </c>
      <c r="T85" s="28">
        <v>2.6468588902097587</v>
      </c>
      <c r="U85" s="28">
        <v>1.1693513361999466</v>
      </c>
      <c r="V85" s="28">
        <v>2.2017849526549624</v>
      </c>
      <c r="W85" s="28">
        <v>1.2696738327081321</v>
      </c>
    </row>
    <row r="86" spans="18:23">
      <c r="R86" s="32">
        <v>0.06</v>
      </c>
      <c r="S86" s="28">
        <v>1.2907787584486445</v>
      </c>
      <c r="T86" s="28">
        <v>2.4304220293574166</v>
      </c>
      <c r="U86" s="28">
        <v>1.0737320595634985</v>
      </c>
      <c r="V86" s="28">
        <v>2.0217423273426633</v>
      </c>
      <c r="W86" s="28">
        <v>1.1658510638880184</v>
      </c>
    </row>
    <row r="87" spans="18:23">
      <c r="R87" s="32">
        <v>7.0000000000000007E-2</v>
      </c>
      <c r="S87" s="28">
        <v>1.186180002468407</v>
      </c>
      <c r="T87" s="28">
        <v>2.2334718400908296</v>
      </c>
      <c r="U87" s="28">
        <v>0.98672176678379375</v>
      </c>
      <c r="V87" s="28">
        <v>1.8579096558112571</v>
      </c>
      <c r="W87" s="28">
        <v>1.0713758719600943</v>
      </c>
    </row>
    <row r="88" spans="18:23">
      <c r="R88" s="32">
        <v>0.08</v>
      </c>
      <c r="S88" s="28">
        <v>1.0909147100301717</v>
      </c>
      <c r="T88" s="28">
        <v>2.0540957356580765</v>
      </c>
      <c r="U88" s="28">
        <v>0.90747549937731431</v>
      </c>
      <c r="V88" s="28">
        <v>1.7086959561060189</v>
      </c>
      <c r="W88" s="28">
        <v>0.9853308066739207</v>
      </c>
    </row>
    <row r="89" spans="18:23">
      <c r="R89" s="32">
        <v>0.09</v>
      </c>
      <c r="S89" s="28">
        <v>1.0040749118605712</v>
      </c>
      <c r="T89" s="28">
        <v>1.8905840903703792</v>
      </c>
      <c r="U89" s="28">
        <v>0.83523796468717859</v>
      </c>
      <c r="V89" s="28">
        <v>1.5726790790787066</v>
      </c>
      <c r="W89" s="28">
        <v>0.90689577633182672</v>
      </c>
    </row>
    <row r="90" spans="18:23">
      <c r="R90" s="32">
        <v>0.1</v>
      </c>
      <c r="S90" s="28">
        <v>0.92484814716214281</v>
      </c>
      <c r="T90" s="28">
        <v>1.7414071125363131</v>
      </c>
      <c r="U90" s="28">
        <v>0.76933331861565712</v>
      </c>
      <c r="V90" s="28">
        <v>1.448586470178215</v>
      </c>
      <c r="W90" s="28">
        <v>0.83533695394844509</v>
      </c>
    </row>
    <row r="91" spans="18:23">
      <c r="R91" s="32">
        <v>0.11</v>
      </c>
      <c r="S91" s="28">
        <v>0.85250667507452615</v>
      </c>
      <c r="T91" s="28">
        <v>1.6051945305991868</v>
      </c>
      <c r="U91" s="28">
        <v>0.70915619119697537</v>
      </c>
      <c r="V91" s="28">
        <v>1.3352782713993683</v>
      </c>
      <c r="W91" s="28">
        <v>0.76999703287789834</v>
      </c>
    </row>
    <row r="92" spans="18:23">
      <c r="R92" s="32">
        <v>0.12</v>
      </c>
      <c r="S92" s="28">
        <v>0.78639798717140319</v>
      </c>
      <c r="T92" s="28">
        <v>1.4807177290094458</v>
      </c>
      <c r="U92" s="28">
        <v>0.65416379443443995</v>
      </c>
      <c r="V92" s="28">
        <v>1.2317324610395308</v>
      </c>
      <c r="W92" s="28">
        <v>0.71028665755631404</v>
      </c>
    </row>
    <row r="93" spans="18:23">
      <c r="R93" s="32">
        <v>0.13</v>
      </c>
      <c r="S93" s="28">
        <v>0.72593645433255827</v>
      </c>
      <c r="T93" s="28">
        <v>1.3668740200249119</v>
      </c>
      <c r="U93" s="28">
        <v>0.60386897376552495</v>
      </c>
      <c r="V93" s="28">
        <v>1.137031770223061</v>
      </c>
      <c r="W93" s="28">
        <v>0.65567687882925563</v>
      </c>
    </row>
    <row r="94" spans="18:23">
      <c r="R94" s="32">
        <v>0.14000000000000001</v>
      </c>
      <c r="S94" s="28">
        <v>0.67059596390872933</v>
      </c>
      <c r="T94" s="28">
        <v>1.2626727801446012</v>
      </c>
      <c r="U94" s="28">
        <v>0.55783408330029272</v>
      </c>
      <c r="V94" s="28">
        <v>1.0503521505179561</v>
      </c>
      <c r="W94" s="28">
        <v>0.60569250372670203</v>
      </c>
    </row>
    <row r="95" spans="18:23">
      <c r="R95" s="32">
        <v>0.15</v>
      </c>
      <c r="S95" s="28">
        <v>0.61990342245276631</v>
      </c>
      <c r="T95" s="28">
        <v>1.1672232163272023</v>
      </c>
      <c r="U95" s="28">
        <v>0.51566558107963512</v>
      </c>
      <c r="V95" s="28">
        <v>0.97095259728602168</v>
      </c>
      <c r="W95" s="28">
        <v>0.55990622703072257</v>
      </c>
    </row>
  </sheetData>
  <conditionalFormatting sqref="O4:O2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:AC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:AG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:AG5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1500-B855-407C-9694-39E49A8382B2}">
  <dimension ref="C1:AJ22"/>
  <sheetViews>
    <sheetView topLeftCell="J1" workbookViewId="0">
      <selection activeCell="Y3" sqref="Y3:Z17"/>
    </sheetView>
  </sheetViews>
  <sheetFormatPr defaultRowHeight="15"/>
  <cols>
    <col min="3" max="7" width="11.5703125" bestFit="1" customWidth="1"/>
    <col min="8" max="8" width="10.5703125" bestFit="1" customWidth="1"/>
    <col min="9" max="9" width="10.140625" bestFit="1" customWidth="1"/>
    <col min="16" max="16" width="10.5703125" bestFit="1" customWidth="1"/>
    <col min="17" max="18" width="11.5703125" bestFit="1" customWidth="1"/>
    <col min="19" max="21" width="10.5703125" bestFit="1" customWidth="1"/>
    <col min="34" max="34" width="10.140625" bestFit="1" customWidth="1"/>
  </cols>
  <sheetData>
    <row r="1" spans="3:36">
      <c r="I1" t="s">
        <v>69</v>
      </c>
      <c r="J1" t="s">
        <v>67</v>
      </c>
      <c r="K1" t="s">
        <v>70</v>
      </c>
      <c r="L1" t="s">
        <v>68</v>
      </c>
      <c r="M1" t="s">
        <v>70</v>
      </c>
    </row>
    <row r="2" spans="3:36">
      <c r="C2" s="19">
        <v>48766.591835722997</v>
      </c>
      <c r="D2" s="19">
        <v>53315.930858391504</v>
      </c>
      <c r="E2" s="19">
        <v>35500.4929297833</v>
      </c>
      <c r="F2" s="19">
        <v>26691.732541672402</v>
      </c>
      <c r="G2" s="19">
        <v>17955.283862461398</v>
      </c>
      <c r="H2" s="19">
        <v>7730.1773977206403</v>
      </c>
      <c r="P2" s="19">
        <v>13740.942216620901</v>
      </c>
      <c r="Q2" s="19">
        <v>36311.042955697703</v>
      </c>
      <c r="R2" s="19">
        <v>25220.706052217603</v>
      </c>
      <c r="S2" s="19">
        <v>17468.359196142603</v>
      </c>
      <c r="T2" s="19">
        <v>16311.380514964001</v>
      </c>
      <c r="U2" s="19">
        <v>7129.7066733417996</v>
      </c>
      <c r="AB2">
        <v>60395.952933977402</v>
      </c>
      <c r="AC2">
        <v>45544.600068992404</v>
      </c>
      <c r="AD2">
        <v>27860.1801686871</v>
      </c>
      <c r="AE2">
        <v>30907.971940697</v>
      </c>
      <c r="AF2">
        <v>24416.747476375</v>
      </c>
      <c r="AG2">
        <v>10866.091680358701</v>
      </c>
    </row>
    <row r="3" spans="3:36">
      <c r="C3" s="17">
        <f>PV(Sheet1!$R81,17,0,-Sheet2!C$2)</f>
        <v>41177.412280041077</v>
      </c>
      <c r="D3" s="17">
        <f>PV(Sheet1!$R81,17,0,-Sheet2!D$2)</f>
        <v>45018.771733027817</v>
      </c>
      <c r="E3" s="17">
        <f>PV(Sheet1!$R81,17,0,-Sheet2!E$2)</f>
        <v>29975.81701913285</v>
      </c>
      <c r="F3" s="17">
        <f>PV(Sheet1!$R81,17,0,-Sheet2!F$2)</f>
        <v>22537.898056101432</v>
      </c>
      <c r="G3" s="17">
        <f>PV(Sheet1!$R81,17,0,-Sheet2!G$2)</f>
        <v>15161.037472135662</v>
      </c>
      <c r="H3" s="17">
        <f>PV(Sheet1!$R81,17,0,-Sheet2!H$2)</f>
        <v>6527.1877677255925</v>
      </c>
      <c r="I3" s="17">
        <f>AVERAGE(C3:H3)</f>
        <v>26733.020721360735</v>
      </c>
      <c r="J3" s="17">
        <f>PV(Sheet1!$R81,8,0,-Sheet1!K$23,0)</f>
        <v>13.407129423998207</v>
      </c>
      <c r="K3" s="17">
        <f>PV(Sheet1!$R81,8,0,-Sheet1!L$23,0)</f>
        <v>7.1204250386276193</v>
      </c>
      <c r="L3" s="28">
        <f>($I3/1000)/J3</f>
        <v>1.9939406770781025</v>
      </c>
      <c r="M3" s="28">
        <f>($I3/1000)/K3</f>
        <v>3.7544136166502247</v>
      </c>
      <c r="P3" s="17">
        <f>PV(Sheet1!$R81,17,0,-Sheet2!P$2)</f>
        <v>11602.542262458104</v>
      </c>
      <c r="Q3" s="17">
        <f>PV(Sheet1!$R81,17,0,-Sheet2!Q$2)</f>
        <v>30660.227213372138</v>
      </c>
      <c r="R3" s="17">
        <f>PV(Sheet1!$R81,17,0,-Sheet2!R$2)</f>
        <v>21295.796405135326</v>
      </c>
      <c r="S3" s="17">
        <f>PV(Sheet1!$R81,17,0,-Sheet2!S$2)</f>
        <v>14749.889245868946</v>
      </c>
      <c r="T3" s="17">
        <f>PV(Sheet1!$R81,17,0,-Sheet2!T$2)</f>
        <v>13772.962494157526</v>
      </c>
      <c r="U3" s="17">
        <f>PV(Sheet1!$R81,17,0,-Sheet2!U$2)</f>
        <v>6020.1638062575694</v>
      </c>
      <c r="V3" s="17">
        <f>AVERAGE(P3:U3)</f>
        <v>16350.263571208268</v>
      </c>
      <c r="W3" s="17">
        <f>PV(Sheet1!$R81,8,0,-Sheet1!K$21,0)</f>
        <v>9.8575369617429445</v>
      </c>
      <c r="X3" s="17">
        <f>PV(Sheet1!$R81,8,0,-Sheet1!L$21,0)</f>
        <v>5.2352633275811273</v>
      </c>
      <c r="Y3" s="28">
        <f>($V3/1000)/W3</f>
        <v>1.6586560755149655</v>
      </c>
      <c r="Z3" s="28">
        <f>($V3/1000)/X3</f>
        <v>3.1231024206690012</v>
      </c>
      <c r="AB3" s="17">
        <f>PV(Sheet1!$R81,17,0,-Sheet2!AB$2)</f>
        <v>50996.982983473106</v>
      </c>
      <c r="AC3" s="17">
        <f>PV(Sheet1!$R81,17,0,-Sheet2!AC$2)</f>
        <v>38456.834967841532</v>
      </c>
      <c r="AD3" s="17">
        <f>PV(Sheet1!$R81,17,0,-Sheet2!AD$2)</f>
        <v>23524.508927480292</v>
      </c>
      <c r="AE3" s="17">
        <f>PV(Sheet1!$R81,17,0,-Sheet2!AE$2)</f>
        <v>26097.995685844158</v>
      </c>
      <c r="AF3" s="17">
        <f>PV(Sheet1!$R81,17,0,-Sheet2!AF$2)</f>
        <v>20616.951882945541</v>
      </c>
      <c r="AG3" s="17">
        <f>PV(Sheet1!$R81,17,0,-Sheet2!AG$2)</f>
        <v>9175.0831901911406</v>
      </c>
      <c r="AH3" s="17">
        <f>AVERAGE(AB3:AG3)</f>
        <v>28144.726272962627</v>
      </c>
      <c r="AI3" s="17">
        <f>PV(Sheet1!$R81,8,0,-Sheet1!K$19,0)</f>
        <v>15.627644832456927</v>
      </c>
      <c r="AJ3" s="28">
        <f>($AH3/1000)/AI3</f>
        <v>1.8009576346724414</v>
      </c>
    </row>
    <row r="4" spans="3:36">
      <c r="C4" s="17">
        <f>PV(Sheet1!$R82,17,0,-Sheet2!C$2)</f>
        <v>34827.274188081545</v>
      </c>
      <c r="D4" s="17">
        <f>PV(Sheet1!$R82,17,0,-Sheet2!D$2)</f>
        <v>38076.241802032215</v>
      </c>
      <c r="E4" s="17">
        <f>PV(Sheet1!$R82,17,0,-Sheet2!E$2)</f>
        <v>25353.122999502375</v>
      </c>
      <c r="F4" s="17">
        <f>PV(Sheet1!$R82,17,0,-Sheet2!F$2)</f>
        <v>19062.236108589474</v>
      </c>
      <c r="G4" s="17">
        <f>PV(Sheet1!$R82,17,0,-Sheet2!G$2)</f>
        <v>12822.991533000741</v>
      </c>
      <c r="H4" s="17">
        <f>PV(Sheet1!$R82,17,0,-Sheet2!H$2)</f>
        <v>5520.6032986647006</v>
      </c>
      <c r="I4" s="17">
        <f t="shared" ref="I4:I17" si="0">AVERAGE(C4:H4)</f>
        <v>22610.411654978507</v>
      </c>
      <c r="J4" s="17">
        <f>PV(Sheet1!R82,8,0,-Sheet1!K$23,0)</f>
        <v>12.390973208938039</v>
      </c>
      <c r="K4" s="17">
        <f>PV(Sheet1!$R82,8,0,-Sheet1!L$23,0)</f>
        <v>6.5807521580242367</v>
      </c>
      <c r="L4" s="28">
        <f t="shared" ref="L4:M17" si="1">($I4/1000)/J4</f>
        <v>1.8247486515965374</v>
      </c>
      <c r="M4" s="28">
        <f t="shared" si="1"/>
        <v>3.4358400243668972</v>
      </c>
      <c r="P4" s="17">
        <f>PV(Sheet1!$R82,17,0,-Sheet2!P$2)</f>
        <v>9813.2665041045966</v>
      </c>
      <c r="Q4" s="17">
        <f>PV(Sheet1!$R82,17,0,-Sheet2!Q$2)</f>
        <v>25931.987483015426</v>
      </c>
      <c r="R4" s="17">
        <f>PV(Sheet1!$R82,17,0,-Sheet2!R$2)</f>
        <v>18011.684061426637</v>
      </c>
      <c r="S4" s="17">
        <f>PV(Sheet1!$R82,17,0,-Sheet2!S$2)</f>
        <v>12475.248165575125</v>
      </c>
      <c r="T4" s="17">
        <f>PV(Sheet1!$R82,17,0,-Sheet2!T$2)</f>
        <v>11648.977305907314</v>
      </c>
      <c r="U4" s="17">
        <f>PV(Sheet1!$R82,17,0,-Sheet2!U$2)</f>
        <v>5091.7695874571318</v>
      </c>
      <c r="V4" s="17">
        <f t="shared" ref="V4:V16" si="2">AVERAGE(P4:U4)</f>
        <v>13828.82218458104</v>
      </c>
      <c r="W4" s="17">
        <f>PV(Sheet1!$R82,8,0,-Sheet1!K$21,0)</f>
        <v>9.1104122691946081</v>
      </c>
      <c r="X4" s="17">
        <f>PV(Sheet1!$R82,8,0,-Sheet1!L$21,0)</f>
        <v>4.8384710538915909</v>
      </c>
      <c r="Y4" s="28">
        <f t="shared" ref="Y4:Z17" si="3">($V4/1000)/W4</f>
        <v>1.5179139841279166</v>
      </c>
      <c r="Z4" s="28">
        <f t="shared" si="3"/>
        <v>2.8580975334054122</v>
      </c>
      <c r="AB4" s="17">
        <f>PV(Sheet1!$R82,17,0,-Sheet2!AB$2)</f>
        <v>43132.528509840951</v>
      </c>
      <c r="AC4" s="17">
        <f>PV(Sheet1!$R82,17,0,-Sheet2!AC$2)</f>
        <v>32526.248291712302</v>
      </c>
      <c r="AD4" s="17">
        <f>PV(Sheet1!$R82,17,0,-Sheet2!AD$2)</f>
        <v>19896.697660004364</v>
      </c>
      <c r="AE4" s="17">
        <f>PV(Sheet1!$R82,17,0,-Sheet2!AE$2)</f>
        <v>22073.316441762501</v>
      </c>
      <c r="AF4" s="17">
        <f>PV(Sheet1!$R82,17,0,-Sheet2!AF$2)</f>
        <v>17437.526944787223</v>
      </c>
      <c r="AG4" s="17">
        <f>PV(Sheet1!$R82,17,0,-Sheet2!AG$2)</f>
        <v>7760.1558784238887</v>
      </c>
      <c r="AH4" s="17">
        <f t="shared" ref="AH4:AH16" si="4">AVERAGE(AB4:AG4)</f>
        <v>23804.4122877552</v>
      </c>
      <c r="AI4" s="17">
        <f>PV(Sheet1!$R82,8,0,-Sheet1!K$19,0)</f>
        <v>14.443190806464663</v>
      </c>
      <c r="AJ4" s="28">
        <f t="shared" ref="AJ4:AJ17" si="5">($AH4/1000)/AI4</f>
        <v>1.6481408164392957</v>
      </c>
    </row>
    <row r="5" spans="3:36">
      <c r="C5" s="17">
        <f>PV(Sheet1!$R83,17,0,-Sheet2!C$2)</f>
        <v>29504.590068411766</v>
      </c>
      <c r="D5" s="17">
        <f>PV(Sheet1!$R83,17,0,-Sheet2!D$2)</f>
        <v>32257.014994849589</v>
      </c>
      <c r="E5" s="17">
        <f>PV(Sheet1!$R83,17,0,-Sheet2!E$2)</f>
        <v>21478.382058114923</v>
      </c>
      <c r="F5" s="17">
        <f>PV(Sheet1!$R83,17,0,-Sheet2!F$2)</f>
        <v>16148.937155801859</v>
      </c>
      <c r="G5" s="17">
        <f>PV(Sheet1!$R83,17,0,-Sheet2!G$2)</f>
        <v>10863.242026600372</v>
      </c>
      <c r="H5" s="17">
        <f>PV(Sheet1!$R83,17,0,-Sheet2!H$2)</f>
        <v>4676.8844549185242</v>
      </c>
      <c r="I5" s="17">
        <f t="shared" si="0"/>
        <v>19154.841793116175</v>
      </c>
      <c r="J5" s="17">
        <f>PV(Sheet1!R83,8,0,-Sheet1!K$23,0)</f>
        <v>11.460643263769718</v>
      </c>
      <c r="K5" s="17">
        <f>PV(Sheet1!$R83,8,0,-Sheet1!L$23,0)</f>
        <v>6.0866609602541706</v>
      </c>
      <c r="L5" s="28">
        <f t="shared" si="1"/>
        <v>1.6713583480667233</v>
      </c>
      <c r="M5" s="28">
        <f t="shared" si="1"/>
        <v>3.1470196743661401</v>
      </c>
      <c r="P5" s="17">
        <f>PV(Sheet1!$R83,17,0,-Sheet2!P$2)</f>
        <v>8313.4960224583501</v>
      </c>
      <c r="Q5" s="17">
        <f>PV(Sheet1!$R83,17,0,-Sheet2!Q$2)</f>
        <v>21968.778153973042</v>
      </c>
      <c r="R5" s="17">
        <f>PV(Sheet1!$R83,17,0,-Sheet2!R$2)</f>
        <v>15258.941937408406</v>
      </c>
      <c r="S5" s="17">
        <f>PV(Sheet1!$R83,17,0,-Sheet2!S$2)</f>
        <v>10568.644595590022</v>
      </c>
      <c r="T5" s="17">
        <f>PV(Sheet1!$R83,17,0,-Sheet2!T$2)</f>
        <v>9868.653465985175</v>
      </c>
      <c r="U5" s="17">
        <f>PV(Sheet1!$R83,17,0,-Sheet2!U$2)</f>
        <v>4313.5897914210027</v>
      </c>
      <c r="V5" s="17">
        <f t="shared" si="2"/>
        <v>11715.350661139331</v>
      </c>
      <c r="W5" s="17">
        <f>PV(Sheet1!$R83,8,0,-Sheet1!K$21,0)</f>
        <v>8.4263909898372447</v>
      </c>
      <c r="X5" s="17">
        <f>PV(Sheet1!$R83,8,0,-Sheet1!L$21,0)</f>
        <v>4.4751925256950749</v>
      </c>
      <c r="Y5" s="28">
        <f t="shared" si="3"/>
        <v>1.390316527593934</v>
      </c>
      <c r="Z5" s="28">
        <f t="shared" si="3"/>
        <v>2.6178428288556668</v>
      </c>
      <c r="AB5" s="17">
        <f>PV(Sheet1!$R83,17,0,-Sheet2!AB$2)</f>
        <v>36540.544787523089</v>
      </c>
      <c r="AC5" s="17">
        <f>PV(Sheet1!$R83,17,0,-Sheet2!AC$2)</f>
        <v>27555.232061163308</v>
      </c>
      <c r="AD5" s="17">
        <f>PV(Sheet1!$R83,17,0,-Sheet2!AD$2)</f>
        <v>16855.867186254047</v>
      </c>
      <c r="AE5" s="17">
        <f>PV(Sheet1!$R83,17,0,-Sheet2!AE$2)</f>
        <v>18699.831331830414</v>
      </c>
      <c r="AF5" s="17">
        <f>PV(Sheet1!$R83,17,0,-Sheet2!AF$2)</f>
        <v>14772.53377724569</v>
      </c>
      <c r="AG5" s="17">
        <f>PV(Sheet1!$R83,17,0,-Sheet2!AG$2)</f>
        <v>6574.1641686740586</v>
      </c>
      <c r="AH5" s="17">
        <f t="shared" si="4"/>
        <v>20166.362218781767</v>
      </c>
      <c r="AI5" s="17">
        <f>PV(Sheet1!$R83,8,0,-Sheet1!K$19,0)</f>
        <v>13.358777767677578</v>
      </c>
      <c r="AJ5" s="28">
        <f t="shared" si="5"/>
        <v>1.5095963545089863</v>
      </c>
    </row>
    <row r="6" spans="3:36">
      <c r="C6" s="17">
        <f>PV(Sheet1!$R84,17,0,-Sheet2!C$2)</f>
        <v>25035.463539833552</v>
      </c>
      <c r="D6" s="17">
        <f>PV(Sheet1!$R84,17,0,-Sheet2!D$2)</f>
        <v>27370.972480381006</v>
      </c>
      <c r="E6" s="17">
        <f>PV(Sheet1!$R84,17,0,-Sheet2!E$2)</f>
        <v>18225.003284700673</v>
      </c>
      <c r="F6" s="17">
        <f>PV(Sheet1!$R84,17,0,-Sheet2!F$2)</f>
        <v>13702.821372325681</v>
      </c>
      <c r="G6" s="17">
        <f>PV(Sheet1!$R84,17,0,-Sheet2!G$2)</f>
        <v>9217.7623566617185</v>
      </c>
      <c r="H6" s="17">
        <f>PV(Sheet1!$R84,17,0,-Sheet2!H$2)</f>
        <v>3968.466261677836</v>
      </c>
      <c r="I6" s="17">
        <f t="shared" si="0"/>
        <v>16253.414882596744</v>
      </c>
      <c r="J6" s="17">
        <f>PV(Sheet1!R84,8,0,-Sheet1!K$23,0)</f>
        <v>10.6081603962188</v>
      </c>
      <c r="K6" s="17">
        <f>PV(Sheet1!$R84,8,0,-Sheet1!L$23,0)</f>
        <v>5.6339137566472957</v>
      </c>
      <c r="L6" s="28">
        <f t="shared" si="1"/>
        <v>1.5321614941258008</v>
      </c>
      <c r="M6" s="28">
        <f t="shared" si="1"/>
        <v>2.8849243322938336</v>
      </c>
      <c r="P6" s="17">
        <f>PV(Sheet1!$R84,17,0,-Sheet2!P$2)</f>
        <v>7054.2321068082902</v>
      </c>
      <c r="Q6" s="17">
        <f>PV(Sheet1!$R84,17,0,-Sheet2!Q$2)</f>
        <v>18641.117982429587</v>
      </c>
      <c r="R6" s="17">
        <f>PV(Sheet1!$R84,17,0,-Sheet2!R$2)</f>
        <v>12947.635728700337</v>
      </c>
      <c r="S6" s="17">
        <f>PV(Sheet1!$R84,17,0,-Sheet2!S$2)</f>
        <v>8967.788260228348</v>
      </c>
      <c r="T6" s="17">
        <f>PV(Sheet1!$R84,17,0,-Sheet2!T$2)</f>
        <v>8373.8263592903895</v>
      </c>
      <c r="U6" s="17">
        <f>PV(Sheet1!$R84,17,0,-Sheet2!U$2)</f>
        <v>3660.2006568645065</v>
      </c>
      <c r="V6" s="17">
        <f t="shared" si="2"/>
        <v>9940.8001823869108</v>
      </c>
      <c r="W6" s="17">
        <f>PV(Sheet1!$R84,8,0,-Sheet1!K$21,0)</f>
        <v>7.7996064552526763</v>
      </c>
      <c r="X6" s="17">
        <f>PV(Sheet1!$R84,8,0,-Sheet1!L$21,0)</f>
        <v>4.1423119997644466</v>
      </c>
      <c r="Y6" s="28">
        <f t="shared" si="3"/>
        <v>1.2745258673522224</v>
      </c>
      <c r="Z6" s="28">
        <f t="shared" si="3"/>
        <v>2.3998192755524439</v>
      </c>
      <c r="AB6" s="17">
        <f>PV(Sheet1!$R84,17,0,-Sheet2!AB$2)</f>
        <v>31005.666394026724</v>
      </c>
      <c r="AC6" s="17">
        <f>PV(Sheet1!$R84,17,0,-Sheet2!AC$2)</f>
        <v>23381.379168439391</v>
      </c>
      <c r="AD6" s="17">
        <f>PV(Sheet1!$R84,17,0,-Sheet2!AD$2)</f>
        <v>14302.671123214017</v>
      </c>
      <c r="AE6" s="17">
        <f>PV(Sheet1!$R84,17,0,-Sheet2!AE$2)</f>
        <v>15867.325877891057</v>
      </c>
      <c r="AF6" s="17">
        <f>PV(Sheet1!$R84,17,0,-Sheet2!AF$2)</f>
        <v>12534.904905089654</v>
      </c>
      <c r="AG6" s="17">
        <f>PV(Sheet1!$R84,17,0,-Sheet2!AG$2)</f>
        <v>5578.360755668662</v>
      </c>
      <c r="AH6" s="17">
        <f t="shared" si="4"/>
        <v>17111.718037388251</v>
      </c>
      <c r="AI6" s="17">
        <f>PV(Sheet1!$R84,8,0,-Sheet1!K$19,0)</f>
        <v>12.365104994146071</v>
      </c>
      <c r="AJ6" s="28">
        <f t="shared" si="5"/>
        <v>1.3838716327511442</v>
      </c>
    </row>
    <row r="7" spans="3:36">
      <c r="C7" s="17">
        <f>PV(Sheet1!$R85,17,0,-Sheet2!C$2)</f>
        <v>21276.702483996622</v>
      </c>
      <c r="D7" s="17">
        <f>PV(Sheet1!$R85,17,0,-Sheet2!D$2)</f>
        <v>23261.564030405705</v>
      </c>
      <c r="E7" s="17">
        <f>PV(Sheet1!$R85,17,0,-Sheet2!E$2)</f>
        <v>15488.747473817113</v>
      </c>
      <c r="F7" s="17">
        <f>PV(Sheet1!$R85,17,0,-Sheet2!F$2)</f>
        <v>11645.514494526598</v>
      </c>
      <c r="G7" s="17">
        <f>PV(Sheet1!$R85,17,0,-Sheet2!G$2)</f>
        <v>7833.8308743045873</v>
      </c>
      <c r="H7" s="17">
        <f>PV(Sheet1!$R85,17,0,-Sheet2!H$2)</f>
        <v>3372.6507932698319</v>
      </c>
      <c r="I7" s="17">
        <f t="shared" si="0"/>
        <v>13813.168358386743</v>
      </c>
      <c r="J7" s="17">
        <f>PV(Sheet1!R85,8,0,-Sheet1!K$23,0)</f>
        <v>9.8263538579324798</v>
      </c>
      <c r="K7" s="17">
        <f>PV(Sheet1!$R85,8,0,-Sheet1!L$23,0)</f>
        <v>5.2187022169859896</v>
      </c>
      <c r="L7" s="28">
        <f t="shared" si="1"/>
        <v>1.4057267383298888</v>
      </c>
      <c r="M7" s="28">
        <f t="shared" si="1"/>
        <v>2.6468588902097587</v>
      </c>
      <c r="P7" s="17">
        <f>PV(Sheet1!$R85,17,0,-Sheet2!P$2)</f>
        <v>5995.1275737638898</v>
      </c>
      <c r="Q7" s="17">
        <f>PV(Sheet1!$R85,17,0,-Sheet2!Q$2)</f>
        <v>15842.387765266461</v>
      </c>
      <c r="R7" s="17">
        <f>PV(Sheet1!$R85,17,0,-Sheet2!R$2)</f>
        <v>11003.710509789642</v>
      </c>
      <c r="S7" s="17">
        <f>PV(Sheet1!$R85,17,0,-Sheet2!S$2)</f>
        <v>7621.3872552736757</v>
      </c>
      <c r="T7" s="17">
        <f>PV(Sheet1!$R85,17,0,-Sheet2!T$2)</f>
        <v>7116.601289039073</v>
      </c>
      <c r="U7" s="17">
        <f>PV(Sheet1!$R85,17,0,-Sheet2!U$2)</f>
        <v>3110.6674052160515</v>
      </c>
      <c r="V7" s="17">
        <f t="shared" si="2"/>
        <v>8448.3136330581328</v>
      </c>
      <c r="W7" s="17">
        <f>PV(Sheet1!$R85,8,0,-Sheet1!K$21,0)</f>
        <v>7.2247864021028159</v>
      </c>
      <c r="X7" s="17">
        <f>PV(Sheet1!$R85,8,0,-Sheet1!L$21,0)</f>
        <v>3.8370294169151093</v>
      </c>
      <c r="Y7" s="28">
        <f t="shared" si="3"/>
        <v>1.1693513361999466</v>
      </c>
      <c r="Z7" s="28">
        <f t="shared" si="3"/>
        <v>2.2017849526549624</v>
      </c>
      <c r="AB7" s="17">
        <f>PV(Sheet1!$R85,17,0,-Sheet2!AB$2)</f>
        <v>26350.55421019558</v>
      </c>
      <c r="AC7" s="17">
        <f>PV(Sheet1!$R85,17,0,-Sheet2!AC$2)</f>
        <v>19870.958148662608</v>
      </c>
      <c r="AD7" s="17">
        <f>PV(Sheet1!$R85,17,0,-Sheet2!AD$2)</f>
        <v>12155.304323839877</v>
      </c>
      <c r="AE7" s="17">
        <f>PV(Sheet1!$R85,17,0,-Sheet2!AE$2)</f>
        <v>13485.045778495421</v>
      </c>
      <c r="AF7" s="17">
        <f>PV(Sheet1!$R85,17,0,-Sheet2!AF$2)</f>
        <v>10652.946046173171</v>
      </c>
      <c r="AG7" s="17">
        <f>PV(Sheet1!$R85,17,0,-Sheet2!AG$2)</f>
        <v>4740.8398074163952</v>
      </c>
      <c r="AH7" s="17">
        <f t="shared" si="4"/>
        <v>14542.608052463844</v>
      </c>
      <c r="AI7" s="17">
        <f>PV(Sheet1!$R85,8,0,-Sheet1!K$19,0)</f>
        <v>11.453814103930458</v>
      </c>
      <c r="AJ7" s="28">
        <f t="shared" si="5"/>
        <v>1.2696738327081321</v>
      </c>
    </row>
    <row r="8" spans="3:36">
      <c r="C8" s="17">
        <f>PV(Sheet1!$R86,17,0,-Sheet2!C$2)</f>
        <v>18110.177024028359</v>
      </c>
      <c r="D8" s="17">
        <f>PV(Sheet1!$R86,17,0,-Sheet2!D$2)</f>
        <v>19799.639665182098</v>
      </c>
      <c r="E8" s="17">
        <f>PV(Sheet1!$R86,17,0,-Sheet2!E$2)</f>
        <v>13183.619916774343</v>
      </c>
      <c r="F8" s="17">
        <f>PV(Sheet1!$R86,17,0,-Sheet2!F$2)</f>
        <v>9912.3597366836384</v>
      </c>
      <c r="G8" s="17">
        <f>PV(Sheet1!$R86,17,0,-Sheet2!G$2)</f>
        <v>6667.9535523262939</v>
      </c>
      <c r="H8" s="17">
        <f>PV(Sheet1!$R86,17,0,-Sheet2!H$2)</f>
        <v>2870.7128349558602</v>
      </c>
      <c r="I8" s="17">
        <f t="shared" si="0"/>
        <v>11757.410454991767</v>
      </c>
      <c r="J8" s="17">
        <f>PV(Sheet1!R86,8,0,-Sheet1!K$23,0)</f>
        <v>9.1087728071406371</v>
      </c>
      <c r="K8" s="17">
        <f>PV(Sheet1!$R86,8,0,-Sheet1!L$23,0)</f>
        <v>4.8376003479940186</v>
      </c>
      <c r="L8" s="28">
        <f t="shared" si="1"/>
        <v>1.2907787584486445</v>
      </c>
      <c r="M8" s="28">
        <f t="shared" si="1"/>
        <v>2.4304220293574166</v>
      </c>
      <c r="P8" s="17">
        <f>PV(Sheet1!$R86,17,0,-Sheet2!P$2)</f>
        <v>5102.8970172497966</v>
      </c>
      <c r="Q8" s="17">
        <f>PV(Sheet1!$R86,17,0,-Sheet2!Q$2)</f>
        <v>13484.629355891793</v>
      </c>
      <c r="R8" s="17">
        <f>PV(Sheet1!$R86,17,0,-Sheet2!R$2)</f>
        <v>9366.0728396865343</v>
      </c>
      <c r="S8" s="17">
        <f>PV(Sheet1!$R86,17,0,-Sheet2!S$2)</f>
        <v>6487.1270567182974</v>
      </c>
      <c r="T8" s="17">
        <f>PV(Sheet1!$R86,17,0,-Sheet2!T$2)</f>
        <v>6057.4663414533325</v>
      </c>
      <c r="U8" s="17">
        <f>PV(Sheet1!$R86,17,0,-Sheet2!U$2)</f>
        <v>2647.7193735124188</v>
      </c>
      <c r="V8" s="17">
        <f t="shared" si="2"/>
        <v>7190.9853307520289</v>
      </c>
      <c r="W8" s="17">
        <f>PV(Sheet1!$R86,8,0,-Sheet1!K$21,0)</f>
        <v>6.697187875414059</v>
      </c>
      <c r="X8" s="17">
        <f>PV(Sheet1!$R86,8,0,-Sheet1!L$21,0)</f>
        <v>3.5568258296316686</v>
      </c>
      <c r="Y8" s="28">
        <f t="shared" si="3"/>
        <v>1.0737320595634985</v>
      </c>
      <c r="Z8" s="28">
        <f t="shared" si="3"/>
        <v>2.0217423273426633</v>
      </c>
      <c r="AB8" s="17">
        <f>PV(Sheet1!$R86,17,0,-Sheet2!AB$2)</f>
        <v>22428.907946935673</v>
      </c>
      <c r="AC8" s="17">
        <f>PV(Sheet1!$R86,17,0,-Sheet2!AC$2)</f>
        <v>16913.643924852273</v>
      </c>
      <c r="AD8" s="17">
        <f>PV(Sheet1!$R86,17,0,-Sheet2!AD$2)</f>
        <v>10346.279610350944</v>
      </c>
      <c r="AE8" s="17">
        <f>PV(Sheet1!$R86,17,0,-Sheet2!AE$2)</f>
        <v>11478.12102976799</v>
      </c>
      <c r="AF8" s="17">
        <f>PV(Sheet1!$R86,17,0,-Sheet2!AF$2)</f>
        <v>9067.5112305927087</v>
      </c>
      <c r="AG8" s="17">
        <f>PV(Sheet1!$R86,17,0,-Sheet2!AG$2)</f>
        <v>4035.2798192976356</v>
      </c>
      <c r="AH8" s="17">
        <f t="shared" si="4"/>
        <v>12378.29059363287</v>
      </c>
      <c r="AI8" s="17">
        <f>PV(Sheet1!$R86,8,0,-Sheet1!K$19,0)</f>
        <v>10.617385854032058</v>
      </c>
      <c r="AJ8" s="28">
        <f t="shared" si="5"/>
        <v>1.1658510638880184</v>
      </c>
    </row>
    <row r="9" spans="3:36">
      <c r="C9" s="17">
        <f>PV(Sheet1!$R87,17,0,-Sheet2!C$2)</f>
        <v>15438.254085406059</v>
      </c>
      <c r="D9" s="17">
        <f>PV(Sheet1!$R87,17,0,-Sheet2!D$2)</f>
        <v>16878.458313521933</v>
      </c>
      <c r="E9" s="17">
        <f>PV(Sheet1!$R87,17,0,-Sheet2!E$2)</f>
        <v>11238.546910421601</v>
      </c>
      <c r="F9" s="17">
        <f>PV(Sheet1!$R87,17,0,-Sheet2!F$2)</f>
        <v>8449.9189598109951</v>
      </c>
      <c r="G9" s="17">
        <f>PV(Sheet1!$R87,17,0,-Sheet2!G$2)</f>
        <v>5684.1830443687904</v>
      </c>
      <c r="H9" s="17">
        <f>PV(Sheet1!$R87,17,0,-Sheet2!H$2)</f>
        <v>2447.1761978628529</v>
      </c>
      <c r="I9" s="17">
        <f t="shared" si="0"/>
        <v>10022.756251898705</v>
      </c>
      <c r="J9" s="17">
        <f>PV(Sheet1!R87,8,0,-Sheet1!K$23,0)</f>
        <v>8.4496081800752272</v>
      </c>
      <c r="K9" s="17">
        <f>PV(Sheet1!$R87,8,0,-Sheet1!L$23,0)</f>
        <v>4.487522999838272</v>
      </c>
      <c r="L9" s="28">
        <f t="shared" si="1"/>
        <v>1.186180002468407</v>
      </c>
      <c r="M9" s="28">
        <f t="shared" si="1"/>
        <v>2.2334718400908296</v>
      </c>
      <c r="P9" s="17">
        <f>PV(Sheet1!$R87,17,0,-Sheet2!P$2)</f>
        <v>4350.0304066293202</v>
      </c>
      <c r="Q9" s="17">
        <f>PV(Sheet1!$R87,17,0,-Sheet2!Q$2)</f>
        <v>11495.146290816121</v>
      </c>
      <c r="R9" s="17">
        <f>PV(Sheet1!$R87,17,0,-Sheet2!R$2)</f>
        <v>7984.2296455552814</v>
      </c>
      <c r="S9" s="17">
        <f>PV(Sheet1!$R87,17,0,-Sheet2!S$2)</f>
        <v>5530.0351649269778</v>
      </c>
      <c r="T9" s="17">
        <f>PV(Sheet1!$R87,17,0,-Sheet2!T$2)</f>
        <v>5163.7653441528919</v>
      </c>
      <c r="U9" s="17">
        <f>PV(Sheet1!$R87,17,0,-Sheet2!U$2)</f>
        <v>2257.0825443010785</v>
      </c>
      <c r="V9" s="17">
        <f t="shared" si="2"/>
        <v>6130.048232730278</v>
      </c>
      <c r="W9" s="17">
        <f>PV(Sheet1!$R87,8,0,-Sheet1!K$21,0)</f>
        <v>6.2125397848585902</v>
      </c>
      <c r="X9" s="17">
        <f>PV(Sheet1!$R87,8,0,-Sheet1!L$21,0)</f>
        <v>3.2994328941433859</v>
      </c>
      <c r="Y9" s="28">
        <f t="shared" si="3"/>
        <v>0.98672176678379375</v>
      </c>
      <c r="Z9" s="28">
        <f t="shared" si="3"/>
        <v>1.8579096558112571</v>
      </c>
      <c r="AB9" s="17">
        <f>PV(Sheet1!$R87,17,0,-Sheet2!AB$2)</f>
        <v>19119.811986572982</v>
      </c>
      <c r="AC9" s="17">
        <f>PV(Sheet1!$R87,17,0,-Sheet2!AC$2)</f>
        <v>14418.25400577294</v>
      </c>
      <c r="AD9" s="17">
        <f>PV(Sheet1!$R87,17,0,-Sheet2!AD$2)</f>
        <v>8819.8195551224089</v>
      </c>
      <c r="AE9" s="17">
        <f>PV(Sheet1!$R87,17,0,-Sheet2!AE$2)</f>
        <v>9784.6723776079725</v>
      </c>
      <c r="AF9" s="17">
        <f>PV(Sheet1!$R87,17,0,-Sheet2!AF$2)</f>
        <v>7729.7169494495156</v>
      </c>
      <c r="AG9" s="17">
        <f>PV(Sheet1!$R87,17,0,-Sheet2!AG$2)</f>
        <v>3439.9263504366941</v>
      </c>
      <c r="AH9" s="17">
        <f t="shared" si="4"/>
        <v>10552.033537493755</v>
      </c>
      <c r="AI9" s="17">
        <f>PV(Sheet1!$R87,8,0,-Sheet1!K$19,0)</f>
        <v>9.8490490720018631</v>
      </c>
      <c r="AJ9" s="28">
        <f t="shared" si="5"/>
        <v>1.0713758719600943</v>
      </c>
    </row>
    <row r="10" spans="3:36">
      <c r="C10" s="17">
        <f>PV(Sheet1!$R88,17,0,-Sheet2!C$2)</f>
        <v>13180.09564100563</v>
      </c>
      <c r="D10" s="17">
        <f>PV(Sheet1!$R88,17,0,-Sheet2!D$2)</f>
        <v>14409.640728431792</v>
      </c>
      <c r="E10" s="17">
        <f>PV(Sheet1!$R88,17,0,-Sheet2!E$2)</f>
        <v>9594.6809999266206</v>
      </c>
      <c r="F10" s="17">
        <f>PV(Sheet1!$R88,17,0,-Sheet2!F$2)</f>
        <v>7213.9465662982984</v>
      </c>
      <c r="G10" s="17">
        <f>PV(Sheet1!$R88,17,0,-Sheet2!G$2)</f>
        <v>4852.7557424115748</v>
      </c>
      <c r="H10" s="17">
        <f>PV(Sheet1!$R88,17,0,-Sheet2!H$2)</f>
        <v>2089.2269397687251</v>
      </c>
      <c r="I10" s="17">
        <f t="shared" si="0"/>
        <v>8556.7244363071059</v>
      </c>
      <c r="J10" s="17">
        <f>PV(Sheet1!R88,8,0,-Sheet1!K$23,0)</f>
        <v>7.8436236651996838</v>
      </c>
      <c r="K10" s="17">
        <f>PV(Sheet1!$R88,8,0,-Sheet1!L$23,0)</f>
        <v>4.1656892070640339</v>
      </c>
      <c r="L10" s="28">
        <f t="shared" si="1"/>
        <v>1.0909147100301717</v>
      </c>
      <c r="M10" s="28">
        <f t="shared" si="1"/>
        <v>2.0540957356580765</v>
      </c>
      <c r="P10" s="17">
        <f>PV(Sheet1!$R88,17,0,-Sheet2!P$2)</f>
        <v>3713.7500447576713</v>
      </c>
      <c r="Q10" s="17">
        <f>PV(Sheet1!$R88,17,0,-Sheet2!Q$2)</f>
        <v>9813.7475055245304</v>
      </c>
      <c r="R10" s="17">
        <f>PV(Sheet1!$R88,17,0,-Sheet2!R$2)</f>
        <v>6816.3737794449735</v>
      </c>
      <c r="S10" s="17">
        <f>PV(Sheet1!$R88,17,0,-Sheet2!S$2)</f>
        <v>4721.1551234127037</v>
      </c>
      <c r="T10" s="17">
        <f>PV(Sheet1!$R88,17,0,-Sheet2!T$2)</f>
        <v>4408.4597084059051</v>
      </c>
      <c r="U10" s="17">
        <f>PV(Sheet1!$R88,17,0,-Sheet2!U$2)</f>
        <v>1926.9383467172088</v>
      </c>
      <c r="V10" s="17">
        <f t="shared" si="2"/>
        <v>5233.4040847104989</v>
      </c>
      <c r="W10" s="17">
        <f>PV(Sheet1!$R88,8,0,-Sheet1!K$21,0)</f>
        <v>5.76699215383944</v>
      </c>
      <c r="X10" s="17">
        <f>PV(Sheet1!$R88,8,0,-Sheet1!L$21,0)</f>
        <v>3.0628059169970809</v>
      </c>
      <c r="Y10" s="28">
        <f t="shared" si="3"/>
        <v>0.90747549937731431</v>
      </c>
      <c r="Z10" s="28">
        <f t="shared" si="3"/>
        <v>1.7086959561060189</v>
      </c>
      <c r="AB10" s="17">
        <f>PV(Sheet1!$R88,17,0,-Sheet2!AB$2)</f>
        <v>16323.150871010528</v>
      </c>
      <c r="AC10" s="17">
        <f>PV(Sheet1!$R88,17,0,-Sheet2!AC$2)</f>
        <v>12309.291304645709</v>
      </c>
      <c r="AD10" s="17">
        <f>PV(Sheet1!$R88,17,0,-Sheet2!AD$2)</f>
        <v>7529.7416812704023</v>
      </c>
      <c r="AE10" s="17">
        <f>PV(Sheet1!$R88,17,0,-Sheet2!AE$2)</f>
        <v>8353.4651677153706</v>
      </c>
      <c r="AF10" s="17">
        <f>PV(Sheet1!$R88,17,0,-Sheet2!AF$2)</f>
        <v>6599.0887381464727</v>
      </c>
      <c r="AG10" s="17">
        <f>PV(Sheet1!$R88,17,0,-Sheet2!AG$2)</f>
        <v>2936.7672047599012</v>
      </c>
      <c r="AH10" s="17">
        <f t="shared" si="4"/>
        <v>9008.5841612580643</v>
      </c>
      <c r="AI10" s="17">
        <f>PV(Sheet1!$R88,8,0,-Sheet1!K$19,0)</f>
        <v>9.1427001979846843</v>
      </c>
      <c r="AJ10" s="28">
        <f t="shared" si="5"/>
        <v>0.9853308066739207</v>
      </c>
    </row>
    <row r="11" spans="3:36">
      <c r="C11" s="17">
        <f>PV(Sheet1!$R89,17,0,-Sheet2!C$2)</f>
        <v>11268.651295426034</v>
      </c>
      <c r="D11" s="17">
        <f>PV(Sheet1!$R89,17,0,-Sheet2!D$2)</f>
        <v>12319.881515569747</v>
      </c>
      <c r="E11" s="17">
        <f>PV(Sheet1!$R89,17,0,-Sheet2!E$2)</f>
        <v>8203.2116779672524</v>
      </c>
      <c r="F11" s="17">
        <f>PV(Sheet1!$R89,17,0,-Sheet2!F$2)</f>
        <v>6167.7434317349944</v>
      </c>
      <c r="G11" s="17">
        <f>PV(Sheet1!$R89,17,0,-Sheet2!G$2)</f>
        <v>4148.9844817954581</v>
      </c>
      <c r="H11" s="17">
        <f>PV(Sheet1!$R89,17,0,-Sheet2!H$2)</f>
        <v>1786.2366482393386</v>
      </c>
      <c r="I11" s="17">
        <f t="shared" si="0"/>
        <v>7315.7848417888044</v>
      </c>
      <c r="J11" s="17">
        <f>PV(Sheet1!R89,8,0,-Sheet1!K$23,0)</f>
        <v>7.2860946482892466</v>
      </c>
      <c r="K11" s="17">
        <f>PV(Sheet1!$R89,8,0,-Sheet1!L$23,0)</f>
        <v>3.8695897627889111</v>
      </c>
      <c r="L11" s="28">
        <f t="shared" si="1"/>
        <v>1.0040749118605712</v>
      </c>
      <c r="M11" s="28">
        <f t="shared" si="1"/>
        <v>1.8905840903703792</v>
      </c>
      <c r="P11" s="17">
        <f>PV(Sheet1!$R89,17,0,-Sheet2!P$2)</f>
        <v>3175.1631697229463</v>
      </c>
      <c r="Q11" s="17">
        <f>PV(Sheet1!$R89,17,0,-Sheet2!Q$2)</f>
        <v>8390.508047381305</v>
      </c>
      <c r="R11" s="17">
        <f>PV(Sheet1!$R89,17,0,-Sheet2!R$2)</f>
        <v>5827.8286677129163</v>
      </c>
      <c r="S11" s="17">
        <f>PV(Sheet1!$R89,17,0,-Sheet2!S$2)</f>
        <v>4036.4692523045014</v>
      </c>
      <c r="T11" s="17">
        <f>PV(Sheet1!$R89,17,0,-Sheet2!T$2)</f>
        <v>3769.1225129965246</v>
      </c>
      <c r="U11" s="17">
        <f>PV(Sheet1!$R89,17,0,-Sheet2!U$2)</f>
        <v>1647.4839704034359</v>
      </c>
      <c r="V11" s="17">
        <f t="shared" si="2"/>
        <v>4474.4292700869382</v>
      </c>
      <c r="W11" s="17">
        <f>PV(Sheet1!$R89,8,0,-Sheet1!K$21,0)</f>
        <v>5.3570712291110292</v>
      </c>
      <c r="X11" s="17">
        <f>PV(Sheet1!$R89,8,0,-Sheet1!L$21,0)</f>
        <v>2.8451000141161096</v>
      </c>
      <c r="Y11" s="28">
        <f t="shared" si="3"/>
        <v>0.83523796468717859</v>
      </c>
      <c r="Z11" s="28">
        <f t="shared" si="3"/>
        <v>1.5726790790787066</v>
      </c>
      <c r="AB11" s="17">
        <f>PV(Sheet1!$R89,17,0,-Sheet2!AB$2)</f>
        <v>13955.884708133493</v>
      </c>
      <c r="AC11" s="17">
        <f>PV(Sheet1!$R89,17,0,-Sheet2!AC$2)</f>
        <v>10524.135422380659</v>
      </c>
      <c r="AD11" s="17">
        <f>PV(Sheet1!$R89,17,0,-Sheet2!AD$2)</f>
        <v>6437.7403367914512</v>
      </c>
      <c r="AE11" s="17">
        <f>PV(Sheet1!$R89,17,0,-Sheet2!AE$2)</f>
        <v>7142.0032636644701</v>
      </c>
      <c r="AF11" s="17">
        <f>PV(Sheet1!$R89,17,0,-Sheet2!AF$2)</f>
        <v>5642.0554056064329</v>
      </c>
      <c r="AG11" s="17">
        <f>PV(Sheet1!$R89,17,0,-Sheet2!AG$2)</f>
        <v>2510.8623235876121</v>
      </c>
      <c r="AH11" s="17">
        <f t="shared" si="4"/>
        <v>7702.1135766940206</v>
      </c>
      <c r="AI11" s="17">
        <f>PV(Sheet1!$R89,8,0,-Sheet1!K$19,0)</f>
        <v>8.4928321177624184</v>
      </c>
      <c r="AJ11" s="28">
        <f t="shared" si="5"/>
        <v>0.90689577633182672</v>
      </c>
    </row>
    <row r="12" spans="3:36">
      <c r="C12" s="17">
        <f>PV(Sheet1!$R90,17,0,-Sheet2!C$2)</f>
        <v>9648.2102151266445</v>
      </c>
      <c r="D12" s="17">
        <f>PV(Sheet1!$R90,17,0,-Sheet2!D$2)</f>
        <v>10548.27268778096</v>
      </c>
      <c r="E12" s="17">
        <f>PV(Sheet1!$R90,17,0,-Sheet2!E$2)</f>
        <v>7023.5832694845612</v>
      </c>
      <c r="F12" s="17">
        <f>PV(Sheet1!$R90,17,0,-Sheet2!F$2)</f>
        <v>5280.8169870781358</v>
      </c>
      <c r="G12" s="17">
        <f>PV(Sheet1!$R90,17,0,-Sheet2!G$2)</f>
        <v>3552.3571907766127</v>
      </c>
      <c r="H12" s="17">
        <f>PV(Sheet1!$R90,17,0,-Sheet2!H$2)</f>
        <v>1529.3743877913475</v>
      </c>
      <c r="I12" s="17">
        <f t="shared" si="0"/>
        <v>6263.7691230063765</v>
      </c>
      <c r="J12" s="17">
        <f>PV(Sheet1!R90,8,0,-Sheet1!K$23,0)</f>
        <v>6.7727541458849059</v>
      </c>
      <c r="K12" s="17">
        <f>PV(Sheet1!$R90,8,0,-Sheet1!L$23,0)</f>
        <v>3.5969585043691268</v>
      </c>
      <c r="L12" s="28">
        <f t="shared" si="1"/>
        <v>0.92484814716214281</v>
      </c>
      <c r="M12" s="28">
        <f t="shared" si="1"/>
        <v>1.7414071125363131</v>
      </c>
      <c r="P12" s="17">
        <f>PV(Sheet1!$R90,17,0,-Sheet2!P$2)</f>
        <v>2718.5721632232494</v>
      </c>
      <c r="Q12" s="17">
        <f>PV(Sheet1!$R90,17,0,-Sheet2!Q$2)</f>
        <v>7183.9462709885929</v>
      </c>
      <c r="R12" s="17">
        <f>PV(Sheet1!$R90,17,0,-Sheet2!R$2)</f>
        <v>4989.782238328623</v>
      </c>
      <c r="S12" s="17">
        <f>PV(Sheet1!$R90,17,0,-Sheet2!S$2)</f>
        <v>3456.021741389462</v>
      </c>
      <c r="T12" s="17">
        <f>PV(Sheet1!$R90,17,0,-Sheet2!T$2)</f>
        <v>3227.1196772871667</v>
      </c>
      <c r="U12" s="17">
        <f>PV(Sheet1!$R90,17,0,-Sheet2!U$2)</f>
        <v>1410.5744561423915</v>
      </c>
      <c r="V12" s="17">
        <f t="shared" si="2"/>
        <v>3831.0027578932477</v>
      </c>
      <c r="W12" s="17">
        <f>PV(Sheet1!$R90,8,0,-Sheet1!K$21,0)</f>
        <v>4.9796397285727547</v>
      </c>
      <c r="X12" s="17">
        <f>PV(Sheet1!$R90,8,0,-Sheet1!L$21,0)</f>
        <v>2.6446489987041861</v>
      </c>
      <c r="Y12" s="28">
        <f t="shared" si="3"/>
        <v>0.76933331861565712</v>
      </c>
      <c r="Z12" s="28">
        <f t="shared" si="3"/>
        <v>1.448586470178215</v>
      </c>
      <c r="AB12" s="17">
        <f>PV(Sheet1!$R90,17,0,-Sheet2!AB$2)</f>
        <v>11949.017311130898</v>
      </c>
      <c r="AC12" s="17">
        <f>PV(Sheet1!$R90,17,0,-Sheet2!AC$2)</f>
        <v>9010.7563208388692</v>
      </c>
      <c r="AD12" s="17">
        <f>PV(Sheet1!$R90,17,0,-Sheet2!AD$2)</f>
        <v>5511.9881209720079</v>
      </c>
      <c r="AE12" s="17">
        <f>PV(Sheet1!$R90,17,0,-Sheet2!AE$2)</f>
        <v>6114.9774749818616</v>
      </c>
      <c r="AF12" s="17">
        <f>PV(Sheet1!$R90,17,0,-Sheet2!AF$2)</f>
        <v>4830.723320081619</v>
      </c>
      <c r="AG12" s="17">
        <f>PV(Sheet1!$R90,17,0,-Sheet2!AG$2)</f>
        <v>2149.7983107390792</v>
      </c>
      <c r="AH12" s="17">
        <f t="shared" si="4"/>
        <v>6594.5434764573874</v>
      </c>
      <c r="AI12" s="17">
        <f>PV(Sheet1!$R90,8,0,-Sheet1!K$19,0)</f>
        <v>7.894471141599209</v>
      </c>
      <c r="AJ12" s="28">
        <f t="shared" si="5"/>
        <v>0.83533695394844509</v>
      </c>
    </row>
    <row r="13" spans="3:36">
      <c r="C13" s="17">
        <f>PV(Sheet1!$R91,17,0,-Sheet2!C$2)</f>
        <v>8272.4045653664871</v>
      </c>
      <c r="D13" s="17">
        <f>PV(Sheet1!$R91,17,0,-Sheet2!D$2)</f>
        <v>9044.1208466128392</v>
      </c>
      <c r="E13" s="17">
        <f>PV(Sheet1!$R91,17,0,-Sheet2!E$2)</f>
        <v>6022.0414987043378</v>
      </c>
      <c r="F13" s="17">
        <f>PV(Sheet1!$R91,17,0,-Sheet2!F$2)</f>
        <v>4527.7884269436645</v>
      </c>
      <c r="G13" s="17">
        <f>PV(Sheet1!$R91,17,0,-Sheet2!G$2)</f>
        <v>3045.8017795590895</v>
      </c>
      <c r="H13" s="17">
        <f>PV(Sheet1!$R91,17,0,-Sheet2!H$2)</f>
        <v>1311.2902171103503</v>
      </c>
      <c r="I13" s="17">
        <f t="shared" si="0"/>
        <v>5370.5745557161272</v>
      </c>
      <c r="J13" s="17">
        <f>PV(Sheet1!R91,8,0,-Sheet1!K$23,0)</f>
        <v>6.2997448732546655</v>
      </c>
      <c r="K13" s="17">
        <f>PV(Sheet1!$R91,8,0,-Sheet1!L$23,0)</f>
        <v>3.3457468570562594</v>
      </c>
      <c r="L13" s="28">
        <f t="shared" si="1"/>
        <v>0.85250667507452615</v>
      </c>
      <c r="M13" s="28">
        <f t="shared" si="1"/>
        <v>1.6051945305991868</v>
      </c>
      <c r="P13" s="17">
        <f>PV(Sheet1!$R91,17,0,-Sheet2!P$2)</f>
        <v>2330.9119798268262</v>
      </c>
      <c r="Q13" s="17">
        <f>PV(Sheet1!$R91,17,0,-Sheet2!Q$2)</f>
        <v>6159.5372203126799</v>
      </c>
      <c r="R13" s="17">
        <f>PV(Sheet1!$R91,17,0,-Sheet2!R$2)</f>
        <v>4278.2543547629875</v>
      </c>
      <c r="S13" s="17">
        <f>PV(Sheet1!$R91,17,0,-Sheet2!S$2)</f>
        <v>2963.2034744281063</v>
      </c>
      <c r="T13" s="17">
        <f>PV(Sheet1!$R91,17,0,-Sheet2!T$2)</f>
        <v>2766.9421536358973</v>
      </c>
      <c r="U13" s="17">
        <f>PV(Sheet1!$R91,17,0,-Sheet2!U$2)</f>
        <v>1209.4307970702212</v>
      </c>
      <c r="V13" s="17">
        <f t="shared" si="2"/>
        <v>3284.71333000612</v>
      </c>
      <c r="W13" s="17">
        <f>PV(Sheet1!$R91,8,0,-Sheet1!K$21,0)</f>
        <v>4.6318615994339636</v>
      </c>
      <c r="X13" s="17">
        <f>PV(Sheet1!$R91,8,0,-Sheet1!L$21,0)</f>
        <v>2.4599466645733319</v>
      </c>
      <c r="Y13" s="28">
        <f t="shared" si="3"/>
        <v>0.70915619119697537</v>
      </c>
      <c r="Z13" s="28">
        <f t="shared" si="3"/>
        <v>1.3352782713993683</v>
      </c>
      <c r="AB13" s="17">
        <f>PV(Sheet1!$R91,17,0,-Sheet2!AB$2)</f>
        <v>10245.123515371595</v>
      </c>
      <c r="AC13" s="17">
        <f>PV(Sheet1!$R91,17,0,-Sheet2!AC$2)</f>
        <v>7725.8496719988752</v>
      </c>
      <c r="AD13" s="17">
        <f>PV(Sheet1!$R91,17,0,-Sheet2!AD$2)</f>
        <v>4725.995255025251</v>
      </c>
      <c r="AE13" s="17">
        <f>PV(Sheet1!$R91,17,0,-Sheet2!AE$2)</f>
        <v>5243.0001475138033</v>
      </c>
      <c r="AF13" s="17">
        <f>PV(Sheet1!$R91,17,0,-Sheet2!AF$2)</f>
        <v>4141.8767580761087</v>
      </c>
      <c r="AG13" s="17">
        <f>PV(Sheet1!$R91,17,0,-Sheet2!AG$2)</f>
        <v>1843.2435616393418</v>
      </c>
      <c r="AH13" s="17">
        <f t="shared" si="4"/>
        <v>5654.1814849374969</v>
      </c>
      <c r="AI13" s="17">
        <f>PV(Sheet1!$R91,8,0,-Sheet1!K$19,0)</f>
        <v>7.3431211336032565</v>
      </c>
      <c r="AJ13" s="28">
        <f t="shared" si="5"/>
        <v>0.76999703287789834</v>
      </c>
    </row>
    <row r="14" spans="3:36">
      <c r="C14" s="17">
        <f>PV(Sheet1!$R92,17,0,-Sheet2!C$2)</f>
        <v>7102.5781273786779</v>
      </c>
      <c r="D14" s="17">
        <f>PV(Sheet1!$R92,17,0,-Sheet2!D$2)</f>
        <v>7765.1636110081927</v>
      </c>
      <c r="E14" s="17">
        <f>PV(Sheet1!$R92,17,0,-Sheet2!E$2)</f>
        <v>5170.4458954938991</v>
      </c>
      <c r="F14" s="17">
        <f>PV(Sheet1!$R92,17,0,-Sheet2!F$2)</f>
        <v>3887.4997943459102</v>
      </c>
      <c r="G14" s="17">
        <f>PV(Sheet1!$R92,17,0,-Sheet2!G$2)</f>
        <v>2615.0854843822608</v>
      </c>
      <c r="H14" s="17">
        <f>PV(Sheet1!$R92,17,0,-Sheet2!H$2)</f>
        <v>1125.8565923729097</v>
      </c>
      <c r="I14" s="17">
        <f t="shared" si="0"/>
        <v>4611.1049174969748</v>
      </c>
      <c r="J14" s="17">
        <f>PV(Sheet1!R92,8,0,-Sheet1!K$23,0)</f>
        <v>5.8635767038044806</v>
      </c>
      <c r="K14" s="17">
        <f>PV(Sheet1!$R92,8,0,-Sheet1!L$23,0)</f>
        <v>3.1141012410121278</v>
      </c>
      <c r="L14" s="28">
        <f t="shared" si="1"/>
        <v>0.78639798717140319</v>
      </c>
      <c r="M14" s="28">
        <f t="shared" si="1"/>
        <v>1.4807177290094458</v>
      </c>
      <c r="P14" s="17">
        <f>PV(Sheet1!$R92,17,0,-Sheet2!P$2)</f>
        <v>2001.2904729145703</v>
      </c>
      <c r="Q14" s="17">
        <f>PV(Sheet1!$R92,17,0,-Sheet2!Q$2)</f>
        <v>5288.4979198100355</v>
      </c>
      <c r="R14" s="17">
        <f>PV(Sheet1!$R92,17,0,-Sheet2!R$2)</f>
        <v>3673.2531107968098</v>
      </c>
      <c r="S14" s="17">
        <f>PV(Sheet1!$R92,17,0,-Sheet2!S$2)</f>
        <v>2544.1676622730756</v>
      </c>
      <c r="T14" s="17">
        <f>PV(Sheet1!$R92,17,0,-Sheet2!T$2)</f>
        <v>2375.6602647812751</v>
      </c>
      <c r="U14" s="17">
        <f>PV(Sheet1!$R92,17,0,-Sheet2!U$2)</f>
        <v>1038.4014294722244</v>
      </c>
      <c r="V14" s="17">
        <f t="shared" si="2"/>
        <v>2820.2118100079988</v>
      </c>
      <c r="W14" s="17">
        <f>PV(Sheet1!$R92,8,0,-Sheet1!K$21,0)</f>
        <v>4.31117074042018</v>
      </c>
      <c r="X14" s="17">
        <f>PV(Sheet1!$R92,8,0,-Sheet1!L$21,0)</f>
        <v>2.289630174744163</v>
      </c>
      <c r="Y14" s="28">
        <f t="shared" si="3"/>
        <v>0.65416379443443995</v>
      </c>
      <c r="Z14" s="28">
        <f t="shared" si="3"/>
        <v>1.2317324610395308</v>
      </c>
      <c r="AB14" s="17">
        <f>PV(Sheet1!$R92,17,0,-Sheet2!AB$2)</f>
        <v>8796.3287599858231</v>
      </c>
      <c r="AC14" s="17">
        <f>PV(Sheet1!$R92,17,0,-Sheet2!AC$2)</f>
        <v>6633.3132600271865</v>
      </c>
      <c r="AD14" s="17">
        <f>PV(Sheet1!$R92,17,0,-Sheet2!AD$2)</f>
        <v>4057.6775788951854</v>
      </c>
      <c r="AE14" s="17">
        <f>PV(Sheet1!$R92,17,0,-Sheet2!AE$2)</f>
        <v>4501.5712028253492</v>
      </c>
      <c r="AF14" s="17">
        <f>PV(Sheet1!$R92,17,0,-Sheet2!AF$2)</f>
        <v>3556.1610938821623</v>
      </c>
      <c r="AG14" s="17">
        <f>PV(Sheet1!$R92,17,0,-Sheet2!AG$2)</f>
        <v>1582.5847612847217</v>
      </c>
      <c r="AH14" s="17">
        <f t="shared" si="4"/>
        <v>4854.606109483404</v>
      </c>
      <c r="AI14" s="17">
        <f>PV(Sheet1!$R92,8,0,-Sheet1!K$19,0)</f>
        <v>6.834713925480874</v>
      </c>
      <c r="AJ14" s="28">
        <f t="shared" si="5"/>
        <v>0.71028665755631404</v>
      </c>
    </row>
    <row r="15" spans="3:36">
      <c r="C15" s="17">
        <f>PV(Sheet1!$R93,17,0,-Sheet2!C$2)</f>
        <v>6106.4508486522436</v>
      </c>
      <c r="D15" s="17">
        <f>PV(Sheet1!$R93,17,0,-Sheet2!D$2)</f>
        <v>6676.1095861207696</v>
      </c>
      <c r="E15" s="17">
        <f>PV(Sheet1!$R93,17,0,-Sheet2!E$2)</f>
        <v>4445.2976313970921</v>
      </c>
      <c r="F15" s="17">
        <f>PV(Sheet1!$R93,17,0,-Sheet2!F$2)</f>
        <v>3342.2830404091883</v>
      </c>
      <c r="G15" s="17">
        <f>PV(Sheet1!$R93,17,0,-Sheet2!G$2)</f>
        <v>2248.3231706875708</v>
      </c>
      <c r="H15" s="17">
        <f>PV(Sheet1!$R93,17,0,-Sheet2!H$2)</f>
        <v>967.95668004761581</v>
      </c>
      <c r="I15" s="17">
        <f t="shared" si="0"/>
        <v>3964.4034928857468</v>
      </c>
      <c r="J15" s="17">
        <f>PV(Sheet1!R93,8,0,-Sheet1!K$23,0)</f>
        <v>5.4610888724836189</v>
      </c>
      <c r="K15" s="17">
        <f>PV(Sheet1!$R93,8,0,-Sheet1!L$23,0)</f>
        <v>2.9003429978232331</v>
      </c>
      <c r="L15" s="28">
        <f t="shared" si="1"/>
        <v>0.72593645433255827</v>
      </c>
      <c r="M15" s="28">
        <f t="shared" si="1"/>
        <v>1.3668740200249119</v>
      </c>
      <c r="P15" s="17">
        <f>PV(Sheet1!$R93,17,0,-Sheet2!P$2)</f>
        <v>1720.6121055706158</v>
      </c>
      <c r="Q15" s="17">
        <f>PV(Sheet1!$R93,17,0,-Sheet2!Q$2)</f>
        <v>4546.7930139387609</v>
      </c>
      <c r="R15" s="17">
        <f>PV(Sheet1!$R93,17,0,-Sheet2!R$2)</f>
        <v>3158.0841735869826</v>
      </c>
      <c r="S15" s="17">
        <f>PV(Sheet1!$R93,17,0,-Sheet2!S$2)</f>
        <v>2187.3514802342302</v>
      </c>
      <c r="T15" s="17">
        <f>PV(Sheet1!$R93,17,0,-Sheet2!T$2)</f>
        <v>2042.4770245134948</v>
      </c>
      <c r="U15" s="17">
        <f>PV(Sheet1!$R93,17,0,-Sheet2!U$2)</f>
        <v>892.76698918658667</v>
      </c>
      <c r="V15" s="17">
        <f t="shared" si="2"/>
        <v>2424.680797838445</v>
      </c>
      <c r="W15" s="17">
        <f>PV(Sheet1!$R93,8,0,-Sheet1!K$21,0)</f>
        <v>4.0152432119818089</v>
      </c>
      <c r="X15" s="17">
        <f>PV(Sheet1!$R93,8,0,-Sheet1!L$21,0)</f>
        <v>2.1324653024979021</v>
      </c>
      <c r="Y15" s="28">
        <f t="shared" si="3"/>
        <v>0.60386897376552495</v>
      </c>
      <c r="Z15" s="28">
        <f t="shared" si="3"/>
        <v>1.137031770223061</v>
      </c>
      <c r="AB15" s="17">
        <f>PV(Sheet1!$R93,17,0,-Sheet2!AB$2)</f>
        <v>7562.6551736733545</v>
      </c>
      <c r="AC15" s="17">
        <f>PV(Sheet1!$R93,17,0,-Sheet2!AC$2)</f>
        <v>5702.9997642586432</v>
      </c>
      <c r="AD15" s="17">
        <f>PV(Sheet1!$R93,17,0,-Sheet2!AD$2)</f>
        <v>3488.5936135906209</v>
      </c>
      <c r="AE15" s="17">
        <f>PV(Sheet1!$R93,17,0,-Sheet2!AE$2)</f>
        <v>3870.2317382190454</v>
      </c>
      <c r="AF15" s="17">
        <f>PV(Sheet1!$R93,17,0,-Sheet2!AF$2)</f>
        <v>3057.414158666254</v>
      </c>
      <c r="AG15" s="17">
        <f>PV(Sheet1!$R93,17,0,-Sheet2!AG$2)</f>
        <v>1360.6293215359315</v>
      </c>
      <c r="AH15" s="17">
        <f t="shared" si="4"/>
        <v>4173.7539616573085</v>
      </c>
      <c r="AI15" s="17">
        <f>PV(Sheet1!$R93,8,0,-Sheet1!K$19,0)</f>
        <v>6.3655652599947681</v>
      </c>
      <c r="AJ15" s="28">
        <f t="shared" si="5"/>
        <v>0.65567687882925563</v>
      </c>
    </row>
    <row r="16" spans="3:36">
      <c r="C16" s="17">
        <f>PV(Sheet1!$R94,17,0,-Sheet2!C$2)</f>
        <v>5257.0236678111305</v>
      </c>
      <c r="D16" s="17">
        <f>PV(Sheet1!$R94,17,0,-Sheet2!D$2)</f>
        <v>5747.4410214705658</v>
      </c>
      <c r="E16" s="17">
        <f>PV(Sheet1!$R94,17,0,-Sheet2!E$2)</f>
        <v>3826.9422677621419</v>
      </c>
      <c r="F16" s="17">
        <f>PV(Sheet1!$R94,17,0,-Sheet2!F$2)</f>
        <v>2877.3605951209493</v>
      </c>
      <c r="G16" s="17">
        <f>PV(Sheet1!$R94,17,0,-Sheet2!G$2)</f>
        <v>1935.5741025576922</v>
      </c>
      <c r="H16" s="17">
        <f>PV(Sheet1!$R94,17,0,-Sheet2!H$2)</f>
        <v>833.31075653369123</v>
      </c>
      <c r="I16" s="17">
        <f t="shared" si="0"/>
        <v>3412.9420685426953</v>
      </c>
      <c r="J16" s="17">
        <f>PV(Sheet1!R94,8,0,-Sheet1!K$23,0)</f>
        <v>5.0894163583233398</v>
      </c>
      <c r="K16" s="17">
        <f>PV(Sheet1!$R94,8,0,-Sheet1!L$23,0)</f>
        <v>2.7029505365213033</v>
      </c>
      <c r="L16" s="28">
        <f t="shared" si="1"/>
        <v>0.67059596390872933</v>
      </c>
      <c r="M16" s="28">
        <f t="shared" si="1"/>
        <v>1.2626727801446012</v>
      </c>
      <c r="P16" s="17">
        <f>PV(Sheet1!$R94,17,0,-Sheet2!P$2)</f>
        <v>1481.2693635458411</v>
      </c>
      <c r="Q16" s="17">
        <f>PV(Sheet1!$R94,17,0,-Sheet2!Q$2)</f>
        <v>3914.3193123694618</v>
      </c>
      <c r="R16" s="17">
        <f>PV(Sheet1!$R94,17,0,-Sheet2!R$2)</f>
        <v>2718.7843899784739</v>
      </c>
      <c r="S16" s="17">
        <f>PV(Sheet1!$R94,17,0,-Sheet2!S$2)</f>
        <v>1883.0837726223567</v>
      </c>
      <c r="T16" s="17">
        <f>PV(Sheet1!$R94,17,0,-Sheet2!T$2)</f>
        <v>1758.36182505223</v>
      </c>
      <c r="U16" s="17">
        <f>PV(Sheet1!$R94,17,0,-Sheet2!U$2)</f>
        <v>768.58019630670219</v>
      </c>
      <c r="V16" s="17">
        <f t="shared" si="2"/>
        <v>2087.3998099791775</v>
      </c>
      <c r="W16" s="17">
        <f>PV(Sheet1!$R94,8,0,-Sheet1!K$21,0)</f>
        <v>3.7419725191934723</v>
      </c>
      <c r="X16" s="17">
        <f>PV(Sheet1!$R94,8,0,-Sheet1!L$21,0)</f>
        <v>1.9873333043111552</v>
      </c>
      <c r="Y16" s="28">
        <f t="shared" si="3"/>
        <v>0.55783408330029272</v>
      </c>
      <c r="Z16" s="28">
        <f t="shared" si="3"/>
        <v>1.0503521505179561</v>
      </c>
      <c r="AB16" s="17">
        <f>PV(Sheet1!$R94,17,0,-Sheet2!AB$2)</f>
        <v>6510.6652333523507</v>
      </c>
      <c r="AC16" s="17">
        <f>PV(Sheet1!$R94,17,0,-Sheet2!AC$2)</f>
        <v>4909.6939419148939</v>
      </c>
      <c r="AD16" s="17">
        <f>PV(Sheet1!$R94,17,0,-Sheet2!AD$2)</f>
        <v>3003.3188915404753</v>
      </c>
      <c r="AE16" s="17">
        <f>PV(Sheet1!$R94,17,0,-Sheet2!AE$2)</f>
        <v>3331.8699113449643</v>
      </c>
      <c r="AF16" s="17">
        <f>PV(Sheet1!$R94,17,0,-Sheet2!AF$2)</f>
        <v>2632.1179016706255</v>
      </c>
      <c r="AG16" s="17">
        <f>PV(Sheet1!$R94,17,0,-Sheet2!AG$2)</f>
        <v>1171.3613560012363</v>
      </c>
      <c r="AH16" s="17">
        <f t="shared" si="4"/>
        <v>3593.1712059707584</v>
      </c>
      <c r="AI16" s="17">
        <f>PV(Sheet1!$R94,8,0,-Sheet1!K$19,0)</f>
        <v>5.9323356057119936</v>
      </c>
      <c r="AJ16" s="28">
        <f t="shared" si="5"/>
        <v>0.60569250372670203</v>
      </c>
    </row>
    <row r="17" spans="3:36">
      <c r="C17" s="17">
        <f>PV(Sheet1!$R95,17,0,-Sheet2!C$2)</f>
        <v>4531.6787893156488</v>
      </c>
      <c r="D17" s="17">
        <f>PV(Sheet1!$R95,17,0,-Sheet2!D$2)</f>
        <v>4954.4301520494064</v>
      </c>
      <c r="E17" s="17">
        <f>PV(Sheet1!$R95,17,0,-Sheet2!E$2)</f>
        <v>3298.9147849840515</v>
      </c>
      <c r="F17" s="17">
        <f>PV(Sheet1!$R95,17,0,-Sheet2!F$2)</f>
        <v>2480.3529148940329</v>
      </c>
      <c r="G17" s="17">
        <f>PV(Sheet1!$R95,17,0,-Sheet2!G$2)</f>
        <v>1668.5106744747675</v>
      </c>
      <c r="H17" s="17">
        <f>PV(Sheet1!$R95,17,0,-Sheet2!H$2)</f>
        <v>718.33358929210294</v>
      </c>
      <c r="I17" s="17">
        <f t="shared" si="0"/>
        <v>2942.0368175016683</v>
      </c>
      <c r="J17" s="17">
        <f>PV(Sheet1!R95,8,0,-Sheet1!K$23,0)</f>
        <v>4.7459599526986604</v>
      </c>
      <c r="K17" s="17">
        <f>PV(Sheet1!$R95,8,0,-Sheet1!L$23,0)</f>
        <v>2.5205434370634903</v>
      </c>
      <c r="L17" s="28">
        <f t="shared" si="1"/>
        <v>0.61990342245276631</v>
      </c>
      <c r="M17" s="28">
        <f>($I17/1000)/K17</f>
        <v>1.1672232163272023</v>
      </c>
      <c r="P17" s="17">
        <f>PV(Sheet1!$R95,17,0,-Sheet2!P$2)</f>
        <v>1276.8892400362204</v>
      </c>
      <c r="Q17" s="17">
        <f>PV(Sheet1!$R95,17,0,-Sheet2!Q$2)</f>
        <v>3374.2358648841819</v>
      </c>
      <c r="R17" s="17">
        <f>PV(Sheet1!$R95,17,0,-Sheet2!R$2)</f>
        <v>2343.6564739526639</v>
      </c>
      <c r="S17" s="17">
        <f>PV(Sheet1!$R95,17,0,-Sheet2!S$2)</f>
        <v>1623.2627680845758</v>
      </c>
      <c r="T17" s="17">
        <f>PV(Sheet1!$R95,17,0,-Sheet2!T$2)</f>
        <v>1515.7494982040514</v>
      </c>
      <c r="U17" s="17">
        <f>PV(Sheet1!$R95,17,0,-Sheet2!U$2)</f>
        <v>662.53431477156369</v>
      </c>
      <c r="V17" s="17">
        <f>AVERAGE(P17:U17)</f>
        <v>1799.3880266555427</v>
      </c>
      <c r="W17" s="17">
        <f>PV(Sheet1!$R95,8,0,-Sheet1!K$21,0)</f>
        <v>3.4894476045661467</v>
      </c>
      <c r="X17" s="17">
        <f>PV(Sheet1!$R95,8,0,-Sheet1!L$21,0)</f>
        <v>1.8532192320048779</v>
      </c>
      <c r="Y17" s="28">
        <f t="shared" si="3"/>
        <v>0.51566558107963512</v>
      </c>
      <c r="Z17" s="28">
        <f t="shared" si="3"/>
        <v>0.97095259728602168</v>
      </c>
      <c r="AB17" s="17">
        <f>PV(Sheet1!$R95,17,0,-Sheet2!AB$2)</f>
        <v>5612.347481517495</v>
      </c>
      <c r="AC17" s="17">
        <f>PV(Sheet1!$R95,17,0,-Sheet2!AC$2)</f>
        <v>4232.2723473434826</v>
      </c>
      <c r="AD17" s="17">
        <f>PV(Sheet1!$R95,17,0,-Sheet2!AD$2)</f>
        <v>2588.9319467362775</v>
      </c>
      <c r="AE17" s="17">
        <f>PV(Sheet1!$R95,17,0,-Sheet2!AE$2)</f>
        <v>2872.1506997300144</v>
      </c>
      <c r="AF17" s="17">
        <f>PV(Sheet1!$R95,17,0,-Sheet2!AF$2)</f>
        <v>2268.9479103953158</v>
      </c>
      <c r="AG17" s="17">
        <f>PV(Sheet1!$R95,17,0,-Sheet2!AG$2)</f>
        <v>1009.7412047271627</v>
      </c>
      <c r="AH17" s="17">
        <f>AVERAGE(AB17:AG17)</f>
        <v>3097.3985984082906</v>
      </c>
      <c r="AI17" s="17">
        <f>PV(Sheet1!$R95,8,0,-Sheet1!K$19,0)</f>
        <v>5.5319952679117703</v>
      </c>
      <c r="AJ17" s="28">
        <f t="shared" si="5"/>
        <v>0.55990622703072257</v>
      </c>
    </row>
    <row r="18" spans="3:36">
      <c r="C18" s="17"/>
      <c r="D18" s="17"/>
      <c r="E18" s="17"/>
      <c r="F18" s="17"/>
      <c r="G18" s="17"/>
      <c r="H18" s="17"/>
    </row>
    <row r="19" spans="3:36">
      <c r="C19" s="17"/>
      <c r="D19" s="17"/>
      <c r="E19" s="17"/>
      <c r="F19" s="17"/>
      <c r="G19" s="17"/>
      <c r="H19" s="17"/>
    </row>
    <row r="20" spans="3:36">
      <c r="C20" s="17"/>
      <c r="D20" s="17"/>
      <c r="E20" s="17"/>
      <c r="F20" s="17"/>
      <c r="G20" s="17"/>
      <c r="H20" s="17"/>
    </row>
    <row r="21" spans="3:36">
      <c r="C21" s="17"/>
      <c r="D21" s="17"/>
      <c r="E21" s="17"/>
      <c r="F21" s="17"/>
      <c r="G21" s="17"/>
      <c r="H21" s="17"/>
    </row>
    <row r="22" spans="3:36">
      <c r="C22" s="17"/>
      <c r="D22" s="17"/>
      <c r="E22" s="17"/>
      <c r="F22" s="17"/>
      <c r="G22" s="17"/>
      <c r="H22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88C6-D2A2-42A4-9364-721C526BF1DA}">
  <dimension ref="E2:V55"/>
  <sheetViews>
    <sheetView workbookViewId="0">
      <selection activeCell="M26" sqref="M26"/>
    </sheetView>
  </sheetViews>
  <sheetFormatPr defaultRowHeight="15"/>
  <cols>
    <col min="15" max="15" width="39.7109375" bestFit="1" customWidth="1"/>
    <col min="16" max="16" width="11.140625" customWidth="1"/>
    <col min="17" max="17" width="14.7109375" customWidth="1"/>
    <col min="18" max="18" width="20.28515625" customWidth="1"/>
    <col min="19" max="19" width="13.85546875" customWidth="1"/>
    <col min="20" max="20" width="17" bestFit="1" customWidth="1"/>
  </cols>
  <sheetData>
    <row r="2" spans="5:22">
      <c r="E2" s="17">
        <f>Sheet1!R33/1000</f>
        <v>1.3633032115257517</v>
      </c>
      <c r="F2" s="17">
        <f>Sheet1!S33/1000</f>
        <v>4.4933379789308061</v>
      </c>
      <c r="G2" s="17">
        <f>Sheet1!T33/1000</f>
        <v>2.7061925250527055</v>
      </c>
      <c r="H2" s="17">
        <f>Sheet1!U33/1000</f>
        <v>5.1449407616685514</v>
      </c>
      <c r="I2" s="17">
        <f>Sheet1!V33/1000</f>
        <v>12.556481129285867</v>
      </c>
      <c r="J2" s="17">
        <f>Sheet1!W33/1000</f>
        <v>2.4848101432376355</v>
      </c>
      <c r="K2" s="17">
        <f>Sheet1!X33/1000</f>
        <v>4.7915109582835527</v>
      </c>
      <c r="L2" s="17"/>
      <c r="M2" s="17"/>
      <c r="N2" s="17"/>
      <c r="O2" s="10" t="s">
        <v>5</v>
      </c>
      <c r="P2" s="30">
        <v>1.3633032115257517</v>
      </c>
      <c r="Q2" s="30">
        <v>4.4933379789308061</v>
      </c>
      <c r="R2" s="30">
        <v>2.7061925250527055</v>
      </c>
      <c r="S2" s="30">
        <v>5.1449407616685514</v>
      </c>
      <c r="T2" s="30">
        <v>12.556481129285867</v>
      </c>
      <c r="U2" s="30">
        <v>2.4848101432376355</v>
      </c>
      <c r="V2" s="30">
        <v>4.7915109582835527</v>
      </c>
    </row>
    <row r="3" spans="5:22">
      <c r="E3" s="17">
        <f>Sheet1!R34/1000</f>
        <v>3.9136779473964403</v>
      </c>
      <c r="F3" s="17">
        <f>Sheet1!S34/1000</f>
        <v>7.3328202883683824</v>
      </c>
      <c r="G3" s="17">
        <f>Sheet1!T34/1000</f>
        <v>5.0882753373406047</v>
      </c>
      <c r="H3" s="17">
        <f>Sheet1!U34/1000</f>
        <v>1.6336266078071033</v>
      </c>
      <c r="I3" s="17">
        <f>Sheet1!V34/1000</f>
        <v>2.1272616857178965</v>
      </c>
      <c r="J3" s="17">
        <f>Sheet1!W34/1000</f>
        <v>1.199575025990459</v>
      </c>
      <c r="K3" s="17">
        <f>Sheet1!X34/1000</f>
        <v>3.5492061487701481</v>
      </c>
      <c r="O3" s="10" t="s">
        <v>6</v>
      </c>
      <c r="P3" s="30">
        <v>3.9136779473964403</v>
      </c>
      <c r="Q3" s="30">
        <v>7.3328202883683824</v>
      </c>
      <c r="R3" s="30">
        <v>5.0882753373406047</v>
      </c>
      <c r="S3" s="30">
        <v>1.6336266078071033</v>
      </c>
      <c r="T3" s="30">
        <v>2.1272616857178965</v>
      </c>
      <c r="U3" s="30">
        <v>1.199575025990459</v>
      </c>
      <c r="V3" s="30">
        <v>3.5492061487701481</v>
      </c>
    </row>
    <row r="4" spans="5:22">
      <c r="E4" s="17">
        <f>Sheet1!R35/1000</f>
        <v>4.6446225030866257</v>
      </c>
      <c r="F4" s="17">
        <f>Sheet1!S35/1000</f>
        <v>10.68991136258939</v>
      </c>
      <c r="G4" s="17">
        <f>Sheet1!T35/1000</f>
        <v>7.3153006666062099</v>
      </c>
      <c r="H4" s="17">
        <f>Sheet1!U35/1000</f>
        <v>2.7281084842987871</v>
      </c>
      <c r="I4" s="17">
        <f>Sheet1!V35/1000</f>
        <v>4.7633476198923761</v>
      </c>
      <c r="J4" s="17">
        <f>Sheet1!W35/1000</f>
        <v>2.0928873493895179</v>
      </c>
      <c r="K4" s="17">
        <f>Sheet1!X35/1000</f>
        <v>5.3723629976438181</v>
      </c>
      <c r="O4" s="10" t="s">
        <v>7</v>
      </c>
      <c r="P4" s="30">
        <v>4.6446225030866257</v>
      </c>
      <c r="Q4" s="30">
        <v>10.68991136258939</v>
      </c>
      <c r="R4" s="30">
        <v>7.3153006666062099</v>
      </c>
      <c r="S4" s="30">
        <v>2.7281084842987871</v>
      </c>
      <c r="T4" s="30">
        <v>4.7633476198923761</v>
      </c>
      <c r="U4" s="30">
        <v>2.0928873493895179</v>
      </c>
      <c r="V4" s="30">
        <v>5.3723629976438181</v>
      </c>
    </row>
    <row r="5" spans="5:22">
      <c r="E5" s="17">
        <f>Sheet1!R36/1000</f>
        <v>5.6112382772958211</v>
      </c>
      <c r="F5" s="17">
        <f>Sheet1!S36/1000</f>
        <v>9.2698362948739366</v>
      </c>
      <c r="G5" s="17">
        <f>Sheet1!T36/1000</f>
        <v>6.1325127354733455</v>
      </c>
      <c r="H5" s="17">
        <f>Sheet1!U36/1000</f>
        <v>2.6869717620866371</v>
      </c>
      <c r="I5" s="17">
        <f>Sheet1!V36/1000</f>
        <v>2.8074440287188418</v>
      </c>
      <c r="J5" s="17">
        <f>Sheet1!W36/1000</f>
        <v>1.6196523569029917</v>
      </c>
      <c r="K5" s="17">
        <f>Sheet1!X36/1000</f>
        <v>4.6879425758919284</v>
      </c>
      <c r="O5" s="10" t="s">
        <v>8</v>
      </c>
      <c r="P5" s="30">
        <v>5.6112382772958211</v>
      </c>
      <c r="Q5" s="30">
        <v>9.2698362948739366</v>
      </c>
      <c r="R5" s="30">
        <v>6.1325127354733455</v>
      </c>
      <c r="S5" s="30">
        <v>2.6869717620866371</v>
      </c>
      <c r="T5" s="30">
        <v>2.8074440287188418</v>
      </c>
      <c r="U5" s="30">
        <v>1.6196523569029917</v>
      </c>
      <c r="V5" s="30">
        <v>4.6879425758919284</v>
      </c>
    </row>
    <row r="6" spans="5:22">
      <c r="E6" s="17">
        <f>Sheet1!R37/1000</f>
        <v>1.6975603298993807</v>
      </c>
      <c r="F6" s="17">
        <f>Sheet1!S37/1000</f>
        <v>1.9370160065055544</v>
      </c>
      <c r="G6" s="17">
        <f>Sheet1!T37/1000</f>
        <v>1.0442373981327402</v>
      </c>
      <c r="H6" s="17">
        <f>Sheet1!U37/1000</f>
        <v>1.0533451542795338</v>
      </c>
      <c r="I6" s="17">
        <f>Sheet1!V37/1000</f>
        <v>0.68018234300094516</v>
      </c>
      <c r="J6" s="17">
        <f>Sheet1!W37/1000</f>
        <v>0.42007733091253263</v>
      </c>
      <c r="K6" s="17">
        <f>Sheet1!X37/1000</f>
        <v>1.1387364271217812</v>
      </c>
      <c r="O6" s="7" t="s">
        <v>25</v>
      </c>
      <c r="P6" s="30">
        <v>1.6975603298993807</v>
      </c>
      <c r="Q6" s="30">
        <v>1.9370160065055544</v>
      </c>
      <c r="R6" s="30">
        <v>1.0442373981327402</v>
      </c>
      <c r="S6" s="30">
        <v>1.0533451542795338</v>
      </c>
      <c r="T6" s="30">
        <v>0.68018234300094516</v>
      </c>
      <c r="U6" s="30">
        <v>0.42007733091253263</v>
      </c>
      <c r="V6" s="30">
        <v>1.1387364271217812</v>
      </c>
    </row>
    <row r="7" spans="5:22">
      <c r="E7" s="17">
        <f>Sheet1!R38/1000</f>
        <v>2.9939320735989381</v>
      </c>
      <c r="F7" s="17">
        <f>Sheet1!S38/1000</f>
        <v>8.9281558441322559</v>
      </c>
      <c r="G7" s="17">
        <f>Sheet1!T38/1000</f>
        <v>6.6964487966586752</v>
      </c>
      <c r="H7" s="17">
        <f>Sheet1!U38/1000</f>
        <v>2.9189101186681738</v>
      </c>
      <c r="I7" s="17">
        <f>Sheet1!V38/1000</f>
        <v>10.226747619583715</v>
      </c>
      <c r="J7" s="17">
        <f>Sheet1!W38/1000</f>
        <v>3.3802807853759438</v>
      </c>
      <c r="K7" s="17">
        <f>Sheet1!X38/1000</f>
        <v>5.8574125396696175</v>
      </c>
      <c r="O7" s="10" t="s">
        <v>9</v>
      </c>
      <c r="P7" s="30">
        <v>2.9939320735989381</v>
      </c>
      <c r="Q7" s="30">
        <v>8.9281558441322559</v>
      </c>
      <c r="R7" s="30">
        <v>6.6964487966586752</v>
      </c>
      <c r="S7" s="30">
        <v>2.9189101186681738</v>
      </c>
      <c r="T7" s="30">
        <v>10.226747619583715</v>
      </c>
      <c r="U7" s="30">
        <v>3.3802807853759438</v>
      </c>
      <c r="V7" s="30">
        <v>5.8574125396696175</v>
      </c>
    </row>
    <row r="8" spans="5:22">
      <c r="E8" s="17">
        <f>Sheet1!R39/1000</f>
        <v>-2.6173062036968822</v>
      </c>
      <c r="F8" s="17">
        <f>Sheet1!S39/1000</f>
        <v>-0.34168045074168157</v>
      </c>
      <c r="G8" s="17">
        <f>Sheet1!T39/1000</f>
        <v>0.56393606118532913</v>
      </c>
      <c r="H8" s="17">
        <f>Sheet1!U39/1000</f>
        <v>0.23193835658153655</v>
      </c>
      <c r="I8" s="17">
        <f>Sheet1!V39/1000</f>
        <v>7.4193035908648746</v>
      </c>
      <c r="J8" s="17">
        <f>Sheet1!W39/1000</f>
        <v>1.7606284284729523</v>
      </c>
      <c r="K8" s="17">
        <f>Sheet1!X39/1000</f>
        <v>1.1694699637776882</v>
      </c>
      <c r="O8" s="7" t="s">
        <v>26</v>
      </c>
      <c r="P8" s="30">
        <v>-2.6173062036968822</v>
      </c>
      <c r="Q8" s="30">
        <v>-0.34168045074168157</v>
      </c>
      <c r="R8" s="30">
        <v>0.56393606118532913</v>
      </c>
      <c r="S8" s="30">
        <v>0.23193835658153655</v>
      </c>
      <c r="T8" s="30">
        <v>7.4193035908648746</v>
      </c>
      <c r="U8" s="30">
        <v>1.7606284284729523</v>
      </c>
      <c r="V8" s="30">
        <v>1.1694699637776882</v>
      </c>
    </row>
    <row r="9" spans="5:22">
      <c r="E9" s="17">
        <f>Sheet1!R40/1000</f>
        <v>1.8178623113274954</v>
      </c>
      <c r="F9" s="17">
        <f>Sheet1!S40/1000</f>
        <v>3.4301260366658726</v>
      </c>
      <c r="G9" s="17">
        <f>Sheet1!T40/1000</f>
        <v>2.206084767639712</v>
      </c>
      <c r="H9" s="17">
        <f>Sheet1!U40/1000</f>
        <v>1.0161390010309119</v>
      </c>
      <c r="I9" s="17">
        <f>Sheet1!V40/1000</f>
        <v>0.98692676715450511</v>
      </c>
      <c r="J9" s="17">
        <f>Sheet1!W40/1000</f>
        <v>0.55254343392953753</v>
      </c>
      <c r="K9" s="17">
        <f>Sheet1!X40/1000</f>
        <v>1.6682803862913391</v>
      </c>
      <c r="O9" s="10">
        <v>1974</v>
      </c>
      <c r="P9" s="30">
        <v>1.8178623113274954</v>
      </c>
      <c r="Q9" s="30">
        <v>3.4301260366658726</v>
      </c>
      <c r="R9" s="30">
        <v>2.206084767639712</v>
      </c>
      <c r="S9" s="30">
        <v>1.0161390010309119</v>
      </c>
      <c r="T9" s="30">
        <v>0.98692676715450511</v>
      </c>
      <c r="U9" s="30">
        <v>0.55254343392953753</v>
      </c>
      <c r="V9" s="30">
        <v>1.6682803862913391</v>
      </c>
    </row>
    <row r="10" spans="5:22">
      <c r="E10" s="17">
        <f>Sheet1!R41/1000</f>
        <v>1.0357336252819682</v>
      </c>
      <c r="F10" s="17">
        <f>Sheet1!S41/1000</f>
        <v>2.3436980858523895</v>
      </c>
      <c r="G10" s="17">
        <f>Sheet1!T41/1000</f>
        <v>1.4877728355052748</v>
      </c>
      <c r="H10" s="17">
        <f>Sheet1!U41/1000</f>
        <v>1.9535830839047941</v>
      </c>
      <c r="I10" s="17">
        <f>Sheet1!V41/1000</f>
        <v>3.2494232032927153</v>
      </c>
      <c r="J10" s="17">
        <f>Sheet1!W41/1000</f>
        <v>0.82422320332326005</v>
      </c>
      <c r="K10" s="17">
        <f>Sheet1!X41/1000</f>
        <v>1.8157390061934002</v>
      </c>
      <c r="O10" s="10">
        <v>2001</v>
      </c>
      <c r="P10" s="30">
        <v>1.0357336252819682</v>
      </c>
      <c r="Q10" s="30">
        <v>2.3436980858523895</v>
      </c>
      <c r="R10" s="30">
        <v>1.4877728355052748</v>
      </c>
      <c r="S10" s="30">
        <v>1.9535830839047941</v>
      </c>
      <c r="T10" s="30">
        <v>3.2494232032927153</v>
      </c>
      <c r="U10" s="30">
        <v>0.82422320332326005</v>
      </c>
      <c r="V10" s="30">
        <v>1.8157390061934002</v>
      </c>
    </row>
    <row r="11" spans="5:22">
      <c r="E11" s="17">
        <f>Sheet1!R42/1000</f>
        <v>10.829332494810277</v>
      </c>
      <c r="F11" s="17">
        <f>Sheet1!S42/1000</f>
        <v>12.754300257027277</v>
      </c>
      <c r="G11" s="17">
        <f>Sheet1!T42/1000</f>
        <v>8.5611197371000483</v>
      </c>
      <c r="H11" s="17">
        <f>Sheet1!U42/1000</f>
        <v>2.8148864010473038</v>
      </c>
      <c r="I11" s="17">
        <f>Sheet1!V42/1000</f>
        <v>5.3219585252232857</v>
      </c>
      <c r="J11" s="17">
        <f>Sheet1!W42/1000</f>
        <v>1.9111872850799181</v>
      </c>
      <c r="K11" s="17">
        <f>Sheet1!X42/1000</f>
        <v>7.0321307833813513</v>
      </c>
      <c r="O11" s="10" t="s">
        <v>10</v>
      </c>
      <c r="P11" s="30">
        <v>10.829332494810277</v>
      </c>
      <c r="Q11" s="30">
        <v>12.754300257027277</v>
      </c>
      <c r="R11" s="30">
        <v>8.5611197371000483</v>
      </c>
      <c r="S11" s="30">
        <v>2.8148864010473038</v>
      </c>
      <c r="T11" s="30">
        <v>5.3219585252232857</v>
      </c>
      <c r="U11" s="30">
        <v>1.9111872850799181</v>
      </c>
      <c r="V11" s="30">
        <v>7.0321307833813513</v>
      </c>
    </row>
    <row r="12" spans="5:22">
      <c r="E12" s="17">
        <f>Sheet1!R43/1000</f>
        <v>12.409219522336816</v>
      </c>
      <c r="F12" s="17">
        <f>Sheet1!S43/1000</f>
        <v>16.38286538799462</v>
      </c>
      <c r="G12" s="17">
        <f>Sheet1!T43/1000</f>
        <v>11.396362859268164</v>
      </c>
      <c r="H12" s="17">
        <f>Sheet1!U43/1000</f>
        <v>3.9775078167040863</v>
      </c>
      <c r="I12" s="17">
        <f>Sheet1!V43/1000</f>
        <v>6.8985982403951853</v>
      </c>
      <c r="J12" s="17">
        <f>Sheet1!W43/1000</f>
        <v>2.5772956163048821</v>
      </c>
      <c r="K12" s="17">
        <f>Sheet1!X43/1000</f>
        <v>8.9403082405006256</v>
      </c>
      <c r="O12" s="10" t="s">
        <v>17</v>
      </c>
      <c r="P12" s="30">
        <v>12.409219522336816</v>
      </c>
      <c r="Q12" s="30">
        <v>16.38286538799462</v>
      </c>
      <c r="R12" s="30">
        <v>11.396362859268164</v>
      </c>
      <c r="S12" s="30">
        <v>3.9775078167040863</v>
      </c>
      <c r="T12" s="30">
        <v>6.8985982403951853</v>
      </c>
      <c r="U12" s="30">
        <v>2.5772956163048821</v>
      </c>
      <c r="V12" s="30">
        <v>8.9403082405006256</v>
      </c>
    </row>
    <row r="13" spans="5:22">
      <c r="E13" s="17">
        <f>Sheet1!R44/1000</f>
        <v>1.57988702752654</v>
      </c>
      <c r="F13" s="17">
        <f>Sheet1!S44/1000</f>
        <v>3.6285651309673437</v>
      </c>
      <c r="G13" s="17">
        <f>Sheet1!T44/1000</f>
        <v>2.835243122168114</v>
      </c>
      <c r="H13" s="17">
        <f>Sheet1!U44/1000</f>
        <v>1.1626214156567818</v>
      </c>
      <c r="I13" s="17">
        <f>Sheet1!V44/1000</f>
        <v>1.5766397151719003</v>
      </c>
      <c r="J13" s="17">
        <f>Sheet1!W44/1000</f>
        <v>0.66610833122496405</v>
      </c>
      <c r="K13" s="17">
        <f>Sheet1!X44/1000</f>
        <v>1.9081774571192738</v>
      </c>
      <c r="O13" s="6" t="s">
        <v>20</v>
      </c>
      <c r="P13" s="30">
        <v>1.57988702752654</v>
      </c>
      <c r="Q13" s="30">
        <v>3.6285651309673437</v>
      </c>
      <c r="R13" s="30">
        <v>2.835243122168114</v>
      </c>
      <c r="S13" s="30">
        <v>1.1626214156567818</v>
      </c>
      <c r="T13" s="30">
        <v>1.5766397151719003</v>
      </c>
      <c r="U13" s="30">
        <v>0.66610833122496405</v>
      </c>
      <c r="V13" s="30">
        <v>1.9081774571192738</v>
      </c>
    </row>
    <row r="14" spans="5:22">
      <c r="E14" s="17">
        <f>Sheet1!R45/1000</f>
        <v>0.10131771641055913</v>
      </c>
      <c r="F14" s="17">
        <f>Sheet1!S45/1000</f>
        <v>0.62474050623447963</v>
      </c>
      <c r="G14" s="17">
        <f>Sheet1!T45/1000</f>
        <v>0.73958995819180129</v>
      </c>
      <c r="H14" s="17">
        <f>Sheet1!U45/1000</f>
        <v>0.14023650555876035</v>
      </c>
      <c r="I14" s="17">
        <f>Sheet1!V45/1000</f>
        <v>0.34493559486883119</v>
      </c>
      <c r="J14" s="17">
        <f>Sheet1!W45/1000</f>
        <v>0.23349704855671743</v>
      </c>
      <c r="K14" s="17">
        <f>Sheet1!X45/1000</f>
        <v>0.36405288830352489</v>
      </c>
      <c r="O14" s="10" t="s">
        <v>16</v>
      </c>
      <c r="P14" s="30">
        <v>0.10131771641055913</v>
      </c>
      <c r="Q14" s="30">
        <v>0.62474050623447963</v>
      </c>
      <c r="R14" s="30">
        <v>0.73958995819180129</v>
      </c>
      <c r="S14" s="30">
        <v>0.14023650555876035</v>
      </c>
      <c r="T14" s="30">
        <v>0.34493559486883119</v>
      </c>
      <c r="U14" s="30">
        <v>0.23349704855671743</v>
      </c>
      <c r="V14" s="30">
        <v>0.36405288830352489</v>
      </c>
    </row>
    <row r="15" spans="5:22">
      <c r="E15" s="17">
        <f>Sheet1!R46/1000</f>
        <v>0.74030981743972013</v>
      </c>
      <c r="F15" s="17">
        <f>Sheet1!S46/1000</f>
        <v>1.6117445723630854</v>
      </c>
      <c r="G15" s="17">
        <f>Sheet1!T46/1000</f>
        <v>1.1665368564552714</v>
      </c>
      <c r="H15" s="17">
        <f>Sheet1!U46/1000</f>
        <v>0.46440667032204264</v>
      </c>
      <c r="I15" s="17">
        <f>Sheet1!V46/1000</f>
        <v>1.1811803226016686</v>
      </c>
      <c r="J15" s="17">
        <f>Sheet1!W46/1000</f>
        <v>0.43181043895707621</v>
      </c>
      <c r="K15" s="17">
        <f>Sheet1!X46/1000</f>
        <v>0.93266477968981087</v>
      </c>
      <c r="O15" s="10" t="s">
        <v>18</v>
      </c>
      <c r="P15" s="30">
        <v>0.74030981743972013</v>
      </c>
      <c r="Q15" s="30">
        <v>1.6117445723630854</v>
      </c>
      <c r="R15" s="30">
        <v>1.1665368564552714</v>
      </c>
      <c r="S15" s="30">
        <v>0.46440667032204264</v>
      </c>
      <c r="T15" s="30">
        <v>1.1811803226016686</v>
      </c>
      <c r="U15" s="30">
        <v>0.43181043895707621</v>
      </c>
      <c r="V15" s="30">
        <v>0.93266477968981087</v>
      </c>
    </row>
    <row r="16" spans="5:22">
      <c r="E16" s="17">
        <f>Sheet1!R47/1000</f>
        <v>0.63899210102916104</v>
      </c>
      <c r="F16" s="17">
        <f>Sheet1!S47/1000</f>
        <v>0.98700406612860558</v>
      </c>
      <c r="G16" s="17">
        <f>Sheet1!T47/1000</f>
        <v>0.42694689826347015</v>
      </c>
      <c r="H16" s="17">
        <f>Sheet1!U47/1000</f>
        <v>0.32417016476328231</v>
      </c>
      <c r="I16" s="17">
        <f>Sheet1!V47/1000</f>
        <v>0.83624472773283742</v>
      </c>
      <c r="J16" s="17">
        <f>Sheet1!W47/1000</f>
        <v>0.19831339040035878</v>
      </c>
      <c r="K16" s="17">
        <f>Sheet1!X47/1000</f>
        <v>0.56861189138628598</v>
      </c>
      <c r="O16" s="7" t="s">
        <v>19</v>
      </c>
      <c r="P16" s="30">
        <v>0.63899210102916104</v>
      </c>
      <c r="Q16" s="30">
        <v>0.98700406612860558</v>
      </c>
      <c r="R16" s="30">
        <v>0.42694689826347015</v>
      </c>
      <c r="S16" s="30">
        <v>0.32417016476328231</v>
      </c>
      <c r="T16" s="30">
        <v>0.83624472773283742</v>
      </c>
      <c r="U16" s="30">
        <v>0.19831339040035878</v>
      </c>
      <c r="V16" s="30">
        <v>0.56861189138628598</v>
      </c>
    </row>
    <row r="17" spans="5:22">
      <c r="E17" s="17">
        <f>Sheet1!R48/1000</f>
        <v>19.119811986572984</v>
      </c>
      <c r="F17" s="17">
        <f>Sheet1!S48/1000</f>
        <v>14.41825400577294</v>
      </c>
      <c r="G17" s="17">
        <f>Sheet1!T48/1000</f>
        <v>8.8198195551224092</v>
      </c>
      <c r="H17" s="17">
        <f>Sheet1!U48/1000</f>
        <v>9.784672377607972</v>
      </c>
      <c r="I17" s="17">
        <f>Sheet1!V48/1000</f>
        <v>7.7297169494495153</v>
      </c>
      <c r="J17" s="17">
        <f>Sheet1!W48/1000</f>
        <v>3.4399263504366941</v>
      </c>
      <c r="K17" s="17">
        <f>Sheet1!X48/1000</f>
        <v>10.552033537493754</v>
      </c>
      <c r="O17" s="12" t="s">
        <v>22</v>
      </c>
      <c r="P17" s="30">
        <v>19.119811986572984</v>
      </c>
      <c r="Q17" s="30">
        <v>14.41825400577294</v>
      </c>
      <c r="R17" s="30">
        <v>8.8198195551224092</v>
      </c>
      <c r="S17" s="30">
        <v>9.784672377607972</v>
      </c>
      <c r="T17" s="30">
        <v>7.7297169494495153</v>
      </c>
      <c r="U17" s="30">
        <v>3.4399263504366941</v>
      </c>
      <c r="V17" s="30">
        <v>10.552033537493754</v>
      </c>
    </row>
    <row r="18" spans="5:22">
      <c r="E18" s="17">
        <f>Sheet1!R49/1000</f>
        <v>18.379502169133261</v>
      </c>
      <c r="F18" s="17">
        <f>Sheet1!S49/1000</f>
        <v>12.806509433409856</v>
      </c>
      <c r="G18" s="17">
        <f>Sheet1!T49/1000</f>
        <v>7.6532826986671374</v>
      </c>
      <c r="H18" s="17">
        <f>Sheet1!U49/1000</f>
        <v>9.3202657072859285</v>
      </c>
      <c r="I18" s="17">
        <f>Sheet1!V49/1000</f>
        <v>6.5485366268478478</v>
      </c>
      <c r="J18" s="17">
        <f>Sheet1!W49/1000</f>
        <v>3.0081159114796177</v>
      </c>
      <c r="K18" s="17">
        <f>Sheet1!X49/1000</f>
        <v>9.6193687578039402</v>
      </c>
      <c r="O18" s="7" t="s">
        <v>23</v>
      </c>
      <c r="P18" s="30">
        <v>18.379502169133261</v>
      </c>
      <c r="Q18" s="30">
        <v>12.806509433409856</v>
      </c>
      <c r="R18" s="30">
        <v>7.6532826986671374</v>
      </c>
      <c r="S18" s="30">
        <v>9.3202657072859285</v>
      </c>
      <c r="T18" s="30">
        <v>6.5485366268478478</v>
      </c>
      <c r="U18" s="30">
        <v>3.0081159114796177</v>
      </c>
      <c r="V18" s="30">
        <v>9.6193687578039402</v>
      </c>
    </row>
    <row r="19" spans="5:22">
      <c r="E19" s="17">
        <f>Sheet1!R50/1000</f>
        <v>4.3500304066293198</v>
      </c>
      <c r="F19" s="17">
        <f>Sheet1!S50/1000</f>
        <v>11.495146290816121</v>
      </c>
      <c r="G19" s="17">
        <f>Sheet1!T50/1000</f>
        <v>7.9842296455552813</v>
      </c>
      <c r="H19" s="17">
        <f>Sheet1!U50/1000</f>
        <v>5.5300351649269777</v>
      </c>
      <c r="I19" s="17">
        <f>Sheet1!V50/1000</f>
        <v>5.1637653441528917</v>
      </c>
      <c r="J19" s="17">
        <f>Sheet1!W50/1000</f>
        <v>2.2570825443010785</v>
      </c>
      <c r="K19" s="17">
        <f>Sheet1!X50/1000</f>
        <v>6.1300482327302781</v>
      </c>
      <c r="O19" s="10" t="s">
        <v>49</v>
      </c>
      <c r="P19" s="30">
        <v>4.3500304066293198</v>
      </c>
      <c r="Q19" s="30">
        <v>11.495146290816121</v>
      </c>
      <c r="R19" s="30">
        <v>7.9842296455552813</v>
      </c>
      <c r="S19" s="30">
        <v>5.5300351649269777</v>
      </c>
      <c r="T19" s="30">
        <v>5.1637653441528917</v>
      </c>
      <c r="U19" s="30">
        <v>2.2570825443010785</v>
      </c>
      <c r="V19" s="30">
        <v>6.1300482327302781</v>
      </c>
    </row>
    <row r="20" spans="5:22">
      <c r="E20" s="17">
        <f>Sheet1!R51/1000</f>
        <v>5.8330177578269984</v>
      </c>
      <c r="F20" s="17">
        <f>Sheet1!S51/1000</f>
        <v>12.036731442738976</v>
      </c>
      <c r="G20" s="17">
        <f>Sheet1!T51/1000</f>
        <v>7.2019770538243009</v>
      </c>
      <c r="H20" s="17">
        <f>Sheet1!U51/1000</f>
        <v>5.8572579198848818</v>
      </c>
      <c r="I20" s="17">
        <f>Sheet1!V51/1000</f>
        <v>8.238378904916468</v>
      </c>
      <c r="J20" s="17">
        <f>Sheet1!W51/1000</f>
        <v>2.7895410603459458</v>
      </c>
      <c r="K20" s="17">
        <f>Sheet1!X51/1000</f>
        <v>6.9928173565895957</v>
      </c>
      <c r="O20" s="10" t="s">
        <v>50</v>
      </c>
      <c r="P20" s="30">
        <v>5.8330177578269984</v>
      </c>
      <c r="Q20" s="30">
        <v>12.036731442738976</v>
      </c>
      <c r="R20" s="30">
        <v>7.2019770538243009</v>
      </c>
      <c r="S20" s="30">
        <v>5.8572579198848818</v>
      </c>
      <c r="T20" s="30">
        <v>8.238378904916468</v>
      </c>
      <c r="U20" s="30">
        <v>2.7895410603459458</v>
      </c>
      <c r="V20" s="30">
        <v>6.9928173565895957</v>
      </c>
    </row>
    <row r="21" spans="5:22">
      <c r="E21" s="17">
        <f>Sheet1!R52/1000</f>
        <v>15.43825408540606</v>
      </c>
      <c r="F21" s="17">
        <f>Sheet1!S52/1000</f>
        <v>16.878458313521932</v>
      </c>
      <c r="G21" s="17">
        <f>Sheet1!T52/1000</f>
        <v>11.238546910421601</v>
      </c>
      <c r="H21" s="17">
        <f>Sheet1!U52/1000</f>
        <v>8.4499189598109954</v>
      </c>
      <c r="I21" s="17">
        <f>Sheet1!V52/1000</f>
        <v>5.6841830443687904</v>
      </c>
      <c r="J21" s="17">
        <f>Sheet1!W52/1000</f>
        <v>2.447176197862853</v>
      </c>
      <c r="K21" s="17">
        <f>Sheet1!X52/1000</f>
        <v>10.022756251898706</v>
      </c>
      <c r="O21" s="10" t="s">
        <v>28</v>
      </c>
      <c r="P21" s="30">
        <v>15.43825408540606</v>
      </c>
      <c r="Q21" s="30">
        <v>16.878458313521932</v>
      </c>
      <c r="R21" s="30">
        <v>11.238546910421601</v>
      </c>
      <c r="S21" s="30">
        <v>8.4499189598109954</v>
      </c>
      <c r="T21" s="30">
        <v>5.6841830443687904</v>
      </c>
      <c r="U21" s="30">
        <v>2.447176197862853</v>
      </c>
      <c r="V21" s="30">
        <v>10.022756251898706</v>
      </c>
    </row>
    <row r="22" spans="5:22">
      <c r="E22" s="17">
        <f>Sheet1!R53/1000</f>
        <v>15.6085071636231</v>
      </c>
      <c r="F22" s="17">
        <f>Sheet1!S53/1000</f>
        <v>17.252746102337351</v>
      </c>
      <c r="G22" s="17">
        <f>Sheet1!T53/1000</f>
        <v>11.370664108911981</v>
      </c>
      <c r="H22" s="17">
        <f>Sheet1!U53/1000</f>
        <v>8.6322172918990514</v>
      </c>
      <c r="I22" s="17">
        <f>Sheet1!V53/1000</f>
        <v>5.9549238093428318</v>
      </c>
      <c r="J22" s="17">
        <f>Sheet1!W53/1000</f>
        <v>2.4924076203786263</v>
      </c>
      <c r="K22" s="17">
        <f>Sheet1!X53/1000</f>
        <v>10.218577682748823</v>
      </c>
      <c r="O22" s="10" t="s">
        <v>59</v>
      </c>
      <c r="P22" s="30">
        <v>15.6085071636231</v>
      </c>
      <c r="Q22" s="30">
        <v>17.252746102337351</v>
      </c>
      <c r="R22" s="30">
        <v>11.370664108911981</v>
      </c>
      <c r="S22" s="30">
        <v>8.6322172918990514</v>
      </c>
      <c r="T22" s="30">
        <v>5.9549238093428318</v>
      </c>
      <c r="U22" s="30">
        <v>2.4924076203786263</v>
      </c>
      <c r="V22" s="30">
        <v>10.218577682748823</v>
      </c>
    </row>
    <row r="23" spans="5:22">
      <c r="E23" s="17">
        <f>Sheet1!R54/1000</f>
        <v>0.17025307821704155</v>
      </c>
      <c r="F23" s="17">
        <f>Sheet1!S54/1000</f>
        <v>0.37428778881541802</v>
      </c>
      <c r="G23" s="17">
        <f>Sheet1!T54/1000</f>
        <v>0.13211719849038128</v>
      </c>
      <c r="H23" s="17">
        <f>Sheet1!U54/1000</f>
        <v>0.18229833208805576</v>
      </c>
      <c r="I23" s="17">
        <f>Sheet1!V54/1000</f>
        <v>0.27074076497404165</v>
      </c>
      <c r="J23" s="17">
        <f>Sheet1!W54/1000</f>
        <v>4.5231422515773376E-2</v>
      </c>
      <c r="K23" s="17">
        <f>Sheet1!X54/1000</f>
        <v>0.19582143085011738</v>
      </c>
      <c r="O23" s="10"/>
      <c r="P23" s="30">
        <v>0.17025307821704155</v>
      </c>
      <c r="Q23" s="30">
        <v>0.37428778881541802</v>
      </c>
      <c r="R23" s="30">
        <v>0.13211719849038128</v>
      </c>
      <c r="S23" s="30">
        <v>0.18229833208805576</v>
      </c>
      <c r="T23" s="30">
        <v>0.27074076497404165</v>
      </c>
      <c r="U23" s="30">
        <v>4.5231422515773376E-2</v>
      </c>
      <c r="V23" s="30">
        <v>0.19582143085011738</v>
      </c>
    </row>
    <row r="24" spans="5:22">
      <c r="E24" s="17">
        <f>Sheet1!R55/1000</f>
        <v>15.772477304433894</v>
      </c>
      <c r="F24" s="17">
        <f>Sheet1!S55/1000</f>
        <v>18.121884680699612</v>
      </c>
      <c r="G24" s="17">
        <f>Sheet1!T55/1000</f>
        <v>11.645182857735911</v>
      </c>
      <c r="H24" s="17">
        <f>Sheet1!U55/1000</f>
        <v>8.8105736026258139</v>
      </c>
      <c r="I24" s="17">
        <f>Sheet1!V55/1000</f>
        <v>6.3970563202333786</v>
      </c>
      <c r="J24" s="17">
        <f>Sheet1!W55/1000</f>
        <v>2.5219214957217395</v>
      </c>
      <c r="K24" s="17">
        <f>Sheet1!X55/1000</f>
        <v>10.544849376908392</v>
      </c>
      <c r="O24" s="10" t="s">
        <v>60</v>
      </c>
      <c r="P24" s="30">
        <v>15.772477304433894</v>
      </c>
      <c r="Q24" s="30">
        <v>18.121884680699612</v>
      </c>
      <c r="R24" s="30">
        <v>11.645182857735911</v>
      </c>
      <c r="S24" s="30">
        <v>8.8105736026258139</v>
      </c>
      <c r="T24" s="30">
        <v>6.3970563202333786</v>
      </c>
      <c r="U24" s="30">
        <v>2.5219214957217395</v>
      </c>
      <c r="V24" s="30">
        <v>10.544849376908392</v>
      </c>
    </row>
    <row r="25" spans="5:22">
      <c r="E25" s="17">
        <f>Sheet1!R56/1000</f>
        <v>0.3342232190278337</v>
      </c>
      <c r="F25" s="17">
        <f>Sheet1!S56/1000</f>
        <v>1.2434263671776788</v>
      </c>
      <c r="G25" s="17">
        <f>Sheet1!T56/1000</f>
        <v>0.4066359473143093</v>
      </c>
      <c r="H25" s="17">
        <f>Sheet1!U56/1000</f>
        <v>0.36065464281481946</v>
      </c>
      <c r="I25" s="17">
        <f>Sheet1!V56/1000</f>
        <v>0.71287327586458837</v>
      </c>
      <c r="J25" s="17">
        <f>Sheet1!W56/1000</f>
        <v>7.4745297858886714E-2</v>
      </c>
      <c r="K25" s="17">
        <f>Sheet1!X56/1000</f>
        <v>0.52209312500968741</v>
      </c>
      <c r="O25" s="10"/>
      <c r="P25" s="30">
        <v>0.3342232190278337</v>
      </c>
      <c r="Q25" s="30">
        <v>1.2434263671776788</v>
      </c>
      <c r="R25" s="30">
        <v>0.4066359473143093</v>
      </c>
      <c r="S25" s="30">
        <v>0.36065464281481946</v>
      </c>
      <c r="T25" s="30">
        <v>0.71287327586458837</v>
      </c>
      <c r="U25" s="30">
        <v>7.4745297858886714E-2</v>
      </c>
      <c r="V25" s="30">
        <v>0.52209312500968741</v>
      </c>
    </row>
    <row r="26" spans="5:22">
      <c r="E26" s="17">
        <f>Sheet1!R57/1000</f>
        <v>15.939824184431886</v>
      </c>
      <c r="F26" s="17">
        <f>Sheet1!S57/1000</f>
        <v>18.500087042401308</v>
      </c>
      <c r="G26" s="17">
        <f>Sheet1!T57/1000</f>
        <v>11.781060012419449</v>
      </c>
      <c r="H26" s="17">
        <f>Sheet1!U57/1000</f>
        <v>8.9903149971078147</v>
      </c>
      <c r="I26" s="17">
        <f>Sheet1!V57/1000</f>
        <v>6.6713962806824965</v>
      </c>
      <c r="J26" s="17">
        <f>Sheet1!W57/1000</f>
        <v>2.5686585655022598</v>
      </c>
      <c r="K26" s="17">
        <f>Sheet1!X57/1000</f>
        <v>10.741890180424202</v>
      </c>
      <c r="O26" s="10" t="s">
        <v>61</v>
      </c>
      <c r="P26" s="30">
        <v>15.939824184431886</v>
      </c>
      <c r="Q26" s="30">
        <v>18.500087042401308</v>
      </c>
      <c r="R26" s="30">
        <v>11.781060012419449</v>
      </c>
      <c r="S26" s="30">
        <v>8.9903149971078147</v>
      </c>
      <c r="T26" s="30">
        <v>6.6713962806824965</v>
      </c>
      <c r="U26" s="30">
        <v>2.5686585655022598</v>
      </c>
      <c r="V26" s="30">
        <v>10.741890180424202</v>
      </c>
    </row>
    <row r="27" spans="5:22">
      <c r="E27" s="17">
        <f>Sheet1!R58/1000</f>
        <v>0.50157009902582828</v>
      </c>
      <c r="F27" s="17">
        <f>Sheet1!S58/1000</f>
        <v>1.6216287288793756</v>
      </c>
      <c r="G27" s="17">
        <f>Sheet1!T58/1000</f>
        <v>0.54251310199784708</v>
      </c>
      <c r="H27" s="17">
        <f>Sheet1!U58/1000</f>
        <v>0.54039603729681951</v>
      </c>
      <c r="I27" s="17">
        <f>Sheet1!V58/1000</f>
        <v>0.98721323631370617</v>
      </c>
      <c r="J27" s="17">
        <f>Sheet1!W58/1000</f>
        <v>0.12148236763940713</v>
      </c>
      <c r="K27" s="17">
        <f>Sheet1!X58/1000</f>
        <v>0.71913392852549618</v>
      </c>
      <c r="O27" s="1"/>
      <c r="P27" s="30">
        <v>0.50157009902582828</v>
      </c>
      <c r="Q27" s="30">
        <v>1.6216287288793756</v>
      </c>
      <c r="R27" s="30">
        <v>0.54251310199784708</v>
      </c>
      <c r="S27" s="30">
        <v>0.54039603729681951</v>
      </c>
      <c r="T27" s="30">
        <v>0.98721323631370617</v>
      </c>
      <c r="U27" s="30">
        <v>0.12148236763940713</v>
      </c>
      <c r="V27" s="30">
        <v>0.71913392852549618</v>
      </c>
    </row>
    <row r="28" spans="5:22">
      <c r="E28" s="17"/>
      <c r="F28" s="17"/>
      <c r="G28" s="17"/>
      <c r="H28" s="17"/>
      <c r="I28" s="17"/>
      <c r="J28" s="17"/>
      <c r="K28" s="17"/>
      <c r="Q28" s="2" t="s">
        <v>58</v>
      </c>
      <c r="R28" s="2" t="s">
        <v>64</v>
      </c>
      <c r="S28" s="2" t="s">
        <v>62</v>
      </c>
      <c r="T28" s="2" t="s">
        <v>65</v>
      </c>
      <c r="U28" s="2" t="s">
        <v>63</v>
      </c>
    </row>
    <row r="29" spans="5:22">
      <c r="E29" s="17"/>
      <c r="F29" s="17"/>
      <c r="G29" s="17"/>
      <c r="H29" s="17"/>
      <c r="I29" s="17"/>
      <c r="J29" s="17"/>
      <c r="K29" s="17"/>
      <c r="O29" s="10" t="s">
        <v>5</v>
      </c>
      <c r="P29" s="31">
        <f>Sheet1!X33/1000</f>
        <v>4.7915109582835527</v>
      </c>
      <c r="Q29" s="30">
        <v>4.7915109582835527</v>
      </c>
      <c r="R29" s="30">
        <v>3.1166587549457807</v>
      </c>
      <c r="S29" s="28">
        <v>1.5373870978591972</v>
      </c>
      <c r="T29" s="30">
        <v>1.6552338933829693</v>
      </c>
      <c r="U29" s="28">
        <v>2.8947636810956401</v>
      </c>
    </row>
    <row r="30" spans="5:22">
      <c r="O30" s="10" t="s">
        <v>6</v>
      </c>
      <c r="P30" s="31">
        <f>Sheet1!X34/1000</f>
        <v>3.5492061487701481</v>
      </c>
      <c r="Q30" s="30">
        <v>3.5492061487701481</v>
      </c>
      <c r="R30" s="30">
        <v>7.2722037615401547</v>
      </c>
      <c r="S30" s="28">
        <v>0.48805097672599784</v>
      </c>
      <c r="T30" s="30">
        <v>3.8622124178935953</v>
      </c>
      <c r="U30" s="28">
        <v>0.91895674415179962</v>
      </c>
    </row>
    <row r="31" spans="5:22">
      <c r="O31" s="10" t="s">
        <v>7</v>
      </c>
      <c r="P31" s="31">
        <f>Sheet1!X35/1000</f>
        <v>5.3723629976438181</v>
      </c>
      <c r="Q31" s="30">
        <v>5.3723629976438181</v>
      </c>
      <c r="R31" s="30">
        <v>7.6877582621995924</v>
      </c>
      <c r="S31" s="28">
        <v>0.69882049024089599</v>
      </c>
      <c r="T31" s="30">
        <v>4.0829102703446578</v>
      </c>
      <c r="U31" s="28">
        <v>1.3158170623206744</v>
      </c>
    </row>
    <row r="32" spans="5:22">
      <c r="O32" s="10" t="s">
        <v>8</v>
      </c>
      <c r="P32" s="31">
        <f>Sheet1!X36/1000</f>
        <v>4.6879425758919284</v>
      </c>
      <c r="Q32" s="30">
        <v>4.6879425758919284</v>
      </c>
      <c r="R32" s="30">
        <v>14.959962023739749</v>
      </c>
      <c r="S32" s="28">
        <v>0.31336594093305181</v>
      </c>
      <c r="T32" s="30">
        <v>7.9451226882382535</v>
      </c>
      <c r="U32" s="28">
        <v>0.59004030017457543</v>
      </c>
    </row>
    <row r="33" spans="15:21">
      <c r="O33" s="7" t="s">
        <v>25</v>
      </c>
      <c r="P33" s="31">
        <f>Sheet1!X37/1000</f>
        <v>1.1387364271217812</v>
      </c>
      <c r="Q33" s="30">
        <v>1.1387364271217812</v>
      </c>
      <c r="R33" s="30">
        <v>7.6877582621995932</v>
      </c>
      <c r="S33" s="28">
        <v>0.14812333950729223</v>
      </c>
      <c r="T33" s="30">
        <v>4.0829102703446578</v>
      </c>
      <c r="U33" s="28">
        <v>0.27890312343936352</v>
      </c>
    </row>
    <row r="34" spans="15:21">
      <c r="O34" s="10" t="s">
        <v>9</v>
      </c>
      <c r="P34" s="31">
        <f>Sheet1!X38/1000</f>
        <v>5.8574125396696175</v>
      </c>
      <c r="Q34" s="30">
        <v>5.8574125396696175</v>
      </c>
      <c r="R34" s="30">
        <v>18.07662077868553</v>
      </c>
      <c r="S34" s="28">
        <v>0.32403249541950885</v>
      </c>
      <c r="T34" s="30">
        <v>9.600356581621222</v>
      </c>
      <c r="U34" s="28">
        <v>0.61012447713483475</v>
      </c>
    </row>
    <row r="35" spans="15:21">
      <c r="O35" s="7" t="s">
        <v>26</v>
      </c>
      <c r="P35" s="31">
        <f>Sheet1!X39/1000</f>
        <v>1.1694699637776882</v>
      </c>
      <c r="Q35" s="30">
        <v>1.1694699637776882</v>
      </c>
      <c r="R35" s="30">
        <v>3.1166587549457807</v>
      </c>
      <c r="S35" s="28">
        <v>0.3752319569545024</v>
      </c>
      <c r="T35" s="30">
        <v>1.6552338933829693</v>
      </c>
      <c r="U35" s="28">
        <v>0.70652852654407883</v>
      </c>
    </row>
    <row r="36" spans="15:21">
      <c r="O36" s="10">
        <v>1974</v>
      </c>
      <c r="P36" s="31">
        <f>Sheet1!X40/1000</f>
        <v>1.6682803862913391</v>
      </c>
      <c r="Q36" s="30">
        <v>1.6682803862913391</v>
      </c>
      <c r="R36" s="30">
        <v>3.1374364799787524</v>
      </c>
      <c r="S36" s="28">
        <v>0.53173359745681203</v>
      </c>
      <c r="T36" s="30">
        <v>1.6662687860055225</v>
      </c>
      <c r="U36" s="28">
        <v>1.0012072483759591</v>
      </c>
    </row>
    <row r="37" spans="15:21">
      <c r="O37" s="10">
        <v>2001</v>
      </c>
      <c r="P37" s="31">
        <f>Sheet1!X41/1000</f>
        <v>1.8157390061934002</v>
      </c>
      <c r="Q37" s="30">
        <v>1.8157390061934</v>
      </c>
      <c r="R37" s="30">
        <v>1.8699952529674686</v>
      </c>
      <c r="S37" s="28">
        <v>0.97098589063904306</v>
      </c>
      <c r="T37" s="30">
        <v>0.99314033602978169</v>
      </c>
      <c r="U37" s="28">
        <v>1.8282803953488311</v>
      </c>
    </row>
    <row r="38" spans="15:21">
      <c r="O38" s="10" t="s">
        <v>10</v>
      </c>
      <c r="P38" s="31">
        <f>Sheet1!X42/1000</f>
        <v>7.0321307833813513</v>
      </c>
      <c r="Q38" s="30">
        <v>7.0321307833813513</v>
      </c>
      <c r="R38" s="30">
        <v>10.735157933702133</v>
      </c>
      <c r="S38" s="28">
        <v>0.65505610879785592</v>
      </c>
      <c r="T38" s="30">
        <v>5.7013611883191162</v>
      </c>
      <c r="U38" s="28">
        <v>1.2334126099200136</v>
      </c>
    </row>
    <row r="39" spans="15:21">
      <c r="O39" s="10" t="s">
        <v>17</v>
      </c>
      <c r="P39" s="31">
        <f>Sheet1!X43/1000</f>
        <v>8.9403082405006256</v>
      </c>
      <c r="Q39" s="30">
        <v>8.9403082405006256</v>
      </c>
      <c r="R39" s="30">
        <v>18.561434362788205</v>
      </c>
      <c r="S39" s="28">
        <v>0.48166041835775764</v>
      </c>
      <c r="T39" s="30">
        <v>9.8578374094807941</v>
      </c>
      <c r="U39" s="28">
        <v>0.90692388899641085</v>
      </c>
    </row>
    <row r="40" spans="15:21">
      <c r="O40" s="6" t="s">
        <v>20</v>
      </c>
      <c r="P40" s="31">
        <f>Sheet1!X44/1000</f>
        <v>1.9081774571192738</v>
      </c>
      <c r="Q40" s="30">
        <v>1.9081774571192738</v>
      </c>
      <c r="R40" s="30">
        <v>7.8262764290860725</v>
      </c>
      <c r="S40" s="28">
        <v>0.24381677217886163</v>
      </c>
      <c r="T40" s="30">
        <v>4.1564762211616788</v>
      </c>
      <c r="U40" s="28">
        <v>0.45908537799500848</v>
      </c>
    </row>
    <row r="41" spans="15:21">
      <c r="O41" s="10" t="s">
        <v>16</v>
      </c>
      <c r="P41" s="31">
        <f>Sheet1!X45/1000</f>
        <v>0.36405288830352489</v>
      </c>
      <c r="Q41" s="30">
        <v>0.36405288830352489</v>
      </c>
      <c r="R41" s="30">
        <v>1.4550227614125961</v>
      </c>
      <c r="S41" s="28">
        <v>0.25020425656440409</v>
      </c>
      <c r="T41" s="30">
        <v>0</v>
      </c>
      <c r="U41" s="28"/>
    </row>
    <row r="42" spans="15:21">
      <c r="O42" s="10" t="s">
        <v>18</v>
      </c>
      <c r="P42" s="31">
        <f>Sheet1!X46/1000</f>
        <v>0.93266477968981087</v>
      </c>
      <c r="Q42" s="30">
        <v>0.93266477968981087</v>
      </c>
      <c r="R42" s="30">
        <v>2.7354427914556809</v>
      </c>
      <c r="S42" s="28">
        <v>0.34095568827213096</v>
      </c>
      <c r="T42" s="30">
        <v>0</v>
      </c>
      <c r="U42" s="28"/>
    </row>
    <row r="43" spans="15:21">
      <c r="O43" s="7" t="s">
        <v>19</v>
      </c>
      <c r="P43" s="31">
        <f>Sheet1!X47/1000</f>
        <v>0.56861189138628598</v>
      </c>
      <c r="Q43" s="30">
        <v>0.56861189138628598</v>
      </c>
      <c r="R43" s="30">
        <v>1.2804200300430846</v>
      </c>
      <c r="S43" s="28">
        <v>0.44408231521272973</v>
      </c>
      <c r="T43" s="30">
        <v>0</v>
      </c>
      <c r="U43" s="28"/>
    </row>
    <row r="44" spans="15:21">
      <c r="O44" s="12" t="s">
        <v>22</v>
      </c>
      <c r="P44" s="31">
        <f>Sheet1!X48/1000</f>
        <v>10.552033537493754</v>
      </c>
      <c r="Q44" s="30">
        <v>10.552033537493754</v>
      </c>
      <c r="R44" s="30">
        <v>9.8490490720018631</v>
      </c>
      <c r="S44" s="28">
        <v>1.0713758719600943</v>
      </c>
      <c r="T44" s="30">
        <v>0</v>
      </c>
      <c r="U44" s="28"/>
    </row>
    <row r="45" spans="15:21">
      <c r="O45" s="7" t="s">
        <v>23</v>
      </c>
      <c r="P45" s="31">
        <f>Sheet1!X49/1000</f>
        <v>9.6193687578039402</v>
      </c>
      <c r="Q45" s="30">
        <v>9.6193687578039402</v>
      </c>
      <c r="R45" s="30">
        <v>7.1136062805461826</v>
      </c>
      <c r="S45" s="28">
        <v>1.3522492500196912</v>
      </c>
      <c r="T45" s="30">
        <v>0</v>
      </c>
      <c r="U45" s="28"/>
    </row>
    <row r="46" spans="15:21">
      <c r="O46" s="10" t="s">
        <v>49</v>
      </c>
      <c r="P46" s="31">
        <f>Sheet1!X50/1000</f>
        <v>6.1300482327302781</v>
      </c>
      <c r="Q46" s="30">
        <v>6.1300482327302781</v>
      </c>
      <c r="R46" s="30">
        <v>6.2125397848585902</v>
      </c>
      <c r="S46" s="28">
        <v>0.98672176678379375</v>
      </c>
      <c r="T46" s="30">
        <v>3.2994328941433859</v>
      </c>
      <c r="U46" s="28">
        <v>1.8579096558112571</v>
      </c>
    </row>
    <row r="47" spans="15:21">
      <c r="O47" s="10" t="s">
        <v>50</v>
      </c>
      <c r="P47" s="31">
        <f>Sheet1!X51/1000</f>
        <v>6.9928173565895957</v>
      </c>
      <c r="Q47" s="30">
        <v>6.9928173565895957</v>
      </c>
      <c r="R47" s="30">
        <v>6.5305495595929273</v>
      </c>
      <c r="S47" s="28">
        <v>1.0707854358623814</v>
      </c>
      <c r="T47" s="30">
        <v>3.617442668877723</v>
      </c>
      <c r="U47" s="28">
        <v>1.9330831188429174</v>
      </c>
    </row>
    <row r="48" spans="15:21">
      <c r="O48" s="10" t="s">
        <v>28</v>
      </c>
      <c r="P48" s="31">
        <f>Sheet1!X52/1000</f>
        <v>10.022756251898706</v>
      </c>
      <c r="Q48" s="30">
        <v>10.022756251898706</v>
      </c>
      <c r="R48" s="30">
        <v>8.4496081800752272</v>
      </c>
      <c r="S48" s="28">
        <v>1.186180002468407</v>
      </c>
      <c r="T48" s="30">
        <v>4.487522999838272</v>
      </c>
      <c r="U48" s="28">
        <v>2.2334718400908296</v>
      </c>
    </row>
    <row r="49" spans="15:21">
      <c r="O49" s="10" t="s">
        <v>59</v>
      </c>
      <c r="P49" s="31">
        <f>Sheet1!X53/1000</f>
        <v>10.218577682748823</v>
      </c>
      <c r="Q49" s="30">
        <v>10.218577682748823</v>
      </c>
      <c r="R49" s="30">
        <v>8.7929935517685998</v>
      </c>
      <c r="S49" s="28">
        <v>1.1621272803837648</v>
      </c>
      <c r="T49" s="30">
        <v>4.8309083715316445</v>
      </c>
      <c r="U49" s="28">
        <v>2.1152497412218589</v>
      </c>
    </row>
    <row r="50" spans="15:21">
      <c r="O50" s="10"/>
      <c r="P50" s="31">
        <f>Sheet1!X54/1000</f>
        <v>0.19582143085011738</v>
      </c>
      <c r="Q50" s="30">
        <v>0.19582143085011738</v>
      </c>
      <c r="R50" s="30">
        <v>0.34338537169337258</v>
      </c>
      <c r="S50" s="28">
        <v>0.57026724779929461</v>
      </c>
      <c r="T50" s="30">
        <v>0.34338537169337258</v>
      </c>
      <c r="U50" s="28">
        <v>0.57026724779929461</v>
      </c>
    </row>
    <row r="51" spans="15:21">
      <c r="O51" s="10" t="s">
        <v>60</v>
      </c>
      <c r="P51" s="31">
        <f>Sheet1!X55/1000</f>
        <v>10.544849376908392</v>
      </c>
      <c r="Q51" s="30">
        <v>10.544849376908401</v>
      </c>
      <c r="R51" s="30">
        <v>9.1392889689847987</v>
      </c>
      <c r="S51" s="28">
        <v>1.1537931903339</v>
      </c>
      <c r="T51" s="30">
        <v>5.1772037887478435</v>
      </c>
      <c r="U51" s="28">
        <v>2.0367846828488019</v>
      </c>
    </row>
    <row r="52" spans="15:21">
      <c r="O52" s="10"/>
      <c r="P52" s="31">
        <f>Sheet1!X56/1000</f>
        <v>0.52209312500968741</v>
      </c>
      <c r="Q52" s="30">
        <v>0.52209312500968741</v>
      </c>
      <c r="R52" s="30">
        <v>0.6896807889095703</v>
      </c>
      <c r="S52" s="28">
        <v>0.75700691306067869</v>
      </c>
      <c r="T52" s="30">
        <v>0.6896807889095703</v>
      </c>
      <c r="U52" s="28">
        <v>0.75700691306067869</v>
      </c>
    </row>
    <row r="53" spans="15:21">
      <c r="O53" s="10" t="s">
        <v>61</v>
      </c>
      <c r="P53" s="31">
        <f>Sheet1!X57/1000</f>
        <v>10.741890180424202</v>
      </c>
      <c r="Q53" s="30">
        <v>10.741890180424202</v>
      </c>
      <c r="R53" s="30">
        <v>9.4826743406781713</v>
      </c>
      <c r="S53" s="28">
        <v>1.1327912142194241</v>
      </c>
      <c r="T53" s="30">
        <v>5.5205891604412161</v>
      </c>
      <c r="U53" s="28">
        <v>1.9457869202434346</v>
      </c>
    </row>
    <row r="54" spans="15:21">
      <c r="O54" s="1"/>
      <c r="P54" s="31">
        <f>Sheet1!X58/1000</f>
        <v>0.71913392852549618</v>
      </c>
      <c r="Q54" s="30">
        <v>0.71913392852549618</v>
      </c>
      <c r="R54" s="30">
        <v>1.033066160602943</v>
      </c>
      <c r="S54" s="28">
        <v>0.69611604362858803</v>
      </c>
      <c r="T54" s="30">
        <v>1.033066160602943</v>
      </c>
      <c r="U54" s="28">
        <v>0.69611604362858803</v>
      </c>
    </row>
    <row r="55" spans="15:21">
      <c r="P55" s="31"/>
      <c r="Q55" s="29"/>
      <c r="R55" s="29"/>
      <c r="S55" s="29"/>
      <c r="T55" s="29"/>
      <c r="U55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Mills</dc:creator>
  <cp:lastModifiedBy>Stuart Mills</cp:lastModifiedBy>
  <dcterms:created xsi:type="dcterms:W3CDTF">2024-09-19T16:24:32Z</dcterms:created>
  <dcterms:modified xsi:type="dcterms:W3CDTF">2024-11-05T16:59:00Z</dcterms:modified>
</cp:coreProperties>
</file>